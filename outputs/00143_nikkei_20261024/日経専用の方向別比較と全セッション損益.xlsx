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bd98e7da9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1fa6fc9e923243f9"/>
    <x:sheet xmlns:r="http://schemas.openxmlformats.org/officeDocument/2006/relationships" name="昼夜・方向比較" sheetId="2" r:id="Rc1fffafd868342f7"/>
    <x:sheet xmlns:r="http://schemas.openxmlformats.org/officeDocument/2006/relationships" name="日経_F1" sheetId="3" r:id="R4c10408da5804632"/>
    <x:sheet xmlns:r="http://schemas.openxmlformats.org/officeDocument/2006/relationships" name="日経_TG00" sheetId="4" r:id="R955ab6383d094b8b"/>
    <x:sheet xmlns:r="http://schemas.openxmlformats.org/officeDocument/2006/relationships" name="日経_TG04" sheetId="5" r:id="R32bc9f84aa6c440d"/>
    <x:sheet xmlns:r="http://schemas.openxmlformats.org/officeDocument/2006/relationships" name="日経_PP04" sheetId="6" r:id="R2a7337de1c1b4ac5"/>
    <x:sheet xmlns:r="http://schemas.openxmlformats.org/officeDocument/2006/relationships" name="日経_PG04" sheetId="7" r:id="Rad1fee89823a4bcd"/>
    <x:sheet xmlns:r="http://schemas.openxmlformats.org/officeDocument/2006/relationships" name="始終値根拠" sheetId="8" r:id="R6995126fa06f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[Red](#,##0);&quot;-&quot;"/>
    <x:numFmt numFmtId="201" formatCode="yyyy/mm/dd hh:mm"/>
    <x:numFmt numFmtId="202" formatCode="0.0"/>
    <x:numFmt numFmtId="203" formatCode="0.0%"/>
    <x:numFmt numFmtId="204" formatCode="0.00"/>
    <x:numFmt numFmtId="205" formatCode="yyyy/mm/dd hh:mm:ss"/>
    <x:numFmt numFmtId="206" formatCode="#,##0.0"/>
    <x:numFmt numFmtId="207" formatCode="#,##0.0;[Red](#,##0.0);&quot;-&quot;"/>
  </x:numFmts>
  <x:fonts count="6">
    <x:font>
      <x:sz val="11"/>
      <x:name val="Carlito"/>
    </x:font>
    <x:font>
      <x:sz val="10"/>
      <x:color rgb="FF172B44"/>
      <x:name val="Yu Gothic"/>
    </x:font>
    <x:font>
      <x:b/>
      <x:sz val="14"/>
      <x:color rgb="FF172B44"/>
      <x:name val="Yu Gothic"/>
    </x:font>
    <x:font>
      <x:sz val="10"/>
      <x:color rgb="FF52667C"/>
      <x:name val="Yu Gothic"/>
    </x:font>
    <x:font>
      <x:b/>
      <x:sz val="10"/>
      <x:color rgb="FFFFFFFF"/>
      <x:name val="Yu Gothic"/>
    </x:font>
    <x:font>
      <x:b/>
      <x:sz val="12"/>
      <x:color rgb="FF172B44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56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7B91A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  <x:dxf>
      <x:font>
        <x:color rgb="FFA62932"/>
      </x:font>
      <x:fill>
        <x:patternFill patternType="solid">
          <x:bgColor rgb="FFFC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71415f827c4688" /><Relationship Type="http://schemas.openxmlformats.org/officeDocument/2006/relationships/theme" Target="/xl/theme/theme1.xml" Id="Rd06a50a9d7a343df" /><Relationship Type="http://schemas.openxmlformats.org/officeDocument/2006/relationships/sharedStrings" Target="/xl/sharedStrings.xml" Id="Rc0fdff4d24da4da2" /><Relationship Type="http://schemas.openxmlformats.org/officeDocument/2006/relationships/worksheet" Target="/xl/worksheets/sheet1.xml" Id="R1fa6fc9e923243f9" /><Relationship Type="http://schemas.openxmlformats.org/officeDocument/2006/relationships/worksheet" Target="/xl/worksheets/sheet2.xml" Id="Rc1fffafd868342f7" /><Relationship Type="http://schemas.openxmlformats.org/officeDocument/2006/relationships/worksheet" Target="/xl/worksheets/sheet3.xml" Id="R4c10408da5804632" /><Relationship Type="http://schemas.openxmlformats.org/officeDocument/2006/relationships/worksheet" Target="/xl/worksheets/sheet4.xml" Id="R955ab6383d094b8b" /><Relationship Type="http://schemas.openxmlformats.org/officeDocument/2006/relationships/worksheet" Target="/xl/worksheets/sheet5.xml" Id="R32bc9f84aa6c440d" /><Relationship Type="http://schemas.openxmlformats.org/officeDocument/2006/relationships/worksheet" Target="/xl/worksheets/sheet6.xml" Id="R2a7337de1c1b4ac5" /><Relationship Type="http://schemas.openxmlformats.org/officeDocument/2006/relationships/worksheet" Target="/xl/worksheets/sheet7.xml" Id="Rad1fee89823a4bcd" /><Relationship Type="http://schemas.openxmlformats.org/officeDocument/2006/relationships/worksheet" Target="/xl/worksheets/sheet8.xml" Id="R6995126fa06f4c4b" /></Relationships>
</file>

<file path=xl/tables/table1.xml><?xml version="1.0" encoding="utf-8"?>
<x:table xmlns:x="http://schemas.openxmlformats.org/spreadsheetml/2006/main" id="6" name="日経主要候補比較" displayName="日経主要候補比較" ref="A6:T11" headerRowCount="1" totalsRowCount="0" totalsRowShown="0">
  <x:autoFilter ref="A6:T11"/>
  <x:tableColumns count="20">
    <x:tableColumn id="1" name="手法ID"/>
    <x:tableColumn id="2" name="区分"/>
    <x:tableColumn id="3" name="対象"/>
    <x:tableColumn id="4" name="場数"/>
    <x:tableColumn id="5" name="総利益（円）"/>
    <x:tableColumn id="6" name="総損失（円）"/>
    <x:tableColumn id="7" name="収支（円）"/>
    <x:tableColumn id="8" name="親PF"/>
    <x:tableColumn id="9" name="黒字場"/>
    <x:tableColumn id="10" name="赤字場"/>
    <x:tableColumn id="11" name="無取引場"/>
    <x:tableColumn id="12" name="平均赤字（円）"/>
    <x:tableColumn id="13" name="中央赤字（円）"/>
    <x:tableColumn id="14" name="最大赤字（円）"/>
    <x:tableColumn id="15" name="上位3黒字除外（円）"/>
    <x:tableColumn id="16" name="各場平均保有率"/>
    <x:tableColumn id="17" name="時間加重保有率"/>
    <x:tableColumn id="18" name="平均保有枚数"/>
    <x:tableColumn id="19" name="新規回数"/>
    <x:tableColumn id="20" name="手法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日経昼夜方向比較" displayName="日経昼夜方向比較" ref="A6:T46" headerRowCount="1" totalsRowCount="0" totalsRowShown="0">
  <x:autoFilter ref="A6:T46"/>
  <x:tableColumns count="20">
    <x:tableColumn id="1" name="手法ID"/>
    <x:tableColumn id="2" name="区分"/>
    <x:tableColumn id="3" name="対象"/>
    <x:tableColumn id="4" name="場数"/>
    <x:tableColumn id="5" name="総利益（円）"/>
    <x:tableColumn id="6" name="総損失（円）"/>
    <x:tableColumn id="7" name="収支（円）"/>
    <x:tableColumn id="8" name="親PF"/>
    <x:tableColumn id="9" name="黒字場"/>
    <x:tableColumn id="10" name="赤字場"/>
    <x:tableColumn id="11" name="無取引場"/>
    <x:tableColumn id="12" name="平均赤字（円）"/>
    <x:tableColumn id="13" name="中央赤字（円）"/>
    <x:tableColumn id="14" name="最大赤字（円）"/>
    <x:tableColumn id="15" name="上位3黒字除外（円）"/>
    <x:tableColumn id="16" name="各場平均保有率"/>
    <x:tableColumn id="17" name="時間加重保有率"/>
    <x:tableColumn id="18" name="平均保有枚数"/>
    <x:tableColumn id="19" name="新規回数"/>
    <x:tableColumn id="20" name="手法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日経_F1_全場会計" displayName="日経_F1_全場会計" ref="A6:T56" headerRowCount="1" totalsRowCount="0" totalsRowShown="0">
  <x:autoFilter ref="A6:T56"/>
  <x:tableColumns count="20">
    <x:tableColumn id="1" name="手法ID"/>
    <x:tableColumn id="2" name="開始日時"/>
    <x:tableColumn id="3" name="昼夜"/>
    <x:tableColumn id="4" name="始終値方向"/>
    <x:tableColumn id="5" name="利益（円）"/>
    <x:tableColumn id="6" name="損失（円）"/>
    <x:tableColumn id="7" name="収支（円）"/>
    <x:tableColumn id="8" name="累計（円）"/>
    <x:tableColumn id="9" name="内数手数料（円）"/>
    <x:tableColumn id="10" name="費用前収支（円）"/>
    <x:tableColumn id="11" name="新規回数"/>
    <x:tableColumn id="12" name="新規枚数"/>
    <x:tableColumn id="13" name="最大片方向保有"/>
    <x:tableColumn id="14" name="初回まで（分）"/>
    <x:tableColumn id="15" name="全場保有（分）"/>
    <x:tableColumn id="16" name="03時以降除外保有（分）"/>
    <x:tableColumn id="17" name="評価時間（分）"/>
    <x:tableColumn id="18" name="保有率"/>
    <x:tableColumn id="19" name="平均保有枚数"/>
    <x:tableColumn id="20" name="対象区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日経_TG00_全場会計" displayName="日経_TG00_全場会計" ref="A6:T56" headerRowCount="1" totalsRowCount="0" totalsRowShown="0">
  <x:autoFilter ref="A6:T56"/>
  <x:tableColumns count="20">
    <x:tableColumn id="1" name="手法ID"/>
    <x:tableColumn id="2" name="開始日時"/>
    <x:tableColumn id="3" name="昼夜"/>
    <x:tableColumn id="4" name="始終値方向"/>
    <x:tableColumn id="5" name="利益（円）"/>
    <x:tableColumn id="6" name="損失（円）"/>
    <x:tableColumn id="7" name="収支（円）"/>
    <x:tableColumn id="8" name="累計（円）"/>
    <x:tableColumn id="9" name="内数手数料（円）"/>
    <x:tableColumn id="10" name="費用前収支（円）"/>
    <x:tableColumn id="11" name="新規回数"/>
    <x:tableColumn id="12" name="新規枚数"/>
    <x:tableColumn id="13" name="最大片方向保有"/>
    <x:tableColumn id="14" name="初回まで（分）"/>
    <x:tableColumn id="15" name="全場保有（分）"/>
    <x:tableColumn id="16" name="03時以降除外保有（分）"/>
    <x:tableColumn id="17" name="評価時間（分）"/>
    <x:tableColumn id="18" name="保有率"/>
    <x:tableColumn id="19" name="平均保有枚数"/>
    <x:tableColumn id="20" name="対象区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日経_TG04_全場会計" displayName="日経_TG04_全場会計" ref="A6:T56" headerRowCount="1" totalsRowCount="0" totalsRowShown="0">
  <x:autoFilter ref="A6:T56"/>
  <x:tableColumns count="20">
    <x:tableColumn id="1" name="手法ID"/>
    <x:tableColumn id="2" name="開始日時"/>
    <x:tableColumn id="3" name="昼夜"/>
    <x:tableColumn id="4" name="始終値方向"/>
    <x:tableColumn id="5" name="利益（円）"/>
    <x:tableColumn id="6" name="損失（円）"/>
    <x:tableColumn id="7" name="収支（円）"/>
    <x:tableColumn id="8" name="累計（円）"/>
    <x:tableColumn id="9" name="内数手数料（円）"/>
    <x:tableColumn id="10" name="費用前収支（円）"/>
    <x:tableColumn id="11" name="新規回数"/>
    <x:tableColumn id="12" name="新規枚数"/>
    <x:tableColumn id="13" name="最大片方向保有"/>
    <x:tableColumn id="14" name="初回まで（分）"/>
    <x:tableColumn id="15" name="全場保有（分）"/>
    <x:tableColumn id="16" name="03時以降除外保有（分）"/>
    <x:tableColumn id="17" name="評価時間（分）"/>
    <x:tableColumn id="18" name="保有率"/>
    <x:tableColumn id="19" name="平均保有枚数"/>
    <x:tableColumn id="20" name="対象区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日経_PP04_全場会計" displayName="日経_PP04_全場会計" ref="A6:T56" headerRowCount="1" totalsRowCount="0" totalsRowShown="0">
  <x:autoFilter ref="A6:T56"/>
  <x:tableColumns count="20">
    <x:tableColumn id="1" name="手法ID"/>
    <x:tableColumn id="2" name="開始日時"/>
    <x:tableColumn id="3" name="昼夜"/>
    <x:tableColumn id="4" name="始終値方向"/>
    <x:tableColumn id="5" name="利益（円）"/>
    <x:tableColumn id="6" name="損失（円）"/>
    <x:tableColumn id="7" name="収支（円）"/>
    <x:tableColumn id="8" name="累計（円）"/>
    <x:tableColumn id="9" name="内数手数料（円）"/>
    <x:tableColumn id="10" name="費用前収支（円）"/>
    <x:tableColumn id="11" name="新規回数"/>
    <x:tableColumn id="12" name="新規枚数"/>
    <x:tableColumn id="13" name="最大片方向保有"/>
    <x:tableColumn id="14" name="初回まで（分）"/>
    <x:tableColumn id="15" name="全場保有（分）"/>
    <x:tableColumn id="16" name="03時以降除外保有（分）"/>
    <x:tableColumn id="17" name="評価時間（分）"/>
    <x:tableColumn id="18" name="保有率"/>
    <x:tableColumn id="19" name="平均保有枚数"/>
    <x:tableColumn id="20" name="対象区分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日経_PG04_全場会計" displayName="日経_PG04_全場会計" ref="A6:T56" headerRowCount="1" totalsRowCount="0" totalsRowShown="0">
  <x:autoFilter ref="A6:T56"/>
  <x:tableColumns count="20">
    <x:tableColumn id="1" name="手法ID"/>
    <x:tableColumn id="2" name="開始日時"/>
    <x:tableColumn id="3" name="昼夜"/>
    <x:tableColumn id="4" name="始終値方向"/>
    <x:tableColumn id="5" name="利益（円）"/>
    <x:tableColumn id="6" name="損失（円）"/>
    <x:tableColumn id="7" name="収支（円）"/>
    <x:tableColumn id="8" name="累計（円）"/>
    <x:tableColumn id="9" name="内数手数料（円）"/>
    <x:tableColumn id="10" name="費用前収支（円）"/>
    <x:tableColumn id="11" name="新規回数"/>
    <x:tableColumn id="12" name="新規枚数"/>
    <x:tableColumn id="13" name="最大片方向保有"/>
    <x:tableColumn id="14" name="初回まで（分）"/>
    <x:tableColumn id="15" name="全場保有（分）"/>
    <x:tableColumn id="16" name="03時以降除外保有（分）"/>
    <x:tableColumn id="17" name="評価時間（分）"/>
    <x:tableColumn id="18" name="保有率"/>
    <x:tableColumn id="19" name="平均保有枚数"/>
    <x:tableColumn id="20" name="対象区分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始終値方向根拠50場" displayName="始終値方向根拠50場" ref="A6:O56" headerRowCount="1" totalsRowCount="0" totalsRowShown="0">
  <x:autoFilter ref="A6:O56"/>
  <x:tableColumns count="15">
    <x:tableColumn id="1" name="セッション"/>
    <x:tableColumn id="2" name="最初のLast"/>
    <x:tableColumn id="3" name="最初の価格時計"/>
    <x:tableColumn id="4" name="最後のLast"/>
    <x:tableColumn id="5" name="最後の価格時計"/>
    <x:tableColumn id="6" name="価格差"/>
    <x:tableColumn id="7" name="始終値方向"/>
    <x:tableColumn id="8" name="開始後の秒数"/>
    <x:tableColumn id="9" name="終了前の秒数"/>
    <x:tableColumn id="10" name="最初の原seq"/>
    <x:tableColumn id="11" name="最後の原seq"/>
    <x:tableColumn id="12" name="終値の根拠"/>
    <x:tableColumn id="13" name="原板SHA256"/>
    <x:tableColumn id="14" name="最初の行SHA256"/>
    <x:tableColumn id="15" name="最後の行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282ad383b54d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e3ab10b9cc4a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6a5128bf574d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c9d094fbc345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b50fb26855a41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b71bea2456d4e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67fea495fd149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b3b9315c5944e12" /></Relationships>
</file>

<file path=xl/worksheets/sheet1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7" hidden="0" customWidth="1"/>
    <x:col min="5" max="5" width="22" hidden="0" customWidth="1"/>
    <x:col min="6" max="6" width="22" hidden="0" customWidth="1"/>
    <x:col min="7" max="7" width="2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3" hidden="0" customWidth="1"/>
    <x:col min="17" max="17" width="23" hidden="0" customWidth="1"/>
    <x:col min="18" max="18" width="23" hidden="0" customWidth="1"/>
    <x:col min="19" max="19" width="17" hidden="0" customWidth="1"/>
    <x:col min="20" max="20" width="6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日経専用の利益率・活動・損失の比較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6" t="str">
        <x:v>日経mini・片方向上限10枚・円・手数料後。親PF＝全完結親の総利益÷総損失。全50場は既知の研究期間です。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6" t="str">
        <x:v>全50場を見て改修・選抜した開発比較です。売買中に未来の場方向は使いません。ラージの次正常気配を日経miniの約定代理とします。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6" t="str">
        <x:v>出典：00143三巡の保存約定会計、日経原板Last始終値照合。mini片道38.5円を注文別切捨て。保有率は03～06時除外、損益は深夜分も含みます。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8" customHeight="1">
      <x:c r="A6" s="15" t="str">
        <x:v>手法ID</x:v>
      </x:c>
      <x:c r="B6" s="16" t="str">
        <x:v>区分</x:v>
      </x:c>
      <x:c r="C6" s="16" t="str">
        <x:v>対象</x:v>
      </x:c>
      <x:c r="D6" s="16" t="str">
        <x:v>場数</x:v>
      </x:c>
      <x:c r="E6" s="16" t="str">
        <x:v>総利益（円）</x:v>
      </x:c>
      <x:c r="F6" s="16" t="str">
        <x:v>総損失（円）</x:v>
      </x:c>
      <x:c r="G6" s="16" t="str">
        <x:v>収支（円）</x:v>
      </x:c>
      <x:c r="H6" s="16" t="str">
        <x:v>親PF</x:v>
      </x:c>
      <x:c r="I6" s="16" t="str">
        <x:v>黒字場</x:v>
      </x:c>
      <x:c r="J6" s="16" t="str">
        <x:v>赤字場</x:v>
      </x:c>
      <x:c r="K6" s="16" t="str">
        <x:v>無取引場</x:v>
      </x:c>
      <x:c r="L6" s="16" t="str">
        <x:v>平均赤字（円）</x:v>
      </x:c>
      <x:c r="M6" s="16" t="str">
        <x:v>中央赤字（円）</x:v>
      </x:c>
      <x:c r="N6" s="16" t="str">
        <x:v>最大赤字（円）</x:v>
      </x:c>
      <x:c r="O6" s="16" t="str">
        <x:v>上位3黒字除外（円）</x:v>
      </x:c>
      <x:c r="P6" s="16" t="str">
        <x:v>各場平均保有率</x:v>
      </x:c>
      <x:c r="Q6" s="16" t="str">
        <x:v>時間加重保有率</x:v>
      </x:c>
      <x:c r="R6" s="16" t="str">
        <x:v>平均保有枚数</x:v>
      </x:c>
      <x:c r="S6" s="16" t="str">
        <x:v>新規回数</x:v>
      </x:c>
      <x:c r="T6" s="17" t="str">
        <x:v>手法名</x:v>
      </x:c>
    </x:row>
    <x:row r="7" ht="22" customHeight="1">
      <x:c r="A7" s="2" t="str">
        <x:v>F1</x:v>
      </x:c>
      <x:c r="B7" s="2" t="str">
        <x:v>全方向・昼夜</x:v>
      </x:c>
      <x:c r="C7" s="2" t="str">
        <x:v>既知開発50場</x:v>
      </x:c>
      <x:c r="D7" s="2" t="n">
        <x:f>COUNTIFS('日経_F1'!$A$7:$A$56,"F1")</x:f>
        <x:v>50</x:v>
      </x:c>
      <x:c r="E7" s="19" t="n">
        <x:f>SUMIFS('日経_F1'!$E$7:$E$56,'日経_F1'!$A$7:$A$56,"F1")</x:f>
        <x:v>5902255</x:v>
      </x:c>
      <x:c r="F7" s="19" t="n">
        <x:f>SUMIFS('日経_F1'!$F$7:$F$56,'日経_F1'!$A$7:$A$56,"F1")</x:f>
        <x:v>3165732</x:v>
      </x:c>
      <x:c r="G7" s="19" t="n">
        <x:f>E7-F7</x:f>
        <x:v>2736523</x:v>
      </x:c>
      <x:c r="H7" s="23" t="n">
        <x:f>IF(F7=0,IF(E7=0,"算定不能","損失なし"),E7/F7)</x:f>
        <x:v>1.8644202983701716</x:v>
      </x:c>
      <x:c r="I7" s="2" t="n">
        <x:f>COUNTIFS('日経_F1'!$A$7:$A$56,"F1",'日経_F1'!$G$7:$G$56,"&gt;0")</x:f>
        <x:v>35</x:v>
      </x:c>
      <x:c r="J7" s="2" t="n">
        <x:f>COUNTIFS('日経_F1'!$A$7:$A$56,"F1",'日経_F1'!$G$7:$G$56,"&lt;0")</x:f>
        <x:v>15</x:v>
      </x:c>
      <x:c r="K7" s="2" t="n">
        <x:f>COUNTIFS('日経_F1'!$A$7:$A$56,"F1",'日経_F1'!$K$7:$K$56,"=0")</x:f>
        <x:v>0</x:v>
      </x:c>
      <x:c r="L7" s="19" t="n">
        <x:f>IF(J7=0,0,-SUMIFS('日経_F1'!$G$7:$G$56,'日経_F1'!$A$7:$A$56,"F1",'日経_F1'!$G$7:$G$56,"&lt;0")/J7)</x:f>
        <x:v>59427.933333333334</x:v>
      </x:c>
      <x:c r="M7" s="19" t="n">
        <x:v>45384</x:v>
      </x:c>
      <x:c r="N7" s="19" t="n">
        <x:v>121461</x:v>
      </x:c>
      <x:c r="O7" s="19" t="n">
        <x:v>1581281</x:v>
      </x:c>
      <x:c r="P7" s="22" t="n">
        <x:f>AVERAGEIFS('日経_F1'!$R$7:$R$56,'日経_F1'!$A$7:$A$56,"F1")</x:f>
        <x:v>0.29258190476190477</x:v>
      </x:c>
      <x:c r="Q7" s="22" t="n">
        <x:f>SUMIFS('日経_F1'!$P$7:$P$56,'日経_F1'!$A$7:$A$56,"F1")/SUMIFS('日経_F1'!$Q$7:$Q$56,'日経_F1'!$A$7:$A$56,"F1")</x:f>
        <x:v>0.2503117647058823</x:v>
      </x:c>
      <x:c r="R7" s="23" t="n">
        <x:f>AVERAGEIFS('日経_F1'!$S$7:$S$56,'日経_F1'!$A$7:$A$56,"F1")</x:f>
        <x:v>1.1623471428571424</x:v>
      </x:c>
      <x:c r="S7" s="2" t="n">
        <x:f>SUMIFS('日経_F1'!$K$7:$K$56,'日経_F1'!$A$7:$A$56,"F1")</x:f>
        <x:v>269</x:v>
      </x:c>
      <x:c r="T7" s="2" t="str">
        <x:v>従来の基準。最大5枚と最大5枚の二担当。</x:v>
      </x:c>
    </x:row>
    <x:row r="8" ht="22" customHeight="1">
      <x:c r="A8" s="2" t="str">
        <x:v>TG00</x:v>
      </x:c>
      <x:c r="B8" s="2" t="str">
        <x:v>全方向・昼夜</x:v>
      </x:c>
      <x:c r="C8" s="2" t="str">
        <x:v>既知開発50場</x:v>
      </x:c>
      <x:c r="D8" s="2" t="n">
        <x:f>COUNTIFS('日経_TG00'!$A$7:$A$56,"TG00")</x:f>
        <x:v>50</x:v>
      </x:c>
      <x:c r="E8" s="19" t="n">
        <x:f>SUMIFS('日経_TG00'!$E$7:$E$56,'日経_TG00'!$A$7:$A$56,"TG00")</x:f>
        <x:v>7095150</x:v>
      </x:c>
      <x:c r="F8" s="19" t="n">
        <x:f>SUMIFS('日経_TG00'!$F$7:$F$56,'日経_TG00'!$A$7:$A$56,"TG00")</x:f>
        <x:v>3710089</x:v>
      </x:c>
      <x:c r="G8" s="19" t="n">
        <x:f>E8-F8</x:f>
        <x:v>3385061</x:v>
      </x:c>
      <x:c r="H8" s="23" t="n">
        <x:f>IF(F8=0,IF(E8=0,"算定不能","損失なし"),E8/F8)</x:f>
        <x:v>1.9123934762750974</x:v>
      </x:c>
      <x:c r="I8" s="2" t="n">
        <x:f>COUNTIFS('日経_TG00'!$A$7:$A$56,"TG00",'日経_TG00'!$G$7:$G$56,"&gt;0")</x:f>
        <x:v>31</x:v>
      </x:c>
      <x:c r="J8" s="2" t="n">
        <x:f>COUNTIFS('日経_TG00'!$A$7:$A$56,"TG00",'日経_TG00'!$G$7:$G$56,"&lt;0")</x:f>
        <x:v>19</x:v>
      </x:c>
      <x:c r="K8" s="2" t="n">
        <x:f>COUNTIFS('日経_TG00'!$A$7:$A$56,"TG00",'日経_TG00'!$K$7:$K$56,"=0")</x:f>
        <x:v>0</x:v>
      </x:c>
      <x:c r="L8" s="19" t="n">
        <x:f>IF(J8=0,0,-SUMIFS('日経_TG00'!$G$7:$G$56,'日経_TG00'!$A$7:$A$56,"TG00",'日経_TG00'!$G$7:$G$56,"&lt;0")/J8)</x:f>
        <x:v>37582.94736842105</x:v>
      </x:c>
      <x:c r="M8" s="19" t="n">
        <x:v>36536</x:v>
      </x:c>
      <x:c r="N8" s="19" t="n">
        <x:v>106152</x:v>
      </x:c>
      <x:c r="O8" s="19" t="n">
        <x:v>1953815</x:v>
      </x:c>
      <x:c r="P8" s="22" t="n">
        <x:f>AVERAGEIFS('日経_TG00'!$R$7:$R$56,'日経_TG00'!$A$7:$A$56,"TG00")</x:f>
        <x:v>0.3624802380952381</x:v>
      </x:c>
      <x:c r="Q8" s="22" t="n">
        <x:f>SUMIFS('日経_TG00'!$P$7:$P$56,'日経_TG00'!$A$7:$A$56,"TG00")/SUMIFS('日経_TG00'!$Q$7:$Q$56,'日経_TG00'!$A$7:$A$56,"TG00")</x:f>
        <x:v>0.3230274509803921</x:v>
      </x:c>
      <x:c r="R8" s="23" t="n">
        <x:f>AVERAGEIFS('日経_TG00'!$S$7:$S$56,'日経_TG00'!$A$7:$A$56,"TG00")</x:f>
        <x:v>1.277568333333333</x:v>
      </x:c>
      <x:c r="S8" s="2" t="n">
        <x:f>SUMIFS('日経_TG00'!$K$7:$K$56,'日経_TG00'!$A$7:$A$56,"TG00")</x:f>
        <x:v>376</x:v>
      </x:c>
      <x:c r="T8" s="2" t="str">
        <x:v>残玉化前の比較元。基本5・追加3・別手法2枚。</x:v>
      </x:c>
    </x:row>
    <x:row r="9" ht="22" customHeight="1">
      <x:c r="A9" s="2" t="str">
        <x:v>TG04</x:v>
      </x:c>
      <x:c r="B9" s="2" t="str">
        <x:v>全方向・昼夜</x:v>
      </x:c>
      <x:c r="C9" s="2" t="str">
        <x:v>既知開発50場</x:v>
      </x:c>
      <x:c r="D9" s="2" t="n">
        <x:f>COUNTIFS('日経_TG04'!$A$7:$A$56,"TG04")</x:f>
        <x:v>50</x:v>
      </x:c>
      <x:c r="E9" s="19" t="n">
        <x:f>SUMIFS('日経_TG04'!$E$7:$E$56,'日経_TG04'!$A$7:$A$56,"TG04")</x:f>
        <x:v>7096816</x:v>
      </x:c>
      <x:c r="F9" s="19" t="n">
        <x:f>SUMIFS('日経_TG04'!$F$7:$F$56,'日経_TG04'!$A$7:$A$56,"TG04")</x:f>
        <x:v>3356852</x:v>
      </x:c>
      <x:c r="G9" s="19" t="n">
        <x:f>E9-F9</x:f>
        <x:v>3739964</x:v>
      </x:c>
      <x:c r="H9" s="23" t="n">
        <x:f>IF(F9=0,IF(E9=0,"算定不能","損失なし"),E9/F9)</x:f>
        <x:v>2.114128355971607</x:v>
      </x:c>
      <x:c r="I9" s="2" t="n">
        <x:f>COUNTIFS('日経_TG04'!$A$7:$A$56,"TG04",'日経_TG04'!$G$7:$G$56,"&gt;0")</x:f>
        <x:v>32</x:v>
      </x:c>
      <x:c r="J9" s="2" t="n">
        <x:f>COUNTIFS('日経_TG04'!$A$7:$A$56,"TG04",'日経_TG04'!$G$7:$G$56,"&lt;0")</x:f>
        <x:v>18</x:v>
      </x:c>
      <x:c r="K9" s="2" t="n">
        <x:f>COUNTIFS('日経_TG04'!$A$7:$A$56,"TG04",'日経_TG04'!$K$7:$K$56,"=0")</x:f>
        <x:v>0</x:v>
      </x:c>
      <x:c r="L9" s="19" t="n">
        <x:f>IF(J9=0,0,-SUMIFS('日経_TG04'!$G$7:$G$56,'日経_TG04'!$A$7:$A$56,"TG04",'日経_TG04'!$G$7:$G$56,"&lt;0")/J9)</x:f>
        <x:v>43821.055555555555</x:v>
      </x:c>
      <x:c r="M9" s="19" t="n">
        <x:v>42303.5</x:v>
      </x:c>
      <x:c r="N9" s="19" t="n">
        <x:v>106152</x:v>
      </x:c>
      <x:c r="O9" s="19" t="n">
        <x:v>2130411</x:v>
      </x:c>
      <x:c r="P9" s="22" t="n">
        <x:f>AVERAGEIFS('日経_TG04'!$R$7:$R$56,'日経_TG04'!$A$7:$A$56,"TG04")</x:f>
        <x:v>0.4952948412698415</x:v>
      </x:c>
      <x:c r="Q9" s="22" t="n">
        <x:f>SUMIFS('日経_TG04'!$P$7:$P$56,'日経_TG04'!$A$7:$A$56,"TG04")/SUMIFS('日経_TG04'!$Q$7:$Q$56,'日経_TG04'!$A$7:$A$56,"TG04")</x:f>
        <x:v>0.45805555555555555</x:v>
      </x:c>
      <x:c r="R9" s="23" t="n">
        <x:f>AVERAGEIFS('日経_TG04'!$S$7:$S$56,'日経_TG04'!$A$7:$A$56,"TG04")</x:f>
        <x:v>1.5236471428571428</x:v>
      </x:c>
      <x:c r="S9" s="2" t="n">
        <x:f>SUMIFS('日経_TG04'!$K$7:$K$56,'日経_TG04'!$A$7:$A$56,"TG04")</x:f>
        <x:v>335</x:v>
      </x:c>
      <x:c r="T9" s="2" t="str">
        <x:v>第一候補。5＋3＋2枚。利確後の実現利益を予算に一枚を3R追尾。</x:v>
      </x:c>
    </x:row>
    <x:row r="10" ht="22" customHeight="1">
      <x:c r="A10" s="2" t="str">
        <x:v>PP04</x:v>
      </x:c>
      <x:c r="B10" s="2" t="str">
        <x:v>全方向・昼夜</x:v>
      </x:c>
      <x:c r="C10" s="2" t="str">
        <x:v>既知開発50場</x:v>
      </x:c>
      <x:c r="D10" s="2" t="n">
        <x:f>COUNTIFS('日経_PP04'!$A$7:$A$56,"PP04")</x:f>
        <x:v>50</x:v>
      </x:c>
      <x:c r="E10" s="19" t="n">
        <x:f>SUMIFS('日経_PP04'!$E$7:$E$56,'日経_PP04'!$A$7:$A$56,"PP04")</x:f>
        <x:v>6702311</x:v>
      </x:c>
      <x:c r="F10" s="19" t="n">
        <x:f>SUMIFS('日経_PP04'!$F$7:$F$56,'日経_PP04'!$A$7:$A$56,"PP04")</x:f>
        <x:v>3150711</x:v>
      </x:c>
      <x:c r="G10" s="19" t="n">
        <x:f>E10-F10</x:f>
        <x:v>3551600</x:v>
      </x:c>
      <x:c r="H10" s="23" t="n">
        <x:f>IF(F10=0,IF(E10=0,"算定不能","損失なし"),E10/F10)</x:f>
        <x:v>2.1272376298556104</x:v>
      </x:c>
      <x:c r="I10" s="2" t="n">
        <x:f>COUNTIFS('日経_PP04'!$A$7:$A$56,"PP04",'日経_PP04'!$G$7:$G$56,"&gt;0")</x:f>
        <x:v>32</x:v>
      </x:c>
      <x:c r="J10" s="2" t="n">
        <x:f>COUNTIFS('日経_PP04'!$A$7:$A$56,"PP04",'日経_PP04'!$G$7:$G$56,"&lt;0")</x:f>
        <x:v>18</x:v>
      </x:c>
      <x:c r="K10" s="2" t="n">
        <x:f>COUNTIFS('日経_PP04'!$A$7:$A$56,"PP04",'日経_PP04'!$K$7:$K$56,"=0")</x:f>
        <x:v>0</x:v>
      </x:c>
      <x:c r="L10" s="19" t="n">
        <x:f>IF(J10=0,0,-SUMIFS('日経_PP04'!$G$7:$G$56,'日経_PP04'!$A$7:$A$56,"PP04",'日経_PP04'!$G$7:$G$56,"&lt;0")/J10)</x:f>
        <x:v>55504</x:v>
      </x:c>
      <x:c r="M10" s="19" t="n">
        <x:v>41537</x:v>
      </x:c>
      <x:c r="N10" s="19" t="n">
        <x:v>135760</x:v>
      </x:c>
      <x:c r="O10" s="19" t="n">
        <x:v>1586811</x:v>
      </x:c>
      <x:c r="P10" s="22" t="n">
        <x:f>AVERAGEIFS('日経_PP04'!$R$7:$R$56,'日経_PP04'!$A$7:$A$56,"PP04")</x:f>
        <x:v>0.48938039682539675</x:v>
      </x:c>
      <x:c r="Q10" s="22" t="n">
        <x:f>SUMIFS('日経_PP04'!$P$7:$P$56,'日経_PP04'!$A$7:$A$56,"PP04")/SUMIFS('日経_PP04'!$Q$7:$Q$56,'日経_PP04'!$A$7:$A$56,"PP04")</x:f>
        <x:v>0.4594679738562092</x:v>
      </x:c>
      <x:c r="R10" s="23" t="n">
        <x:f>AVERAGEIFS('日経_PP04'!$S$7:$S$56,'日経_PP04'!$A$7:$A$56,"PP04")</x:f>
        <x:v>1.4116829365079366</x:v>
      </x:c>
      <x:c r="S10" s="2" t="n">
        <x:f>SUMIFS('日経_PP04'!$K$7:$K$56,'日経_PP04'!$A$7:$A$56,"PP04")</x:f>
        <x:v>320</x:v>
      </x:c>
      <x:c r="T10" s="2" t="str">
        <x:v>二担当の比較候補。5＋5枚。基本の入口・退出に新しい逆流判定を足さない。</x:v>
      </x:c>
    </x:row>
    <x:row r="11" ht="22" customHeight="1">
      <x:c r="A11" s="2" t="str">
        <x:v>PG04</x:v>
      </x:c>
      <x:c r="B11" s="2" t="str">
        <x:v>全方向・昼夜</x:v>
      </x:c>
      <x:c r="C11" s="2" t="str">
        <x:v>既知開発50場</x:v>
      </x:c>
      <x:c r="D11" s="2" t="n">
        <x:f>COUNTIFS('日経_PG04'!$A$7:$A$56,"PG04")</x:f>
        <x:v>50</x:v>
      </x:c>
      <x:c r="E11" s="19" t="n">
        <x:f>SUMIFS('日経_PG04'!$E$7:$E$56,'日経_PG04'!$A$7:$A$56,"PG04")</x:f>
        <x:v>6416999</x:v>
      </x:c>
      <x:c r="F11" s="19" t="n">
        <x:f>SUMIFS('日経_PG04'!$F$7:$F$56,'日経_PG04'!$A$7:$A$56,"PG04")</x:f>
        <x:v>2722253</x:v>
      </x:c>
      <x:c r="G11" s="19" t="n">
        <x:f>E11-F11</x:f>
        <x:v>3694746</x:v>
      </x:c>
      <x:c r="H11" s="23" t="n">
        <x:f>IF(F11=0,IF(E11=0,"算定不能","損失なし"),E11/F11)</x:f>
        <x:v>2.3572382875507896</x:v>
      </x:c>
      <x:c r="I11" s="2" t="n">
        <x:f>COUNTIFS('日経_PG04'!$A$7:$A$56,"PG04",'日経_PG04'!$G$7:$G$56,"&gt;0")</x:f>
        <x:v>31</x:v>
      </x:c>
      <x:c r="J11" s="2" t="n">
        <x:f>COUNTIFS('日経_PG04'!$A$7:$A$56,"PG04",'日経_PG04'!$G$7:$G$56,"&lt;0")</x:f>
        <x:v>19</x:v>
      </x:c>
      <x:c r="K11" s="2" t="n">
        <x:f>COUNTIFS('日経_PG04'!$A$7:$A$56,"PG04",'日経_PG04'!$K$7:$K$56,"=0")</x:f>
        <x:v>0</x:v>
      </x:c>
      <x:c r="L11" s="19" t="n">
        <x:f>IF(J11=0,0,-SUMIFS('日経_PG04'!$G$7:$G$56,'日経_PG04'!$A$7:$A$56,"PG04",'日経_PG04'!$G$7:$G$56,"&lt;0")/J11)</x:f>
        <x:v>42441.26315789474</x:v>
      </x:c>
      <x:c r="M11" s="19" t="n">
        <x:v>37533</x:v>
      </x:c>
      <x:c r="N11" s="19" t="n">
        <x:v>120760</x:v>
      </x:c>
      <x:c r="O11" s="19" t="n">
        <x:v>1789573</x:v>
      </x:c>
      <x:c r="P11" s="22" t="n">
        <x:f>AVERAGEIFS('日経_PG04'!$R$7:$R$56,'日経_PG04'!$A$7:$A$56,"PG04")</x:f>
        <x:v>0.46408301587301587</x:v>
      </x:c>
      <x:c r="Q11" s="22" t="n">
        <x:f>SUMIFS('日経_PG04'!$P$7:$P$56,'日経_PG04'!$A$7:$A$56,"PG04")/SUMIFS('日経_PG04'!$Q$7:$Q$56,'日経_PG04'!$A$7:$A$56,"PG04")</x:f>
        <x:v>0.4350954248366014</x:v>
      </x:c>
      <x:c r="R11" s="23" t="n">
        <x:f>AVERAGEIFS('日経_PG04'!$S$7:$S$56,'日経_PG04'!$A$7:$A$56,"PG04")</x:f>
        <x:v>1.3257576984126986</x:v>
      </x:c>
      <x:c r="S11" s="2" t="n">
        <x:f>SUMIFS('日経_PG04'!$K$7:$K$56,'日経_PG04'!$A$7:$A$56,"PG04")</x:f>
        <x:v>306</x:v>
      </x:c>
      <x:c r="T11" s="2" t="str">
        <x:v>二担当の比較候補。5＋5枚。利益損失比に優るが赤字場はやや多い。</x:v>
      </x:c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2" customHeight="1">
      <x:c r="A14" s="24" t="str">
        <x:v>全試行の保存集計（選定外も含む）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</x:sheetData>
  <x:conditionalFormatting sqref="E7:G11">
    <x:cfRule type="cellIs" dxfId="5" priority="1" operator="lessThan">
      <x:formula>0</x:formula>
    </x:cfRule>
  </x:conditionalFormatting>
  <x:conditionalFormatting sqref="L7:O11">
    <x:cfRule type="cellIs" dxfId="6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282ad383b54d0f"/>
  </x:tableParts>
</x:worksheet>
</file>

<file path=xl/worksheets/sheet2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7" hidden="0" customWidth="1"/>
    <x:col min="5" max="5" width="22" hidden="0" customWidth="1"/>
    <x:col min="6" max="6" width="22" hidden="0" customWidth="1"/>
    <x:col min="7" max="7" width="2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3" hidden="0" customWidth="1"/>
    <x:col min="17" max="17" width="23" hidden="0" customWidth="1"/>
    <x:col min="18" max="18" width="23" hidden="0" customWidth="1"/>
    <x:col min="19" max="19" width="17" hidden="0" customWidth="1"/>
    <x:col min="20" max="20" width="6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昼夜・上昇下落別の比較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6" t="str">
        <x:v>上昇／下落は各場の最初のLastと、公式終了直前6分以内の最終Lastで分類。売買判断へ渡さない事後区分です。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6" t="str">
        <x:v>保有率の分母はデイ420分／ナイト600分。各場率の単純平均と時間加重を分けます。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6" t="str">
        <x:v>昼夜専用の運用IDは各手法の明細冒頭へ記載。全50場は設計と改善に使用した既知データです。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8" customHeight="1">
      <x:c r="A6" s="15" t="str">
        <x:v>手法ID</x:v>
      </x:c>
      <x:c r="B6" s="16" t="str">
        <x:v>区分</x:v>
      </x:c>
      <x:c r="C6" s="16" t="str">
        <x:v>対象</x:v>
      </x:c>
      <x:c r="D6" s="16" t="str">
        <x:v>場数</x:v>
      </x:c>
      <x:c r="E6" s="16" t="str">
        <x:v>総利益（円）</x:v>
      </x:c>
      <x:c r="F6" s="16" t="str">
        <x:v>総損失（円）</x:v>
      </x:c>
      <x:c r="G6" s="16" t="str">
        <x:v>収支（円）</x:v>
      </x:c>
      <x:c r="H6" s="16" t="str">
        <x:v>親PF</x:v>
      </x:c>
      <x:c r="I6" s="16" t="str">
        <x:v>黒字場</x:v>
      </x:c>
      <x:c r="J6" s="16" t="str">
        <x:v>赤字場</x:v>
      </x:c>
      <x:c r="K6" s="16" t="str">
        <x:v>無取引場</x:v>
      </x:c>
      <x:c r="L6" s="16" t="str">
        <x:v>平均赤字（円）</x:v>
      </x:c>
      <x:c r="M6" s="16" t="str">
        <x:v>中央赤字（円）</x:v>
      </x:c>
      <x:c r="N6" s="16" t="str">
        <x:v>最大赤字（円）</x:v>
      </x:c>
      <x:c r="O6" s="16" t="str">
        <x:v>上位3黒字除外（円）</x:v>
      </x:c>
      <x:c r="P6" s="16" t="str">
        <x:v>各場平均保有率</x:v>
      </x:c>
      <x:c r="Q6" s="16" t="str">
        <x:v>時間加重保有率</x:v>
      </x:c>
      <x:c r="R6" s="16" t="str">
        <x:v>平均保有枚数</x:v>
      </x:c>
      <x:c r="S6" s="16" t="str">
        <x:v>新規回数</x:v>
      </x:c>
      <x:c r="T6" s="17" t="str">
        <x:v>手法名</x:v>
      </x:c>
    </x:row>
    <x:row r="7" ht="22" customHeight="1">
      <x:c r="A7" s="2" t="str">
        <x:v>F1</x:v>
      </x:c>
      <x:c r="B7" s="2" t="str">
        <x:v>デイ</x:v>
      </x:c>
      <x:c r="C7" s="2" t="str">
        <x:v>既知開発50場</x:v>
      </x:c>
      <x:c r="D7" s="2" t="n">
        <x:f>COUNTIFS('日経_F1'!$A$7:$A$56,"F1",'日経_F1'!$C$7:$C$56,"デイ")</x:f>
        <x:v>25</x:v>
      </x:c>
      <x:c r="E7" s="19" t="n">
        <x:f>SUMIFS('日経_F1'!$E$7:$E$56,'日経_F1'!$A$7:$A$56,"F1",'日経_F1'!$C$7:$C$56,"デイ")</x:f>
        <x:v>3960990</x:v>
      </x:c>
      <x:c r="F7" s="19" t="n">
        <x:f>SUMIFS('日経_F1'!$F$7:$F$56,'日経_F1'!$A$7:$A$56,"F1",'日経_F1'!$C$7:$C$56,"デイ")</x:f>
        <x:v>2240208</x:v>
      </x:c>
      <x:c r="G7" s="19" t="n">
        <x:f>E7-F7</x:f>
        <x:v>1720782</x:v>
      </x:c>
      <x:c r="H7" s="23" t="n">
        <x:f>IF(F7=0,IF(E7=0,"算定不能","損失なし"),E7/F7)</x:f>
        <x:v>1.7681349231857042</x:v>
      </x:c>
      <x:c r="I7" s="2" t="n">
        <x:f>COUNTIFS('日経_F1'!$A$7:$A$56,"F1",'日経_F1'!$C$7:$C$56,"デイ",'日経_F1'!$G$7:$G$56,"&gt;0")</x:f>
        <x:v>16</x:v>
      </x:c>
      <x:c r="J7" s="2" t="n">
        <x:f>COUNTIFS('日経_F1'!$A$7:$A$56,"F1",'日経_F1'!$C$7:$C$56,"デイ",'日経_F1'!$G$7:$G$56,"&lt;0")</x:f>
        <x:v>9</x:v>
      </x:c>
      <x:c r="K7" s="2" t="n">
        <x:f>COUNTIFS('日経_F1'!$A$7:$A$56,"F1",'日経_F1'!$C$7:$C$56,"デイ",'日経_F1'!$K$7:$K$56,"=0")</x:f>
        <x:v>0</x:v>
      </x:c>
      <x:c r="L7" s="19" t="n">
        <x:f>IF(J7=0,0,-SUMIFS('日経_F1'!$G$7:$G$56,'日経_F1'!$A$7:$A$56,"F1",'日経_F1'!$C$7:$C$56,"デイ",'日経_F1'!$G$7:$G$56,"&lt;0")/J7)</x:f>
        <x:v>61278</x:v>
      </x:c>
      <x:c r="M7" s="19" t="n">
        <x:v>77992</x:v>
      </x:c>
      <x:c r="N7" s="19" t="n">
        <x:v>106152</x:v>
      </x:c>
      <x:c r="O7" s="19" t="n">
        <x:v>588464</x:v>
      </x:c>
      <x:c r="P7" s="22" t="n">
        <x:f>AVERAGEIFS('日経_F1'!$R$7:$R$56,'日経_F1'!$A$7:$A$56,"F1",'日経_F1'!$C$7:$C$56,"デイ")</x:f>
        <x:v>0.5321126984126985</x:v>
      </x:c>
      <x:c r="Q7" s="22" t="n">
        <x:f>SUMIFS('日経_F1'!$P$7:$P$56,'日経_F1'!$A$7:$A$56,"F1",'日経_F1'!$C$7:$C$56,"デイ")/SUMIFS('日経_F1'!$Q$7:$Q$56,'日経_F1'!$A$7:$A$56,"F1",'日経_F1'!$C$7:$C$56,"デイ")</x:f>
        <x:v>0.5321126984126984</x:v>
      </x:c>
      <x:c r="R7" s="23" t="n">
        <x:f>AVERAGEIFS('日経_F1'!$S$7:$S$56,'日経_F1'!$A$7:$A$56,"F1",'日経_F1'!$C$7:$C$56,"デイ")</x:f>
        <x:v>2.1080142857142854</x:v>
      </x:c>
      <x:c r="S7" s="2" t="n">
        <x:f>SUMIFS('日経_F1'!$K$7:$K$56,'日経_F1'!$A$7:$A$56,"F1",'日経_F1'!$C$7:$C$56,"デイ")</x:f>
        <x:v>182</x:v>
      </x:c>
      <x:c r="T7" s="2" t="str">
        <x:v>従来の基準。最大5枚と最大5枚の二担当。</x:v>
      </x:c>
    </x:row>
    <x:row r="8" ht="22" customHeight="1">
      <x:c r="A8" s="2" t="str">
        <x:v>F1</x:v>
      </x:c>
      <x:c r="B8" s="2" t="str">
        <x:v>ナイト</x:v>
      </x:c>
      <x:c r="C8" s="2" t="str">
        <x:v>既知開発50場</x:v>
      </x:c>
      <x:c r="D8" s="2" t="n">
        <x:f>COUNTIFS('日経_F1'!$A$7:$A$56,"F1",'日経_F1'!$C$7:$C$56,"ナイト")</x:f>
        <x:v>25</x:v>
      </x:c>
      <x:c r="E8" s="19" t="n">
        <x:f>SUMIFS('日経_F1'!$E$7:$E$56,'日経_F1'!$A$7:$A$56,"F1",'日経_F1'!$C$7:$C$56,"ナイト")</x:f>
        <x:v>1941265</x:v>
      </x:c>
      <x:c r="F8" s="19" t="n">
        <x:f>SUMIFS('日経_F1'!$F$7:$F$56,'日経_F1'!$A$7:$A$56,"F1",'日経_F1'!$C$7:$C$56,"ナイト")</x:f>
        <x:v>925524</x:v>
      </x:c>
      <x:c r="G8" s="19" t="n">
        <x:f>E8-F8</x:f>
        <x:v>1015741</x:v>
      </x:c>
      <x:c r="H8" s="23" t="n">
        <x:f>IF(F8=0,IF(E8=0,"算定不能","損失なし"),E8/F8)</x:f>
        <x:v>2.0974766726740746</x:v>
      </x:c>
      <x:c r="I8" s="2" t="n">
        <x:f>COUNTIFS('日経_F1'!$A$7:$A$56,"F1",'日経_F1'!$C$7:$C$56,"ナイト",'日経_F1'!$G$7:$G$56,"&gt;0")</x:f>
        <x:v>19</x:v>
      </x:c>
      <x:c r="J8" s="2" t="n">
        <x:f>COUNTIFS('日経_F1'!$A$7:$A$56,"F1",'日経_F1'!$C$7:$C$56,"ナイト",'日経_F1'!$G$7:$G$56,"&lt;0")</x:f>
        <x:v>6</x:v>
      </x:c>
      <x:c r="K8" s="2" t="n">
        <x:f>COUNTIFS('日経_F1'!$A$7:$A$56,"F1",'日経_F1'!$C$7:$C$56,"ナイト",'日経_F1'!$K$7:$K$56,"=0")</x:f>
        <x:v>0</x:v>
      </x:c>
      <x:c r="L8" s="19" t="n">
        <x:f>IF(J8=0,0,-SUMIFS('日経_F1'!$G$7:$G$56,'日経_F1'!$A$7:$A$56,"F1",'日経_F1'!$C$7:$C$56,"ナイト",'日経_F1'!$G$7:$G$56,"&lt;0")/J8)</x:f>
        <x:v>56652.833333333336</x:v>
      </x:c>
      <x:c r="M8" s="19" t="n">
        <x:v>43268</x:v>
      </x:c>
      <x:c r="N8" s="19" t="n">
        <x:v>121461</x:v>
      </x:c>
      <x:c r="O8" s="19" t="n">
        <x:v>353963</x:v>
      </x:c>
      <x:c r="P8" s="22" t="n">
        <x:f>AVERAGEIFS('日経_F1'!$R$7:$R$56,'日経_F1'!$A$7:$A$56,"F1",'日経_F1'!$C$7:$C$56,"ナイト")</x:f>
        <x:v>0.05305111111111112</x:v>
      </x:c>
      <x:c r="Q8" s="22" t="n">
        <x:f>SUMIFS('日経_F1'!$P$7:$P$56,'日経_F1'!$A$7:$A$56,"F1",'日経_F1'!$C$7:$C$56,"ナイト")/SUMIFS('日経_F1'!$Q$7:$Q$56,'日経_F1'!$A$7:$A$56,"F1",'日経_F1'!$C$7:$C$56,"ナイト")</x:f>
        <x:v>0.05305111111111112</x:v>
      </x:c>
      <x:c r="R8" s="23" t="n">
        <x:f>AVERAGEIFS('日経_F1'!$S$7:$S$56,'日経_F1'!$A$7:$A$56,"F1",'日経_F1'!$C$7:$C$56,"ナイト")</x:f>
        <x:v>0.21667999999999998</x:v>
      </x:c>
      <x:c r="S8" s="2" t="n">
        <x:f>SUMIFS('日経_F1'!$K$7:$K$56,'日経_F1'!$A$7:$A$56,"F1",'日経_F1'!$C$7:$C$56,"ナイト")</x:f>
        <x:v>87</x:v>
      </x:c>
      <x:c r="T8" s="2" t="str">
        <x:v>従来の基準。最大5枚と最大5枚の二担当。</x:v>
      </x:c>
    </x:row>
    <x:row r="9" ht="22" customHeight="1">
      <x:c r="A9" s="2" t="str">
        <x:v>F1</x:v>
      </x:c>
      <x:c r="B9" s="2" t="str">
        <x:v>上昇場</x:v>
      </x:c>
      <x:c r="C9" s="2" t="str">
        <x:v>既知開発50場</x:v>
      </x:c>
      <x:c r="D9" s="2" t="n">
        <x:f>COUNTIFS('日経_F1'!$A$7:$A$56,"F1",'日経_F1'!$D$7:$D$56,"上昇")</x:f>
        <x:v>24</x:v>
      </x:c>
      <x:c r="E9" s="19" t="n">
        <x:f>SUMIFS('日経_F1'!$E$7:$E$56,'日経_F1'!$A$7:$A$56,"F1",'日経_F1'!$D$7:$D$56,"上昇")</x:f>
        <x:v>2764051</x:v>
      </x:c>
      <x:c r="F9" s="19" t="n">
        <x:f>SUMIFS('日経_F1'!$F$7:$F$56,'日経_F1'!$A$7:$A$56,"F1",'日経_F1'!$D$7:$D$56,"上昇")</x:f>
        <x:v>1582825</x:v>
      </x:c>
      <x:c r="G9" s="19" t="n">
        <x:f>E9-F9</x:f>
        <x:v>1181226</x:v>
      </x:c>
      <x:c r="H9" s="23" t="n">
        <x:f>IF(F9=0,IF(E9=0,"算定不能","損失なし"),E9/F9)</x:f>
        <x:v>1.746277067900747</x:v>
      </x:c>
      <x:c r="I9" s="2" t="n">
        <x:f>COUNTIFS('日経_F1'!$A$7:$A$56,"F1",'日経_F1'!$D$7:$D$56,"上昇",'日経_F1'!$G$7:$G$56,"&gt;0")</x:f>
        <x:v>16</x:v>
      </x:c>
      <x:c r="J9" s="2" t="n">
        <x:f>COUNTIFS('日経_F1'!$A$7:$A$56,"F1",'日経_F1'!$D$7:$D$56,"上昇",'日経_F1'!$G$7:$G$56,"&lt;0")</x:f>
        <x:v>8</x:v>
      </x:c>
      <x:c r="K9" s="2" t="n">
        <x:f>COUNTIFS('日経_F1'!$A$7:$A$56,"F1",'日経_F1'!$D$7:$D$56,"上昇",'日経_F1'!$K$7:$K$56,"=0")</x:f>
        <x:v>0</x:v>
      </x:c>
      <x:c r="L9" s="19" t="n">
        <x:f>IF(J9=0,0,-SUMIFS('日経_F1'!$G$7:$G$56,'日経_F1'!$A$7:$A$56,"F1",'日経_F1'!$D$7:$D$56,"上昇",'日経_F1'!$G$7:$G$56,"&lt;0")/J9)</x:f>
        <x:v>76410.625</x:v>
      </x:c>
      <x:c r="M9" s="19" t="n">
        <x:v>89112</x:v>
      </x:c>
      <x:c r="N9" s="19" t="n">
        <x:v>121461</x:v>
      </x:c>
      <x:c r="O9" s="19" t="n">
        <x:v>128440</x:v>
      </x:c>
      <x:c r="P9" s="22" t="n">
        <x:f>AVERAGEIFS('日経_F1'!$R$7:$R$56,'日経_F1'!$A$7:$A$56,"F1",'日経_F1'!$D$7:$D$56,"上昇")</x:f>
        <x:v>0.29521130952380953</x:v>
      </x:c>
      <x:c r="Q9" s="22" t="n">
        <x:f>SUMIFS('日経_F1'!$P$7:$P$56,'日経_F1'!$A$7:$A$56,"F1",'日経_F1'!$D$7:$D$56,"上昇")/SUMIFS('日経_F1'!$Q$7:$Q$56,'日経_F1'!$A$7:$A$56,"F1",'日経_F1'!$D$7:$D$56,"上昇")</x:f>
        <x:v>0.25388888888888894</x:v>
      </x:c>
      <x:c r="R9" s="23" t="n">
        <x:f>AVERAGEIFS('日経_F1'!$S$7:$S$56,'日経_F1'!$A$7:$A$56,"F1",'日経_F1'!$D$7:$D$56,"上昇")</x:f>
        <x:v>1.1993199404761905</x:v>
      </x:c>
      <x:c r="S9" s="2" t="n">
        <x:f>SUMIFS('日経_F1'!$K$7:$K$56,'日経_F1'!$A$7:$A$56,"F1",'日経_F1'!$D$7:$D$56,"上昇")</x:f>
        <x:v>138</x:v>
      </x:c>
      <x:c r="T9" s="2" t="str">
        <x:v>従来の基準。最大5枚と最大5枚の二担当。</x:v>
      </x:c>
    </x:row>
    <x:row r="10" ht="22" customHeight="1">
      <x:c r="A10" s="2" t="str">
        <x:v>F1</x:v>
      </x:c>
      <x:c r="B10" s="2" t="str">
        <x:v>下落場</x:v>
      </x:c>
      <x:c r="C10" s="2" t="str">
        <x:v>既知開発50場</x:v>
      </x:c>
      <x:c r="D10" s="2" t="n">
        <x:f>COUNTIFS('日経_F1'!$A$7:$A$56,"F1",'日経_F1'!$D$7:$D$56,"下落")</x:f>
        <x:v>26</x:v>
      </x:c>
      <x:c r="E10" s="19" t="n">
        <x:f>SUMIFS('日経_F1'!$E$7:$E$56,'日経_F1'!$A$7:$A$56,"F1",'日経_F1'!$D$7:$D$56,"下落")</x:f>
        <x:v>3138204</x:v>
      </x:c>
      <x:c r="F10" s="19" t="n">
        <x:f>SUMIFS('日経_F1'!$F$7:$F$56,'日経_F1'!$A$7:$A$56,"F1",'日経_F1'!$D$7:$D$56,"下落")</x:f>
        <x:v>1582907</x:v>
      </x:c>
      <x:c r="G10" s="19" t="n">
        <x:f>E10-F10</x:f>
        <x:v>1555297</x:v>
      </x:c>
      <x:c r="H10" s="23" t="n">
        <x:f>IF(F10=0,IF(E10=0,"算定不能","損失なし"),E10/F10)</x:f>
        <x:v>1.98255740861592</x:v>
      </x:c>
      <x:c r="I10" s="2" t="n">
        <x:f>COUNTIFS('日経_F1'!$A$7:$A$56,"F1",'日経_F1'!$D$7:$D$56,"下落",'日経_F1'!$G$7:$G$56,"&gt;0")</x:f>
        <x:v>19</x:v>
      </x:c>
      <x:c r="J10" s="2" t="n">
        <x:f>COUNTIFS('日経_F1'!$A$7:$A$56,"F1",'日経_F1'!$D$7:$D$56,"下落",'日経_F1'!$G$7:$G$56,"&lt;0")</x:f>
        <x:v>7</x:v>
      </x:c>
      <x:c r="K10" s="2" t="n">
        <x:f>COUNTIFS('日経_F1'!$A$7:$A$56,"F1",'日経_F1'!$D$7:$D$56,"下落",'日経_F1'!$K$7:$K$56,"=0")</x:f>
        <x:v>0</x:v>
      </x:c>
      <x:c r="L10" s="19" t="n">
        <x:f>IF(J10=0,0,-SUMIFS('日経_F1'!$G$7:$G$56,'日経_F1'!$A$7:$A$56,"F1",'日経_F1'!$D$7:$D$56,"下落",'日経_F1'!$G$7:$G$56,"&lt;0")/J10)</x:f>
        <x:v>40019.142857142855</x:v>
      </x:c>
      <x:c r="M10" s="19" t="n">
        <x:v>36920</x:v>
      </x:c>
      <x:c r="N10" s="19" t="n">
        <x:v>106152</x:v>
      </x:c>
      <x:c r="O10" s="19" t="n">
        <x:v>673751</x:v>
      </x:c>
      <x:c r="P10" s="22" t="n">
        <x:f>AVERAGEIFS('日経_F1'!$R$7:$R$56,'日経_F1'!$A$7:$A$56,"F1",'日経_F1'!$D$7:$D$56,"下落")</x:f>
        <x:v>0.29015476190476186</x:v>
      </x:c>
      <x:c r="Q10" s="22" t="n">
        <x:f>SUMIFS('日経_F1'!$P$7:$P$56,'日経_F1'!$A$7:$A$56,"F1",'日経_F1'!$D$7:$D$56,"下落")/SUMIFS('日経_F1'!$Q$7:$Q$56,'日経_F1'!$A$7:$A$56,"F1",'日経_F1'!$D$7:$D$56,"下落")</x:f>
        <x:v>0.24700980392156863</x:v>
      </x:c>
      <x:c r="R10" s="23" t="n">
        <x:f>AVERAGEIFS('日経_F1'!$S$7:$S$56,'日経_F1'!$A$7:$A$56,"F1",'日経_F1'!$D$7:$D$56,"下落")</x:f>
        <x:v>1.1282184065934067</x:v>
      </x:c>
      <x:c r="S10" s="2" t="n">
        <x:f>SUMIFS('日経_F1'!$K$7:$K$56,'日経_F1'!$A$7:$A$56,"F1",'日経_F1'!$D$7:$D$56,"下落")</x:f>
        <x:v>131</x:v>
      </x:c>
      <x:c r="T10" s="2" t="str">
        <x:v>従来の基準。最大5枚と最大5枚の二担当。</x:v>
      </x:c>
    </x:row>
    <x:row r="11" ht="22" customHeight="1">
      <x:c r="A11" s="2" t="str">
        <x:v>F1</x:v>
      </x:c>
      <x:c r="B11" s="2" t="str">
        <x:v>デイ・上昇</x:v>
      </x:c>
      <x:c r="C11" s="2" t="str">
        <x:v>既知開発50場</x:v>
      </x:c>
      <x:c r="D11" s="2" t="n">
        <x:f>COUNTIFS('日経_F1'!$A$7:$A$56,"F1",'日経_F1'!$C$7:$C$56,"デイ",'日経_F1'!$D$7:$D$56,"上昇")</x:f>
        <x:v>12</x:v>
      </x:c>
      <x:c r="E11" s="19" t="n">
        <x:f>SUMIFS('日経_F1'!$E$7:$E$56,'日経_F1'!$A$7:$A$56,"F1",'日経_F1'!$C$7:$C$56,"デイ",'日経_F1'!$D$7:$D$56,"上昇")</x:f>
        <x:v>1782264</x:v>
      </x:c>
      <x:c r="F11" s="19" t="n">
        <x:f>SUMIFS('日経_F1'!$F$7:$F$56,'日経_F1'!$A$7:$A$56,"F1",'日経_F1'!$C$7:$C$56,"デイ",'日経_F1'!$D$7:$D$56,"上昇")</x:f>
        <x:v>973296</x:v>
      </x:c>
      <x:c r="G11" s="19" t="n">
        <x:f>E11-F11</x:f>
        <x:v>808968</x:v>
      </x:c>
      <x:c r="H11" s="23" t="n">
        <x:f>IF(F11=0,IF(E11=0,"算定不能","損失なし"),E11/F11)</x:f>
        <x:v>1.8311633870888198</x:v>
      </x:c>
      <x:c r="I11" s="2" t="n">
        <x:f>COUNTIFS('日経_F1'!$A$7:$A$56,"F1",'日経_F1'!$C$7:$C$56,"デイ",'日経_F1'!$D$7:$D$56,"上昇",'日経_F1'!$G$7:$G$56,"&gt;0")</x:f>
        <x:v>8</x:v>
      </x:c>
      <x:c r="J11" s="2" t="n">
        <x:f>COUNTIFS('日経_F1'!$A$7:$A$56,"F1",'日経_F1'!$C$7:$C$56,"デイ",'日経_F1'!$D$7:$D$56,"上昇",'日経_F1'!$G$7:$G$56,"&lt;0")</x:f>
        <x:v>4</x:v>
      </x:c>
      <x:c r="K11" s="2" t="n">
        <x:f>COUNTIFS('日経_F1'!$A$7:$A$56,"F1",'日経_F1'!$C$7:$C$56,"デイ",'日経_F1'!$D$7:$D$56,"上昇",'日経_F1'!$K$7:$K$56,"=0")</x:f>
        <x:v>0</x:v>
      </x:c>
      <x:c r="L11" s="19" t="n">
        <x:f>IF(J11=0,0,-SUMIFS('日経_F1'!$G$7:$G$56,'日経_F1'!$A$7:$A$56,"F1",'日経_F1'!$C$7:$C$56,"デイ",'日経_F1'!$D$7:$D$56,"上昇",'日経_F1'!$G$7:$G$56,"&lt;0")/J11)</x:f>
        <x:v>80630</x:v>
      </x:c>
      <x:c r="M11" s="19" t="n">
        <x:v>98110</x:v>
      </x:c>
      <x:c r="N11" s="19" t="n">
        <x:v>103226</x:v>
      </x:c>
      <x:c r="O11" s="19" t="n">
        <x:v>-4970</x:v>
      </x:c>
      <x:c r="P11" s="22" t="n">
        <x:f>AVERAGEIFS('日経_F1'!$R$7:$R$56,'日経_F1'!$A$7:$A$56,"F1",'日経_F1'!$C$7:$C$56,"デイ",'日経_F1'!$D$7:$D$56,"上昇")</x:f>
        <x:v>0.5293716931216932</x:v>
      </x:c>
      <x:c r="Q11" s="22" t="n">
        <x:f>SUMIFS('日経_F1'!$P$7:$P$56,'日経_F1'!$A$7:$A$56,"F1",'日経_F1'!$C$7:$C$56,"デイ",'日経_F1'!$D$7:$D$56,"上昇")/SUMIFS('日経_F1'!$Q$7:$Q$56,'日経_F1'!$A$7:$A$56,"F1",'日経_F1'!$C$7:$C$56,"デイ",'日経_F1'!$D$7:$D$56,"上昇")</x:f>
        <x:v>0.5293716931216931</x:v>
      </x:c>
      <x:c r="R11" s="23" t="n">
        <x:f>AVERAGEIFS('日経_F1'!$S$7:$S$56,'日経_F1'!$A$7:$A$56,"F1",'日経_F1'!$C$7:$C$56,"デイ",'日経_F1'!$D$7:$D$56,"上昇")</x:f>
        <x:v>2.15796626984127</x:v>
      </x:c>
      <x:c r="S11" s="2" t="n">
        <x:f>SUMIFS('日経_F1'!$K$7:$K$56,'日経_F1'!$A$7:$A$56,"F1",'日経_F1'!$C$7:$C$56,"デイ",'日経_F1'!$D$7:$D$56,"上昇")</x:f>
        <x:v>90</x:v>
      </x:c>
      <x:c r="T11" s="2" t="str">
        <x:v>従来の基準。最大5枚と最大5枚の二担当。</x:v>
      </x:c>
    </x:row>
    <x:row r="12" ht="22" customHeight="1">
      <x:c r="A12" s="2" t="str">
        <x:v>F1</x:v>
      </x:c>
      <x:c r="B12" s="2" t="str">
        <x:v>デイ・下落</x:v>
      </x:c>
      <x:c r="C12" s="2" t="str">
        <x:v>既知開発50場</x:v>
      </x:c>
      <x:c r="D12" s="2" t="n">
        <x:f>COUNTIFS('日経_F1'!$A$7:$A$56,"F1",'日経_F1'!$C$7:$C$56,"デイ",'日経_F1'!$D$7:$D$56,"下落")</x:f>
        <x:v>13</x:v>
      </x:c>
      <x:c r="E12" s="19" t="n">
        <x:f>SUMIFS('日経_F1'!$E$7:$E$56,'日経_F1'!$A$7:$A$56,"F1",'日経_F1'!$C$7:$C$56,"デイ",'日経_F1'!$D$7:$D$56,"下落")</x:f>
        <x:v>2178726</x:v>
      </x:c>
      <x:c r="F12" s="19" t="n">
        <x:f>SUMIFS('日経_F1'!$F$7:$F$56,'日経_F1'!$A$7:$A$56,"F1",'日経_F1'!$C$7:$C$56,"デイ",'日経_F1'!$D$7:$D$56,"下落")</x:f>
        <x:v>1266912</x:v>
      </x:c>
      <x:c r="G12" s="19" t="n">
        <x:f>E12-F12</x:f>
        <x:v>911814</x:v>
      </x:c>
      <x:c r="H12" s="23" t="n">
        <x:f>IF(F12=0,IF(E12=0,"算定不能","損失なし"),E12/F12)</x:f>
        <x:v>1.71971376070319</x:v>
      </x:c>
      <x:c r="I12" s="2" t="n">
        <x:f>COUNTIFS('日経_F1'!$A$7:$A$56,"F1",'日経_F1'!$C$7:$C$56,"デイ",'日経_F1'!$D$7:$D$56,"下落",'日経_F1'!$G$7:$G$56,"&gt;0")</x:f>
        <x:v>8</x:v>
      </x:c>
      <x:c r="J12" s="2" t="n">
        <x:f>COUNTIFS('日経_F1'!$A$7:$A$56,"F1",'日経_F1'!$C$7:$C$56,"デイ",'日経_F1'!$D$7:$D$56,"下落",'日経_F1'!$G$7:$G$56,"&lt;0")</x:f>
        <x:v>5</x:v>
      </x:c>
      <x:c r="K12" s="2" t="n">
        <x:f>COUNTIFS('日経_F1'!$A$7:$A$56,"F1",'日経_F1'!$C$7:$C$56,"デイ",'日経_F1'!$D$7:$D$56,"下落",'日経_F1'!$K$7:$K$56,"=0")</x:f>
        <x:v>0</x:v>
      </x:c>
      <x:c r="L12" s="19" t="n">
        <x:f>IF(J12=0,0,-SUMIFS('日経_F1'!$G$7:$G$56,'日経_F1'!$A$7:$A$56,"F1",'日経_F1'!$C$7:$C$56,"デイ",'日経_F1'!$D$7:$D$56,"下落",'日経_F1'!$G$7:$G$56,"&lt;0")/J12)</x:f>
        <x:v>45796.4</x:v>
      </x:c>
      <x:c r="M12" s="19" t="n">
        <x:v>36920</x:v>
      </x:c>
      <x:c r="N12" s="19" t="n">
        <x:v>106152</x:v>
      </x:c>
      <x:c r="O12" s="19" t="n">
        <x:v>71728</x:v>
      </x:c>
      <x:c r="P12" s="22" t="n">
        <x:f>AVERAGEIFS('日経_F1'!$R$7:$R$56,'日経_F1'!$A$7:$A$56,"F1",'日経_F1'!$C$7:$C$56,"デイ",'日経_F1'!$D$7:$D$56,"下落")</x:f>
        <x:v>0.5346428571428571</x:v>
      </x:c>
      <x:c r="Q12" s="22" t="n">
        <x:f>SUMIFS('日経_F1'!$P$7:$P$56,'日経_F1'!$A$7:$A$56,"F1",'日経_F1'!$C$7:$C$56,"デイ",'日経_F1'!$D$7:$D$56,"下落")/SUMIFS('日経_F1'!$Q$7:$Q$56,'日経_F1'!$A$7:$A$56,"F1",'日経_F1'!$C$7:$C$56,"デイ",'日経_F1'!$D$7:$D$56,"下落")</x:f>
        <x:v>0.5346428571428572</x:v>
      </x:c>
      <x:c r="R12" s="23" t="n">
        <x:f>AVERAGEIFS('日経_F1'!$S$7:$S$56,'日経_F1'!$A$7:$A$56,"F1",'日経_F1'!$C$7:$C$56,"デイ",'日経_F1'!$D$7:$D$56,"下落")</x:f>
        <x:v>2.061904761904762</x:v>
      </x:c>
      <x:c r="S12" s="2" t="n">
        <x:f>SUMIFS('日経_F1'!$K$7:$K$56,'日経_F1'!$A$7:$A$56,"F1",'日経_F1'!$C$7:$C$56,"デイ",'日経_F1'!$D$7:$D$56,"下落")</x:f>
        <x:v>92</x:v>
      </x:c>
      <x:c r="T12" s="2" t="str">
        <x:v>従来の基準。最大5枚と最大5枚の二担当。</x:v>
      </x:c>
    </x:row>
    <x:row r="13" ht="22" customHeight="1">
      <x:c r="A13" s="2" t="str">
        <x:v>F1</x:v>
      </x:c>
      <x:c r="B13" s="2" t="str">
        <x:v>ナイト・上昇</x:v>
      </x:c>
      <x:c r="C13" s="2" t="str">
        <x:v>既知開発50場</x:v>
      </x:c>
      <x:c r="D13" s="2" t="n">
        <x:f>COUNTIFS('日経_F1'!$A$7:$A$56,"F1",'日経_F1'!$C$7:$C$56,"ナイト",'日経_F1'!$D$7:$D$56,"上昇")</x:f>
        <x:v>12</x:v>
      </x:c>
      <x:c r="E13" s="19" t="n">
        <x:f>SUMIFS('日経_F1'!$E$7:$E$56,'日経_F1'!$A$7:$A$56,"F1",'日経_F1'!$C$7:$C$56,"ナイト",'日経_F1'!$D$7:$D$56,"上昇")</x:f>
        <x:v>981787</x:v>
      </x:c>
      <x:c r="F13" s="19" t="n">
        <x:f>SUMIFS('日経_F1'!$F$7:$F$56,'日経_F1'!$A$7:$A$56,"F1",'日経_F1'!$C$7:$C$56,"ナイト",'日経_F1'!$D$7:$D$56,"上昇")</x:f>
        <x:v>609529</x:v>
      </x:c>
      <x:c r="G13" s="19" t="n">
        <x:f>E13-F13</x:f>
        <x:v>372258</x:v>
      </x:c>
      <x:c r="H13" s="23" t="n">
        <x:f>IF(F13=0,IF(E13=0,"算定不能","損失なし"),E13/F13)</x:f>
        <x:v>1.6107305804974004</x:v>
      </x:c>
      <x:c r="I13" s="2" t="n">
        <x:f>COUNTIFS('日経_F1'!$A$7:$A$56,"F1",'日経_F1'!$C$7:$C$56,"ナイト",'日経_F1'!$D$7:$D$56,"上昇",'日経_F1'!$G$7:$G$56,"&gt;0")</x:f>
        <x:v>8</x:v>
      </x:c>
      <x:c r="J13" s="2" t="n">
        <x:f>COUNTIFS('日経_F1'!$A$7:$A$56,"F1",'日経_F1'!$C$7:$C$56,"ナイト",'日経_F1'!$D$7:$D$56,"上昇",'日経_F1'!$G$7:$G$56,"&lt;0")</x:f>
        <x:v>4</x:v>
      </x:c>
      <x:c r="K13" s="2" t="n">
        <x:f>COUNTIFS('日経_F1'!$A$7:$A$56,"F1",'日経_F1'!$C$7:$C$56,"ナイト",'日経_F1'!$D$7:$D$56,"上昇",'日経_F1'!$K$7:$K$56,"=0")</x:f>
        <x:v>0</x:v>
      </x:c>
      <x:c r="L13" s="19" t="n">
        <x:f>IF(J13=0,0,-SUMIFS('日経_F1'!$G$7:$G$56,'日経_F1'!$A$7:$A$56,"F1",'日経_F1'!$C$7:$C$56,"ナイト",'日経_F1'!$D$7:$D$56,"上昇",'日経_F1'!$G$7:$G$56,"&lt;0")/J13)</x:f>
        <x:v>72191.25</x:v>
      </x:c>
      <x:c r="M13" s="19" t="n">
        <x:v>63076</x:v>
      </x:c>
      <x:c r="N13" s="19" t="n">
        <x:v>121461</x:v>
      </x:c>
      <x:c r="O13" s="19" t="n">
        <x:v>-167216</x:v>
      </x:c>
      <x:c r="P13" s="22" t="n">
        <x:f>AVERAGEIFS('日経_F1'!$R$7:$R$56,'日経_F1'!$A$7:$A$56,"F1",'日経_F1'!$C$7:$C$56,"ナイト",'日経_F1'!$D$7:$D$56,"上昇")</x:f>
        <x:v>0.061050925925925925</x:v>
      </x:c>
      <x:c r="Q13" s="22" t="n">
        <x:f>SUMIFS('日経_F1'!$P$7:$P$56,'日経_F1'!$A$7:$A$56,"F1",'日経_F1'!$C$7:$C$56,"ナイト",'日経_F1'!$D$7:$D$56,"上昇")/SUMIFS('日経_F1'!$Q$7:$Q$56,'日経_F1'!$A$7:$A$56,"F1",'日経_F1'!$C$7:$C$56,"ナイト",'日経_F1'!$D$7:$D$56,"上昇")</x:f>
        <x:v>0.061050925925925925</x:v>
      </x:c>
      <x:c r="R13" s="23" t="n">
        <x:f>AVERAGEIFS('日経_F1'!$S$7:$S$56,'日経_F1'!$A$7:$A$56,"F1",'日経_F1'!$C$7:$C$56,"ナイト",'日経_F1'!$D$7:$D$56,"上昇")</x:f>
        <x:v>0.2406736111111111</x:v>
      </x:c>
      <x:c r="S13" s="2" t="n">
        <x:f>SUMIFS('日経_F1'!$K$7:$K$56,'日経_F1'!$A$7:$A$56,"F1",'日経_F1'!$C$7:$C$56,"ナイト",'日経_F1'!$D$7:$D$56,"上昇")</x:f>
        <x:v>48</x:v>
      </x:c>
      <x:c r="T13" s="2" t="str">
        <x:v>従来の基準。最大5枚と最大5枚の二担当。</x:v>
      </x:c>
    </x:row>
    <x:row r="14" ht="22" customHeight="1">
      <x:c r="A14" s="2" t="str">
        <x:v>F1</x:v>
      </x:c>
      <x:c r="B14" s="2" t="str">
        <x:v>ナイト・下落</x:v>
      </x:c>
      <x:c r="C14" s="2" t="str">
        <x:v>既知開発50場</x:v>
      </x:c>
      <x:c r="D14" s="2" t="n">
        <x:f>COUNTIFS('日経_F1'!$A$7:$A$56,"F1",'日経_F1'!$C$7:$C$56,"ナイト",'日経_F1'!$D$7:$D$56,"下落")</x:f>
        <x:v>13</x:v>
      </x:c>
      <x:c r="E14" s="19" t="n">
        <x:f>SUMIFS('日経_F1'!$E$7:$E$56,'日経_F1'!$A$7:$A$56,"F1",'日経_F1'!$C$7:$C$56,"ナイト",'日経_F1'!$D$7:$D$56,"下落")</x:f>
        <x:v>959478</x:v>
      </x:c>
      <x:c r="F14" s="19" t="n">
        <x:f>SUMIFS('日経_F1'!$F$7:$F$56,'日経_F1'!$A$7:$A$56,"F1",'日経_F1'!$C$7:$C$56,"ナイト",'日経_F1'!$D$7:$D$56,"下落")</x:f>
        <x:v>315995</x:v>
      </x:c>
      <x:c r="G14" s="19" t="n">
        <x:f>E14-F14</x:f>
        <x:v>643483</x:v>
      </x:c>
      <x:c r="H14" s="23" t="n">
        <x:f>IF(F14=0,IF(E14=0,"算定不能","損失なし"),E14/F14)</x:f>
        <x:v>3.0363708286523523</x:v>
      </x:c>
      <x:c r="I14" s="2" t="n">
        <x:f>COUNTIFS('日経_F1'!$A$7:$A$56,"F1",'日経_F1'!$C$7:$C$56,"ナイト",'日経_F1'!$D$7:$D$56,"下落",'日経_F1'!$G$7:$G$56,"&gt;0")</x:f>
        <x:v>11</x:v>
      </x:c>
      <x:c r="J14" s="2" t="n">
        <x:f>COUNTIFS('日経_F1'!$A$7:$A$56,"F1",'日経_F1'!$C$7:$C$56,"ナイト",'日経_F1'!$D$7:$D$56,"下落",'日経_F1'!$G$7:$G$56,"&lt;0")</x:f>
        <x:v>2</x:v>
      </x:c>
      <x:c r="K14" s="2" t="n">
        <x:f>COUNTIFS('日経_F1'!$A$7:$A$56,"F1",'日経_F1'!$C$7:$C$56,"ナイト",'日経_F1'!$D$7:$D$56,"下落",'日経_F1'!$K$7:$K$56,"=0")</x:f>
        <x:v>0</x:v>
      </x:c>
      <x:c r="L14" s="19" t="n">
        <x:f>IF(J14=0,0,-SUMIFS('日経_F1'!$G$7:$G$56,'日経_F1'!$A$7:$A$56,"F1",'日経_F1'!$C$7:$C$56,"ナイト",'日経_F1'!$D$7:$D$56,"下落",'日経_F1'!$G$7:$G$56,"&lt;0")/J14)</x:f>
        <x:v>25576</x:v>
      </x:c>
      <x:c r="M14" s="19" t="n">
        <x:v>25576</x:v>
      </x:c>
      <x:c r="N14" s="19" t="n">
        <x:v>40384</x:v>
      </x:c>
      <x:c r="O14" s="19" t="n">
        <x:v>228939</x:v>
      </x:c>
      <x:c r="P14" s="22" t="n">
        <x:f>AVERAGEIFS('日経_F1'!$R$7:$R$56,'日経_F1'!$A$7:$A$56,"F1",'日経_F1'!$C$7:$C$56,"ナイト",'日経_F1'!$D$7:$D$56,"下落")</x:f>
        <x:v>0.04566666666666666</x:v>
      </x:c>
      <x:c r="Q14" s="22" t="n">
        <x:f>SUMIFS('日経_F1'!$P$7:$P$56,'日経_F1'!$A$7:$A$56,"F1",'日経_F1'!$C$7:$C$56,"ナイト",'日経_F1'!$D$7:$D$56,"下落")/SUMIFS('日経_F1'!$Q$7:$Q$56,'日経_F1'!$A$7:$A$56,"F1",'日経_F1'!$C$7:$C$56,"ナイト",'日経_F1'!$D$7:$D$56,"下落")</x:f>
        <x:v>0.04566666666666666</x:v>
      </x:c>
      <x:c r="R14" s="23" t="n">
        <x:f>AVERAGEIFS('日経_F1'!$S$7:$S$56,'日経_F1'!$A$7:$A$56,"F1",'日経_F1'!$C$7:$C$56,"ナイト",'日経_F1'!$D$7:$D$56,"下落")</x:f>
        <x:v>0.19453205128205125</x:v>
      </x:c>
      <x:c r="S14" s="2" t="n">
        <x:f>SUMIFS('日経_F1'!$K$7:$K$56,'日経_F1'!$A$7:$A$56,"F1",'日経_F1'!$C$7:$C$56,"ナイト",'日経_F1'!$D$7:$D$56,"下落")</x:f>
        <x:v>39</x:v>
      </x:c>
      <x:c r="T14" s="2" t="str">
        <x:v>従来の基準。最大5枚と最大5枚の二担当。</x:v>
      </x:c>
    </x:row>
    <x:row r="15" ht="22" customHeight="1">
      <x:c r="A15" s="2" t="str">
        <x:v>TG00</x:v>
      </x:c>
      <x:c r="B15" s="2" t="str">
        <x:v>デイ</x:v>
      </x:c>
      <x:c r="C15" s="2" t="str">
        <x:v>既知開発50場</x:v>
      </x:c>
      <x:c r="D15" s="2" t="n">
        <x:f>COUNTIFS('日経_TG00'!$A$7:$A$56,"TG00",'日経_TG00'!$C$7:$C$56,"デイ")</x:f>
        <x:v>25</x:v>
      </x:c>
      <x:c r="E15" s="19" t="n">
        <x:f>SUMIFS('日経_TG00'!$E$7:$E$56,'日経_TG00'!$A$7:$A$56,"TG00",'日経_TG00'!$C$7:$C$56,"デイ")</x:f>
        <x:v>4834387</x:v>
      </x:c>
      <x:c r="F15" s="19" t="n">
        <x:f>SUMIFS('日経_TG00'!$F$7:$F$56,'日経_TG00'!$A$7:$A$56,"TG00",'日経_TG00'!$C$7:$C$56,"デイ")</x:f>
        <x:v>2703973</x:v>
      </x:c>
      <x:c r="G15" s="19" t="n">
        <x:f>E15-F15</x:f>
        <x:v>2130414</x:v>
      </x:c>
      <x:c r="H15" s="23" t="n">
        <x:f>IF(F15=0,IF(E15=0,"算定不能","損失なし"),E15/F15)</x:f>
        <x:v>1.7878828671735998</x:v>
      </x:c>
      <x:c r="I15" s="2" t="n">
        <x:f>COUNTIFS('日経_TG00'!$A$7:$A$56,"TG00",'日経_TG00'!$C$7:$C$56,"デイ",'日経_TG00'!$G$7:$G$56,"&gt;0")</x:f>
        <x:v>17</x:v>
      </x:c>
      <x:c r="J15" s="2" t="n">
        <x:f>COUNTIFS('日経_TG00'!$A$7:$A$56,"TG00",'日経_TG00'!$C$7:$C$56,"デイ",'日経_TG00'!$G$7:$G$56,"&lt;0")</x:f>
        <x:v>8</x:v>
      </x:c>
      <x:c r="K15" s="2" t="n">
        <x:f>COUNTIFS('日経_TG00'!$A$7:$A$56,"TG00",'日経_TG00'!$C$7:$C$56,"デイ",'日経_TG00'!$K$7:$K$56,"=0")</x:f>
        <x:v>0</x:v>
      </x:c>
      <x:c r="L15" s="19" t="n">
        <x:f>IF(J15=0,0,-SUMIFS('日経_TG00'!$G$7:$G$56,'日経_TG00'!$A$7:$A$56,"TG00",'日経_TG00'!$C$7:$C$56,"デイ",'日経_TG00'!$G$7:$G$56,"&lt;0")/J15)</x:f>
        <x:v>47966.75</x:v>
      </x:c>
      <x:c r="M15" s="19" t="n">
        <x:v>39723.5</x:v>
      </x:c>
      <x:c r="N15" s="19" t="n">
        <x:v>106152</x:v>
      </x:c>
      <x:c r="O15" s="19" t="n">
        <x:v>895476</x:v>
      </x:c>
      <x:c r="P15" s="22" t="n">
        <x:f>AVERAGEIFS('日経_TG00'!$R$7:$R$56,'日経_TG00'!$A$7:$A$56,"TG00",'日経_TG00'!$C$7:$C$56,"デイ")</x:f>
        <x:v>0.5860460317460316</x:v>
      </x:c>
      <x:c r="Q15" s="22" t="n">
        <x:f>SUMIFS('日経_TG00'!$P$7:$P$56,'日経_TG00'!$A$7:$A$56,"TG00",'日経_TG00'!$C$7:$C$56,"デイ")/SUMIFS('日経_TG00'!$Q$7:$Q$56,'日経_TG00'!$A$7:$A$56,"TG00",'日経_TG00'!$C$7:$C$56,"デイ")</x:f>
        <x:v>0.5860460317460316</x:v>
      </x:c>
      <x:c r="R15" s="23" t="n">
        <x:f>AVERAGEIFS('日経_TG00'!$S$7:$S$56,'日経_TG00'!$A$7:$A$56,"TG00",'日経_TG00'!$C$7:$C$56,"デイ")</x:f>
        <x:v>2.1950777777777777</x:v>
      </x:c>
      <x:c r="S15" s="2" t="n">
        <x:f>SUMIFS('日経_TG00'!$K$7:$K$56,'日経_TG00'!$A$7:$A$56,"TG00",'日経_TG00'!$C$7:$C$56,"デイ")</x:f>
        <x:v>230</x:v>
      </x:c>
      <x:c r="T15" s="2" t="str">
        <x:v>残玉化前の比較元。基本5・追加3・別手法2枚。</x:v>
      </x:c>
    </x:row>
    <x:row r="16" ht="22" customHeight="1">
      <x:c r="A16" s="2" t="str">
        <x:v>TG00</x:v>
      </x:c>
      <x:c r="B16" s="2" t="str">
        <x:v>ナイト</x:v>
      </x:c>
      <x:c r="C16" s="2" t="str">
        <x:v>既知開発50場</x:v>
      </x:c>
      <x:c r="D16" s="2" t="n">
        <x:f>COUNTIFS('日経_TG00'!$A$7:$A$56,"TG00",'日経_TG00'!$C$7:$C$56,"ナイト")</x:f>
        <x:v>25</x:v>
      </x:c>
      <x:c r="E16" s="19" t="n">
        <x:f>SUMIFS('日経_TG00'!$E$7:$E$56,'日経_TG00'!$A$7:$A$56,"TG00",'日経_TG00'!$C$7:$C$56,"ナイト")</x:f>
        <x:v>2260763</x:v>
      </x:c>
      <x:c r="F16" s="19" t="n">
        <x:f>SUMIFS('日経_TG00'!$F$7:$F$56,'日経_TG00'!$A$7:$A$56,"TG00",'日経_TG00'!$C$7:$C$56,"ナイト")</x:f>
        <x:v>1006116</x:v>
      </x:c>
      <x:c r="G16" s="19" t="n">
        <x:f>E16-F16</x:f>
        <x:v>1254647</x:v>
      </x:c>
      <x:c r="H16" s="23" t="n">
        <x:f>IF(F16=0,IF(E16=0,"算定不能","損失なし"),E16/F16)</x:f>
        <x:v>2.2470202243081316</x:v>
      </x:c>
      <x:c r="I16" s="2" t="n">
        <x:f>COUNTIFS('日経_TG00'!$A$7:$A$56,"TG00",'日経_TG00'!$C$7:$C$56,"ナイト",'日経_TG00'!$G$7:$G$56,"&gt;0")</x:f>
        <x:v>14</x:v>
      </x:c>
      <x:c r="J16" s="2" t="n">
        <x:f>COUNTIFS('日経_TG00'!$A$7:$A$56,"TG00",'日経_TG00'!$C$7:$C$56,"ナイト",'日経_TG00'!$G$7:$G$56,"&lt;0")</x:f>
        <x:v>11</x:v>
      </x:c>
      <x:c r="K16" s="2" t="n">
        <x:f>COUNTIFS('日経_TG00'!$A$7:$A$56,"TG00",'日経_TG00'!$C$7:$C$56,"ナイト",'日経_TG00'!$K$7:$K$56,"=0")</x:f>
        <x:v>0</x:v>
      </x:c>
      <x:c r="L16" s="19" t="n">
        <x:f>IF(J16=0,0,-SUMIFS('日経_TG00'!$G$7:$G$56,'日経_TG00'!$A$7:$A$56,"TG00",'日経_TG00'!$C$7:$C$56,"ナイト",'日経_TG00'!$G$7:$G$56,"&lt;0")/J16)</x:f>
        <x:v>30031.090909090908</x:v>
      </x:c>
      <x:c r="M16" s="19" t="n">
        <x:v>35687</x:v>
      </x:c>
      <x:c r="N16" s="19" t="n">
        <x:v>53460</x:v>
      </x:c>
      <x:c r="O16" s="19" t="n">
        <x:v>357007</x:v>
      </x:c>
      <x:c r="P16" s="22" t="n">
        <x:f>AVERAGEIFS('日経_TG00'!$R$7:$R$56,'日経_TG00'!$A$7:$A$56,"TG00",'日経_TG00'!$C$7:$C$56,"ナイト")</x:f>
        <x:v>0.13891444444444442</x:v>
      </x:c>
      <x:c r="Q16" s="22" t="n">
        <x:f>SUMIFS('日経_TG00'!$P$7:$P$56,'日経_TG00'!$A$7:$A$56,"TG00",'日経_TG00'!$C$7:$C$56,"ナイト")/SUMIFS('日経_TG00'!$Q$7:$Q$56,'日経_TG00'!$A$7:$A$56,"TG00",'日経_TG00'!$C$7:$C$56,"ナイト")</x:f>
        <x:v>0.13891444444444445</x:v>
      </x:c>
      <x:c r="R16" s="23" t="n">
        <x:f>AVERAGEIFS('日経_TG00'!$S$7:$S$56,'日経_TG00'!$A$7:$A$56,"TG00",'日経_TG00'!$C$7:$C$56,"ナイト")</x:f>
        <x:v>0.36005888888888893</x:v>
      </x:c>
      <x:c r="S16" s="2" t="n">
        <x:f>SUMIFS('日経_TG00'!$K$7:$K$56,'日経_TG00'!$A$7:$A$56,"TG00",'日経_TG00'!$C$7:$C$56,"ナイト")</x:f>
        <x:v>146</x:v>
      </x:c>
      <x:c r="T16" s="2" t="str">
        <x:v>残玉化前の比較元。基本5・追加3・別手法2枚。</x:v>
      </x:c>
    </x:row>
    <x:row r="17" ht="22" customHeight="1">
      <x:c r="A17" s="2" t="str">
        <x:v>TG00</x:v>
      </x:c>
      <x:c r="B17" s="2" t="str">
        <x:v>上昇場</x:v>
      </x:c>
      <x:c r="C17" s="2" t="str">
        <x:v>既知開発50場</x:v>
      </x:c>
      <x:c r="D17" s="2" t="n">
        <x:f>COUNTIFS('日経_TG00'!$A$7:$A$56,"TG00",'日経_TG00'!$D$7:$D$56,"上昇")</x:f>
        <x:v>24</x:v>
      </x:c>
      <x:c r="E17" s="19" t="n">
        <x:f>SUMIFS('日経_TG00'!$E$7:$E$56,'日経_TG00'!$A$7:$A$56,"TG00",'日経_TG00'!$D$7:$D$56,"上昇")</x:f>
        <x:v>3415383</x:v>
      </x:c>
      <x:c r="F17" s="19" t="n">
        <x:f>SUMIFS('日経_TG00'!$F$7:$F$56,'日経_TG00'!$A$7:$A$56,"TG00",'日経_TG00'!$D$7:$D$56,"上昇")</x:f>
        <x:v>1693578</x:v>
      </x:c>
      <x:c r="G17" s="19" t="n">
        <x:f>E17-F17</x:f>
        <x:v>1721805</x:v>
      </x:c>
      <x:c r="H17" s="23" t="n">
        <x:f>IF(F17=0,IF(E17=0,"算定不能","損失なし"),E17/F17)</x:f>
        <x:v>2.016667079992773</x:v>
      </x:c>
      <x:c r="I17" s="2" t="n">
        <x:f>COUNTIFS('日経_TG00'!$A$7:$A$56,"TG00",'日経_TG00'!$D$7:$D$56,"上昇",'日経_TG00'!$G$7:$G$56,"&gt;0")</x:f>
        <x:v>15</x:v>
      </x:c>
      <x:c r="J17" s="2" t="n">
        <x:f>COUNTIFS('日経_TG00'!$A$7:$A$56,"TG00",'日経_TG00'!$D$7:$D$56,"上昇",'日経_TG00'!$G$7:$G$56,"&lt;0")</x:f>
        <x:v>9</x:v>
      </x:c>
      <x:c r="K17" s="2" t="n">
        <x:f>COUNTIFS('日経_TG00'!$A$7:$A$56,"TG00",'日経_TG00'!$D$7:$D$56,"上昇",'日経_TG00'!$K$7:$K$56,"=0")</x:f>
        <x:v>0</x:v>
      </x:c>
      <x:c r="L17" s="19" t="n">
        <x:f>IF(J17=0,0,-SUMIFS('日経_TG00'!$G$7:$G$56,'日経_TG00'!$A$7:$A$56,"TG00",'日経_TG00'!$D$7:$D$56,"上昇",'日経_TG00'!$G$7:$G$56,"&lt;0")/J17)</x:f>
        <x:v>31456.88888888889</x:v>
      </x:c>
      <x:c r="M17" s="19" t="n">
        <x:v>35687</x:v>
      </x:c>
      <x:c r="N17" s="19" t="n">
        <x:v>64916</x:v>
      </x:c>
      <x:c r="O17" s="19" t="n">
        <x:v>608174</x:v>
      </x:c>
      <x:c r="P17" s="22" t="n">
        <x:f>AVERAGEIFS('日経_TG00'!$R$7:$R$56,'日経_TG00'!$A$7:$A$56,"TG00",'日経_TG00'!$D$7:$D$56,"上昇")</x:f>
        <x:v>0.3950666335978836</x:v>
      </x:c>
      <x:c r="Q17" s="22" t="n">
        <x:f>SUMIFS('日経_TG00'!$P$7:$P$56,'日経_TG00'!$A$7:$A$56,"TG00",'日経_TG00'!$D$7:$D$56,"上昇")/SUMIFS('日経_TG00'!$Q$7:$Q$56,'日経_TG00'!$A$7:$A$56,"TG00",'日経_TG00'!$D$7:$D$56,"上昇")</x:f>
        <x:v>0.3583796296296296</x:v>
      </x:c>
      <x:c r="R17" s="23" t="n">
        <x:f>AVERAGEIFS('日経_TG00'!$S$7:$S$56,'日経_TG00'!$A$7:$A$56,"TG00",'日経_TG00'!$D$7:$D$56,"上昇")</x:f>
        <x:v>1.368571759259259</x:v>
      </x:c>
      <x:c r="S17" s="2" t="n">
        <x:f>SUMIFS('日経_TG00'!$K$7:$K$56,'日経_TG00'!$A$7:$A$56,"TG00",'日経_TG00'!$D$7:$D$56,"上昇")</x:f>
        <x:v>192</x:v>
      </x:c>
      <x:c r="T17" s="2" t="str">
        <x:v>残玉化前の比較元。基本5・追加3・別手法2枚。</x:v>
      </x:c>
    </x:row>
    <x:row r="18" ht="22" customHeight="1">
      <x:c r="A18" s="2" t="str">
        <x:v>TG00</x:v>
      </x:c>
      <x:c r="B18" s="2" t="str">
        <x:v>下落場</x:v>
      </x:c>
      <x:c r="C18" s="2" t="str">
        <x:v>既知開発50場</x:v>
      </x:c>
      <x:c r="D18" s="2" t="n">
        <x:f>COUNTIFS('日経_TG00'!$A$7:$A$56,"TG00",'日経_TG00'!$D$7:$D$56,"下落")</x:f>
        <x:v>26</x:v>
      </x:c>
      <x:c r="E18" s="19" t="n">
        <x:f>SUMIFS('日経_TG00'!$E$7:$E$56,'日経_TG00'!$A$7:$A$56,"TG00",'日経_TG00'!$D$7:$D$56,"下落")</x:f>
        <x:v>3679767</x:v>
      </x:c>
      <x:c r="F18" s="19" t="n">
        <x:f>SUMIFS('日経_TG00'!$F$7:$F$56,'日経_TG00'!$A$7:$A$56,"TG00",'日経_TG00'!$D$7:$D$56,"下落")</x:f>
        <x:v>2016511</x:v>
      </x:c>
      <x:c r="G18" s="19" t="n">
        <x:f>E18-F18</x:f>
        <x:v>1663256</x:v>
      </x:c>
      <x:c r="H18" s="23" t="n">
        <x:f>IF(F18=0,IF(E18=0,"算定不能","損失なし"),E18/F18)</x:f>
        <x:v>1.82481870914664</x:v>
      </x:c>
      <x:c r="I18" s="2" t="n">
        <x:f>COUNTIFS('日経_TG00'!$A$7:$A$56,"TG00",'日経_TG00'!$D$7:$D$56,"下落",'日経_TG00'!$G$7:$G$56,"&gt;0")</x:f>
        <x:v>16</x:v>
      </x:c>
      <x:c r="J18" s="2" t="n">
        <x:f>COUNTIFS('日経_TG00'!$A$7:$A$56,"TG00",'日経_TG00'!$D$7:$D$56,"下落",'日経_TG00'!$G$7:$G$56,"&lt;0")</x:f>
        <x:v>10</x:v>
      </x:c>
      <x:c r="K18" s="2" t="n">
        <x:f>COUNTIFS('日経_TG00'!$A$7:$A$56,"TG00",'日経_TG00'!$D$7:$D$56,"下落",'日経_TG00'!$K$7:$K$56,"=0")</x:f>
        <x:v>0</x:v>
      </x:c>
      <x:c r="L18" s="19" t="n">
        <x:f>IF(J18=0,0,-SUMIFS('日経_TG00'!$G$7:$G$56,'日経_TG00'!$A$7:$A$56,"TG00",'日経_TG00'!$D$7:$D$56,"下落",'日経_TG00'!$G$7:$G$56,"&lt;0")/J18)</x:f>
        <x:v>43096.4</x:v>
      </x:c>
      <x:c r="M18" s="19" t="n">
        <x:v>37959</x:v>
      </x:c>
      <x:c r="N18" s="19" t="n">
        <x:v>106152</x:v>
      </x:c>
      <x:c r="O18" s="19" t="n">
        <x:v>584468</x:v>
      </x:c>
      <x:c r="P18" s="22" t="n">
        <x:f>AVERAGEIFS('日経_TG00'!$R$7:$R$56,'日経_TG00'!$A$7:$A$56,"TG00",'日経_TG00'!$D$7:$D$56,"下落")</x:f>
        <x:v>0.3324004884004884</x:v>
      </x:c>
      <x:c r="Q18" s="22" t="n">
        <x:f>SUMIFS('日経_TG00'!$P$7:$P$56,'日経_TG00'!$A$7:$A$56,"TG00",'日経_TG00'!$D$7:$D$56,"下落")/SUMIFS('日経_TG00'!$Q$7:$Q$56,'日経_TG00'!$A$7:$A$56,"TG00",'日経_TG00'!$D$7:$D$56,"下落")</x:f>
        <x:v>0.2903946706887884</x:v>
      </x:c>
      <x:c r="R18" s="23" t="n">
        <x:f>AVERAGEIFS('日経_TG00'!$S$7:$S$56,'日経_TG00'!$A$7:$A$56,"TG00",'日経_TG00'!$D$7:$D$56,"下落")</x:f>
        <x:v>1.1935651709401711</x:v>
      </x:c>
      <x:c r="S18" s="2" t="n">
        <x:f>SUMIFS('日経_TG00'!$K$7:$K$56,'日経_TG00'!$A$7:$A$56,"TG00",'日経_TG00'!$D$7:$D$56,"下落")</x:f>
        <x:v>184</x:v>
      </x:c>
      <x:c r="T18" s="2" t="str">
        <x:v>残玉化前の比較元。基本5・追加3・別手法2枚。</x:v>
      </x:c>
    </x:row>
    <x:row r="19" ht="22" customHeight="1">
      <x:c r="A19" s="2" t="str">
        <x:v>TG00</x:v>
      </x:c>
      <x:c r="B19" s="2" t="str">
        <x:v>デイ・上昇</x:v>
      </x:c>
      <x:c r="C19" s="2" t="str">
        <x:v>既知開発50場</x:v>
      </x:c>
      <x:c r="D19" s="2" t="n">
        <x:f>COUNTIFS('日経_TG00'!$A$7:$A$56,"TG00",'日経_TG00'!$C$7:$C$56,"デイ",'日経_TG00'!$D$7:$D$56,"上昇")</x:f>
        <x:v>12</x:v>
      </x:c>
      <x:c r="E19" s="19" t="n">
        <x:f>SUMIFS('日経_TG00'!$E$7:$E$56,'日経_TG00'!$A$7:$A$56,"TG00",'日経_TG00'!$C$7:$C$56,"デイ",'日経_TG00'!$D$7:$D$56,"上昇")</x:f>
        <x:v>2131112</x:v>
      </x:c>
      <x:c r="F19" s="19" t="n">
        <x:f>SUMIFS('日経_TG00'!$F$7:$F$56,'日経_TG00'!$A$7:$A$56,"TG00",'日経_TG00'!$C$7:$C$56,"デイ",'日経_TG00'!$D$7:$D$56,"上昇")</x:f>
        <x:v>1126447</x:v>
      </x:c>
      <x:c r="G19" s="19" t="n">
        <x:f>E19-F19</x:f>
        <x:v>1004665</x:v>
      </x:c>
      <x:c r="H19" s="23" t="n">
        <x:f>IF(F19=0,IF(E19=0,"算定不能","損失なし"),E19/F19)</x:f>
        <x:v>1.8918883888900233</x:v>
      </x:c>
      <x:c r="I19" s="2" t="n">
        <x:f>COUNTIFS('日経_TG00'!$A$7:$A$56,"TG00",'日経_TG00'!$C$7:$C$56,"デイ",'日経_TG00'!$D$7:$D$56,"上昇",'日経_TG00'!$G$7:$G$56,"&gt;0")</x:f>
        <x:v>9</x:v>
      </x:c>
      <x:c r="J19" s="2" t="n">
        <x:f>COUNTIFS('日経_TG00'!$A$7:$A$56,"TG00",'日経_TG00'!$C$7:$C$56,"デイ",'日経_TG00'!$D$7:$D$56,"上昇",'日経_TG00'!$G$7:$G$56,"&lt;0")</x:f>
        <x:v>3</x:v>
      </x:c>
      <x:c r="K19" s="2" t="n">
        <x:f>COUNTIFS('日経_TG00'!$A$7:$A$56,"TG00",'日経_TG00'!$C$7:$C$56,"デイ",'日経_TG00'!$D$7:$D$56,"上昇",'日経_TG00'!$K$7:$K$56,"=0")</x:f>
        <x:v>0</x:v>
      </x:c>
      <x:c r="L19" s="19" t="n">
        <x:f>IF(J19=0,0,-SUMIFS('日経_TG00'!$G$7:$G$56,'日経_TG00'!$A$7:$A$56,"TG00",'日経_TG00'!$C$7:$C$56,"デイ",'日経_TG00'!$D$7:$D$56,"上昇",'日経_TG00'!$G$7:$G$56,"&lt;0")/J19)</x:f>
        <x:v>42890.666666666664</x:v>
      </x:c>
      <x:c r="M19" s="19" t="n">
        <x:v>37453</x:v>
      </x:c>
      <x:c r="N19" s="19" t="n">
        <x:v>64916</x:v>
      </x:c>
      <x:c r="O19" s="19" t="n">
        <x:v>274734</x:v>
      </x:c>
      <x:c r="P19" s="22" t="n">
        <x:f>AVERAGEIFS('日経_TG00'!$R$7:$R$56,'日経_TG00'!$A$7:$A$56,"TG00",'日経_TG00'!$C$7:$C$56,"デイ",'日経_TG00'!$D$7:$D$56,"上昇")</x:f>
        <x:v>0.6029596560846561</x:v>
      </x:c>
      <x:c r="Q19" s="22" t="n">
        <x:f>SUMIFS('日経_TG00'!$P$7:$P$56,'日経_TG00'!$A$7:$A$56,"TG00",'日経_TG00'!$C$7:$C$56,"デイ",'日経_TG00'!$D$7:$D$56,"上昇")/SUMIFS('日経_TG00'!$Q$7:$Q$56,'日経_TG00'!$A$7:$A$56,"TG00",'日経_TG00'!$C$7:$C$56,"デイ",'日経_TG00'!$D$7:$D$56,"上昇")</x:f>
        <x:v>0.6029596560846562</x:v>
      </x:c>
      <x:c r="R19" s="23" t="n">
        <x:f>AVERAGEIFS('日経_TG00'!$S$7:$S$56,'日経_TG00'!$A$7:$A$56,"TG00",'日経_TG00'!$C$7:$C$56,"デイ",'日経_TG00'!$D$7:$D$56,"上昇")</x:f>
        <x:v>2.2676157407407405</x:v>
      </x:c>
      <x:c r="S19" s="2" t="n">
        <x:f>SUMIFS('日経_TG00'!$K$7:$K$56,'日経_TG00'!$A$7:$A$56,"TG00",'日経_TG00'!$C$7:$C$56,"デイ",'日経_TG00'!$D$7:$D$56,"上昇")</x:f>
        <x:v>108</x:v>
      </x:c>
      <x:c r="T19" s="2" t="str">
        <x:v>残玉化前の比較元。基本5・追加3・別手法2枚。</x:v>
      </x:c>
    </x:row>
    <x:row r="20" ht="22" customHeight="1">
      <x:c r="A20" s="2" t="str">
        <x:v>TG00</x:v>
      </x:c>
      <x:c r="B20" s="2" t="str">
        <x:v>デイ・下落</x:v>
      </x:c>
      <x:c r="C20" s="2" t="str">
        <x:v>既知開発50場</x:v>
      </x:c>
      <x:c r="D20" s="2" t="n">
        <x:f>COUNTIFS('日経_TG00'!$A$7:$A$56,"TG00",'日経_TG00'!$C$7:$C$56,"デイ",'日経_TG00'!$D$7:$D$56,"下落")</x:f>
        <x:v>13</x:v>
      </x:c>
      <x:c r="E20" s="19" t="n">
        <x:f>SUMIFS('日経_TG00'!$E$7:$E$56,'日経_TG00'!$A$7:$A$56,"TG00",'日経_TG00'!$C$7:$C$56,"デイ",'日経_TG00'!$D$7:$D$56,"下落")</x:f>
        <x:v>2703275</x:v>
      </x:c>
      <x:c r="F20" s="19" t="n">
        <x:f>SUMIFS('日経_TG00'!$F$7:$F$56,'日経_TG00'!$A$7:$A$56,"TG00",'日経_TG00'!$C$7:$C$56,"デイ",'日経_TG00'!$D$7:$D$56,"下落")</x:f>
        <x:v>1577526</x:v>
      </x:c>
      <x:c r="G20" s="19" t="n">
        <x:f>E20-F20</x:f>
        <x:v>1125749</x:v>
      </x:c>
      <x:c r="H20" s="23" t="n">
        <x:f>IF(F20=0,IF(E20=0,"算定不能","損失なし"),E20/F20)</x:f>
        <x:v>1.7136167644780498</x:v>
      </x:c>
      <x:c r="I20" s="2" t="n">
        <x:f>COUNTIFS('日経_TG00'!$A$7:$A$56,"TG00",'日経_TG00'!$C$7:$C$56,"デイ",'日経_TG00'!$D$7:$D$56,"下落",'日経_TG00'!$G$7:$G$56,"&gt;0")</x:f>
        <x:v>8</x:v>
      </x:c>
      <x:c r="J20" s="2" t="n">
        <x:f>COUNTIFS('日経_TG00'!$A$7:$A$56,"TG00",'日経_TG00'!$C$7:$C$56,"デイ",'日経_TG00'!$D$7:$D$56,"下落",'日経_TG00'!$G$7:$G$56,"&lt;0")</x:f>
        <x:v>5</x:v>
      </x:c>
      <x:c r="K20" s="2" t="n">
        <x:f>COUNTIFS('日経_TG00'!$A$7:$A$56,"TG00",'日経_TG00'!$C$7:$C$56,"デイ",'日経_TG00'!$D$7:$D$56,"下落",'日経_TG00'!$K$7:$K$56,"=0")</x:f>
        <x:v>0</x:v>
      </x:c>
      <x:c r="L20" s="19" t="n">
        <x:f>IF(J20=0,0,-SUMIFS('日経_TG00'!$G$7:$G$56,'日経_TG00'!$A$7:$A$56,"TG00",'日経_TG00'!$C$7:$C$56,"デイ",'日経_TG00'!$D$7:$D$56,"下落",'日経_TG00'!$G$7:$G$56,"&lt;0")/J20)</x:f>
        <x:v>51012.4</x:v>
      </x:c>
      <x:c r="M20" s="19" t="n">
        <x:v>41994</x:v>
      </x:c>
      <x:c r="N20" s="19" t="n">
        <x:v>106152</x:v>
      </x:c>
      <x:c r="O20" s="19" t="n">
        <x:v>67270</x:v>
      </x:c>
      <x:c r="P20" s="22" t="n">
        <x:f>AVERAGEIFS('日経_TG00'!$R$7:$R$56,'日経_TG00'!$A$7:$A$56,"TG00",'日経_TG00'!$C$7:$C$56,"デイ",'日経_TG00'!$D$7:$D$56,"下落")</x:f>
        <x:v>0.5704334554334554</x:v>
      </x:c>
      <x:c r="Q20" s="22" t="n">
        <x:f>SUMIFS('日経_TG00'!$P$7:$P$56,'日経_TG00'!$A$7:$A$56,"TG00",'日経_TG00'!$C$7:$C$56,"デイ",'日経_TG00'!$D$7:$D$56,"下落")/SUMIFS('日経_TG00'!$Q$7:$Q$56,'日経_TG00'!$A$7:$A$56,"TG00",'日経_TG00'!$C$7:$C$56,"デイ",'日経_TG00'!$D$7:$D$56,"下落")</x:f>
        <x:v>0.5704334554334554</x:v>
      </x:c>
      <x:c r="R20" s="23" t="n">
        <x:f>AVERAGEIFS('日経_TG00'!$S$7:$S$56,'日経_TG00'!$A$7:$A$56,"TG00",'日経_TG00'!$C$7:$C$56,"デイ",'日経_TG00'!$D$7:$D$56,"下落")</x:f>
        <x:v>2.128119658119658</x:v>
      </x:c>
      <x:c r="S20" s="2" t="n">
        <x:f>SUMIFS('日経_TG00'!$K$7:$K$56,'日経_TG00'!$A$7:$A$56,"TG00",'日経_TG00'!$C$7:$C$56,"デイ",'日経_TG00'!$D$7:$D$56,"下落")</x:f>
        <x:v>122</x:v>
      </x:c>
      <x:c r="T20" s="2" t="str">
        <x:v>残玉化前の比較元。基本5・追加3・別手法2枚。</x:v>
      </x:c>
    </x:row>
    <x:row r="21" ht="22" customHeight="1">
      <x:c r="A21" s="2" t="str">
        <x:v>TG00</x:v>
      </x:c>
      <x:c r="B21" s="2" t="str">
        <x:v>ナイト・上昇</x:v>
      </x:c>
      <x:c r="C21" s="2" t="str">
        <x:v>既知開発50場</x:v>
      </x:c>
      <x:c r="D21" s="2" t="n">
        <x:f>COUNTIFS('日経_TG00'!$A$7:$A$56,"TG00",'日経_TG00'!$C$7:$C$56,"ナイト",'日経_TG00'!$D$7:$D$56,"上昇")</x:f>
        <x:v>12</x:v>
      </x:c>
      <x:c r="E21" s="19" t="n">
        <x:f>SUMIFS('日経_TG00'!$E$7:$E$56,'日経_TG00'!$A$7:$A$56,"TG00",'日経_TG00'!$C$7:$C$56,"ナイト",'日経_TG00'!$D$7:$D$56,"上昇")</x:f>
        <x:v>1284271</x:v>
      </x:c>
      <x:c r="F21" s="19" t="n">
        <x:f>SUMIFS('日経_TG00'!$F$7:$F$56,'日経_TG00'!$A$7:$A$56,"TG00",'日経_TG00'!$C$7:$C$56,"ナイト",'日経_TG00'!$D$7:$D$56,"上昇")</x:f>
        <x:v>567131</x:v>
      </x:c>
      <x:c r="G21" s="19" t="n">
        <x:f>E21-F21</x:f>
        <x:v>717140</x:v>
      </x:c>
      <x:c r="H21" s="23" t="n">
        <x:f>IF(F21=0,IF(E21=0,"算定不能","損失なし"),E21/F21)</x:f>
        <x:v>2.2645050261756103</x:v>
      </x:c>
      <x:c r="I21" s="2" t="n">
        <x:f>COUNTIFS('日経_TG00'!$A$7:$A$56,"TG00",'日経_TG00'!$C$7:$C$56,"ナイト",'日経_TG00'!$D$7:$D$56,"上昇",'日経_TG00'!$G$7:$G$56,"&gt;0")</x:f>
        <x:v>6</x:v>
      </x:c>
      <x:c r="J21" s="2" t="n">
        <x:f>COUNTIFS('日経_TG00'!$A$7:$A$56,"TG00",'日経_TG00'!$C$7:$C$56,"ナイト",'日経_TG00'!$D$7:$D$56,"上昇",'日経_TG00'!$G$7:$G$56,"&lt;0")</x:f>
        <x:v>6</x:v>
      </x:c>
      <x:c r="K21" s="2" t="n">
        <x:f>COUNTIFS('日経_TG00'!$A$7:$A$56,"TG00",'日経_TG00'!$C$7:$C$56,"ナイト",'日経_TG00'!$D$7:$D$56,"上昇",'日経_TG00'!$K$7:$K$56,"=0")</x:f>
        <x:v>0</x:v>
      </x:c>
      <x:c r="L21" s="19" t="n">
        <x:f>IF(J21=0,0,-SUMIFS('日経_TG00'!$G$7:$G$56,'日経_TG00'!$A$7:$A$56,"TG00",'日経_TG00'!$C$7:$C$56,"ナイト",'日経_TG00'!$D$7:$D$56,"上昇",'日経_TG00'!$G$7:$G$56,"&lt;0")/J21)</x:f>
        <x:v>25740</x:v>
      </x:c>
      <x:c r="M21" s="19" t="n">
        <x:v>26995.5</x:v>
      </x:c>
      <x:c r="N21" s="19" t="n">
        <x:v>53460</x:v>
      </x:c>
      <x:c r="O21" s="19" t="n">
        <x:v>-57655</x:v>
      </x:c>
      <x:c r="P21" s="22" t="n">
        <x:f>AVERAGEIFS('日経_TG00'!$R$7:$R$56,'日経_TG00'!$A$7:$A$56,"TG00",'日経_TG00'!$C$7:$C$56,"ナイト",'日経_TG00'!$D$7:$D$56,"上昇")</x:f>
        <x:v>0.1871736111111111</x:v>
      </x:c>
      <x:c r="Q21" s="22" t="n">
        <x:f>SUMIFS('日経_TG00'!$P$7:$P$56,'日経_TG00'!$A$7:$A$56,"TG00",'日経_TG00'!$C$7:$C$56,"ナイト",'日経_TG00'!$D$7:$D$56,"上昇")/SUMIFS('日経_TG00'!$Q$7:$Q$56,'日経_TG00'!$A$7:$A$56,"TG00",'日経_TG00'!$C$7:$C$56,"ナイト",'日経_TG00'!$D$7:$D$56,"上昇")</x:f>
        <x:v>0.1871736111111111</x:v>
      </x:c>
      <x:c r="R21" s="23" t="n">
        <x:f>AVERAGEIFS('日経_TG00'!$S$7:$S$56,'日経_TG00'!$A$7:$A$56,"TG00",'日経_TG00'!$C$7:$C$56,"ナイト",'日経_TG00'!$D$7:$D$56,"上昇")</x:f>
        <x:v>0.46952777777777777</x:v>
      </x:c>
      <x:c r="S21" s="2" t="n">
        <x:f>SUMIFS('日経_TG00'!$K$7:$K$56,'日経_TG00'!$A$7:$A$56,"TG00",'日経_TG00'!$C$7:$C$56,"ナイト",'日経_TG00'!$D$7:$D$56,"上昇")</x:f>
        <x:v>84</x:v>
      </x:c>
      <x:c r="T21" s="2" t="str">
        <x:v>残玉化前の比較元。基本5・追加3・別手法2枚。</x:v>
      </x:c>
    </x:row>
    <x:row r="22" ht="22" customHeight="1">
      <x:c r="A22" s="2" t="str">
        <x:v>TG00</x:v>
      </x:c>
      <x:c r="B22" s="2" t="str">
        <x:v>ナイト・下落</x:v>
      </x:c>
      <x:c r="C22" s="2" t="str">
        <x:v>既知開発50場</x:v>
      </x:c>
      <x:c r="D22" s="2" t="n">
        <x:f>COUNTIFS('日経_TG00'!$A$7:$A$56,"TG00",'日経_TG00'!$C$7:$C$56,"ナイト",'日経_TG00'!$D$7:$D$56,"下落")</x:f>
        <x:v>13</x:v>
      </x:c>
      <x:c r="E22" s="19" t="n">
        <x:f>SUMIFS('日経_TG00'!$E$7:$E$56,'日経_TG00'!$A$7:$A$56,"TG00",'日経_TG00'!$C$7:$C$56,"ナイト",'日経_TG00'!$D$7:$D$56,"下落")</x:f>
        <x:v>976492</x:v>
      </x:c>
      <x:c r="F22" s="19" t="n">
        <x:f>SUMIFS('日経_TG00'!$F$7:$F$56,'日経_TG00'!$A$7:$A$56,"TG00",'日経_TG00'!$C$7:$C$56,"ナイト",'日経_TG00'!$D$7:$D$56,"下落")</x:f>
        <x:v>438985</x:v>
      </x:c>
      <x:c r="G22" s="19" t="n">
        <x:f>E22-F22</x:f>
        <x:v>537507</x:v>
      </x:c>
      <x:c r="H22" s="23" t="n">
        <x:f>IF(F22=0,IF(E22=0,"算定不能","損失なし"),E22/F22)</x:f>
        <x:v>2.2244313587024616</x:v>
      </x:c>
      <x:c r="I22" s="2" t="n">
        <x:f>COUNTIFS('日経_TG00'!$A$7:$A$56,"TG00",'日経_TG00'!$C$7:$C$56,"ナイト",'日経_TG00'!$D$7:$D$56,"下落",'日経_TG00'!$G$7:$G$56,"&gt;0")</x:f>
        <x:v>8</x:v>
      </x:c>
      <x:c r="J22" s="2" t="n">
        <x:f>COUNTIFS('日経_TG00'!$A$7:$A$56,"TG00",'日経_TG00'!$C$7:$C$56,"ナイト",'日経_TG00'!$D$7:$D$56,"下落",'日経_TG00'!$G$7:$G$56,"&lt;0")</x:f>
        <x:v>5</x:v>
      </x:c>
      <x:c r="K22" s="2" t="n">
        <x:f>COUNTIFS('日経_TG00'!$A$7:$A$56,"TG00",'日経_TG00'!$C$7:$C$56,"ナイト",'日経_TG00'!$D$7:$D$56,"下落",'日経_TG00'!$K$7:$K$56,"=0")</x:f>
        <x:v>0</x:v>
      </x:c>
      <x:c r="L22" s="19" t="n">
        <x:f>IF(J22=0,0,-SUMIFS('日経_TG00'!$G$7:$G$56,'日経_TG00'!$A$7:$A$56,"TG00",'日経_TG00'!$C$7:$C$56,"ナイト",'日経_TG00'!$D$7:$D$56,"下落",'日経_TG00'!$G$7:$G$56,"&lt;0")/J22)</x:f>
        <x:v>35180.4</x:v>
      </x:c>
      <x:c r="M22" s="19" t="n">
        <x:v>36536</x:v>
      </x:c>
      <x:c r="N22" s="19" t="n">
        <x:v>43304</x:v>
      </x:c>
      <x:c r="O22" s="19" t="n">
        <x:v>94876</x:v>
      </x:c>
      <x:c r="P22" s="22" t="n">
        <x:f>AVERAGEIFS('日経_TG00'!$R$7:$R$56,'日経_TG00'!$A$7:$A$56,"TG00",'日経_TG00'!$C$7:$C$56,"ナイト",'日経_TG00'!$D$7:$D$56,"下落")</x:f>
        <x:v>0.09436752136752137</x:v>
      </x:c>
      <x:c r="Q22" s="22" t="n">
        <x:f>SUMIFS('日経_TG00'!$P$7:$P$56,'日経_TG00'!$A$7:$A$56,"TG00",'日経_TG00'!$C$7:$C$56,"ナイト",'日経_TG00'!$D$7:$D$56,"下落")/SUMIFS('日経_TG00'!$Q$7:$Q$56,'日経_TG00'!$A$7:$A$56,"TG00",'日経_TG00'!$C$7:$C$56,"ナイト",'日経_TG00'!$D$7:$D$56,"下落")</x:f>
        <x:v>0.09436752136752137</x:v>
      </x:c>
      <x:c r="R22" s="23" t="n">
        <x:f>AVERAGEIFS('日経_TG00'!$S$7:$S$56,'日経_TG00'!$A$7:$A$56,"TG00",'日経_TG00'!$C$7:$C$56,"ナイト",'日経_TG00'!$D$7:$D$56,"下落")</x:f>
        <x:v>0.25901068376068376</x:v>
      </x:c>
      <x:c r="S22" s="2" t="n">
        <x:f>SUMIFS('日経_TG00'!$K$7:$K$56,'日経_TG00'!$A$7:$A$56,"TG00",'日経_TG00'!$C$7:$C$56,"ナイト",'日経_TG00'!$D$7:$D$56,"下落")</x:f>
        <x:v>62</x:v>
      </x:c>
      <x:c r="T22" s="2" t="str">
        <x:v>残玉化前の比較元。基本5・追加3・別手法2枚。</x:v>
      </x:c>
    </x:row>
    <x:row r="23" ht="22" customHeight="1">
      <x:c r="A23" s="2" t="str">
        <x:v>TG04</x:v>
      </x:c>
      <x:c r="B23" s="2" t="str">
        <x:v>デイ</x:v>
      </x:c>
      <x:c r="C23" s="2" t="str">
        <x:v>既知開発50場</x:v>
      </x:c>
      <x:c r="D23" s="2" t="n">
        <x:f>COUNTIFS('日経_TG04'!$A$7:$A$56,"TG04",'日経_TG04'!$C$7:$C$56,"デイ")</x:f>
        <x:v>25</x:v>
      </x:c>
      <x:c r="E23" s="19" t="n">
        <x:f>SUMIFS('日経_TG04'!$E$7:$E$56,'日経_TG04'!$A$7:$A$56,"TG04",'日経_TG04'!$C$7:$C$56,"デイ")</x:f>
        <x:v>4911369</x:v>
      </x:c>
      <x:c r="F23" s="19" t="n">
        <x:f>SUMIFS('日経_TG04'!$F$7:$F$56,'日経_TG04'!$A$7:$A$56,"TG04",'日経_TG04'!$C$7:$C$56,"デイ")</x:f>
        <x:v>2454890</x:v>
      </x:c>
      <x:c r="G23" s="19" t="n">
        <x:f>E23-F23</x:f>
        <x:v>2456479</x:v>
      </x:c>
      <x:c r="H23" s="23" t="n">
        <x:f>IF(F23=0,IF(E23=0,"算定不能","損失なし"),E23/F23)</x:f>
        <x:v>2.000647279511506</x:v>
      </x:c>
      <x:c r="I23" s="2" t="n">
        <x:f>COUNTIFS('日経_TG04'!$A$7:$A$56,"TG04",'日経_TG04'!$C$7:$C$56,"デイ",'日経_TG04'!$G$7:$G$56,"&gt;0")</x:f>
        <x:v>17</x:v>
      </x:c>
      <x:c r="J23" s="2" t="n">
        <x:f>COUNTIFS('日経_TG04'!$A$7:$A$56,"TG04",'日経_TG04'!$C$7:$C$56,"デイ",'日経_TG04'!$G$7:$G$56,"&lt;0")</x:f>
        <x:v>8</x:v>
      </x:c>
      <x:c r="K23" s="2" t="n">
        <x:f>COUNTIFS('日経_TG04'!$A$7:$A$56,"TG04",'日経_TG04'!$C$7:$C$56,"デイ",'日経_TG04'!$K$7:$K$56,"=0")</x:f>
        <x:v>0</x:v>
      </x:c>
      <x:c r="L23" s="19" t="n">
        <x:f>IF(J23=0,0,-SUMIFS('日経_TG04'!$G$7:$G$56,'日経_TG04'!$A$7:$A$56,"TG04",'日経_TG04'!$C$7:$C$56,"デイ",'日経_TG04'!$G$7:$G$56,"&lt;0")/J23)</x:f>
        <x:v>57688.125</x:v>
      </x:c>
      <x:c r="M23" s="19" t="n">
        <x:v>58840.5</x:v>
      </x:c>
      <x:c r="N23" s="19" t="n">
        <x:v>106152</x:v>
      </x:c>
      <x:c r="O23" s="19" t="n">
        <x:v>963544</x:v>
      </x:c>
      <x:c r="P23" s="22" t="n">
        <x:f>AVERAGEIFS('日経_TG04'!$R$7:$R$56,'日経_TG04'!$A$7:$A$56,"TG04",'日経_TG04'!$C$7:$C$56,"デイ")</x:f>
        <x:v>0.7063174603174605</x:v>
      </x:c>
      <x:c r="Q23" s="22" t="n">
        <x:f>SUMIFS('日経_TG04'!$P$7:$P$56,'日経_TG04'!$A$7:$A$56,"TG04",'日経_TG04'!$C$7:$C$56,"デイ")/SUMIFS('日経_TG04'!$Q$7:$Q$56,'日経_TG04'!$A$7:$A$56,"TG04",'日経_TG04'!$C$7:$C$56,"デイ")</x:f>
        <x:v>0.7063174603174602</x:v>
      </x:c>
      <x:c r="R23" s="23" t="n">
        <x:f>AVERAGEIFS('日経_TG04'!$S$7:$S$56,'日経_TG04'!$A$7:$A$56,"TG04",'日経_TG04'!$C$7:$C$56,"デイ")</x:f>
        <x:v>2.5214809523809523</x:v>
      </x:c>
      <x:c r="S23" s="2" t="n">
        <x:f>SUMIFS('日経_TG04'!$K$7:$K$56,'日経_TG04'!$A$7:$A$56,"TG04",'日経_TG04'!$C$7:$C$56,"デイ")</x:f>
        <x:v>201</x:v>
      </x:c>
      <x:c r="T23" s="2" t="str">
        <x:v>第一候補。5＋3＋2枚。利確後の実現利益を予算に一枚を3R追尾。</x:v>
      </x:c>
    </x:row>
    <x:row r="24" ht="22" customHeight="1">
      <x:c r="A24" s="2" t="str">
        <x:v>TG04</x:v>
      </x:c>
      <x:c r="B24" s="2" t="str">
        <x:v>ナイト</x:v>
      </x:c>
      <x:c r="C24" s="2" t="str">
        <x:v>既知開発50場</x:v>
      </x:c>
      <x:c r="D24" s="2" t="n">
        <x:f>COUNTIFS('日経_TG04'!$A$7:$A$56,"TG04",'日経_TG04'!$C$7:$C$56,"ナイト")</x:f>
        <x:v>25</x:v>
      </x:c>
      <x:c r="E24" s="19" t="n">
        <x:f>SUMIFS('日経_TG04'!$E$7:$E$56,'日経_TG04'!$A$7:$A$56,"TG04",'日経_TG04'!$C$7:$C$56,"ナイト")</x:f>
        <x:v>2185447</x:v>
      </x:c>
      <x:c r="F24" s="19" t="n">
        <x:f>SUMIFS('日経_TG04'!$F$7:$F$56,'日経_TG04'!$A$7:$A$56,"TG04",'日経_TG04'!$C$7:$C$56,"ナイト")</x:f>
        <x:v>901962</x:v>
      </x:c>
      <x:c r="G24" s="19" t="n">
        <x:f>E24-F24</x:f>
        <x:v>1283485</x:v>
      </x:c>
      <x:c r="H24" s="23" t="n">
        <x:f>IF(F24=0,IF(E24=0,"算定不能","損失なし"),E24/F24)</x:f>
        <x:v>2.4229923211842626</x:v>
      </x:c>
      <x:c r="I24" s="2" t="n">
        <x:f>COUNTIFS('日経_TG04'!$A$7:$A$56,"TG04",'日経_TG04'!$C$7:$C$56,"ナイト",'日経_TG04'!$G$7:$G$56,"&gt;0")</x:f>
        <x:v>15</x:v>
      </x:c>
      <x:c r="J24" s="2" t="n">
        <x:f>COUNTIFS('日経_TG04'!$A$7:$A$56,"TG04",'日経_TG04'!$C$7:$C$56,"ナイト",'日経_TG04'!$G$7:$G$56,"&lt;0")</x:f>
        <x:v>10</x:v>
      </x:c>
      <x:c r="K24" s="2" t="n">
        <x:f>COUNTIFS('日経_TG04'!$A$7:$A$56,"TG04",'日経_TG04'!$C$7:$C$56,"ナイト",'日経_TG04'!$K$7:$K$56,"=0")</x:f>
        <x:v>0</x:v>
      </x:c>
      <x:c r="L24" s="19" t="n">
        <x:f>IF(J24=0,0,-SUMIFS('日経_TG04'!$G$7:$G$56,'日経_TG04'!$A$7:$A$56,"TG04",'日経_TG04'!$C$7:$C$56,"ナイト",'日経_TG04'!$G$7:$G$56,"&lt;0")/J24)</x:f>
        <x:v>32727.4</x:v>
      </x:c>
      <x:c r="M24" s="19" t="n">
        <x:v>37959</x:v>
      </x:c>
      <x:c r="N24" s="19" t="n">
        <x:v>53460</x:v>
      </x:c>
      <x:c r="O24" s="19" t="n">
        <x:v>409544</x:v>
      </x:c>
      <x:c r="P24" s="22" t="n">
        <x:f>AVERAGEIFS('日経_TG04'!$R$7:$R$56,'日経_TG04'!$A$7:$A$56,"TG04",'日経_TG04'!$C$7:$C$56,"ナイト")</x:f>
        <x:v>0.28427222222222215</x:v>
      </x:c>
      <x:c r="Q24" s="22" t="n">
        <x:f>SUMIFS('日経_TG04'!$P$7:$P$56,'日経_TG04'!$A$7:$A$56,"TG04",'日経_TG04'!$C$7:$C$56,"ナイト")/SUMIFS('日経_TG04'!$Q$7:$Q$56,'日経_TG04'!$A$7:$A$56,"TG04",'日経_TG04'!$C$7:$C$56,"ナイト")</x:f>
        <x:v>0.28427222222222215</x:v>
      </x:c>
      <x:c r="R24" s="23" t="n">
        <x:f>AVERAGEIFS('日経_TG04'!$S$7:$S$56,'日経_TG04'!$A$7:$A$56,"TG04",'日経_TG04'!$C$7:$C$56,"ナイト")</x:f>
        <x:v>0.5258133333333334</x:v>
      </x:c>
      <x:c r="S24" s="2" t="n">
        <x:f>SUMIFS('日経_TG04'!$K$7:$K$56,'日経_TG04'!$A$7:$A$56,"TG04",'日経_TG04'!$C$7:$C$56,"ナイト")</x:f>
        <x:v>134</x:v>
      </x:c>
      <x:c r="T24" s="2" t="str">
        <x:v>第一候補。5＋3＋2枚。利確後の実現利益を予算に一枚を3R追尾。</x:v>
      </x:c>
    </x:row>
    <x:row r="25" ht="22" customHeight="1">
      <x:c r="A25" s="2" t="str">
        <x:v>TG04</x:v>
      </x:c>
      <x:c r="B25" s="2" t="str">
        <x:v>上昇場</x:v>
      </x:c>
      <x:c r="C25" s="2" t="str">
        <x:v>既知開発50場</x:v>
      </x:c>
      <x:c r="D25" s="2" t="n">
        <x:f>COUNTIFS('日経_TG04'!$A$7:$A$56,"TG04",'日経_TG04'!$D$7:$D$56,"上昇")</x:f>
        <x:v>24</x:v>
      </x:c>
      <x:c r="E25" s="19" t="n">
        <x:f>SUMIFS('日経_TG04'!$E$7:$E$56,'日経_TG04'!$A$7:$A$56,"TG04",'日経_TG04'!$D$7:$D$56,"上昇")</x:f>
        <x:v>3504295</x:v>
      </x:c>
      <x:c r="F25" s="19" t="n">
        <x:f>SUMIFS('日経_TG04'!$F$7:$F$56,'日経_TG04'!$A$7:$A$56,"TG04",'日経_TG04'!$D$7:$D$56,"上昇")</x:f>
        <x:v>1548112</x:v>
      </x:c>
      <x:c r="G25" s="19" t="n">
        <x:f>E25-F25</x:f>
        <x:v>1956183</x:v>
      </x:c>
      <x:c r="H25" s="23" t="n">
        <x:f>IF(F25=0,IF(E25=0,"算定不能","損失なし"),E25/F25)</x:f>
        <x:v>2.2635926858005107</x:v>
      </x:c>
      <x:c r="I25" s="2" t="n">
        <x:f>COUNTIFS('日経_TG04'!$A$7:$A$56,"TG04",'日経_TG04'!$D$7:$D$56,"上昇",'日経_TG04'!$G$7:$G$56,"&gt;0")</x:f>
        <x:v>15</x:v>
      </x:c>
      <x:c r="J25" s="2" t="n">
        <x:f>COUNTIFS('日経_TG04'!$A$7:$A$56,"TG04",'日経_TG04'!$D$7:$D$56,"上昇",'日経_TG04'!$G$7:$G$56,"&lt;0")</x:f>
        <x:v>9</x:v>
      </x:c>
      <x:c r="K25" s="2" t="n">
        <x:f>COUNTIFS('日経_TG04'!$A$7:$A$56,"TG04",'日経_TG04'!$D$7:$D$56,"上昇",'日経_TG04'!$K$7:$K$56,"=0")</x:f>
        <x:v>0</x:v>
      </x:c>
      <x:c r="L25" s="19" t="n">
        <x:f>IF(J25=0,0,-SUMIFS('日経_TG04'!$G$7:$G$56,'日経_TG04'!$A$7:$A$56,"TG04",'日経_TG04'!$D$7:$D$56,"上昇",'日経_TG04'!$G$7:$G$56,"&lt;0")/J25)</x:f>
        <x:v>43431.444444444445</x:v>
      </x:c>
      <x:c r="M25" s="19" t="n">
        <x:v>43303</x:v>
      </x:c>
      <x:c r="N25" s="19" t="n">
        <x:v>84453</x:v>
      </x:c>
      <x:c r="O25" s="19" t="n">
        <x:v>648090</x:v>
      </x:c>
      <x:c r="P25" s="22" t="n">
        <x:f>AVERAGEIFS('日経_TG04'!$R$7:$R$56,'日経_TG04'!$A$7:$A$56,"TG04",'日経_TG04'!$D$7:$D$56,"上昇")</x:f>
        <x:v>0.5228563161375662</x:v>
      </x:c>
      <x:c r="Q25" s="22" t="n">
        <x:f>SUMIFS('日経_TG04'!$P$7:$P$56,'日経_TG04'!$A$7:$A$56,"TG04",'日経_TG04'!$D$7:$D$56,"上昇")/SUMIFS('日経_TG04'!$Q$7:$Q$56,'日経_TG04'!$A$7:$A$56,"TG04",'日経_TG04'!$D$7:$D$56,"上昇")</x:f>
        <x:v>0.4851402505446623</x:v>
      </x:c>
      <x:c r="R25" s="23" t="n">
        <x:f>AVERAGEIFS('日経_TG04'!$S$7:$S$56,'日経_TG04'!$A$7:$A$56,"TG04",'日経_TG04'!$D$7:$D$56,"上昇")</x:f>
        <x:v>1.6448702050264548</x:v>
      </x:c>
      <x:c r="S25" s="2" t="n">
        <x:f>SUMIFS('日経_TG04'!$K$7:$K$56,'日経_TG04'!$A$7:$A$56,"TG04",'日経_TG04'!$D$7:$D$56,"上昇")</x:f>
        <x:v>176</x:v>
      </x:c>
      <x:c r="T25" s="2" t="str">
        <x:v>第一候補。5＋3＋2枚。利確後の実現利益を予算に一枚を3R追尾。</x:v>
      </x:c>
    </x:row>
    <x:row r="26" ht="22" customHeight="1">
      <x:c r="A26" s="2" t="str">
        <x:v>TG04</x:v>
      </x:c>
      <x:c r="B26" s="2" t="str">
        <x:v>下落場</x:v>
      </x:c>
      <x:c r="C26" s="2" t="str">
        <x:v>既知開発50場</x:v>
      </x:c>
      <x:c r="D26" s="2" t="n">
        <x:f>COUNTIFS('日経_TG04'!$A$7:$A$56,"TG04",'日経_TG04'!$D$7:$D$56,"下落")</x:f>
        <x:v>26</x:v>
      </x:c>
      <x:c r="E26" s="19" t="n">
        <x:f>SUMIFS('日経_TG04'!$E$7:$E$56,'日経_TG04'!$A$7:$A$56,"TG04",'日経_TG04'!$D$7:$D$56,"下落")</x:f>
        <x:v>3592521</x:v>
      </x:c>
      <x:c r="F26" s="19" t="n">
        <x:f>SUMIFS('日経_TG04'!$F$7:$F$56,'日経_TG04'!$A$7:$A$56,"TG04",'日経_TG04'!$D$7:$D$56,"下落")</x:f>
        <x:v>1808740</x:v>
      </x:c>
      <x:c r="G26" s="19" t="n">
        <x:f>E26-F26</x:f>
        <x:v>1783781</x:v>
      </x:c>
      <x:c r="H26" s="23" t="n">
        <x:f>IF(F26=0,IF(E26=0,"算定不能","損失なし"),E26/F26)</x:f>
        <x:v>1.9862008912281477</x:v>
      </x:c>
      <x:c r="I26" s="2" t="n">
        <x:f>COUNTIFS('日経_TG04'!$A$7:$A$56,"TG04",'日経_TG04'!$D$7:$D$56,"下落",'日経_TG04'!$G$7:$G$56,"&gt;0")</x:f>
        <x:v>17</x:v>
      </x:c>
      <x:c r="J26" s="2" t="n">
        <x:f>COUNTIFS('日経_TG04'!$A$7:$A$56,"TG04",'日経_TG04'!$D$7:$D$56,"下落",'日経_TG04'!$G$7:$G$56,"&lt;0")</x:f>
        <x:v>9</x:v>
      </x:c>
      <x:c r="K26" s="2" t="n">
        <x:f>COUNTIFS('日経_TG04'!$A$7:$A$56,"TG04",'日経_TG04'!$D$7:$D$56,"下落",'日経_TG04'!$K$7:$K$56,"=0")</x:f>
        <x:v>0</x:v>
      </x:c>
      <x:c r="L26" s="19" t="n">
        <x:f>IF(J26=0,0,-SUMIFS('日経_TG04'!$G$7:$G$56,'日経_TG04'!$A$7:$A$56,"TG04",'日経_TG04'!$D$7:$D$56,"下落",'日経_TG04'!$G$7:$G$56,"&lt;0")/J26)</x:f>
        <x:v>44210.666666666664</x:v>
      </x:c>
      <x:c r="M26" s="19" t="n">
        <x:v>39382</x:v>
      </x:c>
      <x:c r="N26" s="19" t="n">
        <x:v>106152</x:v>
      </x:c>
      <x:c r="O26" s="19" t="n">
        <x:v>514772</x:v>
      </x:c>
      <x:c r="P26" s="22" t="n">
        <x:f>AVERAGEIFS('日経_TG04'!$R$7:$R$56,'日経_TG04'!$A$7:$A$56,"TG04",'日経_TG04'!$D$7:$D$56,"下落")</x:f>
        <x:v>0.4698534798534799</x:v>
      </x:c>
      <x:c r="Q26" s="22" t="n">
        <x:f>SUMIFS('日経_TG04'!$P$7:$P$56,'日経_TG04'!$A$7:$A$56,"TG04",'日経_TG04'!$D$7:$D$56,"下落")/SUMIFS('日経_TG04'!$Q$7:$Q$56,'日経_TG04'!$A$7:$A$56,"TG04",'日経_TG04'!$D$7:$D$56,"下落")</x:f>
        <x:v>0.433054298642534</x:v>
      </x:c>
      <x:c r="R26" s="23" t="n">
        <x:f>AVERAGEIFS('日経_TG04'!$S$7:$S$56,'日経_TG04'!$A$7:$A$56,"TG04",'日経_TG04'!$D$7:$D$56,"下落")</x:f>
        <x:v>1.4117489316239313</x:v>
      </x:c>
      <x:c r="S26" s="2" t="n">
        <x:f>SUMIFS('日経_TG04'!$K$7:$K$56,'日経_TG04'!$A$7:$A$56,"TG04",'日経_TG04'!$D$7:$D$56,"下落")</x:f>
        <x:v>159</x:v>
      </x:c>
      <x:c r="T26" s="2" t="str">
        <x:v>第一候補。5＋3＋2枚。利確後の実現利益を予算に一枚を3R追尾。</x:v>
      </x:c>
    </x:row>
    <x:row r="27" ht="22" customHeight="1">
      <x:c r="A27" s="2" t="str">
        <x:v>TG04</x:v>
      </x:c>
      <x:c r="B27" s="2" t="str">
        <x:v>デイ・上昇</x:v>
      </x:c>
      <x:c r="C27" s="2" t="str">
        <x:v>既知開発50場</x:v>
      </x:c>
      <x:c r="D27" s="2" t="n">
        <x:f>COUNTIFS('日経_TG04'!$A$7:$A$56,"TG04",'日経_TG04'!$C$7:$C$56,"デイ",'日経_TG04'!$D$7:$D$56,"上昇")</x:f>
        <x:v>12</x:v>
      </x:c>
      <x:c r="E27" s="19" t="n">
        <x:f>SUMIFS('日経_TG04'!$E$7:$E$56,'日経_TG04'!$A$7:$A$56,"TG04",'日経_TG04'!$C$7:$C$56,"デイ",'日経_TG04'!$D$7:$D$56,"上昇")</x:f>
        <x:v>2325106</x:v>
      </x:c>
      <x:c r="F27" s="19" t="n">
        <x:f>SUMIFS('日経_TG04'!$F$7:$F$56,'日経_TG04'!$A$7:$A$56,"TG04",'日経_TG04'!$C$7:$C$56,"デイ",'日経_TG04'!$D$7:$D$56,"上昇")</x:f>
        <x:v>1056213</x:v>
      </x:c>
      <x:c r="G27" s="19" t="n">
        <x:f>E27-F27</x:f>
        <x:v>1268893</x:v>
      </x:c>
      <x:c r="H27" s="23" t="n">
        <x:f>IF(F27=0,IF(E27=0,"算定不能","損失なし"),E27/F27)</x:f>
        <x:v>2.20136089974276</x:v>
      </x:c>
      <x:c r="I27" s="2" t="n">
        <x:f>COUNTIFS('日経_TG04'!$A$7:$A$56,"TG04",'日経_TG04'!$C$7:$C$56,"デイ",'日経_TG04'!$D$7:$D$56,"上昇",'日経_TG04'!$G$7:$G$56,"&gt;0")</x:f>
        <x:v>9</x:v>
      </x:c>
      <x:c r="J27" s="2" t="n">
        <x:f>COUNTIFS('日経_TG04'!$A$7:$A$56,"TG04",'日経_TG04'!$C$7:$C$56,"デイ",'日経_TG04'!$D$7:$D$56,"上昇",'日経_TG04'!$G$7:$G$56,"&lt;0")</x:f>
        <x:v>3</x:v>
      </x:c>
      <x:c r="K27" s="2" t="n">
        <x:f>COUNTIFS('日経_TG04'!$A$7:$A$56,"TG04",'日経_TG04'!$C$7:$C$56,"デイ",'日経_TG04'!$D$7:$D$56,"上昇",'日経_TG04'!$K$7:$K$56,"=0")</x:f>
        <x:v>0</x:v>
      </x:c>
      <x:c r="L27" s="19" t="n">
        <x:f>IF(J27=0,0,-SUMIFS('日経_TG04'!$G$7:$G$56,'日経_TG04'!$A$7:$A$56,"TG04",'日経_TG04'!$C$7:$C$56,"デイ",'日経_TG04'!$D$7:$D$56,"上昇",'日経_TG04'!$G$7:$G$56,"&lt;0")/J27)</x:f>
        <x:v>64481</x:v>
      </x:c>
      <x:c r="M27" s="19" t="n">
        <x:v>65687</x:v>
      </x:c>
      <x:c r="N27" s="19" t="n">
        <x:v>84453</x:v>
      </x:c>
      <x:c r="O27" s="19" t="n">
        <x:v>352649</x:v>
      </x:c>
      <x:c r="P27" s="22" t="n">
        <x:f>AVERAGEIFS('日経_TG04'!$R$7:$R$56,'日経_TG04'!$A$7:$A$56,"TG04",'日経_TG04'!$C$7:$C$56,"デイ",'日経_TG04'!$D$7:$D$56,"上昇")</x:f>
        <x:v>0.736580687830688</x:v>
      </x:c>
      <x:c r="Q27" s="22" t="n">
        <x:f>SUMIFS('日経_TG04'!$P$7:$P$56,'日経_TG04'!$A$7:$A$56,"TG04",'日経_TG04'!$C$7:$C$56,"デイ",'日経_TG04'!$D$7:$D$56,"上昇")/SUMIFS('日経_TG04'!$Q$7:$Q$56,'日経_TG04'!$A$7:$A$56,"TG04",'日経_TG04'!$C$7:$C$56,"デイ",'日経_TG04'!$D$7:$D$56,"上昇")</x:f>
        <x:v>0.7365806878306878</x:v>
      </x:c>
      <x:c r="R27" s="23" t="n">
        <x:f>AVERAGEIFS('日経_TG04'!$S$7:$S$56,'日経_TG04'!$A$7:$A$56,"TG04",'日経_TG04'!$C$7:$C$56,"デイ",'日経_TG04'!$D$7:$D$56,"上昇")</x:f>
        <x:v>2.659404761904762</x:v>
      </x:c>
      <x:c r="S27" s="2" t="n">
        <x:f>SUMIFS('日経_TG04'!$K$7:$K$56,'日経_TG04'!$A$7:$A$56,"TG04",'日経_TG04'!$C$7:$C$56,"デイ",'日経_TG04'!$D$7:$D$56,"上昇")</x:f>
        <x:v>99</x:v>
      </x:c>
      <x:c r="T27" s="2" t="str">
        <x:v>第一候補。5＋3＋2枚。利確後の実現利益を予算に一枚を3R追尾。</x:v>
      </x:c>
    </x:row>
    <x:row r="28" ht="22" customHeight="1">
      <x:c r="A28" s="2" t="str">
        <x:v>TG04</x:v>
      </x:c>
      <x:c r="B28" s="2" t="str">
        <x:v>デイ・下落</x:v>
      </x:c>
      <x:c r="C28" s="2" t="str">
        <x:v>既知開発50場</x:v>
      </x:c>
      <x:c r="D28" s="2" t="n">
        <x:f>COUNTIFS('日経_TG04'!$A$7:$A$56,"TG04",'日経_TG04'!$C$7:$C$56,"デイ",'日経_TG04'!$D$7:$D$56,"下落")</x:f>
        <x:v>13</x:v>
      </x:c>
      <x:c r="E28" s="19" t="n">
        <x:f>SUMIFS('日経_TG04'!$E$7:$E$56,'日経_TG04'!$A$7:$A$56,"TG04",'日経_TG04'!$C$7:$C$56,"デイ",'日経_TG04'!$D$7:$D$56,"下落")</x:f>
        <x:v>2586263</x:v>
      </x:c>
      <x:c r="F28" s="19" t="n">
        <x:f>SUMIFS('日経_TG04'!$F$7:$F$56,'日経_TG04'!$A$7:$A$56,"TG04",'日経_TG04'!$C$7:$C$56,"デイ",'日経_TG04'!$D$7:$D$56,"下落")</x:f>
        <x:v>1398677</x:v>
      </x:c>
      <x:c r="G28" s="19" t="n">
        <x:f>E28-F28</x:f>
        <x:v>1187586</x:v>
      </x:c>
      <x:c r="H28" s="23" t="n">
        <x:f>IF(F28=0,IF(E28=0,"算定不能","損失なし"),E28/F28)</x:f>
        <x:v>1.8490780930836783</x:v>
      </x:c>
      <x:c r="I28" s="2" t="n">
        <x:f>COUNTIFS('日経_TG04'!$A$7:$A$56,"TG04",'日経_TG04'!$C$7:$C$56,"デイ",'日経_TG04'!$D$7:$D$56,"下落",'日経_TG04'!$G$7:$G$56,"&gt;0")</x:f>
        <x:v>8</x:v>
      </x:c>
      <x:c r="J28" s="2" t="n">
        <x:f>COUNTIFS('日経_TG04'!$A$7:$A$56,"TG04",'日経_TG04'!$C$7:$C$56,"デイ",'日経_TG04'!$D$7:$D$56,"下落",'日経_TG04'!$G$7:$G$56,"&lt;0")</x:f>
        <x:v>5</x:v>
      </x:c>
      <x:c r="K28" s="2" t="n">
        <x:f>COUNTIFS('日経_TG04'!$A$7:$A$56,"TG04",'日経_TG04'!$C$7:$C$56,"デイ",'日経_TG04'!$D$7:$D$56,"下落",'日経_TG04'!$K$7:$K$56,"=0")</x:f>
        <x:v>0</x:v>
      </x:c>
      <x:c r="L28" s="19" t="n">
        <x:f>IF(J28=0,0,-SUMIFS('日経_TG04'!$G$7:$G$56,'日経_TG04'!$A$7:$A$56,"TG04",'日経_TG04'!$C$7:$C$56,"デイ",'日経_TG04'!$D$7:$D$56,"下落",'日経_TG04'!$G$7:$G$56,"&lt;0")/J28)</x:f>
        <x:v>53612.4</x:v>
      </x:c>
      <x:c r="M28" s="19" t="n">
        <x:v>51994</x:v>
      </x:c>
      <x:c r="N28" s="19" t="n">
        <x:v>106152</x:v>
      </x:c>
      <x:c r="O28" s="19" t="n">
        <x:v>-81423</x:v>
      </x:c>
      <x:c r="P28" s="22" t="n">
        <x:f>AVERAGEIFS('日経_TG04'!$R$7:$R$56,'日経_TG04'!$A$7:$A$56,"TG04",'日経_TG04'!$C$7:$C$56,"デイ",'日経_TG04'!$D$7:$D$56,"下落")</x:f>
        <x:v>0.6783821733821733</x:v>
      </x:c>
      <x:c r="Q28" s="22" t="n">
        <x:f>SUMIFS('日経_TG04'!$P$7:$P$56,'日経_TG04'!$A$7:$A$56,"TG04",'日経_TG04'!$C$7:$C$56,"デイ",'日経_TG04'!$D$7:$D$56,"下落")/SUMIFS('日経_TG04'!$Q$7:$Q$56,'日経_TG04'!$A$7:$A$56,"TG04",'日経_TG04'!$C$7:$C$56,"デイ",'日経_TG04'!$D$7:$D$56,"下落")</x:f>
        <x:v>0.6783821733821733</x:v>
      </x:c>
      <x:c r="R28" s="23" t="n">
        <x:f>AVERAGEIFS('日経_TG04'!$S$7:$S$56,'日経_TG04'!$A$7:$A$56,"TG04",'日経_TG04'!$C$7:$C$56,"デイ",'日経_TG04'!$D$7:$D$56,"下落")</x:f>
        <x:v>2.3941666666666666</x:v>
      </x:c>
      <x:c r="S28" s="2" t="n">
        <x:f>SUMIFS('日経_TG04'!$K$7:$K$56,'日経_TG04'!$A$7:$A$56,"TG04",'日経_TG04'!$C$7:$C$56,"デイ",'日経_TG04'!$D$7:$D$56,"下落")</x:f>
        <x:v>102</x:v>
      </x:c>
      <x:c r="T28" s="2" t="str">
        <x:v>第一候補。5＋3＋2枚。利確後の実現利益を予算に一枚を3R追尾。</x:v>
      </x:c>
    </x:row>
    <x:row r="29" ht="22" customHeight="1">
      <x:c r="A29" s="2" t="str">
        <x:v>TG04</x:v>
      </x:c>
      <x:c r="B29" s="2" t="str">
        <x:v>ナイト・上昇</x:v>
      </x:c>
      <x:c r="C29" s="2" t="str">
        <x:v>既知開発50場</x:v>
      </x:c>
      <x:c r="D29" s="2" t="n">
        <x:f>COUNTIFS('日経_TG04'!$A$7:$A$56,"TG04",'日経_TG04'!$C$7:$C$56,"ナイト",'日経_TG04'!$D$7:$D$56,"上昇")</x:f>
        <x:v>12</x:v>
      </x:c>
      <x:c r="E29" s="19" t="n">
        <x:f>SUMIFS('日経_TG04'!$E$7:$E$56,'日経_TG04'!$A$7:$A$56,"TG04",'日経_TG04'!$C$7:$C$56,"ナイト",'日経_TG04'!$D$7:$D$56,"上昇")</x:f>
        <x:v>1179189</x:v>
      </x:c>
      <x:c r="F29" s="19" t="n">
        <x:f>SUMIFS('日経_TG04'!$F$7:$F$56,'日経_TG04'!$A$7:$A$56,"TG04",'日経_TG04'!$C$7:$C$56,"ナイト",'日経_TG04'!$D$7:$D$56,"上昇")</x:f>
        <x:v>491899</x:v>
      </x:c>
      <x:c r="G29" s="19" t="n">
        <x:f>E29-F29</x:f>
        <x:v>687290</x:v>
      </x:c>
      <x:c r="H29" s="23" t="n">
        <x:f>IF(F29=0,IF(E29=0,"算定不能","損失なし"),E29/F29)</x:f>
        <x:v>2.397217721524134</x:v>
      </x:c>
      <x:c r="I29" s="2" t="n">
        <x:f>COUNTIFS('日経_TG04'!$A$7:$A$56,"TG04",'日経_TG04'!$C$7:$C$56,"ナイト",'日経_TG04'!$D$7:$D$56,"上昇",'日経_TG04'!$G$7:$G$56,"&gt;0")</x:f>
        <x:v>6</x:v>
      </x:c>
      <x:c r="J29" s="2" t="n">
        <x:f>COUNTIFS('日経_TG04'!$A$7:$A$56,"TG04",'日経_TG04'!$C$7:$C$56,"ナイト",'日経_TG04'!$D$7:$D$56,"上昇",'日経_TG04'!$G$7:$G$56,"&lt;0")</x:f>
        <x:v>6</x:v>
      </x:c>
      <x:c r="K29" s="2" t="n">
        <x:f>COUNTIFS('日経_TG04'!$A$7:$A$56,"TG04",'日経_TG04'!$C$7:$C$56,"ナイト",'日経_TG04'!$D$7:$D$56,"上昇",'日経_TG04'!$K$7:$K$56,"=0")</x:f>
        <x:v>0</x:v>
      </x:c>
      <x:c r="L29" s="19" t="n">
        <x:f>IF(J29=0,0,-SUMIFS('日経_TG04'!$G$7:$G$56,'日経_TG04'!$A$7:$A$56,"TG04",'日経_TG04'!$C$7:$C$56,"ナイト",'日経_TG04'!$D$7:$D$56,"上昇",'日経_TG04'!$G$7:$G$56,"&lt;0")/J29)</x:f>
        <x:v>32906.666666666664</x:v>
      </x:c>
      <x:c r="M29" s="19" t="n">
        <x:v>36724.5</x:v>
      </x:c>
      <x:c r="N29" s="19" t="n">
        <x:v>53460</x:v>
      </x:c>
      <x:c r="O29" s="19" t="n">
        <x:v>-72194</x:v>
      </x:c>
      <x:c r="P29" s="22" t="n">
        <x:f>AVERAGEIFS('日経_TG04'!$R$7:$R$56,'日経_TG04'!$A$7:$A$56,"TG04",'日経_TG04'!$C$7:$C$56,"ナイト",'日経_TG04'!$D$7:$D$56,"上昇")</x:f>
        <x:v>0.3091319444444444</x:v>
      </x:c>
      <x:c r="Q29" s="22" t="n">
        <x:f>SUMIFS('日経_TG04'!$P$7:$P$56,'日経_TG04'!$A$7:$A$56,"TG04",'日経_TG04'!$C$7:$C$56,"ナイト",'日経_TG04'!$D$7:$D$56,"上昇")/SUMIFS('日経_TG04'!$Q$7:$Q$56,'日経_TG04'!$A$7:$A$56,"TG04",'日経_TG04'!$C$7:$C$56,"ナイト",'日経_TG04'!$D$7:$D$56,"上昇")</x:f>
        <x:v>0.3091319444444444</x:v>
      </x:c>
      <x:c r="R29" s="23" t="n">
        <x:f>AVERAGEIFS('日経_TG04'!$S$7:$S$56,'日経_TG04'!$A$7:$A$56,"TG04",'日経_TG04'!$C$7:$C$56,"ナイト",'日経_TG04'!$D$7:$D$56,"上昇")</x:f>
        <x:v>0.6303356481481481</x:v>
      </x:c>
      <x:c r="S29" s="2" t="n">
        <x:f>SUMIFS('日経_TG04'!$K$7:$K$56,'日経_TG04'!$A$7:$A$56,"TG04",'日経_TG04'!$C$7:$C$56,"ナイト",'日経_TG04'!$D$7:$D$56,"上昇")</x:f>
        <x:v>77</x:v>
      </x:c>
      <x:c r="T29" s="2" t="str">
        <x:v>第一候補。5＋3＋2枚。利確後の実現利益を予算に一枚を3R追尾。</x:v>
      </x:c>
    </x:row>
    <x:row r="30" ht="22" customHeight="1">
      <x:c r="A30" s="2" t="str">
        <x:v>TG04</x:v>
      </x:c>
      <x:c r="B30" s="2" t="str">
        <x:v>ナイト・下落</x:v>
      </x:c>
      <x:c r="C30" s="2" t="str">
        <x:v>既知開発50場</x:v>
      </x:c>
      <x:c r="D30" s="2" t="n">
        <x:f>COUNTIFS('日経_TG04'!$A$7:$A$56,"TG04",'日経_TG04'!$C$7:$C$56,"ナイト",'日経_TG04'!$D$7:$D$56,"下落")</x:f>
        <x:v>13</x:v>
      </x:c>
      <x:c r="E30" s="19" t="n">
        <x:f>SUMIFS('日経_TG04'!$E$7:$E$56,'日経_TG04'!$A$7:$A$56,"TG04",'日経_TG04'!$C$7:$C$56,"ナイト",'日経_TG04'!$D$7:$D$56,"下落")</x:f>
        <x:v>1006258</x:v>
      </x:c>
      <x:c r="F30" s="19" t="n">
        <x:f>SUMIFS('日経_TG04'!$F$7:$F$56,'日経_TG04'!$A$7:$A$56,"TG04",'日経_TG04'!$C$7:$C$56,"ナイト",'日経_TG04'!$D$7:$D$56,"下落")</x:f>
        <x:v>410063</x:v>
      </x:c>
      <x:c r="G30" s="19" t="n">
        <x:f>E30-F30</x:f>
        <x:v>596195</x:v>
      </x:c>
      <x:c r="H30" s="23" t="n">
        <x:f>IF(F30=0,IF(E30=0,"算定不能","損失なし"),E30/F30)</x:f>
        <x:v>2.4539107405447456</x:v>
      </x:c>
      <x:c r="I30" s="2" t="n">
        <x:f>COUNTIFS('日経_TG04'!$A$7:$A$56,"TG04",'日経_TG04'!$C$7:$C$56,"ナイト",'日経_TG04'!$D$7:$D$56,"下落",'日経_TG04'!$G$7:$G$56,"&gt;0")</x:f>
        <x:v>9</x:v>
      </x:c>
      <x:c r="J30" s="2" t="n">
        <x:f>COUNTIFS('日経_TG04'!$A$7:$A$56,"TG04",'日経_TG04'!$C$7:$C$56,"ナイト",'日経_TG04'!$D$7:$D$56,"下落",'日経_TG04'!$G$7:$G$56,"&lt;0")</x:f>
        <x:v>4</x:v>
      </x:c>
      <x:c r="K30" s="2" t="n">
        <x:f>COUNTIFS('日経_TG04'!$A$7:$A$56,"TG04",'日経_TG04'!$C$7:$C$56,"ナイト",'日経_TG04'!$D$7:$D$56,"下落",'日経_TG04'!$K$7:$K$56,"=0")</x:f>
        <x:v>0</x:v>
      </x:c>
      <x:c r="L30" s="19" t="n">
        <x:f>IF(J30=0,0,-SUMIFS('日経_TG04'!$G$7:$G$56,'日経_TG04'!$A$7:$A$56,"TG04",'日経_TG04'!$C$7:$C$56,"ナイト",'日経_TG04'!$D$7:$D$56,"下落",'日経_TG04'!$G$7:$G$56,"&lt;0")/J30)</x:f>
        <x:v>32458.5</x:v>
      </x:c>
      <x:c r="M30" s="19" t="n">
        <x:v>37959</x:v>
      </x:c>
      <x:c r="N30" s="19" t="n">
        <x:v>43304</x:v>
      </x:c>
      <x:c r="O30" s="19" t="n">
        <x:v>125876</x:v>
      </x:c>
      <x:c r="P30" s="22" t="n">
        <x:f>AVERAGEIFS('日経_TG04'!$R$7:$R$56,'日経_TG04'!$A$7:$A$56,"TG04",'日経_TG04'!$C$7:$C$56,"ナイト",'日経_TG04'!$D$7:$D$56,"下落")</x:f>
        <x:v>0.26132478632478634</x:v>
      </x:c>
      <x:c r="Q30" s="22" t="n">
        <x:f>SUMIFS('日経_TG04'!$P$7:$P$56,'日経_TG04'!$A$7:$A$56,"TG04",'日経_TG04'!$C$7:$C$56,"ナイト",'日経_TG04'!$D$7:$D$56,"下落")/SUMIFS('日経_TG04'!$Q$7:$Q$56,'日経_TG04'!$A$7:$A$56,"TG04",'日経_TG04'!$C$7:$C$56,"ナイト",'日経_TG04'!$D$7:$D$56,"下落")</x:f>
        <x:v>0.26132478632478634</x:v>
      </x:c>
      <x:c r="R30" s="23" t="n">
        <x:f>AVERAGEIFS('日経_TG04'!$S$7:$S$56,'日経_TG04'!$A$7:$A$56,"TG04",'日経_TG04'!$C$7:$C$56,"ナイト",'日経_TG04'!$D$7:$D$56,"下落")</x:f>
        <x:v>0.4293311965811966</x:v>
      </x:c>
      <x:c r="S30" s="2" t="n">
        <x:f>SUMIFS('日経_TG04'!$K$7:$K$56,'日経_TG04'!$A$7:$A$56,"TG04",'日経_TG04'!$C$7:$C$56,"ナイト",'日経_TG04'!$D$7:$D$56,"下落")</x:f>
        <x:v>57</x:v>
      </x:c>
      <x:c r="T30" s="2" t="str">
        <x:v>第一候補。5＋3＋2枚。利確後の実現利益を予算に一枚を3R追尾。</x:v>
      </x:c>
    </x:row>
    <x:row r="31" ht="22" customHeight="1">
      <x:c r="A31" s="2" t="str">
        <x:v>PP04</x:v>
      </x:c>
      <x:c r="B31" s="2" t="str">
        <x:v>デイ</x:v>
      </x:c>
      <x:c r="C31" s="2" t="str">
        <x:v>既知開発50場</x:v>
      </x:c>
      <x:c r="D31" s="2" t="n">
        <x:f>COUNTIFS('日経_PP04'!$A$7:$A$56,"PP04",'日経_PP04'!$C$7:$C$56,"デイ")</x:f>
        <x:v>25</x:v>
      </x:c>
      <x:c r="E31" s="19" t="n">
        <x:f>SUMIFS('日経_PP04'!$E$7:$E$56,'日経_PP04'!$A$7:$A$56,"PP04",'日経_PP04'!$C$7:$C$56,"デイ")</x:f>
        <x:v>4114219</x:v>
      </x:c>
      <x:c r="F31" s="19" t="n">
        <x:f>SUMIFS('日経_PP04'!$F$7:$F$56,'日経_PP04'!$A$7:$A$56,"PP04",'日経_PP04'!$C$7:$C$56,"デイ")</x:f>
        <x:v>1797110</x:v>
      </x:c>
      <x:c r="G31" s="19" t="n">
        <x:f>E31-F31</x:f>
        <x:v>2317109</x:v>
      </x:c>
      <x:c r="H31" s="23" t="n">
        <x:f>IF(F31=0,IF(E31=0,"算定不能","損失なし"),E31/F31)</x:f>
        <x:v>2.2893529054982724</x:v>
      </x:c>
      <x:c r="I31" s="2" t="n">
        <x:f>COUNTIFS('日経_PP04'!$A$7:$A$56,"PP04",'日経_PP04'!$C$7:$C$56,"デイ",'日経_PP04'!$G$7:$G$56,"&gt;0")</x:f>
        <x:v>16</x:v>
      </x:c>
      <x:c r="J31" s="2" t="n">
        <x:f>COUNTIFS('日経_PP04'!$A$7:$A$56,"PP04",'日経_PP04'!$C$7:$C$56,"デイ",'日経_PP04'!$G$7:$G$56,"&lt;0")</x:f>
        <x:v>9</x:v>
      </x:c>
      <x:c r="K31" s="2" t="n">
        <x:f>COUNTIFS('日経_PP04'!$A$7:$A$56,"PP04",'日経_PP04'!$C$7:$C$56,"デイ",'日経_PP04'!$K$7:$K$56,"=0")</x:f>
        <x:v>0</x:v>
      </x:c>
      <x:c r="L31" s="19" t="n">
        <x:f>IF(J31=0,0,-SUMIFS('日経_PP04'!$G$7:$G$56,'日経_PP04'!$A$7:$A$56,"PP04",'日経_PP04'!$C$7:$C$56,"デイ",'日経_PP04'!$G$7:$G$56,"&lt;0")/J31)</x:f>
        <x:v>72703.77777777778</x:v>
      </x:c>
      <x:c r="M31" s="19" t="n">
        <x:v>92608</x:v>
      </x:c>
      <x:c r="N31" s="19" t="n">
        <x:v>135760</x:v>
      </x:c>
      <x:c r="O31" s="19" t="n">
        <x:v>639783</x:v>
      </x:c>
      <x:c r="P31" s="22" t="n">
        <x:f>AVERAGEIFS('日経_PP04'!$R$7:$R$56,'日経_PP04'!$A$7:$A$56,"PP04",'日経_PP04'!$C$7:$C$56,"デイ")</x:f>
        <x:v>0.6588841269841269</x:v>
      </x:c>
      <x:c r="Q31" s="22" t="n">
        <x:f>SUMIFS('日経_PP04'!$P$7:$P$56,'日経_PP04'!$A$7:$A$56,"PP04",'日経_PP04'!$C$7:$C$56,"デイ")/SUMIFS('日経_PP04'!$Q$7:$Q$56,'日経_PP04'!$A$7:$A$56,"PP04",'日経_PP04'!$C$7:$C$56,"デイ")</x:f>
        <x:v>0.658884126984127</x:v>
      </x:c>
      <x:c r="R31" s="23" t="n">
        <x:f>AVERAGEIFS('日経_PP04'!$S$7:$S$56,'日経_PP04'!$A$7:$A$56,"PP04",'日経_PP04'!$C$7:$C$56,"デイ")</x:f>
        <x:v>2.111971428571428</x:v>
      </x:c>
      <x:c r="S31" s="2" t="n">
        <x:f>SUMIFS('日経_PP04'!$K$7:$K$56,'日経_PP04'!$A$7:$A$56,"PP04",'日経_PP04'!$C$7:$C$56,"デイ")</x:f>
        <x:v>157</x:v>
      </x:c>
      <x:c r="T31" s="2" t="str">
        <x:v>二担当の比較候補。5＋5枚。基本の入口・退出に新しい逆流判定を足さない。</x:v>
      </x:c>
    </x:row>
    <x:row r="32" ht="22" customHeight="1">
      <x:c r="A32" s="2" t="str">
        <x:v>PP04</x:v>
      </x:c>
      <x:c r="B32" s="2" t="str">
        <x:v>ナイト</x:v>
      </x:c>
      <x:c r="C32" s="2" t="str">
        <x:v>既知開発50場</x:v>
      </x:c>
      <x:c r="D32" s="2" t="n">
        <x:f>COUNTIFS('日経_PP04'!$A$7:$A$56,"PP04",'日経_PP04'!$C$7:$C$56,"ナイト")</x:f>
        <x:v>25</x:v>
      </x:c>
      <x:c r="E32" s="19" t="n">
        <x:f>SUMIFS('日経_PP04'!$E$7:$E$56,'日経_PP04'!$A$7:$A$56,"PP04",'日経_PP04'!$C$7:$C$56,"ナイト")</x:f>
        <x:v>2588092</x:v>
      </x:c>
      <x:c r="F32" s="19" t="n">
        <x:f>SUMIFS('日経_PP04'!$F$7:$F$56,'日経_PP04'!$A$7:$A$56,"PP04",'日経_PP04'!$C$7:$C$56,"ナイト")</x:f>
        <x:v>1353601</x:v>
      </x:c>
      <x:c r="G32" s="19" t="n">
        <x:f>E32-F32</x:f>
        <x:v>1234491</x:v>
      </x:c>
      <x:c r="H32" s="23" t="n">
        <x:f>IF(F32=0,IF(E32=0,"算定不能","損失なし"),E32/F32)</x:f>
        <x:v>1.912005088648723</x:v>
      </x:c>
      <x:c r="I32" s="2" t="n">
        <x:f>COUNTIFS('日経_PP04'!$A$7:$A$56,"PP04",'日経_PP04'!$C$7:$C$56,"ナイト",'日経_PP04'!$G$7:$G$56,"&gt;0")</x:f>
        <x:v>16</x:v>
      </x:c>
      <x:c r="J32" s="2" t="n">
        <x:f>COUNTIFS('日経_PP04'!$A$7:$A$56,"PP04",'日経_PP04'!$C$7:$C$56,"ナイト",'日経_PP04'!$G$7:$G$56,"&lt;0")</x:f>
        <x:v>9</x:v>
      </x:c>
      <x:c r="K32" s="2" t="n">
        <x:f>COUNTIFS('日経_PP04'!$A$7:$A$56,"PP04",'日経_PP04'!$C$7:$C$56,"ナイト",'日経_PP04'!$K$7:$K$56,"=0")</x:f>
        <x:v>0</x:v>
      </x:c>
      <x:c r="L32" s="19" t="n">
        <x:f>IF(J32=0,0,-SUMIFS('日経_PP04'!$G$7:$G$56,'日経_PP04'!$A$7:$A$56,"PP04",'日経_PP04'!$C$7:$C$56,"ナイト",'日経_PP04'!$G$7:$G$56,"&lt;0")/J32)</x:f>
        <x:v>38304.22222222222</x:v>
      </x:c>
      <x:c r="M32" s="19" t="n">
        <x:v>37533</x:v>
      </x:c>
      <x:c r="N32" s="19" t="n">
        <x:v>96922</x:v>
      </x:c>
      <x:c r="O32" s="19" t="n">
        <x:v>357002</x:v>
      </x:c>
      <x:c r="P32" s="22" t="n">
        <x:f>AVERAGEIFS('日経_PP04'!$R$7:$R$56,'日経_PP04'!$A$7:$A$56,"PP04",'日経_PP04'!$C$7:$C$56,"ナイト")</x:f>
        <x:v>0.3198766666666667</x:v>
      </x:c>
      <x:c r="Q32" s="22" t="n">
        <x:f>SUMIFS('日経_PP04'!$P$7:$P$56,'日経_PP04'!$A$7:$A$56,"PP04",'日経_PP04'!$C$7:$C$56,"ナイト")/SUMIFS('日経_PP04'!$Q$7:$Q$56,'日経_PP04'!$A$7:$A$56,"PP04",'日経_PP04'!$C$7:$C$56,"ナイト")</x:f>
        <x:v>0.31987666666666664</x:v>
      </x:c>
      <x:c r="R32" s="23" t="n">
        <x:f>AVERAGEIFS('日経_PP04'!$S$7:$S$56,'日経_PP04'!$A$7:$A$56,"PP04",'日経_PP04'!$C$7:$C$56,"ナイト")</x:f>
        <x:v>0.7113944444444446</x:v>
      </x:c>
      <x:c r="S32" s="2" t="n">
        <x:f>SUMIFS('日経_PP04'!$K$7:$K$56,'日経_PP04'!$A$7:$A$56,"PP04",'日経_PP04'!$C$7:$C$56,"ナイト")</x:f>
        <x:v>163</x:v>
      </x:c>
      <x:c r="T32" s="2" t="str">
        <x:v>二担当の比較候補。5＋5枚。基本の入口・退出に新しい逆流判定を足さない。</x:v>
      </x:c>
    </x:row>
    <x:row r="33" ht="22" customHeight="1">
      <x:c r="A33" s="2" t="str">
        <x:v>PP04</x:v>
      </x:c>
      <x:c r="B33" s="2" t="str">
        <x:v>上昇場</x:v>
      </x:c>
      <x:c r="C33" s="2" t="str">
        <x:v>既知開発50場</x:v>
      </x:c>
      <x:c r="D33" s="2" t="n">
        <x:f>COUNTIFS('日経_PP04'!$A$7:$A$56,"PP04",'日経_PP04'!$D$7:$D$56,"上昇")</x:f>
        <x:v>24</x:v>
      </x:c>
      <x:c r="E33" s="19" t="n">
        <x:f>SUMIFS('日経_PP04'!$E$7:$E$56,'日経_PP04'!$A$7:$A$56,"PP04",'日経_PP04'!$D$7:$D$56,"上昇")</x:f>
        <x:v>3067005</x:v>
      </x:c>
      <x:c r="F33" s="19" t="n">
        <x:f>SUMIFS('日経_PP04'!$F$7:$F$56,'日経_PP04'!$A$7:$A$56,"PP04",'日経_PP04'!$D$7:$D$56,"上昇")</x:f>
        <x:v>1506126</x:v>
      </x:c>
      <x:c r="G33" s="19" t="n">
        <x:f>E33-F33</x:f>
        <x:v>1560879</x:v>
      </x:c>
      <x:c r="H33" s="23" t="n">
        <x:f>IF(F33=0,IF(E33=0,"算定不能","損失なし"),E33/F33)</x:f>
        <x:v>2.036353532174599</x:v>
      </x:c>
      <x:c r="I33" s="2" t="n">
        <x:f>COUNTIFS('日経_PP04'!$A$7:$A$56,"PP04",'日経_PP04'!$D$7:$D$56,"上昇",'日経_PP04'!$G$7:$G$56,"&gt;0")</x:f>
        <x:v>16</x:v>
      </x:c>
      <x:c r="J33" s="2" t="n">
        <x:f>COUNTIFS('日経_PP04'!$A$7:$A$56,"PP04",'日経_PP04'!$D$7:$D$56,"上昇",'日経_PP04'!$G$7:$G$56,"&lt;0")</x:f>
        <x:v>8</x:v>
      </x:c>
      <x:c r="K33" s="2" t="n">
        <x:f>COUNTIFS('日経_PP04'!$A$7:$A$56,"PP04",'日経_PP04'!$D$7:$D$56,"上昇",'日経_PP04'!$K$7:$K$56,"=0")</x:f>
        <x:v>0</x:v>
      </x:c>
      <x:c r="L33" s="19" t="n">
        <x:f>IF(J33=0,0,-SUMIFS('日経_PP04'!$G$7:$G$56,'日経_PP04'!$A$7:$A$56,"PP04",'日経_PP04'!$D$7:$D$56,"上昇",'日経_PP04'!$G$7:$G$56,"&lt;0")/J33)</x:f>
        <x:v>64571.75</x:v>
      </x:c>
      <x:c r="M33" s="19" t="n">
        <x:v>41458.5</x:v>
      </x:c>
      <x:c r="N33" s="19" t="n">
        <x:v>135760</x:v>
      </x:c>
      <x:c r="O33" s="19" t="n">
        <x:v>596468</x:v>
      </x:c>
      <x:c r="P33" s="22" t="n">
        <x:f>AVERAGEIFS('日経_PP04'!$R$7:$R$56,'日経_PP04'!$A$7:$A$56,"PP04",'日経_PP04'!$D$7:$D$56,"上昇")</x:f>
        <x:v>0.4862926587301588</x:v>
      </x:c>
      <x:c r="Q33" s="22" t="n">
        <x:f>SUMIFS('日経_PP04'!$P$7:$P$56,'日経_PP04'!$A$7:$A$56,"PP04",'日経_PP04'!$D$7:$D$56,"上昇")/SUMIFS('日経_PP04'!$Q$7:$Q$56,'日経_PP04'!$A$7:$A$56,"PP04",'日経_PP04'!$D$7:$D$56,"上昇")</x:f>
        <x:v>0.45789624183006533</x:v>
      </x:c>
      <x:c r="R33" s="23" t="n">
        <x:f>AVERAGEIFS('日経_PP04'!$S$7:$S$56,'日経_PP04'!$A$7:$A$56,"PP04",'日経_PP04'!$D$7:$D$56,"上昇")</x:f>
        <x:v>1.3148890542328042</x:v>
      </x:c>
      <x:c r="S33" s="2" t="n">
        <x:f>SUMIFS('日経_PP04'!$K$7:$K$56,'日経_PP04'!$A$7:$A$56,"PP04",'日経_PP04'!$D$7:$D$56,"上昇")</x:f>
        <x:v>163</x:v>
      </x:c>
      <x:c r="T33" s="2" t="str">
        <x:v>二担当の比較候補。5＋5枚。基本の入口・退出に新しい逆流判定を足さない。</x:v>
      </x:c>
    </x:row>
    <x:row r="34" ht="22" customHeight="1">
      <x:c r="A34" s="2" t="str">
        <x:v>PP04</x:v>
      </x:c>
      <x:c r="B34" s="2" t="str">
        <x:v>下落場</x:v>
      </x:c>
      <x:c r="C34" s="2" t="str">
        <x:v>既知開発50場</x:v>
      </x:c>
      <x:c r="D34" s="2" t="n">
        <x:f>COUNTIFS('日経_PP04'!$A$7:$A$56,"PP04",'日経_PP04'!$D$7:$D$56,"下落")</x:f>
        <x:v>26</x:v>
      </x:c>
      <x:c r="E34" s="19" t="n">
        <x:f>SUMIFS('日経_PP04'!$E$7:$E$56,'日経_PP04'!$A$7:$A$56,"PP04",'日経_PP04'!$D$7:$D$56,"下落")</x:f>
        <x:v>3635306</x:v>
      </x:c>
      <x:c r="F34" s="19" t="n">
        <x:f>SUMIFS('日経_PP04'!$F$7:$F$56,'日経_PP04'!$A$7:$A$56,"PP04",'日経_PP04'!$D$7:$D$56,"下落")</x:f>
        <x:v>1644585</x:v>
      </x:c>
      <x:c r="G34" s="19" t="n">
        <x:f>E34-F34</x:f>
        <x:v>1990721</x:v>
      </x:c>
      <x:c r="H34" s="23" t="n">
        <x:f>IF(F34=0,IF(E34=0,"算定不能","損失なし"),E34/F34)</x:f>
        <x:v>2.210470118601349</x:v>
      </x:c>
      <x:c r="I34" s="2" t="n">
        <x:f>COUNTIFS('日経_PP04'!$A$7:$A$56,"PP04",'日経_PP04'!$D$7:$D$56,"下落",'日経_PP04'!$G$7:$G$56,"&gt;0")</x:f>
        <x:v>16</x:v>
      </x:c>
      <x:c r="J34" s="2" t="n">
        <x:f>COUNTIFS('日経_PP04'!$A$7:$A$56,"PP04",'日経_PP04'!$D$7:$D$56,"下落",'日経_PP04'!$G$7:$G$56,"&lt;0")</x:f>
        <x:v>10</x:v>
      </x:c>
      <x:c r="K34" s="2" t="n">
        <x:f>COUNTIFS('日経_PP04'!$A$7:$A$56,"PP04",'日経_PP04'!$D$7:$D$56,"下落",'日経_PP04'!$K$7:$K$56,"=0")</x:f>
        <x:v>0</x:v>
      </x:c>
      <x:c r="L34" s="19" t="n">
        <x:f>IF(J34=0,0,-SUMIFS('日経_PP04'!$G$7:$G$56,'日経_PP04'!$A$7:$A$56,"PP04",'日経_PP04'!$D$7:$D$56,"下落",'日経_PP04'!$G$7:$G$56,"&lt;0")/J34)</x:f>
        <x:v>48249.8</x:v>
      </x:c>
      <x:c r="M34" s="19" t="n">
        <x:v>42459</x:v>
      </x:c>
      <x:c r="N34" s="19" t="n">
        <x:v>106152</x:v>
      </x:c>
      <x:c r="O34" s="19" t="n">
        <x:v>379014</x:v>
      </x:c>
      <x:c r="P34" s="22" t="n">
        <x:f>AVERAGEIFS('日経_PP04'!$R$7:$R$56,'日経_PP04'!$A$7:$A$56,"PP04",'日経_PP04'!$D$7:$D$56,"下落")</x:f>
        <x:v>0.49223061660561657</x:v>
      </x:c>
      <x:c r="Q34" s="22" t="n">
        <x:f>SUMIFS('日経_PP04'!$P$7:$P$56,'日経_PP04'!$A$7:$A$56,"PP04",'日経_PP04'!$D$7:$D$56,"下落")/SUMIFS('日経_PP04'!$Q$7:$Q$56,'日経_PP04'!$A$7:$A$56,"PP04",'日経_PP04'!$D$7:$D$56,"下落")</x:f>
        <x:v>0.4609188034188033</x:v>
      </x:c>
      <x:c r="R34" s="23" t="n">
        <x:f>AVERAGEIFS('日経_PP04'!$S$7:$S$56,'日経_PP04'!$A$7:$A$56,"PP04",'日経_PP04'!$D$7:$D$56,"下落")</x:f>
        <x:v>1.5010311355311357</x:v>
      </x:c>
      <x:c r="S34" s="2" t="n">
        <x:f>SUMIFS('日経_PP04'!$K$7:$K$56,'日経_PP04'!$A$7:$A$56,"PP04",'日経_PP04'!$D$7:$D$56,"下落")</x:f>
        <x:v>157</x:v>
      </x:c>
      <x:c r="T34" s="2" t="str">
        <x:v>二担当の比較候補。5＋5枚。基本の入口・退出に新しい逆流判定を足さない。</x:v>
      </x:c>
    </x:row>
    <x:row r="35" ht="22" customHeight="1">
      <x:c r="A35" s="2" t="str">
        <x:v>PP04</x:v>
      </x:c>
      <x:c r="B35" s="2" t="str">
        <x:v>デイ・上昇</x:v>
      </x:c>
      <x:c r="C35" s="2" t="str">
        <x:v>既知開発50場</x:v>
      </x:c>
      <x:c r="D35" s="2" t="n">
        <x:f>COUNTIFS('日経_PP04'!$A$7:$A$56,"PP04",'日経_PP04'!$C$7:$C$56,"デイ",'日経_PP04'!$D$7:$D$56,"上昇")</x:f>
        <x:v>12</x:v>
      </x:c>
      <x:c r="E35" s="19" t="n">
        <x:f>SUMIFS('日経_PP04'!$E$7:$E$56,'日経_PP04'!$A$7:$A$56,"PP04",'日経_PP04'!$C$7:$C$56,"デイ",'日経_PP04'!$D$7:$D$56,"上昇")</x:f>
        <x:v>1674030</x:v>
      </x:c>
      <x:c r="F35" s="19" t="n">
        <x:f>SUMIFS('日経_PP04'!$F$7:$F$56,'日経_PP04'!$A$7:$A$56,"PP04",'日経_PP04'!$C$7:$C$56,"デイ",'日経_PP04'!$D$7:$D$56,"上昇")</x:f>
        <x:v>779362</x:v>
      </x:c>
      <x:c r="G35" s="19" t="n">
        <x:f>E35-F35</x:f>
        <x:v>894668</x:v>
      </x:c>
      <x:c r="H35" s="23" t="n">
        <x:f>IF(F35=0,IF(E35=0,"算定不能","損失なし"),E35/F35)</x:f>
        <x:v>2.147949220003028</x:v>
      </x:c>
      <x:c r="I35" s="2" t="n">
        <x:f>COUNTIFS('日経_PP04'!$A$7:$A$56,"PP04",'日経_PP04'!$C$7:$C$56,"デイ",'日経_PP04'!$D$7:$D$56,"上昇",'日経_PP04'!$G$7:$G$56,"&gt;0")</x:f>
        <x:v>10</x:v>
      </x:c>
      <x:c r="J35" s="2" t="n">
        <x:f>COUNTIFS('日経_PP04'!$A$7:$A$56,"PP04",'日経_PP04'!$C$7:$C$56,"デイ",'日経_PP04'!$D$7:$D$56,"上昇",'日経_PP04'!$G$7:$G$56,"&lt;0")</x:f>
        <x:v>2</x:v>
      </x:c>
      <x:c r="K35" s="2" t="n">
        <x:f>COUNTIFS('日経_PP04'!$A$7:$A$56,"PP04",'日経_PP04'!$C$7:$C$56,"デイ",'日経_PP04'!$D$7:$D$56,"上昇",'日経_PP04'!$K$7:$K$56,"=0")</x:f>
        <x:v>0</x:v>
      </x:c>
      <x:c r="L35" s="19" t="n">
        <x:f>IF(J35=0,0,-SUMIFS('日経_PP04'!$G$7:$G$56,'日経_PP04'!$A$7:$A$56,"PP04",'日経_PP04'!$C$7:$C$56,"デイ",'日経_PP04'!$D$7:$D$56,"上昇",'日経_PP04'!$G$7:$G$56,"&lt;0")/J35)</x:f>
        <x:v>129028.5</x:v>
      </x:c>
      <x:c r="M35" s="19" t="n">
        <x:v>129028.5</x:v>
      </x:c>
      <x:c r="N35" s="19" t="n">
        <x:v>135760</x:v>
      </x:c>
      <x:c r="O35" s="19" t="n">
        <x:v>362270</x:v>
      </x:c>
      <x:c r="P35" s="22" t="n">
        <x:f>AVERAGEIFS('日経_PP04'!$R$7:$R$56,'日経_PP04'!$A$7:$A$56,"PP04",'日経_PP04'!$C$7:$C$56,"デイ",'日経_PP04'!$D$7:$D$56,"上昇")</x:f>
        <x:v>0.6472056878306879</x:v>
      </x:c>
      <x:c r="Q35" s="22" t="n">
        <x:f>SUMIFS('日経_PP04'!$P$7:$P$56,'日経_PP04'!$A$7:$A$56,"PP04",'日経_PP04'!$C$7:$C$56,"デイ",'日経_PP04'!$D$7:$D$56,"上昇")/SUMIFS('日経_PP04'!$Q$7:$Q$56,'日経_PP04'!$A$7:$A$56,"PP04",'日経_PP04'!$C$7:$C$56,"デイ",'日経_PP04'!$D$7:$D$56,"上昇")</x:f>
        <x:v>0.6472056878306878</x:v>
      </x:c>
      <x:c r="R35" s="23" t="n">
        <x:f>AVERAGEIFS('日経_PP04'!$S$7:$S$56,'日経_PP04'!$A$7:$A$56,"PP04",'日経_PP04'!$C$7:$C$56,"デイ",'日経_PP04'!$D$7:$D$56,"上昇")</x:f>
        <x:v>1.7859193121693122</x:v>
      </x:c>
      <x:c r="S35" s="2" t="n">
        <x:f>SUMIFS('日経_PP04'!$K$7:$K$56,'日経_PP04'!$A$7:$A$56,"PP04",'日経_PP04'!$C$7:$C$56,"デイ",'日経_PP04'!$D$7:$D$56,"上昇")</x:f>
        <x:v>75</x:v>
      </x:c>
      <x:c r="T35" s="2" t="str">
        <x:v>二担当の比較候補。5＋5枚。基本の入口・退出に新しい逆流判定を足さない。</x:v>
      </x:c>
    </x:row>
    <x:row r="36" ht="22" customHeight="1">
      <x:c r="A36" s="2" t="str">
        <x:v>PP04</x:v>
      </x:c>
      <x:c r="B36" s="2" t="str">
        <x:v>デイ・下落</x:v>
      </x:c>
      <x:c r="C36" s="2" t="str">
        <x:v>既知開発50場</x:v>
      </x:c>
      <x:c r="D36" s="2" t="n">
        <x:f>COUNTIFS('日経_PP04'!$A$7:$A$56,"PP04",'日経_PP04'!$C$7:$C$56,"デイ",'日経_PP04'!$D$7:$D$56,"下落")</x:f>
        <x:v>13</x:v>
      </x:c>
      <x:c r="E36" s="19" t="n">
        <x:f>SUMIFS('日経_PP04'!$E$7:$E$56,'日経_PP04'!$A$7:$A$56,"PP04",'日経_PP04'!$C$7:$C$56,"デイ",'日経_PP04'!$D$7:$D$56,"下落")</x:f>
        <x:v>2440189</x:v>
      </x:c>
      <x:c r="F36" s="19" t="n">
        <x:f>SUMIFS('日経_PP04'!$F$7:$F$56,'日経_PP04'!$A$7:$A$56,"PP04",'日経_PP04'!$C$7:$C$56,"デイ",'日経_PP04'!$D$7:$D$56,"下落")</x:f>
        <x:v>1017748</x:v>
      </x:c>
      <x:c r="G36" s="19" t="n">
        <x:f>E36-F36</x:f>
        <x:v>1422441</x:v>
      </x:c>
      <x:c r="H36" s="23" t="n">
        <x:f>IF(F36=0,IF(E36=0,"算定不能","損失なし"),E36/F36)</x:f>
        <x:v>2.397635760522251</x:v>
      </x:c>
      <x:c r="I36" s="2" t="n">
        <x:f>COUNTIFS('日経_PP04'!$A$7:$A$56,"PP04",'日経_PP04'!$C$7:$C$56,"デイ",'日経_PP04'!$D$7:$D$56,"下落",'日経_PP04'!$G$7:$G$56,"&gt;0")</x:f>
        <x:v>6</x:v>
      </x:c>
      <x:c r="J36" s="2" t="n">
        <x:f>COUNTIFS('日経_PP04'!$A$7:$A$56,"PP04",'日経_PP04'!$C$7:$C$56,"デイ",'日経_PP04'!$D$7:$D$56,"下落",'日経_PP04'!$G$7:$G$56,"&lt;0")</x:f>
        <x:v>7</x:v>
      </x:c>
      <x:c r="K36" s="2" t="n">
        <x:f>COUNTIFS('日経_PP04'!$A$7:$A$56,"PP04",'日経_PP04'!$C$7:$C$56,"デイ",'日経_PP04'!$D$7:$D$56,"下落",'日経_PP04'!$K$7:$K$56,"=0")</x:f>
        <x:v>0</x:v>
      </x:c>
      <x:c r="L36" s="19" t="n">
        <x:f>IF(J36=0,0,-SUMIFS('日経_PP04'!$G$7:$G$56,'日経_PP04'!$A$7:$A$56,"PP04",'日経_PP04'!$C$7:$C$56,"デイ",'日経_PP04'!$D$7:$D$56,"下落",'日経_PP04'!$G$7:$G$56,"&lt;0")/J36)</x:f>
        <x:v>56611</x:v>
      </x:c>
      <x:c r="M36" s="19" t="n">
        <x:v>48918</x:v>
      </x:c>
      <x:c r="N36" s="19" t="n">
        <x:v>106152</x:v>
      </x:c>
      <x:c r="O36" s="19" t="n">
        <x:v>-189266</x:v>
      </x:c>
      <x:c r="P36" s="22" t="n">
        <x:f>AVERAGEIFS('日経_PP04'!$R$7:$R$56,'日経_PP04'!$A$7:$A$56,"PP04",'日経_PP04'!$C$7:$C$56,"デイ",'日経_PP04'!$D$7:$D$56,"下落")</x:f>
        <x:v>0.6696642246642246</x:v>
      </x:c>
      <x:c r="Q36" s="22" t="n">
        <x:f>SUMIFS('日経_PP04'!$P$7:$P$56,'日経_PP04'!$A$7:$A$56,"PP04",'日経_PP04'!$C$7:$C$56,"デイ",'日経_PP04'!$D$7:$D$56,"下落")/SUMIFS('日経_PP04'!$Q$7:$Q$56,'日経_PP04'!$A$7:$A$56,"PP04",'日経_PP04'!$C$7:$C$56,"デイ",'日経_PP04'!$D$7:$D$56,"下落")</x:f>
        <x:v>0.6696642246642247</x:v>
      </x:c>
      <x:c r="R36" s="23" t="n">
        <x:f>AVERAGEIFS('日経_PP04'!$S$7:$S$56,'日経_PP04'!$A$7:$A$56,"PP04",'日経_PP04'!$C$7:$C$56,"デイ",'日経_PP04'!$D$7:$D$56,"下落")</x:f>
        <x:v>2.412942612942613</x:v>
      </x:c>
      <x:c r="S36" s="2" t="n">
        <x:f>SUMIFS('日経_PP04'!$K$7:$K$56,'日経_PP04'!$A$7:$A$56,"PP04",'日経_PP04'!$C$7:$C$56,"デイ",'日経_PP04'!$D$7:$D$56,"下落")</x:f>
        <x:v>82</x:v>
      </x:c>
      <x:c r="T36" s="2" t="str">
        <x:v>二担当の比較候補。5＋5枚。基本の入口・退出に新しい逆流判定を足さない。</x:v>
      </x:c>
    </x:row>
    <x:row r="37" ht="22" customHeight="1">
      <x:c r="A37" s="2" t="str">
        <x:v>PP04</x:v>
      </x:c>
      <x:c r="B37" s="2" t="str">
        <x:v>ナイト・上昇</x:v>
      </x:c>
      <x:c r="C37" s="2" t="str">
        <x:v>既知開発50場</x:v>
      </x:c>
      <x:c r="D37" s="2" t="n">
        <x:f>COUNTIFS('日経_PP04'!$A$7:$A$56,"PP04",'日経_PP04'!$C$7:$C$56,"ナイト",'日経_PP04'!$D$7:$D$56,"上昇")</x:f>
        <x:v>12</x:v>
      </x:c>
      <x:c r="E37" s="19" t="n">
        <x:f>SUMIFS('日経_PP04'!$E$7:$E$56,'日経_PP04'!$A$7:$A$56,"PP04",'日経_PP04'!$C$7:$C$56,"ナイト",'日経_PP04'!$D$7:$D$56,"上昇")</x:f>
        <x:v>1392975</x:v>
      </x:c>
      <x:c r="F37" s="19" t="n">
        <x:f>SUMIFS('日経_PP04'!$F$7:$F$56,'日経_PP04'!$A$7:$A$56,"PP04",'日経_PP04'!$C$7:$C$56,"ナイト",'日経_PP04'!$D$7:$D$56,"上昇")</x:f>
        <x:v>726764</x:v>
      </x:c>
      <x:c r="G37" s="19" t="n">
        <x:f>E37-F37</x:f>
        <x:v>666211</x:v>
      </x:c>
      <x:c r="H37" s="23" t="n">
        <x:f>IF(F37=0,IF(E37=0,"算定不能","損失なし"),E37/F37)</x:f>
        <x:v>1.916681343599848</x:v>
      </x:c>
      <x:c r="I37" s="2" t="n">
        <x:f>COUNTIFS('日経_PP04'!$A$7:$A$56,"PP04",'日経_PP04'!$C$7:$C$56,"ナイト",'日経_PP04'!$D$7:$D$56,"上昇",'日経_PP04'!$G$7:$G$56,"&gt;0")</x:f>
        <x:v>6</x:v>
      </x:c>
      <x:c r="J37" s="2" t="n">
        <x:f>COUNTIFS('日経_PP04'!$A$7:$A$56,"PP04",'日経_PP04'!$C$7:$C$56,"ナイト",'日経_PP04'!$D$7:$D$56,"上昇",'日経_PP04'!$G$7:$G$56,"&lt;0")</x:f>
        <x:v>6</x:v>
      </x:c>
      <x:c r="K37" s="2" t="n">
        <x:f>COUNTIFS('日経_PP04'!$A$7:$A$56,"PP04",'日経_PP04'!$C$7:$C$56,"ナイト",'日経_PP04'!$D$7:$D$56,"上昇",'日経_PP04'!$K$7:$K$56,"=0")</x:f>
        <x:v>0</x:v>
      </x:c>
      <x:c r="L37" s="19" t="n">
        <x:f>IF(J37=0,0,-SUMIFS('日経_PP04'!$G$7:$G$56,'日経_PP04'!$A$7:$A$56,"PP04",'日経_PP04'!$C$7:$C$56,"ナイト",'日経_PP04'!$D$7:$D$56,"上昇",'日経_PP04'!$G$7:$G$56,"&lt;0")/J37)</x:f>
        <x:v>43086.166666666664</x:v>
      </x:c>
      <x:c r="M37" s="19" t="n">
        <x:v>37033</x:v>
      </x:c>
      <x:c r="N37" s="19" t="n">
        <x:v>96922</x:v>
      </x:c>
      <x:c r="O37" s="19" t="n">
        <x:v>-182503</x:v>
      </x:c>
      <x:c r="P37" s="22" t="n">
        <x:f>AVERAGEIFS('日経_PP04'!$R$7:$R$56,'日経_PP04'!$A$7:$A$56,"PP04",'日経_PP04'!$C$7:$C$56,"ナイト",'日経_PP04'!$D$7:$D$56,"上昇")</x:f>
        <x:v>0.32537962962962963</x:v>
      </x:c>
      <x:c r="Q37" s="22" t="n">
        <x:f>SUMIFS('日経_PP04'!$P$7:$P$56,'日経_PP04'!$A$7:$A$56,"PP04",'日経_PP04'!$C$7:$C$56,"ナイト",'日経_PP04'!$D$7:$D$56,"上昇")/SUMIFS('日経_PP04'!$Q$7:$Q$56,'日経_PP04'!$A$7:$A$56,"PP04",'日経_PP04'!$C$7:$C$56,"ナイト",'日経_PP04'!$D$7:$D$56,"上昇")</x:f>
        <x:v>0.3253796296296296</x:v>
      </x:c>
      <x:c r="R37" s="23" t="n">
        <x:f>AVERAGEIFS('日経_PP04'!$S$7:$S$56,'日経_PP04'!$A$7:$A$56,"PP04",'日経_PP04'!$C$7:$C$56,"ナイト",'日経_PP04'!$D$7:$D$56,"上昇")</x:f>
        <x:v>0.8438587962962963</x:v>
      </x:c>
      <x:c r="S37" s="2" t="n">
        <x:f>SUMIFS('日経_PP04'!$K$7:$K$56,'日経_PP04'!$A$7:$A$56,"PP04",'日経_PP04'!$C$7:$C$56,"ナイト",'日経_PP04'!$D$7:$D$56,"上昇")</x:f>
        <x:v>88</x:v>
      </x:c>
      <x:c r="T37" s="2" t="str">
        <x:v>二担当の比較候補。5＋5枚。基本の入口・退出に新しい逆流判定を足さない。</x:v>
      </x:c>
    </x:row>
    <x:row r="38" ht="22" customHeight="1">
      <x:c r="A38" s="2" t="str">
        <x:v>PP04</x:v>
      </x:c>
      <x:c r="B38" s="2" t="str">
        <x:v>ナイト・下落</x:v>
      </x:c>
      <x:c r="C38" s="2" t="str">
        <x:v>既知開発50場</x:v>
      </x:c>
      <x:c r="D38" s="2" t="n">
        <x:f>COUNTIFS('日経_PP04'!$A$7:$A$56,"PP04",'日経_PP04'!$C$7:$C$56,"ナイト",'日経_PP04'!$D$7:$D$56,"下落")</x:f>
        <x:v>13</x:v>
      </x:c>
      <x:c r="E38" s="19" t="n">
        <x:f>SUMIFS('日経_PP04'!$E$7:$E$56,'日経_PP04'!$A$7:$A$56,"PP04",'日経_PP04'!$C$7:$C$56,"ナイト",'日経_PP04'!$D$7:$D$56,"下落")</x:f>
        <x:v>1195117</x:v>
      </x:c>
      <x:c r="F38" s="19" t="n">
        <x:f>SUMIFS('日経_PP04'!$F$7:$F$56,'日経_PP04'!$A$7:$A$56,"PP04",'日経_PP04'!$C$7:$C$56,"ナイト",'日経_PP04'!$D$7:$D$56,"下落")</x:f>
        <x:v>626837</x:v>
      </x:c>
      <x:c r="G38" s="19" t="n">
        <x:f>E38-F38</x:f>
        <x:v>568280</x:v>
      </x:c>
      <x:c r="H38" s="23" t="n">
        <x:f>IF(F38=0,IF(E38=0,"算定不能","損失なし"),E38/F38)</x:f>
        <x:v>1.9065833701584303</x:v>
      </x:c>
      <x:c r="I38" s="2" t="n">
        <x:f>COUNTIFS('日経_PP04'!$A$7:$A$56,"PP04",'日経_PP04'!$C$7:$C$56,"ナイト",'日経_PP04'!$D$7:$D$56,"下落",'日経_PP04'!$G$7:$G$56,"&gt;0")</x:f>
        <x:v>10</x:v>
      </x:c>
      <x:c r="J38" s="2" t="n">
        <x:f>COUNTIFS('日経_PP04'!$A$7:$A$56,"PP04",'日経_PP04'!$C$7:$C$56,"ナイト",'日経_PP04'!$D$7:$D$56,"下落",'日経_PP04'!$G$7:$G$56,"&lt;0")</x:f>
        <x:v>3</x:v>
      </x:c>
      <x:c r="K38" s="2" t="n">
        <x:f>COUNTIFS('日経_PP04'!$A$7:$A$56,"PP04",'日経_PP04'!$C$7:$C$56,"ナイト",'日経_PP04'!$D$7:$D$56,"下落",'日経_PP04'!$K$7:$K$56,"=0")</x:f>
        <x:v>0</x:v>
      </x:c>
      <x:c r="L38" s="19" t="n">
        <x:f>IF(J38=0,0,-SUMIFS('日経_PP04'!$G$7:$G$56,'日経_PP04'!$A$7:$A$56,"PP04",'日経_PP04'!$C$7:$C$56,"ナイト",'日経_PP04'!$D$7:$D$56,"下落",'日経_PP04'!$G$7:$G$56,"&lt;0")/J38)</x:f>
        <x:v>28740.333333333332</x:v>
      </x:c>
      <x:c r="M38" s="19" t="n">
        <x:v>37690</x:v>
      </x:c>
      <x:c r="N38" s="19" t="n">
        <x:v>47228</x:v>
      </x:c>
      <x:c r="O38" s="19" t="n">
        <x:v>184343</x:v>
      </x:c>
      <x:c r="P38" s="22" t="n">
        <x:f>AVERAGEIFS('日経_PP04'!$R$7:$R$56,'日経_PP04'!$A$7:$A$56,"PP04",'日経_PP04'!$C$7:$C$56,"ナイト",'日経_PP04'!$D$7:$D$56,"下落")</x:f>
        <x:v>0.31479700854700854</x:v>
      </x:c>
      <x:c r="Q38" s="22" t="n">
        <x:f>SUMIFS('日経_PP04'!$P$7:$P$56,'日経_PP04'!$A$7:$A$56,"PP04",'日経_PP04'!$C$7:$C$56,"ナイト",'日経_PP04'!$D$7:$D$56,"下落")/SUMIFS('日経_PP04'!$Q$7:$Q$56,'日経_PP04'!$A$7:$A$56,"PP04",'日経_PP04'!$C$7:$C$56,"ナイト",'日経_PP04'!$D$7:$D$56,"下落")</x:f>
        <x:v>0.3147970085470086</x:v>
      </x:c>
      <x:c r="R38" s="23" t="n">
        <x:f>AVERAGEIFS('日経_PP04'!$S$7:$S$56,'日経_PP04'!$A$7:$A$56,"PP04",'日経_PP04'!$C$7:$C$56,"ナイト",'日経_PP04'!$D$7:$D$56,"下落")</x:f>
        <x:v>0.589119658119658</x:v>
      </x:c>
      <x:c r="S38" s="2" t="n">
        <x:f>SUMIFS('日経_PP04'!$K$7:$K$56,'日経_PP04'!$A$7:$A$56,"PP04",'日経_PP04'!$C$7:$C$56,"ナイト",'日経_PP04'!$D$7:$D$56,"下落")</x:f>
        <x:v>75</x:v>
      </x:c>
      <x:c r="T38" s="2" t="str">
        <x:v>二担当の比較候補。5＋5枚。基本の入口・退出に新しい逆流判定を足さない。</x:v>
      </x:c>
    </x:row>
    <x:row r="39" ht="22" customHeight="1">
      <x:c r="A39" s="2" t="str">
        <x:v>PG04</x:v>
      </x:c>
      <x:c r="B39" s="2" t="str">
        <x:v>デイ</x:v>
      </x:c>
      <x:c r="C39" s="2" t="str">
        <x:v>既知開発50場</x:v>
      </x:c>
      <x:c r="D39" s="2" t="n">
        <x:f>COUNTIFS('日経_PG04'!$A$7:$A$56,"PG04",'日経_PG04'!$C$7:$C$56,"デイ")</x:f>
        <x:v>25</x:v>
      </x:c>
      <x:c r="E39" s="19" t="n">
        <x:f>SUMIFS('日経_PG04'!$E$7:$E$56,'日経_PG04'!$A$7:$A$56,"PG04",'日経_PG04'!$C$7:$C$56,"デイ")</x:f>
        <x:v>4037987</x:v>
      </x:c>
      <x:c r="F39" s="19" t="n">
        <x:f>SUMIFS('日経_PG04'!$F$7:$F$56,'日経_PG04'!$A$7:$A$56,"PG04",'日経_PG04'!$C$7:$C$56,"デイ")</x:f>
        <x:v>1662110</x:v>
      </x:c>
      <x:c r="G39" s="19" t="n">
        <x:f>E39-F39</x:f>
        <x:v>2375877</x:v>
      </x:c>
      <x:c r="H39" s="23" t="n">
        <x:f>IF(F39=0,IF(E39=0,"算定不能","損失なし"),E39/F39)</x:f>
        <x:v>2.429434273303211</x:v>
      </x:c>
      <x:c r="I39" s="2" t="n">
        <x:f>COUNTIFS('日経_PG04'!$A$7:$A$56,"PG04",'日経_PG04'!$C$7:$C$56,"デイ",'日経_PG04'!$G$7:$G$56,"&gt;0")</x:f>
        <x:v>15</x:v>
      </x:c>
      <x:c r="J39" s="2" t="n">
        <x:f>COUNTIFS('日経_PG04'!$A$7:$A$56,"PG04",'日経_PG04'!$C$7:$C$56,"デイ",'日経_PG04'!$G$7:$G$56,"&lt;0")</x:f>
        <x:v>10</x:v>
      </x:c>
      <x:c r="K39" s="2" t="n">
        <x:f>COUNTIFS('日経_PG04'!$A$7:$A$56,"PG04",'日経_PG04'!$C$7:$C$56,"デイ",'日経_PG04'!$K$7:$K$56,"=0")</x:f>
        <x:v>0</x:v>
      </x:c>
      <x:c r="L39" s="19" t="n">
        <x:f>IF(J39=0,0,-SUMIFS('日経_PG04'!$G$7:$G$56,'日経_PG04'!$A$7:$A$56,"PG04",'日経_PG04'!$C$7:$C$56,"デイ",'日経_PG04'!$G$7:$G$56,"&lt;0")/J39)</x:f>
        <x:v>47017.8</x:v>
      </x:c>
      <x:c r="M39" s="19" t="n">
        <x:v>22420</x:v>
      </x:c>
      <x:c r="N39" s="19" t="n">
        <x:v>120760</x:v>
      </x:c>
      <x:c r="O39" s="19" t="n">
        <x:v>758167</x:v>
      </x:c>
      <x:c r="P39" s="22" t="n">
        <x:f>AVERAGEIFS('日経_PG04'!$R$7:$R$56,'日経_PG04'!$A$7:$A$56,"PG04",'日経_PG04'!$C$7:$C$56,"デイ")</x:f>
        <x:v>0.6283460317460318</x:v>
      </x:c>
      <x:c r="Q39" s="22" t="n">
        <x:f>SUMIFS('日経_PG04'!$P$7:$P$56,'日経_PG04'!$A$7:$A$56,"PG04",'日経_PG04'!$C$7:$C$56,"デイ")/SUMIFS('日経_PG04'!$Q$7:$Q$56,'日経_PG04'!$A$7:$A$56,"PG04",'日経_PG04'!$C$7:$C$56,"デイ")</x:f>
        <x:v>0.6283460317460319</x:v>
      </x:c>
      <x:c r="R39" s="23" t="n">
        <x:f>AVERAGEIFS('日経_PG04'!$S$7:$S$56,'日経_PG04'!$A$7:$A$56,"PG04",'日経_PG04'!$C$7:$C$56,"デイ")</x:f>
        <x:v>1.9801365079365079</x:v>
      </x:c>
      <x:c r="S39" s="2" t="n">
        <x:f>SUMIFS('日経_PG04'!$K$7:$K$56,'日経_PG04'!$A$7:$A$56,"PG04",'日経_PG04'!$C$7:$C$56,"デイ")</x:f>
        <x:v>155</x:v>
      </x:c>
      <x:c r="T39" s="2" t="str">
        <x:v>二担当の比較候補。5＋5枚。利益損失比に優るが赤字場はやや多い。</x:v>
      </x:c>
    </x:row>
    <x:row r="40" ht="22" customHeight="1">
      <x:c r="A40" s="2" t="str">
        <x:v>PG04</x:v>
      </x:c>
      <x:c r="B40" s="2" t="str">
        <x:v>ナイト</x:v>
      </x:c>
      <x:c r="C40" s="2" t="str">
        <x:v>既知開発50場</x:v>
      </x:c>
      <x:c r="D40" s="2" t="n">
        <x:f>COUNTIFS('日経_PG04'!$A$7:$A$56,"PG04",'日経_PG04'!$C$7:$C$56,"ナイト")</x:f>
        <x:v>25</x:v>
      </x:c>
      <x:c r="E40" s="19" t="n">
        <x:f>SUMIFS('日経_PG04'!$E$7:$E$56,'日経_PG04'!$A$7:$A$56,"PG04",'日経_PG04'!$C$7:$C$56,"ナイト")</x:f>
        <x:v>2379012</x:v>
      </x:c>
      <x:c r="F40" s="19" t="n">
        <x:f>SUMIFS('日経_PG04'!$F$7:$F$56,'日経_PG04'!$A$7:$A$56,"PG04",'日経_PG04'!$C$7:$C$56,"ナイト")</x:f>
        <x:v>1060143</x:v>
      </x:c>
      <x:c r="G40" s="19" t="n">
        <x:f>E40-F40</x:f>
        <x:v>1318869</x:v>
      </x:c>
      <x:c r="H40" s="23" t="n">
        <x:f>IF(F40=0,IF(E40=0,"算定不能","損失なし"),E40/F40)</x:f>
        <x:v>2.244048208590728</x:v>
      </x:c>
      <x:c r="I40" s="2" t="n">
        <x:f>COUNTIFS('日経_PG04'!$A$7:$A$56,"PG04",'日経_PG04'!$C$7:$C$56,"ナイト",'日経_PG04'!$G$7:$G$56,"&gt;0")</x:f>
        <x:v>16</x:v>
      </x:c>
      <x:c r="J40" s="2" t="n">
        <x:f>COUNTIFS('日経_PG04'!$A$7:$A$56,"PG04",'日経_PG04'!$C$7:$C$56,"ナイト",'日経_PG04'!$G$7:$G$56,"&lt;0")</x:f>
        <x:v>9</x:v>
      </x:c>
      <x:c r="K40" s="2" t="n">
        <x:f>COUNTIFS('日経_PG04'!$A$7:$A$56,"PG04",'日経_PG04'!$C$7:$C$56,"ナイト",'日経_PG04'!$K$7:$K$56,"=0")</x:f>
        <x:v>0</x:v>
      </x:c>
      <x:c r="L40" s="19" t="n">
        <x:f>IF(J40=0,0,-SUMIFS('日経_PG04'!$G$7:$G$56,'日経_PG04'!$A$7:$A$56,"PG04",'日経_PG04'!$C$7:$C$56,"ナイト",'日経_PG04'!$G$7:$G$56,"&lt;0")/J40)</x:f>
        <x:v>37356.22222222222</x:v>
      </x:c>
      <x:c r="M40" s="19" t="n">
        <x:v>37690</x:v>
      </x:c>
      <x:c r="N40" s="19" t="n">
        <x:v>61538</x:v>
      </x:c>
      <x:c r="O40" s="19" t="n">
        <x:v>338231</x:v>
      </x:c>
      <x:c r="P40" s="22" t="n">
        <x:f>AVERAGEIFS('日経_PG04'!$R$7:$R$56,'日経_PG04'!$A$7:$A$56,"PG04",'日経_PG04'!$C$7:$C$56,"ナイト")</x:f>
        <x:v>0.29982</x:v>
      </x:c>
      <x:c r="Q40" s="22" t="n">
        <x:f>SUMIFS('日経_PG04'!$P$7:$P$56,'日経_PG04'!$A$7:$A$56,"PG04",'日経_PG04'!$C$7:$C$56,"ナイト")/SUMIFS('日経_PG04'!$Q$7:$Q$56,'日経_PG04'!$A$7:$A$56,"PG04",'日経_PG04'!$C$7:$C$56,"ナイト")</x:f>
        <x:v>0.29982000000000003</x:v>
      </x:c>
      <x:c r="R40" s="23" t="n">
        <x:f>AVERAGEIFS('日経_PG04'!$S$7:$S$56,'日経_PG04'!$A$7:$A$56,"PG04",'日経_PG04'!$C$7:$C$56,"ナイト")</x:f>
        <x:v>0.671378888888889</x:v>
      </x:c>
      <x:c r="S40" s="2" t="n">
        <x:f>SUMIFS('日経_PG04'!$K$7:$K$56,'日経_PG04'!$A$7:$A$56,"PG04",'日経_PG04'!$C$7:$C$56,"ナイト")</x:f>
        <x:v>151</x:v>
      </x:c>
      <x:c r="T40" s="2" t="str">
        <x:v>二担当の比較候補。5＋5枚。利益損失比に優るが赤字場はやや多い。</x:v>
      </x:c>
    </x:row>
    <x:row r="41" ht="22" customHeight="1">
      <x:c r="A41" s="2" t="str">
        <x:v>PG04</x:v>
      </x:c>
      <x:c r="B41" s="2" t="str">
        <x:v>上昇場</x:v>
      </x:c>
      <x:c r="C41" s="2" t="str">
        <x:v>既知開発50場</x:v>
      </x:c>
      <x:c r="D41" s="2" t="n">
        <x:f>COUNTIFS('日経_PG04'!$A$7:$A$56,"PG04",'日経_PG04'!$D$7:$D$56,"上昇")</x:f>
        <x:v>24</x:v>
      </x:c>
      <x:c r="E41" s="19" t="n">
        <x:f>SUMIFS('日経_PG04'!$E$7:$E$56,'日経_PG04'!$A$7:$A$56,"PG04",'日経_PG04'!$D$7:$D$56,"上昇")</x:f>
        <x:v>2984005</x:v>
      </x:c>
      <x:c r="F41" s="19" t="n">
        <x:f>SUMIFS('日経_PG04'!$F$7:$F$56,'日経_PG04'!$A$7:$A$56,"PG04",'日経_PG04'!$D$7:$D$56,"上昇")</x:f>
        <x:v>1263820</x:v>
      </x:c>
      <x:c r="G41" s="19" t="n">
        <x:f>E41-F41</x:f>
        <x:v>1720185</x:v>
      </x:c>
      <x:c r="H41" s="23" t="n">
        <x:f>IF(F41=0,IF(E41=0,"算定不能","損失なし"),E41/F41)</x:f>
        <x:v>2.3610996819167287</x:v>
      </x:c>
      <x:c r="I41" s="2" t="n">
        <x:f>COUNTIFS('日経_PG04'!$A$7:$A$56,"PG04",'日経_PG04'!$D$7:$D$56,"上昇",'日経_PG04'!$G$7:$G$56,"&gt;0")</x:f>
        <x:v>17</x:v>
      </x:c>
      <x:c r="J41" s="2" t="n">
        <x:f>COUNTIFS('日経_PG04'!$A$7:$A$56,"PG04",'日経_PG04'!$D$7:$D$56,"上昇",'日経_PG04'!$G$7:$G$56,"&lt;0")</x:f>
        <x:v>7</x:v>
      </x:c>
      <x:c r="K41" s="2" t="n">
        <x:f>COUNTIFS('日経_PG04'!$A$7:$A$56,"PG04",'日経_PG04'!$D$7:$D$56,"上昇",'日経_PG04'!$K$7:$K$56,"=0")</x:f>
        <x:v>0</x:v>
      </x:c>
      <x:c r="L41" s="19" t="n">
        <x:f>IF(J41=0,0,-SUMIFS('日経_PG04'!$G$7:$G$56,'日経_PG04'!$A$7:$A$56,"PG04",'日経_PG04'!$D$7:$D$56,"上昇",'日経_PG04'!$G$7:$G$56,"&lt;0")/J41)</x:f>
        <x:v>58522.42857142857</x:v>
      </x:c>
      <x:c r="M41" s="19" t="n">
        <x:v>45384</x:v>
      </x:c>
      <x:c r="N41" s="19" t="n">
        <x:v>120760</x:v>
      </x:c>
      <x:c r="O41" s="19" t="n">
        <x:v>700390</x:v>
      </x:c>
      <x:c r="P41" s="22" t="n">
        <x:f>AVERAGEIFS('日経_PG04'!$R$7:$R$56,'日経_PG04'!$A$7:$A$56,"PG04",'日経_PG04'!$D$7:$D$56,"上昇")</x:f>
        <x:v>0.48131150793650795</x:v>
      </x:c>
      <x:c r="Q41" s="22" t="n">
        <x:f>SUMIFS('日経_PG04'!$P$7:$P$56,'日経_PG04'!$A$7:$A$56,"PG04",'日経_PG04'!$D$7:$D$56,"上昇")/SUMIFS('日経_PG04'!$Q$7:$Q$56,'日経_PG04'!$A$7:$A$56,"PG04",'日経_PG04'!$D$7:$D$56,"上昇")</x:f>
        <x:v>0.4530882352941175</x:v>
      </x:c>
      <x:c r="R41" s="23" t="n">
        <x:f>AVERAGEIFS('日経_PG04'!$S$7:$S$56,'日経_PG04'!$A$7:$A$56,"PG04",'日経_PG04'!$D$7:$D$56,"上昇")</x:f>
        <x:v>1.2893510251322755</x:v>
      </x:c>
      <x:c r="S41" s="2" t="n">
        <x:f>SUMIFS('日経_PG04'!$K$7:$K$56,'日経_PG04'!$A$7:$A$56,"PG04",'日経_PG04'!$D$7:$D$56,"上昇")</x:f>
        <x:v>159</x:v>
      </x:c>
      <x:c r="T41" s="2" t="str">
        <x:v>二担当の比較候補。5＋5枚。利益損失比に優るが赤字場はやや多い。</x:v>
      </x:c>
    </x:row>
    <x:row r="42" ht="22" customHeight="1">
      <x:c r="A42" s="2" t="str">
        <x:v>PG04</x:v>
      </x:c>
      <x:c r="B42" s="2" t="str">
        <x:v>下落場</x:v>
      </x:c>
      <x:c r="C42" s="2" t="str">
        <x:v>既知開発50場</x:v>
      </x:c>
      <x:c r="D42" s="2" t="n">
        <x:f>COUNTIFS('日経_PG04'!$A$7:$A$56,"PG04",'日経_PG04'!$D$7:$D$56,"下落")</x:f>
        <x:v>26</x:v>
      </x:c>
      <x:c r="E42" s="19" t="n">
        <x:f>SUMIFS('日経_PG04'!$E$7:$E$56,'日経_PG04'!$A$7:$A$56,"PG04",'日経_PG04'!$D$7:$D$56,"下落")</x:f>
        <x:v>3432994</x:v>
      </x:c>
      <x:c r="F42" s="19" t="n">
        <x:f>SUMIFS('日経_PG04'!$F$7:$F$56,'日経_PG04'!$A$7:$A$56,"PG04",'日経_PG04'!$D$7:$D$56,"下落")</x:f>
        <x:v>1458433</x:v>
      </x:c>
      <x:c r="G42" s="19" t="n">
        <x:f>E42-F42</x:f>
        <x:v>1974561</x:v>
      </x:c>
      <x:c r="H42" s="23" t="n">
        <x:f>IF(F42=0,IF(E42=0,"算定不能","損失なし"),E42/F42)</x:f>
        <x:v>2.353892156856023</x:v>
      </x:c>
      <x:c r="I42" s="2" t="n">
        <x:f>COUNTIFS('日経_PG04'!$A$7:$A$56,"PG04",'日経_PG04'!$D$7:$D$56,"下落",'日経_PG04'!$G$7:$G$56,"&gt;0")</x:f>
        <x:v>14</x:v>
      </x:c>
      <x:c r="J42" s="2" t="n">
        <x:f>COUNTIFS('日経_PG04'!$A$7:$A$56,"PG04",'日経_PG04'!$D$7:$D$56,"下落",'日経_PG04'!$G$7:$G$56,"&lt;0")</x:f>
        <x:v>12</x:v>
      </x:c>
      <x:c r="K42" s="2" t="n">
        <x:f>COUNTIFS('日経_PG04'!$A$7:$A$56,"PG04",'日経_PG04'!$D$7:$D$56,"下落",'日経_PG04'!$K$7:$K$56,"=0")</x:f>
        <x:v>0</x:v>
      </x:c>
      <x:c r="L42" s="19" t="n">
        <x:f>IF(J42=0,0,-SUMIFS('日経_PG04'!$G$7:$G$56,'日経_PG04'!$A$7:$A$56,"PG04",'日経_PG04'!$D$7:$D$56,"下落",'日経_PG04'!$G$7:$G$56,"&lt;0")/J42)</x:f>
        <x:v>33060.583333333336</x:v>
      </x:c>
      <x:c r="M42" s="19" t="n">
        <x:v>22420</x:v>
      </x:c>
      <x:c r="N42" s="19" t="n">
        <x:v>106152</x:v>
      </x:c>
      <x:c r="O42" s="19" t="n">
        <x:v>396008</x:v>
      </x:c>
      <x:c r="P42" s="22" t="n">
        <x:f>AVERAGEIFS('日経_PG04'!$R$7:$R$56,'日経_PG04'!$A$7:$A$56,"PG04",'日経_PG04'!$D$7:$D$56,"下落")</x:f>
        <x:v>0.4481797924297925</x:v>
      </x:c>
      <x:c r="Q42" s="22" t="n">
        <x:f>SUMIFS('日経_PG04'!$P$7:$P$56,'日経_PG04'!$A$7:$A$56,"PG04",'日経_PG04'!$D$7:$D$56,"下落")/SUMIFS('日経_PG04'!$Q$7:$Q$56,'日経_PG04'!$A$7:$A$56,"PG04",'日経_PG04'!$D$7:$D$56,"下落")</x:f>
        <x:v>0.4184866767219708</x:v>
      </x:c>
      <x:c r="R42" s="23" t="n">
        <x:f>AVERAGEIFS('日経_PG04'!$S$7:$S$56,'日経_PG04'!$A$7:$A$56,"PG04",'日経_PG04'!$D$7:$D$56,"下落")</x:f>
        <x:v>1.3593638583638585</x:v>
      </x:c>
      <x:c r="S42" s="2" t="n">
        <x:f>SUMIFS('日経_PG04'!$K$7:$K$56,'日経_PG04'!$A$7:$A$56,"PG04",'日経_PG04'!$D$7:$D$56,"下落")</x:f>
        <x:v>147</x:v>
      </x:c>
      <x:c r="T42" s="2" t="str">
        <x:v>二担当の比較候補。5＋5枚。利益損失比に優るが赤字場はやや多い。</x:v>
      </x:c>
    </x:row>
    <x:row r="43" ht="22" customHeight="1">
      <x:c r="A43" s="2" t="str">
        <x:v>PG04</x:v>
      </x:c>
      <x:c r="B43" s="2" t="str">
        <x:v>デイ・上昇</x:v>
      </x:c>
      <x:c r="C43" s="2" t="str">
        <x:v>既知開発50場</x:v>
      </x:c>
      <x:c r="D43" s="2" t="n">
        <x:f>COUNTIFS('日経_PG04'!$A$7:$A$56,"PG04",'日経_PG04'!$C$7:$C$56,"デイ",'日経_PG04'!$D$7:$D$56,"上昇")</x:f>
        <x:v>12</x:v>
      </x:c>
      <x:c r="E43" s="19" t="n">
        <x:f>SUMIFS('日経_PG04'!$E$7:$E$56,'日経_PG04'!$A$7:$A$56,"PG04",'日経_PG04'!$C$7:$C$56,"デイ",'日経_PG04'!$D$7:$D$56,"上昇")</x:f>
        <x:v>1674030</x:v>
      </x:c>
      <x:c r="F43" s="19" t="n">
        <x:f>SUMIFS('日経_PG04'!$F$7:$F$56,'日経_PG04'!$A$7:$A$56,"PG04",'日経_PG04'!$C$7:$C$56,"デイ",'日経_PG04'!$D$7:$D$56,"上昇")</x:f>
        <x:v>734362</x:v>
      </x:c>
      <x:c r="G43" s="19" t="n">
        <x:f>E43-F43</x:f>
        <x:v>939668</x:v>
      </x:c>
      <x:c r="H43" s="23" t="n">
        <x:f>IF(F43=0,IF(E43=0,"算定不能","損失なし"),E43/F43)</x:f>
        <x:v>2.279570566015126</x:v>
      </x:c>
      <x:c r="I43" s="2" t="n">
        <x:f>COUNTIFS('日経_PG04'!$A$7:$A$56,"PG04",'日経_PG04'!$C$7:$C$56,"デイ",'日経_PG04'!$D$7:$D$56,"上昇",'日経_PG04'!$G$7:$G$56,"&gt;0")</x:f>
        <x:v>10</x:v>
      </x:c>
      <x:c r="J43" s="2" t="n">
        <x:f>COUNTIFS('日経_PG04'!$A$7:$A$56,"PG04",'日経_PG04'!$C$7:$C$56,"デイ",'日経_PG04'!$D$7:$D$56,"上昇",'日経_PG04'!$G$7:$G$56,"&lt;0")</x:f>
        <x:v>2</x:v>
      </x:c>
      <x:c r="K43" s="2" t="n">
        <x:f>COUNTIFS('日経_PG04'!$A$7:$A$56,"PG04",'日経_PG04'!$C$7:$C$56,"デイ",'日経_PG04'!$D$7:$D$56,"上昇",'日経_PG04'!$K$7:$K$56,"=0")</x:f>
        <x:v>0</x:v>
      </x:c>
      <x:c r="L43" s="19" t="n">
        <x:f>IF(J43=0,0,-SUMIFS('日経_PG04'!$G$7:$G$56,'日経_PG04'!$A$7:$A$56,"PG04",'日経_PG04'!$C$7:$C$56,"デイ",'日経_PG04'!$D$7:$D$56,"上昇",'日経_PG04'!$G$7:$G$56,"&lt;0")/J43)</x:f>
        <x:v>111528.5</x:v>
      </x:c>
      <x:c r="M43" s="19" t="n">
        <x:v>111528.5</x:v>
      </x:c>
      <x:c r="N43" s="19" t="n">
        <x:v>120760</x:v>
      </x:c>
      <x:c r="O43" s="19" t="n">
        <x:v>407270</x:v>
      </x:c>
      <x:c r="P43" s="22" t="n">
        <x:f>AVERAGEIFS('日経_PG04'!$R$7:$R$56,'日経_PG04'!$A$7:$A$56,"PG04",'日経_PG04'!$C$7:$C$56,"デイ",'日経_PG04'!$D$7:$D$56,"上昇")</x:f>
        <x:v>0.6412433862433863</x:v>
      </x:c>
      <x:c r="Q43" s="22" t="n">
        <x:f>SUMIFS('日経_PG04'!$P$7:$P$56,'日経_PG04'!$A$7:$A$56,"PG04",'日経_PG04'!$C$7:$C$56,"デイ",'日経_PG04'!$D$7:$D$56,"上昇")/SUMIFS('日経_PG04'!$Q$7:$Q$56,'日経_PG04'!$A$7:$A$56,"PG04",'日経_PG04'!$C$7:$C$56,"デイ",'日経_PG04'!$D$7:$D$56,"上昇")</x:f>
        <x:v>0.6412433862433862</x:v>
      </x:c>
      <x:c r="R43" s="23" t="n">
        <x:f>AVERAGEIFS('日経_PG04'!$S$7:$S$56,'日経_PG04'!$A$7:$A$56,"PG04",'日経_PG04'!$C$7:$C$56,"デイ",'日経_PG04'!$D$7:$D$56,"上昇")</x:f>
        <x:v>1.7545701058201058</x:v>
      </x:c>
      <x:c r="S43" s="2" t="n">
        <x:f>SUMIFS('日経_PG04'!$K$7:$K$56,'日経_PG04'!$A$7:$A$56,"PG04",'日経_PG04'!$C$7:$C$56,"デイ",'日経_PG04'!$D$7:$D$56,"上昇")</x:f>
        <x:v>75</x:v>
      </x:c>
      <x:c r="T43" s="2" t="str">
        <x:v>二担当の比較候補。5＋5枚。利益損失比に優るが赤字場はやや多い。</x:v>
      </x:c>
    </x:row>
    <x:row r="44" ht="22" customHeight="1">
      <x:c r="A44" s="2" t="str">
        <x:v>PG04</x:v>
      </x:c>
      <x:c r="B44" s="2" t="str">
        <x:v>デイ・下落</x:v>
      </x:c>
      <x:c r="C44" s="2" t="str">
        <x:v>既知開発50場</x:v>
      </x:c>
      <x:c r="D44" s="2" t="n">
        <x:f>COUNTIFS('日経_PG04'!$A$7:$A$56,"PG04",'日経_PG04'!$C$7:$C$56,"デイ",'日経_PG04'!$D$7:$D$56,"下落")</x:f>
        <x:v>13</x:v>
      </x:c>
      <x:c r="E44" s="19" t="n">
        <x:f>SUMIFS('日経_PG04'!$E$7:$E$56,'日経_PG04'!$A$7:$A$56,"PG04",'日経_PG04'!$C$7:$C$56,"デイ",'日経_PG04'!$D$7:$D$56,"下落")</x:f>
        <x:v>2363957</x:v>
      </x:c>
      <x:c r="F44" s="19" t="n">
        <x:f>SUMIFS('日経_PG04'!$F$7:$F$56,'日経_PG04'!$A$7:$A$56,"PG04",'日経_PG04'!$C$7:$C$56,"デイ",'日経_PG04'!$D$7:$D$56,"下落")</x:f>
        <x:v>927748</x:v>
      </x:c>
      <x:c r="G44" s="19" t="n">
        <x:f>E44-F44</x:f>
        <x:v>1436209</x:v>
      </x:c>
      <x:c r="H44" s="23" t="n">
        <x:f>IF(F44=0,IF(E44=0,"算定不能","損失なし"),E44/F44)</x:f>
        <x:v>2.5480593868162473</x:v>
      </x:c>
      <x:c r="I44" s="2" t="n">
        <x:f>COUNTIFS('日経_PG04'!$A$7:$A$56,"PG04",'日経_PG04'!$C$7:$C$56,"デイ",'日経_PG04'!$D$7:$D$56,"下落",'日経_PG04'!$G$7:$G$56,"&gt;0")</x:f>
        <x:v>5</x:v>
      </x:c>
      <x:c r="J44" s="2" t="n">
        <x:f>COUNTIFS('日経_PG04'!$A$7:$A$56,"PG04",'日経_PG04'!$C$7:$C$56,"デイ",'日経_PG04'!$D$7:$D$56,"下落",'日経_PG04'!$G$7:$G$56,"&lt;0")</x:f>
        <x:v>8</x:v>
      </x:c>
      <x:c r="K44" s="2" t="n">
        <x:f>COUNTIFS('日経_PG04'!$A$7:$A$56,"PG04",'日経_PG04'!$C$7:$C$56,"デイ",'日経_PG04'!$D$7:$D$56,"下落",'日経_PG04'!$K$7:$K$56,"=0")</x:f>
        <x:v>0</x:v>
      </x:c>
      <x:c r="L44" s="19" t="n">
        <x:f>IF(J44=0,0,-SUMIFS('日経_PG04'!$G$7:$G$56,'日経_PG04'!$A$7:$A$56,"PG04",'日経_PG04'!$C$7:$C$56,"デイ",'日経_PG04'!$D$7:$D$56,"下落",'日経_PG04'!$G$7:$G$56,"&lt;0")/J44)</x:f>
        <x:v>30890.125</x:v>
      </x:c>
      <x:c r="M44" s="19" t="n">
        <x:v>19265</x:v>
      </x:c>
      <x:c r="N44" s="19" t="n">
        <x:v>106152</x:v>
      </x:c>
      <x:c r="O44" s="19" t="n">
        <x:v>-115882</x:v>
      </x:c>
      <x:c r="P44" s="22" t="n">
        <x:f>AVERAGEIFS('日経_PG04'!$R$7:$R$56,'日経_PG04'!$A$7:$A$56,"PG04",'日経_PG04'!$C$7:$C$56,"デイ",'日経_PG04'!$D$7:$D$56,"下落")</x:f>
        <x:v>0.6164407814407814</x:v>
      </x:c>
      <x:c r="Q44" s="22" t="n">
        <x:f>SUMIFS('日経_PG04'!$P$7:$P$56,'日経_PG04'!$A$7:$A$56,"PG04",'日経_PG04'!$C$7:$C$56,"デイ",'日経_PG04'!$D$7:$D$56,"下落")/SUMIFS('日経_PG04'!$Q$7:$Q$56,'日経_PG04'!$A$7:$A$56,"PG04",'日経_PG04'!$C$7:$C$56,"デイ",'日経_PG04'!$D$7:$D$56,"下落")</x:f>
        <x:v>0.6164407814407815</x:v>
      </x:c>
      <x:c r="R44" s="23" t="n">
        <x:f>AVERAGEIFS('日経_PG04'!$S$7:$S$56,'日経_PG04'!$A$7:$A$56,"PG04",'日経_PG04'!$C$7:$C$56,"デイ",'日経_PG04'!$D$7:$D$56,"下落")</x:f>
        <x:v>2.1883516483516487</x:v>
      </x:c>
      <x:c r="S44" s="2" t="n">
        <x:f>SUMIFS('日経_PG04'!$K$7:$K$56,'日経_PG04'!$A$7:$A$56,"PG04",'日経_PG04'!$C$7:$C$56,"デイ",'日経_PG04'!$D$7:$D$56,"下落")</x:f>
        <x:v>80</x:v>
      </x:c>
      <x:c r="T44" s="2" t="str">
        <x:v>二担当の比較候補。5＋5枚。利益損失比に優るが赤字場はやや多い。</x:v>
      </x:c>
    </x:row>
    <x:row r="45" ht="22" customHeight="1">
      <x:c r="A45" s="2" t="str">
        <x:v>PG04</x:v>
      </x:c>
      <x:c r="B45" s="2" t="str">
        <x:v>ナイト・上昇</x:v>
      </x:c>
      <x:c r="C45" s="2" t="str">
        <x:v>既知開発50場</x:v>
      </x:c>
      <x:c r="D45" s="2" t="n">
        <x:f>COUNTIFS('日経_PG04'!$A$7:$A$56,"PG04",'日経_PG04'!$C$7:$C$56,"ナイト",'日経_PG04'!$D$7:$D$56,"上昇")</x:f>
        <x:v>12</x:v>
      </x:c>
      <x:c r="E45" s="19" t="n">
        <x:f>SUMIFS('日経_PG04'!$E$7:$E$56,'日経_PG04'!$A$7:$A$56,"PG04",'日経_PG04'!$C$7:$C$56,"ナイト",'日経_PG04'!$D$7:$D$56,"上昇")</x:f>
        <x:v>1309975</x:v>
      </x:c>
      <x:c r="F45" s="19" t="n">
        <x:f>SUMIFS('日経_PG04'!$F$7:$F$56,'日経_PG04'!$A$7:$A$56,"PG04",'日経_PG04'!$C$7:$C$56,"ナイト",'日経_PG04'!$D$7:$D$56,"上昇")</x:f>
        <x:v>529458</x:v>
      </x:c>
      <x:c r="G45" s="19" t="n">
        <x:f>E45-F45</x:f>
        <x:v>780517</x:v>
      </x:c>
      <x:c r="H45" s="23" t="n">
        <x:f>IF(F45=0,IF(E45=0,"算定不能","損失なし"),E45/F45)</x:f>
        <x:v>2.4741811437356693</x:v>
      </x:c>
      <x:c r="I45" s="2" t="n">
        <x:f>COUNTIFS('日経_PG04'!$A$7:$A$56,"PG04",'日経_PG04'!$C$7:$C$56,"ナイト",'日経_PG04'!$D$7:$D$56,"上昇",'日経_PG04'!$G$7:$G$56,"&gt;0")</x:f>
        <x:v>7</x:v>
      </x:c>
      <x:c r="J45" s="2" t="n">
        <x:f>COUNTIFS('日経_PG04'!$A$7:$A$56,"PG04",'日経_PG04'!$C$7:$C$56,"ナイト",'日経_PG04'!$D$7:$D$56,"上昇",'日経_PG04'!$G$7:$G$56,"&lt;0")</x:f>
        <x:v>5</x:v>
      </x:c>
      <x:c r="K45" s="2" t="n">
        <x:f>COUNTIFS('日経_PG04'!$A$7:$A$56,"PG04",'日経_PG04'!$C$7:$C$56,"ナイト",'日経_PG04'!$D$7:$D$56,"上昇",'日経_PG04'!$K$7:$K$56,"=0")</x:f>
        <x:v>0</x:v>
      </x:c>
      <x:c r="L45" s="19" t="n">
        <x:f>IF(J45=0,0,-SUMIFS('日経_PG04'!$G$7:$G$56,'日経_PG04'!$A$7:$A$56,"PG04",'日経_PG04'!$C$7:$C$56,"ナイト",'日経_PG04'!$D$7:$D$56,"上昇",'日経_PG04'!$G$7:$G$56,"&lt;0")/J45)</x:f>
        <x:v>37320</x:v>
      </x:c>
      <x:c r="M45" s="19" t="n">
        <x:v>37533</x:v>
      </x:c>
      <x:c r="N45" s="19" t="n">
        <x:v>61538</x:v>
      </x:c>
      <x:c r="O45" s="19" t="n">
        <x:v>-76969</x:v>
      </x:c>
      <x:c r="P45" s="22" t="n">
        <x:f>AVERAGEIFS('日経_PG04'!$R$7:$R$56,'日経_PG04'!$A$7:$A$56,"PG04",'日経_PG04'!$C$7:$C$56,"ナイト",'日経_PG04'!$D$7:$D$56,"上昇")</x:f>
        <x:v>0.32137962962962957</x:v>
      </x:c>
      <x:c r="Q45" s="22" t="n">
        <x:f>SUMIFS('日経_PG04'!$P$7:$P$56,'日経_PG04'!$A$7:$A$56,"PG04",'日経_PG04'!$C$7:$C$56,"ナイト",'日経_PG04'!$D$7:$D$56,"上昇")/SUMIFS('日経_PG04'!$Q$7:$Q$56,'日経_PG04'!$A$7:$A$56,"PG04",'日経_PG04'!$C$7:$C$56,"ナイト",'日経_PG04'!$D$7:$D$56,"上昇")</x:f>
        <x:v>0.3213796296296296</x:v>
      </x:c>
      <x:c r="R45" s="23" t="n">
        <x:f>AVERAGEIFS('日経_PG04'!$S$7:$S$56,'日経_PG04'!$A$7:$A$56,"PG04",'日経_PG04'!$C$7:$C$56,"ナイト",'日経_PG04'!$D$7:$D$56,"上昇")</x:f>
        <x:v>0.8241319444444444</x:v>
      </x:c>
      <x:c r="S45" s="2" t="n">
        <x:f>SUMIFS('日経_PG04'!$K$7:$K$56,'日経_PG04'!$A$7:$A$56,"PG04",'日経_PG04'!$C$7:$C$56,"ナイト",'日経_PG04'!$D$7:$D$56,"上昇")</x:f>
        <x:v>84</x:v>
      </x:c>
      <x:c r="T45" s="2" t="str">
        <x:v>二担当の比較候補。5＋5枚。利益損失比に優るが赤字場はやや多い。</x:v>
      </x:c>
    </x:row>
    <x:row r="46" ht="22" customHeight="1">
      <x:c r="A46" s="2" t="str">
        <x:v>PG04</x:v>
      </x:c>
      <x:c r="B46" s="2" t="str">
        <x:v>ナイト・下落</x:v>
      </x:c>
      <x:c r="C46" s="2" t="str">
        <x:v>既知開発50場</x:v>
      </x:c>
      <x:c r="D46" s="2" t="n">
        <x:f>COUNTIFS('日経_PG04'!$A$7:$A$56,"PG04",'日経_PG04'!$C$7:$C$56,"ナイト",'日経_PG04'!$D$7:$D$56,"下落")</x:f>
        <x:v>13</x:v>
      </x:c>
      <x:c r="E46" s="19" t="n">
        <x:f>SUMIFS('日経_PG04'!$E$7:$E$56,'日経_PG04'!$A$7:$A$56,"PG04",'日経_PG04'!$C$7:$C$56,"ナイト",'日経_PG04'!$D$7:$D$56,"下落")</x:f>
        <x:v>1069037</x:v>
      </x:c>
      <x:c r="F46" s="19" t="n">
        <x:f>SUMIFS('日経_PG04'!$F$7:$F$56,'日経_PG04'!$A$7:$A$56,"PG04",'日経_PG04'!$C$7:$C$56,"ナイト",'日経_PG04'!$D$7:$D$56,"下落")</x:f>
        <x:v>530685</x:v>
      </x:c>
      <x:c r="G46" s="19" t="n">
        <x:f>E46-F46</x:f>
        <x:v>538352</x:v>
      </x:c>
      <x:c r="H46" s="23" t="n">
        <x:f>IF(F46=0,IF(E46=0,"算定不能","損失なし"),E46/F46)</x:f>
        <x:v>2.0144473651978103</x:v>
      </x:c>
      <x:c r="I46" s="2" t="n">
        <x:f>COUNTIFS('日経_PG04'!$A$7:$A$56,"PG04",'日経_PG04'!$C$7:$C$56,"ナイト",'日経_PG04'!$D$7:$D$56,"下落",'日経_PG04'!$G$7:$G$56,"&gt;0")</x:f>
        <x:v>9</x:v>
      </x:c>
      <x:c r="J46" s="2" t="n">
        <x:f>COUNTIFS('日経_PG04'!$A$7:$A$56,"PG04",'日経_PG04'!$C$7:$C$56,"ナイト",'日経_PG04'!$D$7:$D$56,"下落",'日経_PG04'!$G$7:$G$56,"&lt;0")</x:f>
        <x:v>4</x:v>
      </x:c>
      <x:c r="K46" s="2" t="n">
        <x:f>COUNTIFS('日経_PG04'!$A$7:$A$56,"PG04",'日経_PG04'!$C$7:$C$56,"ナイト",'日経_PG04'!$D$7:$D$56,"下落",'日経_PG04'!$K$7:$K$56,"=0")</x:f>
        <x:v>0</x:v>
      </x:c>
      <x:c r="L46" s="19" t="n">
        <x:f>IF(J46=0,0,-SUMIFS('日経_PG04'!$G$7:$G$56,'日経_PG04'!$A$7:$A$56,"PG04",'日経_PG04'!$C$7:$C$56,"ナイト",'日経_PG04'!$D$7:$D$56,"下落",'日経_PG04'!$G$7:$G$56,"&lt;0")/J46)</x:f>
        <x:v>37401.5</x:v>
      </x:c>
      <x:c r="M46" s="19" t="n">
        <x:v>41113.5</x:v>
      </x:c>
      <x:c r="N46" s="19" t="n">
        <x:v>59460</x:v>
      </x:c>
      <x:c r="O46" s="19" t="n">
        <x:v>99031</x:v>
      </x:c>
      <x:c r="P46" s="22" t="n">
        <x:f>AVERAGEIFS('日経_PG04'!$R$7:$R$56,'日経_PG04'!$A$7:$A$56,"PG04",'日経_PG04'!$C$7:$C$56,"ナイト",'日経_PG04'!$D$7:$D$56,"下落")</x:f>
        <x:v>0.27991880341880343</x:v>
      </x:c>
      <x:c r="Q46" s="22" t="n">
        <x:f>SUMIFS('日経_PG04'!$P$7:$P$56,'日経_PG04'!$A$7:$A$56,"PG04",'日経_PG04'!$C$7:$C$56,"ナイト",'日経_PG04'!$D$7:$D$56,"下落")/SUMIFS('日経_PG04'!$Q$7:$Q$56,'日経_PG04'!$A$7:$A$56,"PG04",'日経_PG04'!$C$7:$C$56,"ナイト",'日経_PG04'!$D$7:$D$56,"下落")</x:f>
        <x:v>0.27991880341880343</x:v>
      </x:c>
      <x:c r="R46" s="23" t="n">
        <x:f>AVERAGEIFS('日経_PG04'!$S$7:$S$56,'日経_PG04'!$A$7:$A$56,"PG04",'日経_PG04'!$C$7:$C$56,"ナイト",'日経_PG04'!$D$7:$D$56,"下落")</x:f>
        <x:v>0.5303760683760684</x:v>
      </x:c>
      <x:c r="S46" s="2" t="n">
        <x:f>SUMIFS('日経_PG04'!$K$7:$K$56,'日経_PG04'!$A$7:$A$56,"PG04",'日経_PG04'!$C$7:$C$56,"ナイト",'日経_PG04'!$D$7:$D$56,"下落")</x:f>
        <x:v>67</x:v>
      </x:c>
      <x:c r="T46" s="2" t="str">
        <x:v>二担当の比較候補。5＋5枚。利益損失比に優るが赤字場はやや多い。</x:v>
      </x:c>
    </x:row>
  </x:sheetData>
  <x:conditionalFormatting sqref="E7:G46">
    <x:cfRule type="cellIs" dxfId="7" priority="1" operator="lessThan">
      <x:formula>0</x:formula>
    </x:cfRule>
  </x:conditionalFormatting>
  <x:conditionalFormatting sqref="L7:O46">
    <x:cfRule type="cellIs" dxfId="8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e3ab10b9cc4a31"/>
  </x:tableParts>
</x:worksheet>
</file>

<file path=xl/worksheets/sheet3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3" hidden="0" customWidth="1"/>
    <x:col min="4" max="4" width="13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3" hidden="0" customWidth="1"/>
    <x:col min="16" max="16" width="23" hidden="0" customWidth="1"/>
    <x:col min="17" max="17" width="23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日経mini F1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6" t="str">
        <x:v>片方向上限10枚。円・手数料後。保有率はデイ420分／ナイト17～03時の600分。損益は全セッションを含みます。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6" t="str">
        <x:v>昼：基本B5＋追加G02／夜：基本Z04＋追加C13。従来の基準。最大5枚と最大5枚の二担当。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6" t="str">
        <x:v>始終値方向は事後評価専用。平均枚数は同じ評価時間の合計保有枚数を平均し、両建ても合算します。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8" customHeight="1">
      <x:c r="A6" s="15" t="str">
        <x:v>手法ID</x:v>
      </x:c>
      <x:c r="B6" s="16" t="str">
        <x:v>開始日時</x:v>
      </x:c>
      <x:c r="C6" s="16" t="str">
        <x:v>昼夜</x:v>
      </x:c>
      <x:c r="D6" s="16" t="str">
        <x:v>始終値方向</x:v>
      </x:c>
      <x:c r="E6" s="16" t="str">
        <x:v>利益（円）</x:v>
      </x:c>
      <x:c r="F6" s="16" t="str">
        <x:v>損失（円）</x:v>
      </x:c>
      <x:c r="G6" s="16" t="str">
        <x:v>収支（円）</x:v>
      </x:c>
      <x:c r="H6" s="16" t="str">
        <x:v>累計（円）</x:v>
      </x:c>
      <x:c r="I6" s="16" t="str">
        <x:v>内数手数料（円）</x:v>
      </x:c>
      <x:c r="J6" s="16" t="str">
        <x:v>費用前収支（円）</x:v>
      </x:c>
      <x:c r="K6" s="16" t="str">
        <x:v>新規回数</x:v>
      </x:c>
      <x:c r="L6" s="16" t="str">
        <x:v>新規枚数</x:v>
      </x:c>
      <x:c r="M6" s="16" t="str">
        <x:v>最大片方向保有</x:v>
      </x:c>
      <x:c r="N6" s="16" t="str">
        <x:v>初回まで（分）</x:v>
      </x:c>
      <x:c r="O6" s="16" t="str">
        <x:v>全場保有（分）</x:v>
      </x:c>
      <x:c r="P6" s="16" t="str">
        <x:v>03時以降除外保有（分）</x:v>
      </x:c>
      <x:c r="Q6" s="16" t="str">
        <x:v>評価時間（分）</x:v>
      </x:c>
      <x:c r="R6" s="16" t="str">
        <x:v>保有率</x:v>
      </x:c>
      <x:c r="S6" s="16" t="str">
        <x:v>平均保有枚数</x:v>
      </x:c>
      <x:c r="T6" s="17" t="str">
        <x:v>対象区分</x:v>
      </x:c>
    </x:row>
    <x:row r="7" ht="22" customHeight="1">
      <x:c r="A7" s="2" t="str">
        <x:v>F1</x:v>
      </x:c>
      <x:c r="B7" s="20" t="d">
        <x:v>2026-09-21T08:45:00.000Z</x:v>
      </x:c>
      <x:c r="C7" s="2" t="str">
        <x:v>デイ</x:v>
      </x:c>
      <x:c r="D7" s="2" t="str">
        <x:v>上昇</x:v>
      </x:c>
      <x:c r="E7" s="19" t="n">
        <x:v>85616</x:v>
      </x:c>
      <x:c r="F7" s="19" t="n">
        <x:v>0</x:v>
      </x:c>
      <x:c r="G7" s="19" t="n">
        <x:f>E7-F7</x:f>
        <x:v>85616</x:v>
      </x:c>
      <x:c r="H7" s="19" t="n">
        <x:f>SUMIFS($G$7:$G$56,$B$7:$B$56,"&lt;="&amp;B7)</x:f>
        <x:v>85616</x:v>
      </x:c>
      <x:c r="I7" s="19" t="n">
        <x:v>384</x:v>
      </x:c>
      <x:c r="J7" s="19" t="n">
        <x:v>86000</x:v>
      </x:c>
      <x:c r="K7" s="2" t="n">
        <x:v>1</x:v>
      </x:c>
      <x:c r="L7" s="2" t="n">
        <x:v>5</x:v>
      </x:c>
      <x:c r="M7" s="2" t="n">
        <x:v>5</x:v>
      </x:c>
      <x:c r="N7" s="21" t="n">
        <x:v>190.06666666666666</x:v>
      </x:c>
      <x:c r="O7" s="21" t="n">
        <x:v>167.2</x:v>
      </x:c>
      <x:c r="P7" s="21" t="n">
        <x:v>167.2</x:v>
      </x:c>
      <x:c r="Q7" s="21" t="n">
        <x:v>420</x:v>
      </x:c>
      <x:c r="R7" s="22" t="n">
        <x:f>P7/Q7</x:f>
        <x:v>0.39809523809523806</x:v>
      </x:c>
      <x:c r="S7" s="23" t="n">
        <x:v>1.4817460317460318</x:v>
      </x:c>
      <x:c r="T7" s="2" t="str">
        <x:v>既知開発50場</x:v>
      </x:c>
    </x:row>
    <x:row r="8" ht="22" customHeight="1">
      <x:c r="A8" s="2" t="str">
        <x:v>F1</x:v>
      </x:c>
      <x:c r="B8" s="20" t="d">
        <x:v>2026-09-21T17:00:00.000Z</x:v>
      </x:c>
      <x:c r="C8" s="2" t="str">
        <x:v>ナイト</x:v>
      </x:c>
      <x:c r="D8" s="2" t="str">
        <x:v>上昇</x:v>
      </x:c>
      <x:c r="E8" s="19" t="n">
        <x:v>0</x:v>
      </x:c>
      <x:c r="F8" s="19" t="n">
        <x:v>45384</x:v>
      </x:c>
      <x:c r="G8" s="19" t="n">
        <x:f>E8-F8</x:f>
        <x:v>-45384</x:v>
      </x:c>
      <x:c r="H8" s="19" t="n">
        <x:f>SUMIFS($G$7:$G$56,$B$7:$B$56,"&lt;="&amp;B8)</x:f>
        <x:v>40232</x:v>
      </x:c>
      <x:c r="I8" s="19" t="n">
        <x:v>384</x:v>
      </x:c>
      <x:c r="J8" s="19" t="n">
        <x:v>-45000</x:v>
      </x:c>
      <x:c r="K8" s="2" t="n">
        <x:v>1</x:v>
      </x:c>
      <x:c r="L8" s="2" t="n">
        <x:v>5</x:v>
      </x:c>
      <x:c r="M8" s="2" t="n">
        <x:v>5</x:v>
      </x:c>
      <x:c r="N8" s="21" t="n">
        <x:v>360.01666666666665</x:v>
      </x:c>
      <x:c r="O8" s="21" t="n">
        <x:v>5.666666666666667</x:v>
      </x:c>
      <x:c r="P8" s="21" t="n">
        <x:v>5.666666666666667</x:v>
      </x:c>
      <x:c r="Q8" s="21" t="n">
        <x:v>600</x:v>
      </x:c>
      <x:c r="R8" s="22" t="n">
        <x:f>P8/Q8</x:f>
        <x:v>0.009444444444444445</x:v>
      </x:c>
      <x:c r="S8" s="23" t="n">
        <x:v>0.04722222222222222</x:v>
      </x:c>
      <x:c r="T8" s="2" t="str">
        <x:v>既知開発50場</x:v>
      </x:c>
    </x:row>
    <x:row r="9" ht="22" customHeight="1">
      <x:c r="A9" s="2" t="str">
        <x:v>F1</x:v>
      </x:c>
      <x:c r="B9" s="20" t="d">
        <x:v>2026-09-22T08:45:00.000Z</x:v>
      </x:c>
      <x:c r="C9" s="2" t="str">
        <x:v>デイ</x:v>
      </x:c>
      <x:c r="D9" s="2" t="str">
        <x:v>下落</x:v>
      </x:c>
      <x:c r="E9" s="19" t="n">
        <x:v>0</x:v>
      </x:c>
      <x:c r="F9" s="19" t="n">
        <x:v>106152</x:v>
      </x:c>
      <x:c r="G9" s="19" t="n">
        <x:f>E9-F9</x:f>
        <x:v>-106152</x:v>
      </x:c>
      <x:c r="H9" s="19" t="n">
        <x:f>SUMIFS($G$7:$G$56,$B$7:$B$56,"&lt;="&amp;B9)</x:f>
        <x:v>-65920</x:v>
      </x:c>
      <x:c r="I9" s="19" t="n">
        <x:v>1152</x:v>
      </x:c>
      <x:c r="J9" s="19" t="n">
        <x:v>-105000</x:v>
      </x:c>
      <x:c r="K9" s="2" t="n">
        <x:v>3</x:v>
      </x:c>
      <x:c r="L9" s="2" t="n">
        <x:v>15</x:v>
      </x:c>
      <x:c r="M9" s="2" t="n">
        <x:v>5</x:v>
      </x:c>
      <x:c r="N9" s="21" t="n">
        <x:v>242.78333333333333</x:v>
      </x:c>
      <x:c r="O9" s="21" t="n">
        <x:v>28.166666666666668</x:v>
      </x:c>
      <x:c r="P9" s="21" t="n">
        <x:v>28.166666666666668</x:v>
      </x:c>
      <x:c r="Q9" s="21" t="n">
        <x:v>420</x:v>
      </x:c>
      <x:c r="R9" s="22" t="n">
        <x:f>P9/Q9</x:f>
        <x:v>0.06706349206349206</x:v>
      </x:c>
      <x:c r="S9" s="23" t="n">
        <x:v>0.3353174603174603</x:v>
      </x:c>
      <x:c r="T9" s="2" t="str">
        <x:v>既知開発50場</x:v>
      </x:c>
    </x:row>
    <x:row r="10" ht="22" customHeight="1">
      <x:c r="A10" s="2" t="str">
        <x:v>F1</x:v>
      </x:c>
      <x:c r="B10" s="20" t="d">
        <x:v>2026-09-22T17:00:00.000Z</x:v>
      </x:c>
      <x:c r="C10" s="2" t="str">
        <x:v>ナイト</x:v>
      </x:c>
      <x:c r="D10" s="2" t="str">
        <x:v>上昇</x:v>
      </x:c>
      <x:c r="E10" s="19" t="n">
        <x:v>39616</x:v>
      </x:c>
      <x:c r="F10" s="19" t="n">
        <x:v>0</x:v>
      </x:c>
      <x:c r="G10" s="19" t="n">
        <x:f>E10-F10</x:f>
        <x:v>39616</x:v>
      </x:c>
      <x:c r="H10" s="19" t="n">
        <x:f>SUMIFS($G$7:$G$56,$B$7:$B$56,"&lt;="&amp;B10)</x:f>
        <x:v>-26304</x:v>
      </x:c>
      <x:c r="I10" s="19" t="n">
        <x:v>384</x:v>
      </x:c>
      <x:c r="J10" s="19" t="n">
        <x:v>40000</x:v>
      </x:c>
      <x:c r="K10" s="2" t="n">
        <x:v>1</x:v>
      </x:c>
      <x:c r="L10" s="2" t="n">
        <x:v>5</x:v>
      </x:c>
      <x:c r="M10" s="2" t="n">
        <x:v>5</x:v>
      </x:c>
      <x:c r="N10" s="21" t="n">
        <x:v>360.1</x:v>
      </x:c>
      <x:c r="O10" s="21" t="n">
        <x:v>13.583333333333334</x:v>
      </x:c>
      <x:c r="P10" s="21" t="n">
        <x:v>13.583333333333334</x:v>
      </x:c>
      <x:c r="Q10" s="21" t="n">
        <x:v>600</x:v>
      </x:c>
      <x:c r="R10" s="22" t="n">
        <x:f>P10/Q10</x:f>
        <x:v>0.02263888888888889</x:v>
      </x:c>
      <x:c r="S10" s="23" t="n">
        <x:v>0.11319444444444444</x:v>
      </x:c>
      <x:c r="T10" s="2" t="str">
        <x:v>既知開発50場</x:v>
      </x:c>
    </x:row>
    <x:row r="11" ht="22" customHeight="1">
      <x:c r="A11" s="2" t="str">
        <x:v>F1</x:v>
      </x:c>
      <x:c r="B11" s="20" t="d">
        <x:v>2026-09-23T08:45:00.000Z</x:v>
      </x:c>
      <x:c r="C11" s="2" t="str">
        <x:v>デイ</x:v>
      </x:c>
      <x:c r="D11" s="2" t="str">
        <x:v>下落</x:v>
      </x:c>
      <x:c r="E11" s="19" t="n">
        <x:v>0</x:v>
      </x:c>
      <x:c r="F11" s="19" t="n">
        <x:v>4384</x:v>
      </x:c>
      <x:c r="G11" s="19" t="n">
        <x:f>E11-F11</x:f>
        <x:v>-4384</x:v>
      </x:c>
      <x:c r="H11" s="19" t="n">
        <x:f>SUMIFS($G$7:$G$56,$B$7:$B$56,"&lt;="&amp;B11)</x:f>
        <x:v>-30688</x:v>
      </x:c>
      <x:c r="I11" s="19" t="n">
        <x:v>384</x:v>
      </x:c>
      <x:c r="J11" s="19" t="n">
        <x:v>-4000</x:v>
      </x:c>
      <x:c r="K11" s="2" t="n">
        <x:v>1</x:v>
      </x:c>
      <x:c r="L11" s="2" t="n">
        <x:v>5</x:v>
      </x:c>
      <x:c r="M11" s="2" t="n">
        <x:v>5</x:v>
      </x:c>
      <x:c r="N11" s="21" t="n">
        <x:v>68.15</x:v>
      </x:c>
      <x:c r="O11" s="21" t="n">
        <x:v>313.75</x:v>
      </x:c>
      <x:c r="P11" s="21" t="n">
        <x:v>313.75</x:v>
      </x:c>
      <x:c r="Q11" s="21" t="n">
        <x:v>420</x:v>
      </x:c>
      <x:c r="R11" s="22" t="n">
        <x:f>P11/Q11</x:f>
        <x:v>0.7470238095238095</x:v>
      </x:c>
      <x:c r="S11" s="23" t="n">
        <x:v>2.6480555555555556</x:v>
      </x:c>
      <x:c r="T11" s="2" t="str">
        <x:v>既知開発50場</x:v>
      </x:c>
    </x:row>
    <x:row r="12" ht="22" customHeight="1">
      <x:c r="A12" s="2" t="str">
        <x:v>F1</x:v>
      </x:c>
      <x:c r="B12" s="20" t="d">
        <x:v>2026-09-23T17:00:00.000Z</x:v>
      </x:c>
      <x:c r="C12" s="2" t="str">
        <x:v>ナイト</x:v>
      </x:c>
      <x:c r="D12" s="2" t="str">
        <x:v>下落</x:v>
      </x:c>
      <x:c r="E12" s="19" t="n">
        <x:v>0</x:v>
      </x:c>
      <x:c r="F12" s="19" t="n">
        <x:v>40384</x:v>
      </x:c>
      <x:c r="G12" s="19" t="n">
        <x:f>E12-F12</x:f>
        <x:v>-40384</x:v>
      </x:c>
      <x:c r="H12" s="19" t="n">
        <x:f>SUMIFS($G$7:$G$56,$B$7:$B$56,"&lt;="&amp;B12)</x:f>
        <x:v>-71072</x:v>
      </x:c>
      <x:c r="I12" s="19" t="n">
        <x:v>384</x:v>
      </x:c>
      <x:c r="J12" s="19" t="n">
        <x:v>-40000</x:v>
      </x:c>
      <x:c r="K12" s="2" t="n">
        <x:v>1</x:v>
      </x:c>
      <x:c r="L12" s="2" t="n">
        <x:v>5</x:v>
      </x:c>
      <x:c r="M12" s="2" t="n">
        <x:v>5</x:v>
      </x:c>
      <x:c r="N12" s="21" t="n">
        <x:v>358.03333333333336</x:v>
      </x:c>
      <x:c r="O12" s="21" t="n">
        <x:v>2.15</x:v>
      </x:c>
      <x:c r="P12" s="21" t="n">
        <x:v>2.15</x:v>
      </x:c>
      <x:c r="Q12" s="21" t="n">
        <x:v>600</x:v>
      </x:c>
      <x:c r="R12" s="22" t="n">
        <x:f>P12/Q12</x:f>
        <x:v>0.0035833333333333333</x:v>
      </x:c>
      <x:c r="S12" s="23" t="n">
        <x:v>0.017916666666666668</x:v>
      </x:c>
      <x:c r="T12" s="2" t="str">
        <x:v>既知開発50場</x:v>
      </x:c>
    </x:row>
    <x:row r="13" ht="22" customHeight="1">
      <x:c r="A13" s="2" t="str">
        <x:v>F1</x:v>
      </x:c>
      <x:c r="B13" s="20" t="d">
        <x:v>2026-09-24T08:45:00.000Z</x:v>
      </x:c>
      <x:c r="C13" s="2" t="str">
        <x:v>デイ</x:v>
      </x:c>
      <x:c r="D13" s="2" t="str">
        <x:v>下落</x:v>
      </x:c>
      <x:c r="E13" s="19" t="n">
        <x:v>82234</x:v>
      </x:c>
      <x:c r="F13" s="19" t="n">
        <x:v>85768</x:v>
      </x:c>
      <x:c r="G13" s="19" t="n">
        <x:f>E13-F13</x:f>
        <x:v>-3534</x:v>
      </x:c>
      <x:c r="H13" s="19" t="n">
        <x:f>SUMIFS($G$7:$G$56,$B$7:$B$56,"&lt;="&amp;B13)</x:f>
        <x:v>-74606</x:v>
      </x:c>
      <x:c r="I13" s="19" t="n">
        <x:v>1534</x:v>
      </x:c>
      <x:c r="J13" s="19" t="n">
        <x:v>-2000</x:v>
      </x:c>
      <x:c r="K13" s="2" t="n">
        <x:v>7</x:v>
      </x:c>
      <x:c r="L13" s="2" t="n">
        <x:v>20</x:v>
      </x:c>
      <x:c r="M13" s="2" t="n">
        <x:v>7</x:v>
      </x:c>
      <x:c r="N13" s="21" t="n">
        <x:v>58.1</x:v>
      </x:c>
      <x:c r="O13" s="21" t="n">
        <x:v>303.46666666666664</x:v>
      </x:c>
      <x:c r="P13" s="21" t="n">
        <x:v>303.46666666666664</x:v>
      </x:c>
      <x:c r="Q13" s="21" t="n">
        <x:v>420</x:v>
      </x:c>
      <x:c r="R13" s="22" t="n">
        <x:f>P13/Q13</x:f>
        <x:v>0.7225396825396825</x:v>
      </x:c>
      <x:c r="S13" s="23" t="n">
        <x:v>2.440873015873016</x:v>
      </x:c>
      <x:c r="T13" s="2" t="str">
        <x:v>既知開発50場</x:v>
      </x:c>
    </x:row>
    <x:row r="14" ht="22" customHeight="1">
      <x:c r="A14" s="2" t="str">
        <x:v>F1</x:v>
      </x:c>
      <x:c r="B14" s="20" t="d">
        <x:v>2026-09-24T17:00:00.000Z</x:v>
      </x:c>
      <x:c r="C14" s="2" t="str">
        <x:v>ナイト</x:v>
      </x:c>
      <x:c r="D14" s="2" t="str">
        <x:v>下落</x:v>
      </x:c>
      <x:c r="E14" s="19" t="n">
        <x:v>44616</x:v>
      </x:c>
      <x:c r="F14" s="19" t="n">
        <x:v>40384</x:v>
      </x:c>
      <x:c r="G14" s="19" t="n">
        <x:f>E14-F14</x:f>
        <x:v>4232</x:v>
      </x:c>
      <x:c r="H14" s="19" t="n">
        <x:f>SUMIFS($G$7:$G$56,$B$7:$B$56,"&lt;="&amp;B14)</x:f>
        <x:v>-70374</x:v>
      </x:c>
      <x:c r="I14" s="19" t="n">
        <x:v>768</x:v>
      </x:c>
      <x:c r="J14" s="19" t="n">
        <x:v>5000</x:v>
      </x:c>
      <x:c r="K14" s="2" t="n">
        <x:v>2</x:v>
      </x:c>
      <x:c r="L14" s="2" t="n">
        <x:v>10</x:v>
      </x:c>
      <x:c r="M14" s="2" t="n">
        <x:v>5</x:v>
      </x:c>
      <x:c r="N14" s="21" t="n">
        <x:v>360.3333333333333</x:v>
      </x:c>
      <x:c r="O14" s="21" t="n">
        <x:v>13.133333333333333</x:v>
      </x:c>
      <x:c r="P14" s="21" t="n">
        <x:v>6.616666666666666</x:v>
      </x:c>
      <x:c r="Q14" s="21" t="n">
        <x:v>600</x:v>
      </x:c>
      <x:c r="R14" s="22" t="n">
        <x:f>P14/Q14</x:f>
        <x:v>0.011027777777777777</x:v>
      </x:c>
      <x:c r="S14" s="23" t="n">
        <x:v>0.05513888888888889</x:v>
      </x:c>
      <x:c r="T14" s="2" t="str">
        <x:v>既知開発50場</x:v>
      </x:c>
    </x:row>
    <x:row r="15" ht="22" customHeight="1">
      <x:c r="A15" s="2" t="str">
        <x:v>F1</x:v>
      </x:c>
      <x:c r="B15" s="20" t="d">
        <x:v>2026-09-25T08:45:00.000Z</x:v>
      </x:c>
      <x:c r="C15" s="2" t="str">
        <x:v>デイ</x:v>
      </x:c>
      <x:c r="D15" s="2" t="str">
        <x:v>上昇</x:v>
      </x:c>
      <x:c r="E15" s="19" t="n">
        <x:v>149310</x:v>
      </x:c>
      <x:c r="F15" s="19" t="n">
        <x:v>46308</x:v>
      </x:c>
      <x:c r="G15" s="19" t="n">
        <x:f>E15-F15</x:f>
        <x:v>103002</x:v>
      </x:c>
      <x:c r="H15" s="19" t="n">
        <x:f>SUMIFS($G$7:$G$56,$B$7:$B$56,"&lt;="&amp;B15)</x:f>
        <x:v>32628</x:v>
      </x:c>
      <x:c r="I15" s="19" t="n">
        <x:v>998</x:v>
      </x:c>
      <x:c r="J15" s="19" t="n">
        <x:v>104000</x:v>
      </x:c>
      <x:c r="K15" s="2" t="n">
        <x:v>6</x:v>
      </x:c>
      <x:c r="L15" s="2" t="n">
        <x:v>13</x:v>
      </x:c>
      <x:c r="M15" s="2" t="n">
        <x:v>5</x:v>
      </x:c>
      <x:c r="N15" s="21" t="n">
        <x:v>62.81666666666667</x:v>
      </x:c>
      <x:c r="O15" s="21" t="n">
        <x:v>343.81666666666666</x:v>
      </x:c>
      <x:c r="P15" s="21" t="n">
        <x:v>343.81666666666666</x:v>
      </x:c>
      <x:c r="Q15" s="21" t="n">
        <x:v>420</x:v>
      </x:c>
      <x:c r="R15" s="22" t="n">
        <x:f>P15/Q15</x:f>
        <x:v>0.8186111111111111</x:v>
      </x:c>
      <x:c r="S15" s="23" t="n">
        <x:v>3.195436507936508</x:v>
      </x:c>
      <x:c r="T15" s="2" t="str">
        <x:v>既知開発50場</x:v>
      </x:c>
    </x:row>
    <x:row r="16" ht="22" customHeight="1">
      <x:c r="A16" s="2" t="str">
        <x:v>F1</x:v>
      </x:c>
      <x:c r="B16" s="20" t="d">
        <x:v>2026-09-25T17:00:00.000Z</x:v>
      </x:c>
      <x:c r="C16" s="2" t="str">
        <x:v>ナイト</x:v>
      </x:c>
      <x:c r="D16" s="2" t="str">
        <x:v>上昇</x:v>
      </x:c>
      <x:c r="E16" s="19" t="n">
        <x:v>14616</x:v>
      </x:c>
      <x:c r="F16" s="19" t="n">
        <x:v>0</x:v>
      </x:c>
      <x:c r="G16" s="19" t="n">
        <x:f>E16-F16</x:f>
        <x:v>14616</x:v>
      </x:c>
      <x:c r="H16" s="19" t="n">
        <x:f>SUMIFS($G$7:$G$56,$B$7:$B$56,"&lt;="&amp;B16)</x:f>
        <x:v>47244</x:v>
      </x:c>
      <x:c r="I16" s="19" t="n">
        <x:v>384</x:v>
      </x:c>
      <x:c r="J16" s="19" t="n">
        <x:v>15000</x:v>
      </x:c>
      <x:c r="K16" s="2" t="n">
        <x:v>1</x:v>
      </x:c>
      <x:c r="L16" s="2" t="n">
        <x:v>5</x:v>
      </x:c>
      <x:c r="M16" s="2" t="n">
        <x:v>5</x:v>
      </x:c>
      <x:c r="N16" s="21" t="n">
        <x:v>360</x:v>
      </x:c>
      <x:c r="O16" s="21" t="n">
        <x:v>2.433333333333333</x:v>
      </x:c>
      <x:c r="P16" s="21" t="n">
        <x:v>2.433333333333333</x:v>
      </x:c>
      <x:c r="Q16" s="21" t="n">
        <x:v>600</x:v>
      </x:c>
      <x:c r="R16" s="22" t="n">
        <x:f>P16/Q16</x:f>
        <x:v>0.004055555555555555</x:v>
      </x:c>
      <x:c r="S16" s="23" t="n">
        <x:v>0.020277777777777777</x:v>
      </x:c>
      <x:c r="T16" s="2" t="str">
        <x:v>既知開発50場</x:v>
      </x:c>
    </x:row>
    <x:row r="17" ht="22" customHeight="1">
      <x:c r="A17" s="2" t="str">
        <x:v>F1</x:v>
      </x:c>
      <x:c r="B17" s="20" t="d">
        <x:v>2026-09-28T08:45:00.000Z</x:v>
      </x:c>
      <x:c r="C17" s="2" t="str">
        <x:v>デイ</x:v>
      </x:c>
      <x:c r="D17" s="2" t="str">
        <x:v>下落</x:v>
      </x:c>
      <x:c r="E17" s="19" t="n">
        <x:v>261616</x:v>
      </x:c>
      <x:c r="F17" s="19" t="n">
        <x:v>152000</x:v>
      </x:c>
      <x:c r="G17" s="19" t="n">
        <x:f>E17-F17</x:f>
        <x:v>109616</x:v>
      </x:c>
      <x:c r="H17" s="19" t="n">
        <x:f>SUMIFS($G$7:$G$56,$B$7:$B$56,"&lt;="&amp;B17)</x:f>
        <x:v>156860</x:v>
      </x:c>
      <x:c r="I17" s="19" t="n">
        <x:v>1384</x:v>
      </x:c>
      <x:c r="J17" s="19" t="n">
        <x:v>111000</x:v>
      </x:c>
      <x:c r="K17" s="2" t="n">
        <x:v>6</x:v>
      </x:c>
      <x:c r="L17" s="2" t="n">
        <x:v>18</x:v>
      </x:c>
      <x:c r="M17" s="2" t="n">
        <x:v>5</x:v>
      </x:c>
      <x:c r="N17" s="21" t="n">
        <x:v>66.3</x:v>
      </x:c>
      <x:c r="O17" s="21" t="n">
        <x:v>331.28333333333336</x:v>
      </x:c>
      <x:c r="P17" s="21" t="n">
        <x:v>331.28333333333336</x:v>
      </x:c>
      <x:c r="Q17" s="21" t="n">
        <x:v>420</x:v>
      </x:c>
      <x:c r="R17" s="22" t="n">
        <x:f>P17/Q17</x:f>
        <x:v>0.7887698412698413</x:v>
      </x:c>
      <x:c r="S17" s="23" t="n">
        <x:v>3.2113095238095237</x:v>
      </x:c>
      <x:c r="T17" s="2" t="str">
        <x:v>既知開発50場</x:v>
      </x:c>
    </x:row>
    <x:row r="18" ht="22" customHeight="1">
      <x:c r="A18" s="2" t="str">
        <x:v>F1</x:v>
      </x:c>
      <x:c r="B18" s="20" t="d">
        <x:v>2026-09-28T17:00:00.000Z</x:v>
      </x:c>
      <x:c r="C18" s="2" t="str">
        <x:v>ナイト</x:v>
      </x:c>
      <x:c r="D18" s="2" t="str">
        <x:v>下落</x:v>
      </x:c>
      <x:c r="E18" s="19" t="n">
        <x:v>59616</x:v>
      </x:c>
      <x:c r="F18" s="19" t="n">
        <x:v>20154</x:v>
      </x:c>
      <x:c r="G18" s="19" t="n">
        <x:f>E18-F18</x:f>
        <x:v>39462</x:v>
      </x:c>
      <x:c r="H18" s="19" t="n">
        <x:f>SUMIFS($G$7:$G$56,$B$7:$B$56,"&lt;="&amp;B18)</x:f>
        <x:v>196322</x:v>
      </x:c>
      <x:c r="I18" s="19" t="n">
        <x:v>538</x:v>
      </x:c>
      <x:c r="J18" s="19" t="n">
        <x:v>40000</x:v>
      </x:c>
      <x:c r="K18" s="2" t="n">
        <x:v>2</x:v>
      </x:c>
      <x:c r="L18" s="2" t="n">
        <x:v>7</x:v>
      </x:c>
      <x:c r="M18" s="2" t="n">
        <x:v>5</x:v>
      </x:c>
      <x:c r="N18" s="21" t="n">
        <x:v>349.35</x:v>
      </x:c>
      <x:c r="O18" s="21" t="n">
        <x:v>8.1</x:v>
      </x:c>
      <x:c r="P18" s="21" t="n">
        <x:v>8.1</x:v>
      </x:c>
      <x:c r="Q18" s="21" t="n">
        <x:v>600</x:v>
      </x:c>
      <x:c r="R18" s="22" t="n">
        <x:f>P18/Q18</x:f>
        <x:v>0.0135</x:v>
      </x:c>
      <x:c r="S18" s="23" t="n">
        <x:v>0.059166666666666666</x:v>
      </x:c>
      <x:c r="T18" s="2" t="str">
        <x:v>既知開発50場</x:v>
      </x:c>
    </x:row>
    <x:row r="19" ht="22" customHeight="1">
      <x:c r="A19" s="2" t="str">
        <x:v>F1</x:v>
      </x:c>
      <x:c r="B19" s="20" t="d">
        <x:v>2026-09-29T08:45:00.000Z</x:v>
      </x:c>
      <x:c r="C19" s="2" t="str">
        <x:v>デイ</x:v>
      </x:c>
      <x:c r="D19" s="2" t="str">
        <x:v>下落</x:v>
      </x:c>
      <x:c r="E19" s="19" t="n">
        <x:v>282232</x:v>
      </x:c>
      <x:c r="F19" s="19" t="n">
        <x:v>127614</x:v>
      </x:c>
      <x:c r="G19" s="19" t="n">
        <x:f>E19-F19</x:f>
        <x:v>154618</x:v>
      </x:c>
      <x:c r="H19" s="19" t="n">
        <x:f>SUMIFS($G$7:$G$56,$B$7:$B$56,"&lt;="&amp;B19)</x:f>
        <x:v>350940</x:v>
      </x:c>
      <x:c r="I19" s="19" t="n">
        <x:v>1382</x:v>
      </x:c>
      <x:c r="J19" s="19" t="n">
        <x:v>156000</x:v>
      </x:c>
      <x:c r="K19" s="2" t="n">
        <x:v>7</x:v>
      </x:c>
      <x:c r="L19" s="2" t="n">
        <x:v>18</x:v>
      </x:c>
      <x:c r="M19" s="2" t="n">
        <x:v>8</x:v>
      </x:c>
      <x:c r="N19" s="21" t="n">
        <x:v>53.016666666666666</x:v>
      </x:c>
      <x:c r="O19" s="21" t="n">
        <x:v>310.6333333333333</x:v>
      </x:c>
      <x:c r="P19" s="21" t="n">
        <x:v>310.6333333333333</x:v>
      </x:c>
      <x:c r="Q19" s="21" t="n">
        <x:v>420</x:v>
      </x:c>
      <x:c r="R19" s="22" t="n">
        <x:f>P19/Q19</x:f>
        <x:v>0.7396031746031746</x:v>
      </x:c>
      <x:c r="S19" s="23" t="n">
        <x:v>3.3022619047619046</x:v>
      </x:c>
      <x:c r="T19" s="2" t="str">
        <x:v>既知開発50場</x:v>
      </x:c>
    </x:row>
    <x:row r="20" ht="22" customHeight="1">
      <x:c r="A20" s="2" t="str">
        <x:v>F1</x:v>
      </x:c>
      <x:c r="B20" s="20" t="d">
        <x:v>2026-09-29T17:00:00.000Z</x:v>
      </x:c>
      <x:c r="C20" s="2" t="str">
        <x:v>ナイト</x:v>
      </x:c>
      <x:c r="D20" s="2" t="str">
        <x:v>上昇</x:v>
      </x:c>
      <x:c r="E20" s="19" t="n">
        <x:v>168848</x:v>
      </x:c>
      <x:c r="F20" s="19" t="n">
        <x:v>50384</x:v>
      </x:c>
      <x:c r="G20" s="19" t="n">
        <x:f>E20-F20</x:f>
        <x:v>118464</x:v>
      </x:c>
      <x:c r="H20" s="19" t="n">
        <x:f>SUMIFS($G$7:$G$56,$B$7:$B$56,"&lt;="&amp;B20)</x:f>
        <x:v>469404</x:v>
      </x:c>
      <x:c r="I20" s="19" t="n">
        <x:v>1536</x:v>
      </x:c>
      <x:c r="J20" s="19" t="n">
        <x:v>120000</x:v>
      </x:c>
      <x:c r="K20" s="2" t="n">
        <x:v>4</x:v>
      </x:c>
      <x:c r="L20" s="2" t="n">
        <x:v>20</x:v>
      </x:c>
      <x:c r="M20" s="2" t="n">
        <x:v>5</x:v>
      </x:c>
      <x:c r="N20" s="21" t="n">
        <x:v>360.01666666666665</x:v>
      </x:c>
      <x:c r="O20" s="21" t="n">
        <x:v>43.95</x:v>
      </x:c>
      <x:c r="P20" s="21" t="n">
        <x:v>43.95</x:v>
      </x:c>
      <x:c r="Q20" s="21" t="n">
        <x:v>600</x:v>
      </x:c>
      <x:c r="R20" s="22" t="n">
        <x:f>P20/Q20</x:f>
        <x:v>0.07325000000000001</x:v>
      </x:c>
      <x:c r="S20" s="23" t="n">
        <x:v>0.36625</x:v>
      </x:c>
      <x:c r="T20" s="2" t="str">
        <x:v>既知開発50場</x:v>
      </x:c>
    </x:row>
    <x:row r="21" ht="22" customHeight="1">
      <x:c r="A21" s="2" t="str">
        <x:v>F1</x:v>
      </x:c>
      <x:c r="B21" s="20" t="d">
        <x:v>2026-09-30T08:45:00.000Z</x:v>
      </x:c>
      <x:c r="C21" s="2" t="str">
        <x:v>デイ</x:v>
      </x:c>
      <x:c r="D21" s="2" t="str">
        <x:v>上昇</x:v>
      </x:c>
      <x:c r="E21" s="19" t="n">
        <x:v>170616</x:v>
      </x:c>
      <x:c r="F21" s="19" t="n">
        <x:v>72614</x:v>
      </x:c>
      <x:c r="G21" s="19" t="n">
        <x:f>E21-F21</x:f>
        <x:v>98002</x:v>
      </x:c>
      <x:c r="H21" s="19" t="n">
        <x:f>SUMIFS($G$7:$G$56,$B$7:$B$56,"&lt;="&amp;B21)</x:f>
        <x:v>567406</x:v>
      </x:c>
      <x:c r="I21" s="19" t="n">
        <x:v>998</x:v>
      </x:c>
      <x:c r="J21" s="19" t="n">
        <x:v>99000</x:v>
      </x:c>
      <x:c r="K21" s="2" t="n">
        <x:v>4</x:v>
      </x:c>
      <x:c r="L21" s="2" t="n">
        <x:v>13</x:v>
      </x:c>
      <x:c r="M21" s="2" t="n">
        <x:v>5</x:v>
      </x:c>
      <x:c r="N21" s="21" t="n">
        <x:v>161.31666666666666</x:v>
      </x:c>
      <x:c r="O21" s="21" t="n">
        <x:v>162.66666666666666</x:v>
      </x:c>
      <x:c r="P21" s="21" t="n">
        <x:v>162.66666666666666</x:v>
      </x:c>
      <x:c r="Q21" s="21" t="n">
        <x:v>420</x:v>
      </x:c>
      <x:c r="R21" s="22" t="n">
        <x:f>P21/Q21</x:f>
        <x:v>0.38730158730158726</x:v>
      </x:c>
      <x:c r="S21" s="23" t="n">
        <x:v>1.2968650793650793</x:v>
      </x:c>
      <x:c r="T21" s="2" t="str">
        <x:v>既知開発50場</x:v>
      </x:c>
    </x:row>
    <x:row r="22" ht="22" customHeight="1">
      <x:c r="A22" s="2" t="str">
        <x:v>F1</x:v>
      </x:c>
      <x:c r="B22" s="20" t="d">
        <x:v>2026-09-30T17:00:00.000Z</x:v>
      </x:c>
      <x:c r="C22" s="2" t="str">
        <x:v>ナイト</x:v>
      </x:c>
      <x:c r="D22" s="2" t="str">
        <x:v>下落</x:v>
      </x:c>
      <x:c r="E22" s="19" t="n">
        <x:v>59232</x:v>
      </x:c>
      <x:c r="F22" s="19" t="n">
        <x:v>0</x:v>
      </x:c>
      <x:c r="G22" s="19" t="n">
        <x:f>E22-F22</x:f>
        <x:v>59232</x:v>
      </x:c>
      <x:c r="H22" s="19" t="n">
        <x:f>SUMIFS($G$7:$G$56,$B$7:$B$56,"&lt;="&amp;B22)</x:f>
        <x:v>626638</x:v>
      </x:c>
      <x:c r="I22" s="19" t="n">
        <x:v>768</x:v>
      </x:c>
      <x:c r="J22" s="19" t="n">
        <x:v>60000</x:v>
      </x:c>
      <x:c r="K22" s="2" t="n">
        <x:v>2</x:v>
      </x:c>
      <x:c r="L22" s="2" t="n">
        <x:v>10</x:v>
      </x:c>
      <x:c r="M22" s="2" t="n">
        <x:v>5</x:v>
      </x:c>
      <x:c r="N22" s="21" t="n">
        <x:v>360</x:v>
      </x:c>
      <x:c r="O22" s="21" t="n">
        <x:v>19.883333333333333</x:v>
      </x:c>
      <x:c r="P22" s="21" t="n">
        <x:v>19.883333333333333</x:v>
      </x:c>
      <x:c r="Q22" s="21" t="n">
        <x:v>600</x:v>
      </x:c>
      <x:c r="R22" s="22" t="n">
        <x:f>P22/Q22</x:f>
        <x:v>0.03313888888888889</x:v>
      </x:c>
      <x:c r="S22" s="23" t="n">
        <x:v>0.16569444444444445</x:v>
      </x:c>
      <x:c r="T22" s="2" t="str">
        <x:v>既知開発50場</x:v>
      </x:c>
    </x:row>
    <x:row r="23" ht="22" customHeight="1">
      <x:c r="A23" s="2" t="str">
        <x:v>F1</x:v>
      </x:c>
      <x:c r="B23" s="20" t="d">
        <x:v>2026-10-01T08:45:00.000Z</x:v>
      </x:c>
      <x:c r="C23" s="2" t="str">
        <x:v>デイ</x:v>
      </x:c>
      <x:c r="D23" s="2" t="str">
        <x:v>上昇</x:v>
      </x:c>
      <x:c r="E23" s="19" t="n">
        <x:v>507234</x:v>
      </x:c>
      <x:c r="F23" s="19" t="n">
        <x:v>60384</x:v>
      </x:c>
      <x:c r="G23" s="19" t="n">
        <x:f>E23-F23</x:f>
        <x:v>446850</x:v>
      </x:c>
      <x:c r="H23" s="19" t="n">
        <x:f>SUMIFS($G$7:$G$56,$B$7:$B$56,"&lt;="&amp;B23)</x:f>
        <x:v>1073488</x:v>
      </x:c>
      <x:c r="I23" s="19" t="n">
        <x:v>1150</x:v>
      </x:c>
      <x:c r="J23" s="19" t="n">
        <x:v>448000</x:v>
      </x:c>
      <x:c r="K23" s="2" t="n">
        <x:v>6</x:v>
      </x:c>
      <x:c r="L23" s="2" t="n">
        <x:v>15</x:v>
      </x:c>
      <x:c r="M23" s="2" t="n">
        <x:v>7</x:v>
      </x:c>
      <x:c r="N23" s="21" t="n">
        <x:v>88.93333333333334</x:v>
      </x:c>
      <x:c r="O23" s="21" t="n">
        <x:v>317.35</x:v>
      </x:c>
      <x:c r="P23" s="21" t="n">
        <x:v>317.35</x:v>
      </x:c>
      <x:c r="Q23" s="21" t="n">
        <x:v>420</x:v>
      </x:c>
      <x:c r="R23" s="22" t="n">
        <x:f>P23/Q23</x:f>
        <x:v>0.7555952380952381</x:v>
      </x:c>
      <x:c r="S23" s="23" t="n">
        <x:v>3.8534920634920633</x:v>
      </x:c>
      <x:c r="T23" s="2" t="str">
        <x:v>既知開発50場</x:v>
      </x:c>
    </x:row>
    <x:row r="24" ht="22" customHeight="1">
      <x:c r="A24" s="2" t="str">
        <x:v>F1</x:v>
      </x:c>
      <x:c r="B24" s="20" t="d">
        <x:v>2026-10-01T17:00:00.000Z</x:v>
      </x:c>
      <x:c r="C24" s="2" t="str">
        <x:v>ナイト</x:v>
      </x:c>
      <x:c r="D24" s="2" t="str">
        <x:v>上昇</x:v>
      </x:c>
      <x:c r="E24" s="19" t="n">
        <x:v>58310</x:v>
      </x:c>
      <x:c r="F24" s="19" t="n">
        <x:v>24153</x:v>
      </x:c>
      <x:c r="G24" s="19" t="n">
        <x:f>E24-F24</x:f>
        <x:v>34157</x:v>
      </x:c>
      <x:c r="H24" s="19" t="n">
        <x:f>SUMIFS($G$7:$G$56,$B$7:$B$56,"&lt;="&amp;B24)</x:f>
        <x:v>1107645</x:v>
      </x:c>
      <x:c r="I24" s="19" t="n">
        <x:v>843</x:v>
      </x:c>
      <x:c r="J24" s="19" t="n">
        <x:v>35000</x:v>
      </x:c>
      <x:c r="K24" s="2" t="n">
        <x:v>6</x:v>
      </x:c>
      <x:c r="L24" s="2" t="n">
        <x:v>11</x:v>
      </x:c>
      <x:c r="M24" s="2" t="n">
        <x:v>5</x:v>
      </x:c>
      <x:c r="N24" s="21" t="n">
        <x:v>114.38333333333334</x:v>
      </x:c>
      <x:c r="O24" s="21" t="n">
        <x:v>29.166666666666668</x:v>
      </x:c>
      <x:c r="P24" s="21" t="n">
        <x:v>29.166666666666668</x:v>
      </x:c>
      <x:c r="Q24" s="21" t="n">
        <x:v>600</x:v>
      </x:c>
      <x:c r="R24" s="22" t="n">
        <x:f>P24/Q24</x:f>
        <x:v>0.04861111111111111</x:v>
      </x:c>
      <x:c r="S24" s="23" t="n">
        <x:v>0.10741666666666666</x:v>
      </x:c>
      <x:c r="T24" s="2" t="str">
        <x:v>既知開発50場</x:v>
      </x:c>
    </x:row>
    <x:row r="25" ht="22" customHeight="1">
      <x:c r="A25" s="2" t="str">
        <x:v>F1</x:v>
      </x:c>
      <x:c r="B25" s="20" t="d">
        <x:v>2026-10-02T08:45:00.000Z</x:v>
      </x:c>
      <x:c r="C25" s="2" t="str">
        <x:v>デイ</x:v>
      </x:c>
      <x:c r="D25" s="2" t="str">
        <x:v>上昇</x:v>
      </x:c>
      <x:c r="E25" s="19" t="n">
        <x:v>13694</x:v>
      </x:c>
      <x:c r="F25" s="19" t="n">
        <x:v>116920</x:v>
      </x:c>
      <x:c r="G25" s="19" t="n">
        <x:f>E25-F25</x:f>
        <x:v>-103226</x:v>
      </x:c>
      <x:c r="H25" s="19" t="n">
        <x:f>SUMIFS($G$7:$G$56,$B$7:$B$56,"&lt;="&amp;B25)</x:f>
        <x:v>1004419</x:v>
      </x:c>
      <x:c r="I25" s="19" t="n">
        <x:v>1226</x:v>
      </x:c>
      <x:c r="J25" s="19" t="n">
        <x:v>-102000</x:v>
      </x:c>
      <x:c r="K25" s="2" t="n">
        <x:v>9</x:v>
      </x:c>
      <x:c r="L25" s="2" t="n">
        <x:v>16</x:v>
      </x:c>
      <x:c r="M25" s="2" t="n">
        <x:v>5</x:v>
      </x:c>
      <x:c r="N25" s="21" t="n">
        <x:v>100.65</x:v>
      </x:c>
      <x:c r="O25" s="21" t="n">
        <x:v>257.23333333333335</x:v>
      </x:c>
      <x:c r="P25" s="21" t="n">
        <x:v>257.23333333333335</x:v>
      </x:c>
      <x:c r="Q25" s="21" t="n">
        <x:v>420</x:v>
      </x:c>
      <x:c r="R25" s="22" t="n">
        <x:f>P25/Q25</x:f>
        <x:v>0.6124603174603175</x:v>
      </x:c>
      <x:c r="S25" s="23" t="n">
        <x:v>2.2441666666666666</x:v>
      </x:c>
      <x:c r="T25" s="2" t="str">
        <x:v>既知開発50場</x:v>
      </x:c>
    </x:row>
    <x:row r="26" ht="22" customHeight="1">
      <x:c r="A26" s="2" t="str">
        <x:v>F1</x:v>
      </x:c>
      <x:c r="B26" s="20" t="d">
        <x:v>2026-10-02T17:00:00.000Z</x:v>
      </x:c>
      <x:c r="C26" s="2" t="str">
        <x:v>ナイト</x:v>
      </x:c>
      <x:c r="D26" s="2" t="str">
        <x:v>上昇</x:v>
      </x:c>
      <x:c r="E26" s="19" t="n">
        <x:v>144850</x:v>
      </x:c>
      <x:c r="F26" s="19" t="n">
        <x:v>65690</x:v>
      </x:c>
      <x:c r="G26" s="19" t="n">
        <x:f>E26-F26</x:f>
        <x:v>79160</x:v>
      </x:c>
      <x:c r="H26" s="19" t="n">
        <x:f>SUMIFS($G$7:$G$56,$B$7:$B$56,"&lt;="&amp;B26)</x:f>
        <x:v>1083579</x:v>
      </x:c>
      <x:c r="I26" s="19" t="n">
        <x:v>1840</x:v>
      </x:c>
      <x:c r="J26" s="19" t="n">
        <x:v>81000</x:v>
      </x:c>
      <x:c r="K26" s="2" t="n">
        <x:v>10</x:v>
      </x:c>
      <x:c r="L26" s="2" t="n">
        <x:v>24</x:v>
      </x:c>
      <x:c r="M26" s="2" t="n">
        <x:v>5</x:v>
      </x:c>
      <x:c r="N26" s="21" t="n">
        <x:v>71.05</x:v>
      </x:c>
      <x:c r="O26" s="21" t="n">
        <x:v>62.016666666666666</x:v>
      </x:c>
      <x:c r="P26" s="21" t="n">
        <x:v>62.016666666666666</x:v>
      </x:c>
      <x:c r="Q26" s="21" t="n">
        <x:v>600</x:v>
      </x:c>
      <x:c r="R26" s="22" t="n">
        <x:f>P26/Q26</x:f>
        <x:v>0.10336111111111111</x:v>
      </x:c>
      <x:c r="S26" s="23" t="n">
        <x:v>0.3403333333333333</x:v>
      </x:c>
      <x:c r="T26" s="2" t="str">
        <x:v>既知開発50場</x:v>
      </x:c>
    </x:row>
    <x:row r="27" ht="22" customHeight="1">
      <x:c r="A27" s="2" t="str">
        <x:v>F1</x:v>
      </x:c>
      <x:c r="B27" s="20" t="d">
        <x:v>2026-10-05T08:45:00.000Z</x:v>
      </x:c>
      <x:c r="C27" s="2" t="str">
        <x:v>デイ</x:v>
      </x:c>
      <x:c r="D27" s="2" t="str">
        <x:v>上昇</x:v>
      </x:c>
      <x:c r="E27" s="19" t="n">
        <x:v>51234</x:v>
      </x:c>
      <x:c r="F27" s="19" t="n">
        <x:v>148690</x:v>
      </x:c>
      <x:c r="G27" s="19" t="n">
        <x:f>E27-F27</x:f>
        <x:v>-97456</x:v>
      </x:c>
      <x:c r="H27" s="19" t="n">
        <x:f>SUMIFS($G$7:$G$56,$B$7:$B$56,"&lt;="&amp;B27)</x:f>
        <x:v>986123</x:v>
      </x:c>
      <x:c r="I27" s="19" t="n">
        <x:v>2456</x:v>
      </x:c>
      <x:c r="J27" s="19" t="n">
        <x:v>-95000</x:v>
      </x:c>
      <x:c r="K27" s="2" t="n">
        <x:v>10</x:v>
      </x:c>
      <x:c r="L27" s="2" t="n">
        <x:v>32</x:v>
      </x:c>
      <x:c r="M27" s="2" t="n">
        <x:v>10</x:v>
      </x:c>
      <x:c r="N27" s="21" t="n">
        <x:v>106</x:v>
      </x:c>
      <x:c r="O27" s="21" t="n">
        <x:v>193.58333333333334</x:v>
      </x:c>
      <x:c r="P27" s="21" t="n">
        <x:v>193.58333333333334</x:v>
      </x:c>
      <x:c r="Q27" s="21" t="n">
        <x:v>420</x:v>
      </x:c>
      <x:c r="R27" s="22" t="n">
        <x:f>P27/Q27</x:f>
        <x:v>0.46091269841269844</x:v>
      </x:c>
      <x:c r="S27" s="23" t="n">
        <x:v>2.3928968253968255</x:v>
      </x:c>
      <x:c r="T27" s="2" t="str">
        <x:v>既知開発50場</x:v>
      </x:c>
    </x:row>
    <x:row r="28" ht="22" customHeight="1">
      <x:c r="A28" s="2" t="str">
        <x:v>F1</x:v>
      </x:c>
      <x:c r="B28" s="20" t="d">
        <x:v>2026-10-05T17:00:00.000Z</x:v>
      </x:c>
      <x:c r="C28" s="2" t="str">
        <x:v>ナイト</x:v>
      </x:c>
      <x:c r="D28" s="2" t="str">
        <x:v>下落</x:v>
      </x:c>
      <x:c r="E28" s="19" t="n">
        <x:v>112234</x:v>
      </x:c>
      <x:c r="F28" s="19" t="n">
        <x:v>20384</x:v>
      </x:c>
      <x:c r="G28" s="19" t="n">
        <x:f>E28-F28</x:f>
        <x:v>91850</x:v>
      </x:c>
      <x:c r="H28" s="19" t="n">
        <x:f>SUMIFS($G$7:$G$56,$B$7:$B$56,"&lt;="&amp;B28)</x:f>
        <x:v>1077973</x:v>
      </x:c>
      <x:c r="I28" s="19" t="n">
        <x:v>1150</x:v>
      </x:c>
      <x:c r="J28" s="19" t="n">
        <x:v>93000</x:v>
      </x:c>
      <x:c r="K28" s="2" t="n">
        <x:v>6</x:v>
      </x:c>
      <x:c r="L28" s="2" t="n">
        <x:v>15</x:v>
      </x:c>
      <x:c r="M28" s="2" t="n">
        <x:v>5</x:v>
      </x:c>
      <x:c r="N28" s="21" t="n">
        <x:v>356.1666666666667</x:v>
      </x:c>
      <x:c r="O28" s="21" t="n">
        <x:v>55.233333333333334</x:v>
      </x:c>
      <x:c r="P28" s="21" t="n">
        <x:v>27.333333333333332</x:v>
      </x:c>
      <x:c r="Q28" s="21" t="n">
        <x:v>600</x:v>
      </x:c>
      <x:c r="R28" s="22" t="n">
        <x:f>P28/Q28</x:f>
        <x:v>0.04555555555555555</x:v>
      </x:c>
      <x:c r="S28" s="23" t="n">
        <x:v>0.16905555555555554</x:v>
      </x:c>
      <x:c r="T28" s="2" t="str">
        <x:v>既知開発50場</x:v>
      </x:c>
    </x:row>
    <x:row r="29" ht="22" customHeight="1">
      <x:c r="A29" s="2" t="str">
        <x:v>F1</x:v>
      </x:c>
      <x:c r="B29" s="20" t="d">
        <x:v>2026-10-06T08:45:00.000Z</x:v>
      </x:c>
      <x:c r="C29" s="2" t="str">
        <x:v>デイ</x:v>
      </x:c>
      <x:c r="D29" s="2" t="str">
        <x:v>上昇</x:v>
      </x:c>
      <x:c r="E29" s="19" t="n">
        <x:v>126234</x:v>
      </x:c>
      <x:c r="F29" s="19" t="n">
        <x:v>114692</x:v>
      </x:c>
      <x:c r="G29" s="19" t="n">
        <x:f>E29-F29</x:f>
        <x:v>11542</x:v>
      </x:c>
      <x:c r="H29" s="19" t="n">
        <x:f>SUMIFS($G$7:$G$56,$B$7:$B$56,"&lt;="&amp;B29)</x:f>
        <x:v>1089515</x:v>
      </x:c>
      <x:c r="I29" s="19" t="n">
        <x:v>1458</x:v>
      </x:c>
      <x:c r="J29" s="19" t="n">
        <x:v>13000</x:v>
      </x:c>
      <x:c r="K29" s="2" t="n">
        <x:v>8</x:v>
      </x:c>
      <x:c r="L29" s="2" t="n">
        <x:v>19</x:v>
      </x:c>
      <x:c r="M29" s="2" t="n">
        <x:v>5</x:v>
      </x:c>
      <x:c r="N29" s="21" t="n">
        <x:v>51.833333333333336</x:v>
      </x:c>
      <x:c r="O29" s="21" t="n">
        <x:v>249.05</x:v>
      </x:c>
      <x:c r="P29" s="21" t="n">
        <x:v>249.05</x:v>
      </x:c>
      <x:c r="Q29" s="21" t="n">
        <x:v>420</x:v>
      </x:c>
      <x:c r="R29" s="22" t="n">
        <x:f>P29/Q29</x:f>
        <x:v>0.5929761904761905</x:v>
      </x:c>
      <x:c r="S29" s="23" t="n">
        <x:v>1.5737301587301586</x:v>
      </x:c>
      <x:c r="T29" s="2" t="str">
        <x:v>既知開発50場</x:v>
      </x:c>
    </x:row>
    <x:row r="30" ht="22" customHeight="1">
      <x:c r="A30" s="2" t="str">
        <x:v>F1</x:v>
      </x:c>
      <x:c r="B30" s="20" t="d">
        <x:v>2026-10-06T17:00:00.000Z</x:v>
      </x:c>
      <x:c r="C30" s="2" t="str">
        <x:v>ナイト</x:v>
      </x:c>
      <x:c r="D30" s="2" t="str">
        <x:v>下落</x:v>
      </x:c>
      <x:c r="E30" s="19" t="n">
        <x:v>24616</x:v>
      </x:c>
      <x:c r="F30" s="19" t="n">
        <x:v>35384</x:v>
      </x:c>
      <x:c r="G30" s="19" t="n">
        <x:f>E30-F30</x:f>
        <x:v>-10768</x:v>
      </x:c>
      <x:c r="H30" s="19" t="n">
        <x:f>SUMIFS($G$7:$G$56,$B$7:$B$56,"&lt;="&amp;B30)</x:f>
        <x:v>1078747</x:v>
      </x:c>
      <x:c r="I30" s="19" t="n">
        <x:v>768</x:v>
      </x:c>
      <x:c r="J30" s="19" t="n">
        <x:v>-10000</x:v>
      </x:c>
      <x:c r="K30" s="2" t="n">
        <x:v>2</x:v>
      </x:c>
      <x:c r="L30" s="2" t="n">
        <x:v>10</x:v>
      </x:c>
      <x:c r="M30" s="2" t="n">
        <x:v>5</x:v>
      </x:c>
      <x:c r="N30" s="21" t="n">
        <x:v>360.06666666666666</x:v>
      </x:c>
      <x:c r="O30" s="21" t="n">
        <x:v>13.533333333333333</x:v>
      </x:c>
      <x:c r="P30" s="21" t="n">
        <x:v>13.533333333333333</x:v>
      </x:c>
      <x:c r="Q30" s="21" t="n">
        <x:v>600</x:v>
      </x:c>
      <x:c r="R30" s="22" t="n">
        <x:f>P30/Q30</x:f>
        <x:v>0.022555555555555554</x:v>
      </x:c>
      <x:c r="S30" s="23" t="n">
        <x:v>0.11277777777777778</x:v>
      </x:c>
      <x:c r="T30" s="2" t="str">
        <x:v>既知開発50場</x:v>
      </x:c>
    </x:row>
    <x:row r="31" ht="22" customHeight="1">
      <x:c r="A31" s="2" t="str">
        <x:v>F1</x:v>
      </x:c>
      <x:c r="B31" s="20" t="d">
        <x:v>2026-10-07T08:45:00.000Z</x:v>
      </x:c>
      <x:c r="C31" s="2" t="str">
        <x:v>デイ</x:v>
      </x:c>
      <x:c r="D31" s="2" t="str">
        <x:v>下落</x:v>
      </x:c>
      <x:c r="E31" s="19" t="n">
        <x:v>126544</x:v>
      </x:c>
      <x:c r="F31" s="19" t="n">
        <x:v>0</x:v>
      </x:c>
      <x:c r="G31" s="19" t="n">
        <x:f>E31-F31</x:f>
        <x:v>126544</x:v>
      </x:c>
      <x:c r="H31" s="19" t="n">
        <x:f>SUMIFS($G$7:$G$56,$B$7:$B$56,"&lt;="&amp;B31)</x:f>
        <x:v>1205291</x:v>
      </x:c>
      <x:c r="I31" s="19" t="n">
        <x:v>1456</x:v>
      </x:c>
      <x:c r="J31" s="19" t="n">
        <x:v>128000</x:v>
      </x:c>
      <x:c r="K31" s="2" t="n">
        <x:v>9</x:v>
      </x:c>
      <x:c r="L31" s="2" t="n">
        <x:v>19</x:v>
      </x:c>
      <x:c r="M31" s="2" t="n">
        <x:v>8</x:v>
      </x:c>
      <x:c r="N31" s="21" t="n">
        <x:v>47.516666666666666</x:v>
      </x:c>
      <x:c r="O31" s="21" t="n">
        <x:v>113.96666666666667</x:v>
      </x:c>
      <x:c r="P31" s="21" t="n">
        <x:v>113.96666666666667</x:v>
      </x:c>
      <x:c r="Q31" s="21" t="n">
        <x:v>420</x:v>
      </x:c>
      <x:c r="R31" s="22" t="n">
        <x:f>P31/Q31</x:f>
        <x:v>0.27134920634920634</x:v>
      </x:c>
      <x:c r="S31" s="23" t="n">
        <x:v>1.044484126984127</x:v>
      </x:c>
      <x:c r="T31" s="2" t="str">
        <x:v>既知開発50場</x:v>
      </x:c>
    </x:row>
    <x:row r="32" ht="22" customHeight="1">
      <x:c r="A32" s="2" t="str">
        <x:v>F1</x:v>
      </x:c>
      <x:c r="B32" s="20" t="d">
        <x:v>2026-10-07T17:00:00.000Z</x:v>
      </x:c>
      <x:c r="C32" s="2" t="str">
        <x:v>ナイト</x:v>
      </x:c>
      <x:c r="D32" s="2" t="str">
        <x:v>下落</x:v>
      </x:c>
      <x:c r="E32" s="19" t="n">
        <x:v>24232</x:v>
      </x:c>
      <x:c r="F32" s="19" t="n">
        <x:v>0</x:v>
      </x:c>
      <x:c r="G32" s="19" t="n">
        <x:f>E32-F32</x:f>
        <x:v>24232</x:v>
      </x:c>
      <x:c r="H32" s="19" t="n">
        <x:f>SUMIFS($G$7:$G$56,$B$7:$B$56,"&lt;="&amp;B32)</x:f>
        <x:v>1229523</x:v>
      </x:c>
      <x:c r="I32" s="19" t="n">
        <x:v>768</x:v>
      </x:c>
      <x:c r="J32" s="19" t="n">
        <x:v>25000</x:v>
      </x:c>
      <x:c r="K32" s="2" t="n">
        <x:v>2</x:v>
      </x:c>
      <x:c r="L32" s="2" t="n">
        <x:v>10</x:v>
      </x:c>
      <x:c r="M32" s="2" t="n">
        <x:v>5</x:v>
      </x:c>
      <x:c r="N32" s="21" t="n">
        <x:v>360</x:v>
      </x:c>
      <x:c r="O32" s="21" t="n">
        <x:v>11.1</x:v>
      </x:c>
      <x:c r="P32" s="21" t="n">
        <x:v>11.1</x:v>
      </x:c>
      <x:c r="Q32" s="21" t="n">
        <x:v>600</x:v>
      </x:c>
      <x:c r="R32" s="22" t="n">
        <x:f>P32/Q32</x:f>
        <x:v>0.0185</x:v>
      </x:c>
      <x:c r="S32" s="23" t="n">
        <x:v>0.0925</x:v>
      </x:c>
      <x:c r="T32" s="2" t="str">
        <x:v>既知開発50場</x:v>
      </x:c>
    </x:row>
    <x:row r="33" ht="22" customHeight="1">
      <x:c r="A33" s="2" t="str">
        <x:v>F1</x:v>
      </x:c>
      <x:c r="B33" s="20" t="d">
        <x:v>2026-10-08T08:45:00.000Z</x:v>
      </x:c>
      <x:c r="C33" s="2" t="str">
        <x:v>デイ</x:v>
      </x:c>
      <x:c r="D33" s="2" t="str">
        <x:v>下落</x:v>
      </x:c>
      <x:c r="E33" s="19" t="n">
        <x:v>187234</x:v>
      </x:c>
      <x:c r="F33" s="19" t="n">
        <x:v>151536</x:v>
      </x:c>
      <x:c r="G33" s="19" t="n">
        <x:f>E33-F33</x:f>
        <x:v>35698</x:v>
      </x:c>
      <x:c r="H33" s="19" t="n">
        <x:f>SUMIFS($G$7:$G$56,$B$7:$B$56,"&lt;="&amp;B33)</x:f>
        <x:v>1265221</x:v>
      </x:c>
      <x:c r="I33" s="19" t="n">
        <x:v>2302</x:v>
      </x:c>
      <x:c r="J33" s="19" t="n">
        <x:v>38000</x:v>
      </x:c>
      <x:c r="K33" s="2" t="n">
        <x:v>9</x:v>
      </x:c>
      <x:c r="L33" s="2" t="n">
        <x:v>30</x:v>
      </x:c>
      <x:c r="M33" s="2" t="n">
        <x:v>5</x:v>
      </x:c>
      <x:c r="N33" s="21" t="n">
        <x:v>70.23333333333333</x:v>
      </x:c>
      <x:c r="O33" s="21" t="n">
        <x:v>92.66666666666667</x:v>
      </x:c>
      <x:c r="P33" s="21" t="n">
        <x:v>92.66666666666667</x:v>
      </x:c>
      <x:c r="Q33" s="21" t="n">
        <x:v>420</x:v>
      </x:c>
      <x:c r="R33" s="22" t="n">
        <x:f>P33/Q33</x:f>
        <x:v>0.22063492063492066</x:v>
      </x:c>
      <x:c r="S33" s="23" t="n">
        <x:v>1.0009920634920635</x:v>
      </x:c>
      <x:c r="T33" s="2" t="str">
        <x:v>既知開発50場</x:v>
      </x:c>
    </x:row>
    <x:row r="34" ht="22" customHeight="1">
      <x:c r="A34" s="2" t="str">
        <x:v>F1</x:v>
      </x:c>
      <x:c r="B34" s="20" t="d">
        <x:v>2026-10-08T17:00:00.000Z</x:v>
      </x:c>
      <x:c r="C34" s="2" t="str">
        <x:v>ナイト</x:v>
      </x:c>
      <x:c r="D34" s="2" t="str">
        <x:v>下落</x:v>
      </x:c>
      <x:c r="E34" s="19" t="n">
        <x:v>123850</x:v>
      </x:c>
      <x:c r="F34" s="19" t="n">
        <x:v>0</x:v>
      </x:c>
      <x:c r="G34" s="19" t="n">
        <x:f>E34-F34</x:f>
        <x:v>123850</x:v>
      </x:c>
      <x:c r="H34" s="19" t="n">
        <x:f>SUMIFS($G$7:$G$56,$B$7:$B$56,"&lt;="&amp;B34)</x:f>
        <x:v>1389071</x:v>
      </x:c>
      <x:c r="I34" s="19" t="n">
        <x:v>1150</x:v>
      </x:c>
      <x:c r="J34" s="19" t="n">
        <x:v>125000</x:v>
      </x:c>
      <x:c r="K34" s="2" t="n">
        <x:v>6</x:v>
      </x:c>
      <x:c r="L34" s="2" t="n">
        <x:v>15</x:v>
      </x:c>
      <x:c r="M34" s="2" t="n">
        <x:v>7</x:v>
      </x:c>
      <x:c r="N34" s="21" t="n">
        <x:v>359.1</x:v>
      </x:c>
      <x:c r="O34" s="21" t="n">
        <x:v>52.75</x:v>
      </x:c>
      <x:c r="P34" s="21" t="n">
        <x:v>52.75</x:v>
      </x:c>
      <x:c r="Q34" s="21" t="n">
        <x:v>600</x:v>
      </x:c>
      <x:c r="R34" s="22" t="n">
        <x:f>P34/Q34</x:f>
        <x:v>0.08791666666666667</x:v>
      </x:c>
      <x:c r="S34" s="23" t="n">
        <x:v>0.37075</x:v>
      </x:c>
      <x:c r="T34" s="2" t="str">
        <x:v>既知開発50場</x:v>
      </x:c>
    </x:row>
    <x:row r="35" ht="22" customHeight="1">
      <x:c r="A35" s="2" t="str">
        <x:v>F1</x:v>
      </x:c>
      <x:c r="B35" s="20" t="d">
        <x:v>2026-10-09T08:45:00.000Z</x:v>
      </x:c>
      <x:c r="C35" s="2" t="str">
        <x:v>デイ</x:v>
      </x:c>
      <x:c r="D35" s="2" t="str">
        <x:v>上昇</x:v>
      </x:c>
      <x:c r="E35" s="19" t="n">
        <x:v>76310</x:v>
      </x:c>
      <x:c r="F35" s="19" t="n">
        <x:v>43384</x:v>
      </x:c>
      <x:c r="G35" s="19" t="n">
        <x:f>E35-F35</x:f>
        <x:v>32926</x:v>
      </x:c>
      <x:c r="H35" s="19" t="n">
        <x:f>SUMIFS($G$7:$G$56,$B$7:$B$56,"&lt;="&amp;B35)</x:f>
        <x:v>1421997</x:v>
      </x:c>
      <x:c r="I35" s="19" t="n">
        <x:v>1074</x:v>
      </x:c>
      <x:c r="J35" s="19" t="n">
        <x:v>34000</x:v>
      </x:c>
      <x:c r="K35" s="2" t="n">
        <x:v>7</x:v>
      </x:c>
      <x:c r="L35" s="2" t="n">
        <x:v>14</x:v>
      </x:c>
      <x:c r="M35" s="2" t="n">
        <x:v>5</x:v>
      </x:c>
      <x:c r="N35" s="21" t="n">
        <x:v>54.45</x:v>
      </x:c>
      <x:c r="O35" s="21" t="n">
        <x:v>87.9</x:v>
      </x:c>
      <x:c r="P35" s="21" t="n">
        <x:v>87.9</x:v>
      </x:c>
      <x:c r="Q35" s="21" t="n">
        <x:v>420</x:v>
      </x:c>
      <x:c r="R35" s="22" t="n">
        <x:f>P35/Q35</x:f>
        <x:v>0.2092857142857143</x:v>
      </x:c>
      <x:c r="S35" s="23" t="n">
        <x:v>0.6632142857142858</x:v>
      </x:c>
      <x:c r="T35" s="2" t="str">
        <x:v>既知開発50場</x:v>
      </x:c>
    </x:row>
    <x:row r="36" ht="22" customHeight="1">
      <x:c r="A36" s="2" t="str">
        <x:v>F1</x:v>
      </x:c>
      <x:c r="B36" s="20" t="d">
        <x:v>2026-10-09T17:00:00.000Z</x:v>
      </x:c>
      <x:c r="C36" s="2" t="str">
        <x:v>ナイト</x:v>
      </x:c>
      <x:c r="D36" s="2" t="str">
        <x:v>下落</x:v>
      </x:c>
      <x:c r="E36" s="19" t="n">
        <x:v>19616</x:v>
      </x:c>
      <x:c r="F36" s="19" t="n">
        <x:v>0</x:v>
      </x:c>
      <x:c r="G36" s="19" t="n">
        <x:f>E36-F36</x:f>
        <x:v>19616</x:v>
      </x:c>
      <x:c r="H36" s="19" t="n">
        <x:f>SUMIFS($G$7:$G$56,$B$7:$B$56,"&lt;="&amp;B36)</x:f>
        <x:v>1441613</x:v>
      </x:c>
      <x:c r="I36" s="19" t="n">
        <x:v>384</x:v>
      </x:c>
      <x:c r="J36" s="19" t="n">
        <x:v>20000</x:v>
      </x:c>
      <x:c r="K36" s="2" t="n">
        <x:v>1</x:v>
      </x:c>
      <x:c r="L36" s="2" t="n">
        <x:v>5</x:v>
      </x:c>
      <x:c r="M36" s="2" t="n">
        <x:v>5</x:v>
      </x:c>
      <x:c r="N36" s="21" t="n">
        <x:v>360.06666666666666</x:v>
      </x:c>
      <x:c r="O36" s="21" t="n">
        <x:v>11.916666666666666</x:v>
      </x:c>
      <x:c r="P36" s="21" t="n">
        <x:v>11.916666666666666</x:v>
      </x:c>
      <x:c r="Q36" s="21" t="n">
        <x:v>600</x:v>
      </x:c>
      <x:c r="R36" s="22" t="n">
        <x:f>P36/Q36</x:f>
        <x:v>0.01986111111111111</x:v>
      </x:c>
      <x:c r="S36" s="23" t="n">
        <x:v>0.09930555555555555</x:v>
      </x:c>
      <x:c r="T36" s="2" t="str">
        <x:v>既知開発50場</x:v>
      </x:c>
    </x:row>
    <x:row r="37" ht="22" customHeight="1">
      <x:c r="A37" s="2" t="str">
        <x:v>F1</x:v>
      </x:c>
      <x:c r="B37" s="20" t="d">
        <x:v>2026-10-12T08:45:00.000Z</x:v>
      </x:c>
      <x:c r="C37" s="2" t="str">
        <x:v>デイ</x:v>
      </x:c>
      <x:c r="D37" s="2" t="str">
        <x:v>下落</x:v>
      </x:c>
      <x:c r="E37" s="19" t="n">
        <x:v>32616</x:v>
      </x:c>
      <x:c r="F37" s="19" t="n">
        <x:v>25384</x:v>
      </x:c>
      <x:c r="G37" s="19" t="n">
        <x:f>E37-F37</x:f>
        <x:v>7232</x:v>
      </x:c>
      <x:c r="H37" s="19" t="n">
        <x:f>SUMIFS($G$7:$G$56,$B$7:$B$56,"&lt;="&amp;B37)</x:f>
        <x:v>1448845</x:v>
      </x:c>
      <x:c r="I37" s="19" t="n">
        <x:v>768</x:v>
      </x:c>
      <x:c r="J37" s="19" t="n">
        <x:v>8000</x:v>
      </x:c>
      <x:c r="K37" s="2" t="n">
        <x:v>2</x:v>
      </x:c>
      <x:c r="L37" s="2" t="n">
        <x:v>10</x:v>
      </x:c>
      <x:c r="M37" s="2" t="n">
        <x:v>5</x:v>
      </x:c>
      <x:c r="N37" s="21" t="n">
        <x:v>122.76666666666667</x:v>
      </x:c>
      <x:c r="O37" s="21" t="n">
        <x:v>265.15</x:v>
      </x:c>
      <x:c r="P37" s="21" t="n">
        <x:v>265.15</x:v>
      </x:c>
      <x:c r="Q37" s="21" t="n">
        <x:v>420</x:v>
      </x:c>
      <x:c r="R37" s="22" t="n">
        <x:f>P37/Q37</x:f>
        <x:v>0.6313095238095238</x:v>
      </x:c>
      <x:c r="S37" s="23" t="n">
        <x:v>2.2824603174603175</x:v>
      </x:c>
      <x:c r="T37" s="2" t="str">
        <x:v>既知開発50場</x:v>
      </x:c>
    </x:row>
    <x:row r="38" ht="22" customHeight="1">
      <x:c r="A38" s="2" t="str">
        <x:v>F1</x:v>
      </x:c>
      <x:c r="B38" s="20" t="d">
        <x:v>2026-10-12T17:00:00.000Z</x:v>
      </x:c>
      <x:c r="C38" s="2" t="str">
        <x:v>ナイト</x:v>
      </x:c>
      <x:c r="D38" s="2" t="str">
        <x:v>下落</x:v>
      </x:c>
      <x:c r="E38" s="19" t="n">
        <x:v>94616</x:v>
      </x:c>
      <x:c r="F38" s="19" t="n">
        <x:v>0</x:v>
      </x:c>
      <x:c r="G38" s="19" t="n">
        <x:f>E38-F38</x:f>
        <x:v>94616</x:v>
      </x:c>
      <x:c r="H38" s="19" t="n">
        <x:f>SUMIFS($G$7:$G$56,$B$7:$B$56,"&lt;="&amp;B38)</x:f>
        <x:v>1543461</x:v>
      </x:c>
      <x:c r="I38" s="19" t="n">
        <x:v>384</x:v>
      </x:c>
      <x:c r="J38" s="19" t="n">
        <x:v>95000</x:v>
      </x:c>
      <x:c r="K38" s="2" t="n">
        <x:v>1</x:v>
      </x:c>
      <x:c r="L38" s="2" t="n">
        <x:v>5</x:v>
      </x:c>
      <x:c r="M38" s="2" t="n">
        <x:v>5</x:v>
      </x:c>
      <x:c r="N38" s="21" t="n">
        <x:v>360.21666666666664</x:v>
      </x:c>
      <x:c r="O38" s="21" t="n">
        <x:v>10.65</x:v>
      </x:c>
      <x:c r="P38" s="21" t="n">
        <x:v>10.65</x:v>
      </x:c>
      <x:c r="Q38" s="21" t="n">
        <x:v>600</x:v>
      </x:c>
      <x:c r="R38" s="22" t="n">
        <x:f>P38/Q38</x:f>
        <x:v>0.017750000000000002</x:v>
      </x:c>
      <x:c r="S38" s="23" t="n">
        <x:v>0.08875</x:v>
      </x:c>
      <x:c r="T38" s="2" t="str">
        <x:v>既知開発50場</x:v>
      </x:c>
    </x:row>
    <x:row r="39" ht="22" customHeight="1">
      <x:c r="A39" s="2" t="str">
        <x:v>F1</x:v>
      </x:c>
      <x:c r="B39" s="20" t="d">
        <x:v>2026-10-13T08:45:00.000Z</x:v>
      </x:c>
      <x:c r="C39" s="2" t="str">
        <x:v>デイ</x:v>
      </x:c>
      <x:c r="D39" s="2" t="str">
        <x:v>下落</x:v>
      </x:c>
      <x:c r="E39" s="19" t="n">
        <x:v>77926</x:v>
      </x:c>
      <x:c r="F39" s="19" t="n">
        <x:v>114846</x:v>
      </x:c>
      <x:c r="G39" s="19" t="n">
        <x:f>E39-F39</x:f>
        <x:v>-36920</x:v>
      </x:c>
      <x:c r="H39" s="19" t="n">
        <x:f>SUMIFS($G$7:$G$56,$B$7:$B$56,"&lt;="&amp;B39)</x:f>
        <x:v>1506541</x:v>
      </x:c>
      <x:c r="I39" s="19" t="n">
        <x:v>1920</x:v>
      </x:c>
      <x:c r="J39" s="19" t="n">
        <x:v>-35000</x:v>
      </x:c>
      <x:c r="K39" s="2" t="n">
        <x:v>9</x:v>
      </x:c>
      <x:c r="L39" s="2" t="n">
        <x:v>25</x:v>
      </x:c>
      <x:c r="M39" s="2" t="n">
        <x:v>5</x:v>
      </x:c>
      <x:c r="N39" s="21" t="n">
        <x:v>65.25</x:v>
      </x:c>
      <x:c r="O39" s="21" t="n">
        <x:v>313.5833333333333</x:v>
      </x:c>
      <x:c r="P39" s="21" t="n">
        <x:v>313.5833333333333</x:v>
      </x:c>
      <x:c r="Q39" s="21" t="n">
        <x:v>420</x:v>
      </x:c>
      <x:c r="R39" s="22" t="n">
        <x:f>P39/Q39</x:f>
        <x:v>0.746626984126984</x:v>
      </x:c>
      <x:c r="S39" s="23" t="n">
        <x:v>2.814563492063492</x:v>
      </x:c>
      <x:c r="T39" s="2" t="str">
        <x:v>既知開発50場</x:v>
      </x:c>
    </x:row>
    <x:row r="40" ht="22" customHeight="1">
      <x:c r="A40" s="2" t="str">
        <x:v>F1</x:v>
      </x:c>
      <x:c r="B40" s="20" t="d">
        <x:v>2026-10-13T17:00:00.000Z</x:v>
      </x:c>
      <x:c r="C40" s="2" t="str">
        <x:v>ナイト</x:v>
      </x:c>
      <x:c r="D40" s="2" t="str">
        <x:v>上昇</x:v>
      </x:c>
      <x:c r="E40" s="19" t="n">
        <x:v>0</x:v>
      </x:c>
      <x:c r="F40" s="19" t="n">
        <x:v>80768</x:v>
      </x:c>
      <x:c r="G40" s="19" t="n">
        <x:f>E40-F40</x:f>
        <x:v>-80768</x:v>
      </x:c>
      <x:c r="H40" s="19" t="n">
        <x:f>SUMIFS($G$7:$G$56,$B$7:$B$56,"&lt;="&amp;B40)</x:f>
        <x:v>1425773</x:v>
      </x:c>
      <x:c r="I40" s="19" t="n">
        <x:v>768</x:v>
      </x:c>
      <x:c r="J40" s="19" t="n">
        <x:v>-80000</x:v>
      </x:c>
      <x:c r="K40" s="2" t="n">
        <x:v>2</x:v>
      </x:c>
      <x:c r="L40" s="2" t="n">
        <x:v>10</x:v>
      </x:c>
      <x:c r="M40" s="2" t="n">
        <x:v>5</x:v>
      </x:c>
      <x:c r="N40" s="21" t="n">
        <x:v>360.23333333333335</x:v>
      </x:c>
      <x:c r="O40" s="21" t="n">
        <x:v>7.716666666666667</x:v>
      </x:c>
      <x:c r="P40" s="21" t="n">
        <x:v>7.716666666666667</x:v>
      </x:c>
      <x:c r="Q40" s="21" t="n">
        <x:v>600</x:v>
      </x:c>
      <x:c r="R40" s="22" t="n">
        <x:f>P40/Q40</x:f>
        <x:v>0.012861111111111111</x:v>
      </x:c>
      <x:c r="S40" s="23" t="n">
        <x:v>0.06430555555555556</x:v>
      </x:c>
      <x:c r="T40" s="2" t="str">
        <x:v>既知開発50場</x:v>
      </x:c>
    </x:row>
    <x:row r="41" ht="22" customHeight="1">
      <x:c r="A41" s="2" t="str">
        <x:v>F1</x:v>
      </x:c>
      <x:c r="B41" s="20" t="d">
        <x:v>2026-10-14T08:45:00.000Z</x:v>
      </x:c>
      <x:c r="C41" s="2" t="str">
        <x:v>デイ</x:v>
      </x:c>
      <x:c r="D41" s="2" t="str">
        <x:v>上昇</x:v>
      </x:c>
      <x:c r="E41" s="19" t="n">
        <x:v>172232</x:v>
      </x:c>
      <x:c r="F41" s="19" t="n">
        <x:v>82768</x:v>
      </x:c>
      <x:c r="G41" s="19" t="n">
        <x:f>E41-F41</x:f>
        <x:v>89464</x:v>
      </x:c>
      <x:c r="H41" s="19" t="n">
        <x:f>SUMIFS($G$7:$G$56,$B$7:$B$56,"&lt;="&amp;B41)</x:f>
        <x:v>1515237</x:v>
      </x:c>
      <x:c r="I41" s="19" t="n">
        <x:v>1536</x:v>
      </x:c>
      <x:c r="J41" s="19" t="n">
        <x:v>91000</x:v>
      </x:c>
      <x:c r="K41" s="2" t="n">
        <x:v>6</x:v>
      </x:c>
      <x:c r="L41" s="2" t="n">
        <x:v>20</x:v>
      </x:c>
      <x:c r="M41" s="2" t="n">
        <x:v>5</x:v>
      </x:c>
      <x:c r="N41" s="21" t="n">
        <x:v>107.68333333333334</x:v>
      </x:c>
      <x:c r="O41" s="21" t="n">
        <x:v>90.4</x:v>
      </x:c>
      <x:c r="P41" s="21" t="n">
        <x:v>90.4</x:v>
      </x:c>
      <x:c r="Q41" s="21" t="n">
        <x:v>420</x:v>
      </x:c>
      <x:c r="R41" s="22" t="n">
        <x:f>P41/Q41</x:f>
        <x:v>0.21523809523809526</x:v>
      </x:c>
      <x:c r="S41" s="23" t="n">
        <x:v>0.9122222222222223</x:v>
      </x:c>
      <x:c r="T41" s="2" t="str">
        <x:v>既知開発50場</x:v>
      </x:c>
    </x:row>
    <x:row r="42" ht="22" customHeight="1">
      <x:c r="A42" s="2" t="str">
        <x:v>F1</x:v>
      </x:c>
      <x:c r="B42" s="20" t="d">
        <x:v>2026-10-14T17:00:00.000Z</x:v>
      </x:c>
      <x:c r="C42" s="2" t="str">
        <x:v>ナイト</x:v>
      </x:c>
      <x:c r="D42" s="2" t="str">
        <x:v>下落</x:v>
      </x:c>
      <x:c r="E42" s="19" t="n">
        <x:v>214232</x:v>
      </x:c>
      <x:c r="F42" s="19" t="n">
        <x:v>18154</x:v>
      </x:c>
      <x:c r="G42" s="19" t="n">
        <x:f>E42-F42</x:f>
        <x:v>196078</x:v>
      </x:c>
      <x:c r="H42" s="19" t="n">
        <x:f>SUMIFS($G$7:$G$56,$B$7:$B$56,"&lt;="&amp;B42)</x:f>
        <x:v>1711315</x:v>
      </x:c>
      <x:c r="I42" s="19" t="n">
        <x:v>922</x:v>
      </x:c>
      <x:c r="J42" s="19" t="n">
        <x:v>197000</x:v>
      </x:c>
      <x:c r="K42" s="2" t="n">
        <x:v>3</x:v>
      </x:c>
      <x:c r="L42" s="2" t="n">
        <x:v>12</x:v>
      </x:c>
      <x:c r="M42" s="2" t="n">
        <x:v>5</x:v>
      </x:c>
      <x:c r="N42" s="21" t="n">
        <x:v>360</x:v>
      </x:c>
      <x:c r="O42" s="21" t="n">
        <x:v>135.15</x:v>
      </x:c>
      <x:c r="P42" s="21" t="n">
        <x:v>132.23333333333332</x:v>
      </x:c>
      <x:c r="Q42" s="21" t="n">
        <x:v>600</x:v>
      </x:c>
      <x:c r="R42" s="22" t="n">
        <x:f>P42/Q42</x:f>
        <x:v>0.22038888888888886</x:v>
      </x:c>
      <x:c r="S42" s="23" t="n">
        <x:v>0.9644444444444444</x:v>
      </x:c>
      <x:c r="T42" s="2" t="str">
        <x:v>既知開発50場</x:v>
      </x:c>
    </x:row>
    <x:row r="43" ht="22" customHeight="1">
      <x:c r="A43" s="2" t="str">
        <x:v>F1</x:v>
      </x:c>
      <x:c r="B43" s="20" t="d">
        <x:v>2026-10-15T08:45:00.000Z</x:v>
      </x:c>
      <x:c r="C43" s="2" t="str">
        <x:v>デイ</x:v>
      </x:c>
      <x:c r="D43" s="2" t="str">
        <x:v>下落</x:v>
      </x:c>
      <x:c r="E43" s="19" t="n">
        <x:v>432696</x:v>
      </x:c>
      <x:c r="F43" s="19" t="n">
        <x:v>66154</x:v>
      </x:c>
      <x:c r="G43" s="19" t="n">
        <x:f>E43-F43</x:f>
        <x:v>366542</x:v>
      </x:c>
      <x:c r="H43" s="19" t="n">
        <x:f>SUMIFS($G$7:$G$56,$B$7:$B$56,"&lt;="&amp;B43)</x:f>
        <x:v>2077857</x:v>
      </x:c>
      <x:c r="I43" s="19" t="n">
        <x:v>1458</x:v>
      </x:c>
      <x:c r="J43" s="19" t="n">
        <x:v>368000</x:v>
      </x:c>
      <x:c r="K43" s="2" t="n">
        <x:v>8</x:v>
      </x:c>
      <x:c r="L43" s="2" t="n">
        <x:v>19</x:v>
      </x:c>
      <x:c r="M43" s="2" t="n">
        <x:v>5</x:v>
      </x:c>
      <x:c r="N43" s="21" t="n">
        <x:v>50.583333333333336</x:v>
      </x:c>
      <x:c r="O43" s="21" t="n">
        <x:v>222.18333333333334</x:v>
      </x:c>
      <x:c r="P43" s="21" t="n">
        <x:v>222.18333333333334</x:v>
      </x:c>
      <x:c r="Q43" s="21" t="n">
        <x:v>420</x:v>
      </x:c>
      <x:c r="R43" s="22" t="n">
        <x:f>P43/Q43</x:f>
        <x:v>0.5290079365079365</x:v>
      </x:c>
      <x:c r="S43" s="23" t="n">
        <x:v>1.7079761904761905</x:v>
      </x:c>
      <x:c r="T43" s="2" t="str">
        <x:v>既知開発50場</x:v>
      </x:c>
    </x:row>
    <x:row r="44" ht="22" customHeight="1">
      <x:c r="A44" s="2" t="str">
        <x:v>F1</x:v>
      </x:c>
      <x:c r="B44" s="20" t="d">
        <x:v>2026-10-15T17:00:00.000Z</x:v>
      </x:c>
      <x:c r="C44" s="2" t="str">
        <x:v>ナイト</x:v>
      </x:c>
      <x:c r="D44" s="2" t="str">
        <x:v>上昇</x:v>
      </x:c>
      <x:c r="E44" s="19" t="n">
        <x:v>0</x:v>
      </x:c>
      <x:c r="F44" s="19" t="n">
        <x:v>121461</x:v>
      </x:c>
      <x:c r="G44" s="19" t="n">
        <x:f>E44-F44</x:f>
        <x:v>-121461</x:v>
      </x:c>
      <x:c r="H44" s="19" t="n">
        <x:f>SUMIFS($G$7:$G$56,$B$7:$B$56,"&lt;="&amp;B44)</x:f>
        <x:v>1956396</x:v>
      </x:c>
      <x:c r="I44" s="19" t="n">
        <x:v>461</x:v>
      </x:c>
      <x:c r="J44" s="19" t="n">
        <x:v>-121000</x:v>
      </x:c>
      <x:c r="K44" s="2" t="n">
        <x:v>3</x:v>
      </x:c>
      <x:c r="L44" s="2" t="n">
        <x:v>6</x:v>
      </x:c>
      <x:c r="M44" s="2" t="n">
        <x:v>2</x:v>
      </x:c>
      <x:c r="N44" s="21" t="n">
        <x:v>360</x:v>
      </x:c>
      <x:c r="O44" s="21" t="n">
        <x:v>47.766666666666666</x:v>
      </x:c>
      <x:c r="P44" s="21" t="n">
        <x:v>47.766666666666666</x:v>
      </x:c>
      <x:c r="Q44" s="21" t="n">
        <x:v>600</x:v>
      </x:c>
      <x:c r="R44" s="22" t="n">
        <x:f>P44/Q44</x:f>
        <x:v>0.0796111111111111</x:v>
      </x:c>
      <x:c r="S44" s="23" t="n">
        <x:v>0.15213888888888888</x:v>
      </x:c>
      <x:c r="T44" s="2" t="str">
        <x:v>既知開発50場</x:v>
      </x:c>
    </x:row>
    <x:row r="45" ht="22" customHeight="1">
      <x:c r="A45" s="2" t="str">
        <x:v>F1</x:v>
      </x:c>
      <x:c r="B45" s="20" t="d">
        <x:v>2026-10-16T08:45:00.000Z</x:v>
      </x:c>
      <x:c r="C45" s="2" t="str">
        <x:v>デイ</x:v>
      </x:c>
      <x:c r="D45" s="2" t="str">
        <x:v>上昇</x:v>
      </x:c>
      <x:c r="E45" s="19" t="n">
        <x:v>72926</x:v>
      </x:c>
      <x:c r="F45" s="19" t="n">
        <x:v>171690</x:v>
      </x:c>
      <x:c r="G45" s="19" t="n">
        <x:f>E45-F45</x:f>
        <x:v>-98764</x:v>
      </x:c>
      <x:c r="H45" s="19" t="n">
        <x:f>SUMIFS($G$7:$G$56,$B$7:$B$56,"&lt;="&amp;B45)</x:f>
        <x:v>1857632</x:v>
      </x:c>
      <x:c r="I45" s="19" t="n">
        <x:v>2764</x:v>
      </x:c>
      <x:c r="J45" s="19" t="n">
        <x:v>-96000</x:v>
      </x:c>
      <x:c r="K45" s="2" t="n">
        <x:v>10</x:v>
      </x:c>
      <x:c r="L45" s="2" t="n">
        <x:v>36</x:v>
      </x:c>
      <x:c r="M45" s="2" t="n">
        <x:v>7</x:v>
      </x:c>
      <x:c r="N45" s="21" t="n">
        <x:v>66.9</x:v>
      </x:c>
      <x:c r="O45" s="21" t="n">
        <x:v>217.8</x:v>
      </x:c>
      <x:c r="P45" s="21" t="n">
        <x:v>217.8</x:v>
      </x:c>
      <x:c r="Q45" s="21" t="n">
        <x:v>420</x:v>
      </x:c>
      <x:c r="R45" s="22" t="n">
        <x:f>P45/Q45</x:f>
        <x:v>0.5185714285714286</x:v>
      </x:c>
      <x:c r="S45" s="23" t="n">
        <x:v>1.8029365079365078</x:v>
      </x:c>
      <x:c r="T45" s="2" t="str">
        <x:v>既知開発50場</x:v>
      </x:c>
    </x:row>
    <x:row r="46" ht="22" customHeight="1">
      <x:c r="A46" s="2" t="str">
        <x:v>F1</x:v>
      </x:c>
      <x:c r="B46" s="20" t="d">
        <x:v>2026-10-16T17:00:00.000Z</x:v>
      </x:c>
      <x:c r="C46" s="2" t="str">
        <x:v>ナイト</x:v>
      </x:c>
      <x:c r="D46" s="2" t="str">
        <x:v>下落</x:v>
      </x:c>
      <x:c r="E46" s="19" t="n">
        <x:v>78002</x:v>
      </x:c>
      <x:c r="F46" s="19" t="n">
        <x:v>75614</x:v>
      </x:c>
      <x:c r="G46" s="19" t="n">
        <x:f>E46-F46</x:f>
        <x:v>2388</x:v>
      </x:c>
      <x:c r="H46" s="19" t="n">
        <x:f>SUMIFS($G$7:$G$56,$B$7:$B$56,"&lt;="&amp;B46)</x:f>
        <x:v>1860020</x:v>
      </x:c>
      <x:c r="I46" s="19" t="n">
        <x:v>1612</x:v>
      </x:c>
      <x:c r="J46" s="19" t="n">
        <x:v>4000</x:v>
      </x:c>
      <x:c r="K46" s="2" t="n">
        <x:v>8</x:v>
      </x:c>
      <x:c r="L46" s="2" t="n">
        <x:v>21</x:v>
      </x:c>
      <x:c r="M46" s="2" t="n">
        <x:v>5</x:v>
      </x:c>
      <x:c r="N46" s="21" t="n">
        <x:v>360</x:v>
      </x:c>
      <x:c r="O46" s="21" t="n">
        <x:v>94.33333333333333</x:v>
      </x:c>
      <x:c r="P46" s="21" t="n">
        <x:v>24.966666666666665</x:v>
      </x:c>
      <x:c r="Q46" s="21" t="n">
        <x:v>600</x:v>
      </x:c>
      <x:c r="R46" s="22" t="n">
        <x:f>P46/Q46</x:f>
        <x:v>0.041611111111111106</x:v>
      </x:c>
      <x:c r="S46" s="23" t="n">
        <x:v>0.12077777777777778</x:v>
      </x:c>
      <x:c r="T46" s="2" t="str">
        <x:v>既知開発50場</x:v>
      </x:c>
    </x:row>
    <x:row r="47" ht="22" customHeight="1">
      <x:c r="A47" s="2" t="str">
        <x:v>F1</x:v>
      </x:c>
      <x:c r="B47" s="20" t="d">
        <x:v>2026-10-19T08:45:00.000Z</x:v>
      </x:c>
      <x:c r="C47" s="2" t="str">
        <x:v>デイ</x:v>
      </x:c>
      <x:c r="D47" s="2" t="str">
        <x:v>上昇</x:v>
      </x:c>
      <x:c r="E47" s="19" t="n">
        <x:v>280240</x:v>
      </x:c>
      <x:c r="F47" s="19" t="n">
        <x:v>16154</x:v>
      </x:c>
      <x:c r="G47" s="19" t="n">
        <x:f>E47-F47</x:f>
        <x:v>264086</x:v>
      </x:c>
      <x:c r="H47" s="19" t="n">
        <x:f>SUMIFS($G$7:$G$56,$B$7:$B$56,"&lt;="&amp;B47)</x:f>
        <x:v>2124106</x:v>
      </x:c>
      <x:c r="I47" s="19" t="n">
        <x:v>1914</x:v>
      </x:c>
      <x:c r="J47" s="19" t="n">
        <x:v>266000</x:v>
      </x:c>
      <x:c r="K47" s="2" t="n">
        <x:v>16</x:v>
      </x:c>
      <x:c r="L47" s="2" t="n">
        <x:v>25</x:v>
      </x:c>
      <x:c r="M47" s="2" t="n">
        <x:v>10</x:v>
      </x:c>
      <x:c r="N47" s="21" t="n">
        <x:v>46.78333333333333</x:v>
      </x:c>
      <x:c r="O47" s="21" t="n">
        <x:v>363.21666666666664</x:v>
      </x:c>
      <x:c r="P47" s="21" t="n">
        <x:v>363.21666666666664</x:v>
      </x:c>
      <x:c r="Q47" s="21" t="n">
        <x:v>420</x:v>
      </x:c>
      <x:c r="R47" s="22" t="n">
        <x:f>P47/Q47</x:f>
        <x:v>0.8648015873015873</x:v>
      </x:c>
      <x:c r="S47" s="23" t="n">
        <x:v>5.097420634920635</x:v>
      </x:c>
      <x:c r="T47" s="2" t="str">
        <x:v>既知開発50場</x:v>
      </x:c>
    </x:row>
    <x:row r="48" ht="22" customHeight="1">
      <x:c r="A48" s="2" t="str">
        <x:v>F1</x:v>
      </x:c>
      <x:c r="B48" s="20" t="d">
        <x:v>2026-10-19T17:00:00.000Z</x:v>
      </x:c>
      <x:c r="C48" s="2" t="str">
        <x:v>ナイト</x:v>
      </x:c>
      <x:c r="D48" s="2" t="str">
        <x:v>上昇</x:v>
      </x:c>
      <x:c r="E48" s="19" t="n">
        <x:v>64081</x:v>
      </x:c>
      <x:c r="F48" s="19" t="n">
        <x:v>50384</x:v>
      </x:c>
      <x:c r="G48" s="19" t="n">
        <x:f>E48-F48</x:f>
        <x:v>13697</x:v>
      </x:c>
      <x:c r="H48" s="19" t="n">
        <x:f>SUMIFS($G$7:$G$56,$B$7:$B$56,"&lt;="&amp;B48)</x:f>
        <x:v>2137803</x:v>
      </x:c>
      <x:c r="I48" s="19" t="n">
        <x:v>1303</x:v>
      </x:c>
      <x:c r="J48" s="19" t="n">
        <x:v>15000</x:v>
      </x:c>
      <x:c r="K48" s="2" t="n">
        <x:v>7</x:v>
      </x:c>
      <x:c r="L48" s="2" t="n">
        <x:v>17</x:v>
      </x:c>
      <x:c r="M48" s="2" t="n">
        <x:v>5</x:v>
      </x:c>
      <x:c r="N48" s="21" t="n">
        <x:v>352.01666666666665</x:v>
      </x:c>
      <x:c r="O48" s="21" t="n">
        <x:v>38.21666666666667</x:v>
      </x:c>
      <x:c r="P48" s="21" t="n">
        <x:v>38.21666666666667</x:v>
      </x:c>
      <x:c r="Q48" s="21" t="n">
        <x:v>600</x:v>
      </x:c>
      <x:c r="R48" s="22" t="n">
        <x:f>P48/Q48</x:f>
        <x:v>0.06369444444444444</x:v>
      </x:c>
      <x:c r="S48" s="23" t="n">
        <x:v>0.22797222222222221</x:v>
      </x:c>
      <x:c r="T48" s="2" t="str">
        <x:v>既知開発50場</x:v>
      </x:c>
    </x:row>
    <x:row r="49" ht="22" customHeight="1">
      <x:c r="A49" s="2" t="str">
        <x:v>F1</x:v>
      </x:c>
      <x:c r="B49" s="20" t="d">
        <x:v>2026-10-20T08:45:00.000Z</x:v>
      </x:c>
      <x:c r="C49" s="2" t="str">
        <x:v>デイ</x:v>
      </x:c>
      <x:c r="D49" s="2" t="str">
        <x:v>下落</x:v>
      </x:c>
      <x:c r="E49" s="19" t="n">
        <x:v>137466</x:v>
      </x:c>
      <x:c r="F49" s="19" t="n">
        <x:v>115846</x:v>
      </x:c>
      <x:c r="G49" s="19" t="n">
        <x:f>E49-F49</x:f>
        <x:v>21620</x:v>
      </x:c>
      <x:c r="H49" s="19" t="n">
        <x:f>SUMIFS($G$7:$G$56,$B$7:$B$56,"&lt;="&amp;B49)</x:f>
        <x:v>2159423</x:v>
      </x:c>
      <x:c r="I49" s="19" t="n">
        <x:v>2380</x:v>
      </x:c>
      <x:c r="J49" s="19" t="n">
        <x:v>24000</x:v>
      </x:c>
      <x:c r="K49" s="2" t="n">
        <x:v>11</x:v>
      </x:c>
      <x:c r="L49" s="2" t="n">
        <x:v>31</x:v>
      </x:c>
      <x:c r="M49" s="2" t="n">
        <x:v>10</x:v>
      </x:c>
      <x:c r="N49" s="21" t="n">
        <x:v>79.45</x:v>
      </x:c>
      <x:c r="O49" s="21" t="n">
        <x:v>208.98333333333332</x:v>
      </x:c>
      <x:c r="P49" s="21" t="n">
        <x:v>208.98333333333332</x:v>
      </x:c>
      <x:c r="Q49" s="21" t="n">
        <x:v>420</x:v>
      </x:c>
      <x:c r="R49" s="22" t="n">
        <x:f>P49/Q49</x:f>
        <x:v>0.49757936507936507</x:v>
      </x:c>
      <x:c r="S49" s="23" t="n">
        <x:v>2.184801587301587</x:v>
      </x:c>
      <x:c r="T49" s="2" t="str">
        <x:v>既知開発50場</x:v>
      </x:c>
    </x:row>
    <x:row r="50" ht="22" customHeight="1">
      <x:c r="A50" s="2" t="str">
        <x:v>F1</x:v>
      </x:c>
      <x:c r="B50" s="20" t="d">
        <x:v>2026-10-20T17:00:00.000Z</x:v>
      </x:c>
      <x:c r="C50" s="2" t="str">
        <x:v>ナイト</x:v>
      </x:c>
      <x:c r="D50" s="2" t="str">
        <x:v>上昇</x:v>
      </x:c>
      <x:c r="E50" s="19" t="n">
        <x:v>412234</x:v>
      </x:c>
      <x:c r="F50" s="19" t="n">
        <x:v>70384</x:v>
      </x:c>
      <x:c r="G50" s="19" t="n">
        <x:f>E50-F50</x:f>
        <x:v>341850</x:v>
      </x:c>
      <x:c r="H50" s="19" t="n">
        <x:f>SUMIFS($G$7:$G$56,$B$7:$B$56,"&lt;="&amp;B50)</x:f>
        <x:v>2501273</x:v>
      </x:c>
      <x:c r="I50" s="19" t="n">
        <x:v>1150</x:v>
      </x:c>
      <x:c r="J50" s="19" t="n">
        <x:v>343000</x:v>
      </x:c>
      <x:c r="K50" s="2" t="n">
        <x:v>8</x:v>
      </x:c>
      <x:c r="L50" s="2" t="n">
        <x:v>15</x:v>
      </x:c>
      <x:c r="M50" s="2" t="n">
        <x:v>7</x:v>
      </x:c>
      <x:c r="N50" s="21" t="n">
        <x:v>346.26666666666665</x:v>
      </x:c>
      <x:c r="O50" s="21" t="n">
        <x:v>73.9</x:v>
      </x:c>
      <x:c r="P50" s="21" t="n">
        <x:v>73.9</x:v>
      </x:c>
      <x:c r="Q50" s="21" t="n">
        <x:v>600</x:v>
      </x:c>
      <x:c r="R50" s="22" t="n">
        <x:f>P50/Q50</x:f>
        <x:v>0.12316666666666667</x:v>
      </x:c>
      <x:c r="S50" s="23" t="n">
        <x:v>0.6027777777777777</x:v>
      </x:c>
      <x:c r="T50" s="2" t="str">
        <x:v>既知開発50場</x:v>
      </x:c>
    </x:row>
    <x:row r="51" ht="22" customHeight="1">
      <x:c r="A51" s="2" t="str">
        <x:v>F1</x:v>
      </x:c>
      <x:c r="B51" s="20" t="d">
        <x:v>2026-10-21T08:45:00.000Z</x:v>
      </x:c>
      <x:c r="C51" s="2" t="str">
        <x:v>デイ</x:v>
      </x:c>
      <x:c r="D51" s="2" t="str">
        <x:v>下落</x:v>
      </x:c>
      <x:c r="E51" s="19" t="n">
        <x:v>168928</x:v>
      </x:c>
      <x:c r="F51" s="19" t="n">
        <x:v>246920</x:v>
      </x:c>
      <x:c r="G51" s="19" t="n">
        <x:f>E51-F51</x:f>
        <x:v>-77992</x:v>
      </x:c>
      <x:c r="H51" s="19" t="n">
        <x:f>SUMIFS($G$7:$G$56,$B$7:$B$56,"&lt;="&amp;B51)</x:f>
        <x:v>2423281</x:v>
      </x:c>
      <x:c r="I51" s="19" t="n">
        <x:v>2992</x:v>
      </x:c>
      <x:c r="J51" s="19" t="n">
        <x:v>-75000</x:v>
      </x:c>
      <x:c r="K51" s="2" t="n">
        <x:v>13</x:v>
      </x:c>
      <x:c r="L51" s="2" t="n">
        <x:v>39</x:v>
      </x:c>
      <x:c r="M51" s="2" t="n">
        <x:v>5</x:v>
      </x:c>
      <x:c r="N51" s="21" t="n">
        <x:v>50.11666666666667</x:v>
      </x:c>
      <x:c r="O51" s="21" t="n">
        <x:v>164.5</x:v>
      </x:c>
      <x:c r="P51" s="21" t="n">
        <x:v>164.5</x:v>
      </x:c>
      <x:c r="Q51" s="21" t="n">
        <x:v>420</x:v>
      </x:c>
      <x:c r="R51" s="22" t="n">
        <x:f>P51/Q51</x:f>
        <x:v>0.39166666666666666</x:v>
      </x:c>
      <x:c r="S51" s="23" t="n">
        <x:v>1.5049603174603174</x:v>
      </x:c>
      <x:c r="T51" s="2" t="str">
        <x:v>既知開発50場</x:v>
      </x:c>
    </x:row>
    <x:row r="52" ht="22" customHeight="1">
      <x:c r="A52" s="2" t="str">
        <x:v>F1</x:v>
      </x:c>
      <x:c r="B52" s="20" t="d">
        <x:v>2026-10-21T17:00:00.000Z</x:v>
      </x:c>
      <x:c r="C52" s="2" t="str">
        <x:v>ナイト</x:v>
      </x:c>
      <x:c r="D52" s="2" t="str">
        <x:v>上昇</x:v>
      </x:c>
      <x:c r="E52" s="19" t="n">
        <x:v>44616</x:v>
      </x:c>
      <x:c r="F52" s="19" t="n">
        <x:v>85768</x:v>
      </x:c>
      <x:c r="G52" s="19" t="n">
        <x:f>E52-F52</x:f>
        <x:v>-41152</x:v>
      </x:c>
      <x:c r="H52" s="19" t="n">
        <x:f>SUMIFS($G$7:$G$56,$B$7:$B$56,"&lt;="&amp;B52)</x:f>
        <x:v>2382129</x:v>
      </x:c>
      <x:c r="I52" s="19" t="n">
        <x:v>1152</x:v>
      </x:c>
      <x:c r="J52" s="19" t="n">
        <x:v>-40000</x:v>
      </x:c>
      <x:c r="K52" s="2" t="n">
        <x:v>3</x:v>
      </x:c>
      <x:c r="L52" s="2" t="n">
        <x:v>15</x:v>
      </x:c>
      <x:c r="M52" s="2" t="n">
        <x:v>5</x:v>
      </x:c>
      <x:c r="N52" s="21" t="n">
        <x:v>360</x:v>
      </x:c>
      <x:c r="O52" s="21" t="n">
        <x:v>93.56666666666666</x:v>
      </x:c>
      <x:c r="P52" s="21" t="n">
        <x:v>93.56666666666666</x:v>
      </x:c>
      <x:c r="Q52" s="21" t="n">
        <x:v>600</x:v>
      </x:c>
      <x:c r="R52" s="22" t="n">
        <x:f>P52/Q52</x:f>
        <x:v>0.15594444444444444</x:v>
      </x:c>
      <x:c r="S52" s="23" t="n">
        <x:v>0.7797222222222222</x:v>
      </x:c>
      <x:c r="T52" s="2" t="str">
        <x:v>既知開発50場</x:v>
      </x:c>
    </x:row>
    <x:row r="53" ht="22" customHeight="1">
      <x:c r="A53" s="2" t="str">
        <x:v>F1</x:v>
      </x:c>
      <x:c r="B53" s="20" t="d">
        <x:v>2026-10-22T08:45:00.000Z</x:v>
      </x:c>
      <x:c r="C53" s="2" t="str">
        <x:v>デイ</x:v>
      </x:c>
      <x:c r="D53" s="2" t="str">
        <x:v>下落</x:v>
      </x:c>
      <x:c r="E53" s="19" t="n">
        <x:v>389234</x:v>
      </x:c>
      <x:c r="F53" s="19" t="n">
        <x:v>70308</x:v>
      </x:c>
      <x:c r="G53" s="19" t="n">
        <x:f>E53-F53</x:f>
        <x:v>318926</x:v>
      </x:c>
      <x:c r="H53" s="19" t="n">
        <x:f>SUMIFS($G$7:$G$56,$B$7:$B$56,"&lt;="&amp;B53)</x:f>
        <x:v>2701055</x:v>
      </x:c>
      <x:c r="I53" s="19" t="n">
        <x:v>1074</x:v>
      </x:c>
      <x:c r="J53" s="19" t="n">
        <x:v>320000</x:v>
      </x:c>
      <x:c r="K53" s="2" t="n">
        <x:v>7</x:v>
      </x:c>
      <x:c r="L53" s="2" t="n">
        <x:v>14</x:v>
      </x:c>
      <x:c r="M53" s="2" t="n">
        <x:v>5</x:v>
      </x:c>
      <x:c r="N53" s="21" t="n">
        <x:v>79.91666666666667</x:v>
      </x:c>
      <x:c r="O53" s="21" t="n">
        <x:v>250.81666666666666</x:v>
      </x:c>
      <x:c r="P53" s="21" t="n">
        <x:v>250.81666666666666</x:v>
      </x:c>
      <x:c r="Q53" s="21" t="n">
        <x:v>420</x:v>
      </x:c>
      <x:c r="R53" s="22" t="n">
        <x:f>P53/Q53</x:f>
        <x:v>0.5971825396825396</x:v>
      </x:c>
      <x:c r="S53" s="23" t="n">
        <x:v>2.3267063492063493</x:v>
      </x:c>
      <x:c r="T53" s="2" t="str">
        <x:v>既知開発50場</x:v>
      </x:c>
    </x:row>
    <x:row r="54" ht="22" customHeight="1">
      <x:c r="A54" s="2" t="str">
        <x:v>F1</x:v>
      </x:c>
      <x:c r="B54" s="20" t="d">
        <x:v>2026-10-22T17:00:00.000Z</x:v>
      </x:c>
      <x:c r="C54" s="2" t="str">
        <x:v>ナイト</x:v>
      </x:c>
      <x:c r="D54" s="2" t="str">
        <x:v>下落</x:v>
      </x:c>
      <x:c r="E54" s="19" t="n">
        <x:v>104616</x:v>
      </x:c>
      <x:c r="F54" s="19" t="n">
        <x:v>65537</x:v>
      </x:c>
      <x:c r="G54" s="19" t="n">
        <x:f>E54-F54</x:f>
        <x:v>39079</x:v>
      </x:c>
      <x:c r="H54" s="19" t="n">
        <x:f>SUMIFS($G$7:$G$56,$B$7:$B$56,"&lt;="&amp;B54)</x:f>
        <x:v>2740134</x:v>
      </x:c>
      <x:c r="I54" s="19" t="n">
        <x:v>921</x:v>
      </x:c>
      <x:c r="J54" s="19" t="n">
        <x:v>40000</x:v>
      </x:c>
      <x:c r="K54" s="2" t="n">
        <x:v>3</x:v>
      </x:c>
      <x:c r="L54" s="2" t="n">
        <x:v>12</x:v>
      </x:c>
      <x:c r="M54" s="2" t="n">
        <x:v>5</x:v>
      </x:c>
      <x:c r="N54" s="21" t="n">
        <x:v>360.06666666666666</x:v>
      </x:c>
      <x:c r="O54" s="21" t="n">
        <x:v>34.96666666666667</x:v>
      </x:c>
      <x:c r="P54" s="21" t="n">
        <x:v>34.96666666666667</x:v>
      </x:c>
      <x:c r="Q54" s="21" t="n">
        <x:v>600</x:v>
      </x:c>
      <x:c r="R54" s="22" t="n">
        <x:f>P54/Q54</x:f>
        <x:v>0.05827777777777778</x:v>
      </x:c>
      <x:c r="S54" s="23" t="n">
        <x:v>0.21263888888888888</x:v>
      </x:c>
      <x:c r="T54" s="2" t="str">
        <x:v>既知開発50場</x:v>
      </x:c>
    </x:row>
    <x:row r="55" ht="22" customHeight="1">
      <x:c r="A55" s="2" t="str">
        <x:v>F1</x:v>
      </x:c>
      <x:c r="B55" s="20" t="d">
        <x:v>2026-10-23T08:45:00.000Z</x:v>
      </x:c>
      <x:c r="C55" s="2" t="str">
        <x:v>デイ</x:v>
      </x:c>
      <x:c r="D55" s="2" t="str">
        <x:v>上昇</x:v>
      </x:c>
      <x:c r="E55" s="19" t="n">
        <x:v>76618</x:v>
      </x:c>
      <x:c r="F55" s="19" t="n">
        <x:v>99692</x:v>
      </x:c>
      <x:c r="G55" s="19" t="n">
        <x:f>E55-F55</x:f>
        <x:v>-23074</x:v>
      </x:c>
      <x:c r="H55" s="19" t="n">
        <x:f>SUMIFS($G$7:$G$56,$B$7:$B$56,"&lt;="&amp;B55)</x:f>
        <x:v>2717060</x:v>
      </x:c>
      <x:c r="I55" s="19" t="n">
        <x:v>1074</x:v>
      </x:c>
      <x:c r="J55" s="19" t="n">
        <x:v>-22000</x:v>
      </x:c>
      <x:c r="K55" s="2" t="n">
        <x:v>7</x:v>
      </x:c>
      <x:c r="L55" s="2" t="n">
        <x:v>14</x:v>
      </x:c>
      <x:c r="M55" s="2" t="n">
        <x:v>5</x:v>
      </x:c>
      <x:c r="N55" s="21" t="n">
        <x:v>95.1</x:v>
      </x:c>
      <x:c r="O55" s="21" t="n">
        <x:v>217.81666666666666</x:v>
      </x:c>
      <x:c r="P55" s="21" t="n">
        <x:v>217.81666666666666</x:v>
      </x:c>
      <x:c r="Q55" s="21" t="n">
        <x:v>420</x:v>
      </x:c>
      <x:c r="R55" s="22" t="n">
        <x:f>P55/Q55</x:f>
        <x:v>0.5186111111111111</x:v>
      </x:c>
      <x:c r="S55" s="23" t="n">
        <x:v>1.381468253968254</x:v>
      </x:c>
      <x:c r="T55" s="2" t="str">
        <x:v>既知開発50場</x:v>
      </x:c>
    </x:row>
    <x:row r="56" ht="22" customHeight="1">
      <x:c r="A56" s="2" t="str">
        <x:v>F1</x:v>
      </x:c>
      <x:c r="B56" s="20" t="d">
        <x:v>2026-10-23T17:00:00.000Z</x:v>
      </x:c>
      <x:c r="C56" s="2" t="str">
        <x:v>ナイト</x:v>
      </x:c>
      <x:c r="D56" s="2" t="str">
        <x:v>上昇</x:v>
      </x:c>
      <x:c r="E56" s="19" t="n">
        <x:v>34616</x:v>
      </x:c>
      <x:c r="F56" s="19" t="n">
        <x:v>15153</x:v>
      </x:c>
      <x:c r="G56" s="19" t="n">
        <x:f>E56-F56</x:f>
        <x:v>19463</x:v>
      </x:c>
      <x:c r="H56" s="19" t="n">
        <x:f>SUMIFS($G$7:$G$56,$B$7:$B$56,"&lt;="&amp;B56)</x:f>
        <x:v>2736523</x:v>
      </x:c>
      <x:c r="I56" s="19" t="n">
        <x:v>537</x:v>
      </x:c>
      <x:c r="J56" s="19" t="n">
        <x:v>20000</x:v>
      </x:c>
      <x:c r="K56" s="2" t="n">
        <x:v>2</x:v>
      </x:c>
      <x:c r="L56" s="2" t="n">
        <x:v>7</x:v>
      </x:c>
      <x:c r="M56" s="2" t="n">
        <x:v>5</x:v>
      </x:c>
      <x:c r="N56" s="21" t="n">
        <x:v>360.03333333333336</x:v>
      </x:c>
      <x:c r="O56" s="21" t="n">
        <x:v>21.583333333333332</x:v>
      </x:c>
      <x:c r="P56" s="21" t="n">
        <x:v>21.583333333333332</x:v>
      </x:c>
      <x:c r="Q56" s="21" t="n">
        <x:v>600</x:v>
      </x:c>
      <x:c r="R56" s="22" t="n">
        <x:f>P56/Q56</x:f>
        <x:v>0.03597222222222222</x:v>
      </x:c>
      <x:c r="S56" s="23" t="n">
        <x:v>0.06647222222222222</x:v>
      </x:c>
      <x:c r="T56" s="2" t="str">
        <x:v>既知開発50場</x:v>
      </x:c>
    </x:row>
  </x:sheetData>
  <x:conditionalFormatting sqref="E7:J56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6a5128bf574da2"/>
  </x:tableParts>
</x:worksheet>
</file>

<file path=xl/worksheets/sheet4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3" hidden="0" customWidth="1"/>
    <x:col min="4" max="4" width="13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3" hidden="0" customWidth="1"/>
    <x:col min="16" max="16" width="23" hidden="0" customWidth="1"/>
    <x:col min="17" max="17" width="23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日経mini TG00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6" t="str">
        <x:v>片方向上限10枚。円・手数料後。保有率はデイ420分／ナイト17～03時の600分。損益は全セッションを含みます。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6" t="str">
        <x:v>昼：基本O17＋追加G02＋帯回復E01／夜：基本O02＋追加C13＋帯反発A34。残玉化前の比較元。基本5・追加3・別手法2枚。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6" t="str">
        <x:v>始終値方向は事後評価専用。平均枚数は同じ評価時間の合計保有枚数を平均し、両建ても合算します。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8" customHeight="1">
      <x:c r="A6" s="15" t="str">
        <x:v>手法ID</x:v>
      </x:c>
      <x:c r="B6" s="16" t="str">
        <x:v>開始日時</x:v>
      </x:c>
      <x:c r="C6" s="16" t="str">
        <x:v>昼夜</x:v>
      </x:c>
      <x:c r="D6" s="16" t="str">
        <x:v>始終値方向</x:v>
      </x:c>
      <x:c r="E6" s="16" t="str">
        <x:v>利益（円）</x:v>
      </x:c>
      <x:c r="F6" s="16" t="str">
        <x:v>損失（円）</x:v>
      </x:c>
      <x:c r="G6" s="16" t="str">
        <x:v>収支（円）</x:v>
      </x:c>
      <x:c r="H6" s="16" t="str">
        <x:v>累計（円）</x:v>
      </x:c>
      <x:c r="I6" s="16" t="str">
        <x:v>内数手数料（円）</x:v>
      </x:c>
      <x:c r="J6" s="16" t="str">
        <x:v>費用前収支（円）</x:v>
      </x:c>
      <x:c r="K6" s="16" t="str">
        <x:v>新規回数</x:v>
      </x:c>
      <x:c r="L6" s="16" t="str">
        <x:v>新規枚数</x:v>
      </x:c>
      <x:c r="M6" s="16" t="str">
        <x:v>最大片方向保有</x:v>
      </x:c>
      <x:c r="N6" s="16" t="str">
        <x:v>初回まで（分）</x:v>
      </x:c>
      <x:c r="O6" s="16" t="str">
        <x:v>全場保有（分）</x:v>
      </x:c>
      <x:c r="P6" s="16" t="str">
        <x:v>03時以降除外保有（分）</x:v>
      </x:c>
      <x:c r="Q6" s="16" t="str">
        <x:v>評価時間（分）</x:v>
      </x:c>
      <x:c r="R6" s="16" t="str">
        <x:v>保有率</x:v>
      </x:c>
      <x:c r="S6" s="16" t="str">
        <x:v>平均保有枚数</x:v>
      </x:c>
      <x:c r="T6" s="17" t="str">
        <x:v>対象区分</x:v>
      </x:c>
    </x:row>
    <x:row r="7" ht="22" customHeight="1">
      <x:c r="A7" s="2" t="str">
        <x:v>TG00</x:v>
      </x:c>
      <x:c r="B7" s="20" t="d">
        <x:v>2026-09-21T08:45:00.000Z</x:v>
      </x:c>
      <x:c r="C7" s="2" t="str">
        <x:v>デイ</x:v>
      </x:c>
      <x:c r="D7" s="2" t="str">
        <x:v>上昇</x:v>
      </x:c>
      <x:c r="E7" s="19" t="n">
        <x:v>89463</x:v>
      </x:c>
      <x:c r="F7" s="19" t="n">
        <x:v>0</x:v>
      </x:c>
      <x:c r="G7" s="19" t="n">
        <x:f>E7-F7</x:f>
        <x:v>89463</x:v>
      </x:c>
      <x:c r="H7" s="19" t="n">
        <x:f>SUMIFS($G$7:$G$56,$B$7:$B$56,"&lt;="&amp;B7)</x:f>
        <x:v>89463</x:v>
      </x:c>
      <x:c r="I7" s="19" t="n">
        <x:v>537</x:v>
      </x:c>
      <x:c r="J7" s="19" t="n">
        <x:v>90000</x:v>
      </x:c>
      <x:c r="K7" s="2" t="n">
        <x:v>2</x:v>
      </x:c>
      <x:c r="L7" s="2" t="n">
        <x:v>7</x:v>
      </x:c>
      <x:c r="M7" s="2" t="n">
        <x:v>5</x:v>
      </x:c>
      <x:c r="N7" s="21" t="n">
        <x:v>38.733333333333334</x:v>
      </x:c>
      <x:c r="O7" s="21" t="n">
        <x:v>185.15</x:v>
      </x:c>
      <x:c r="P7" s="21" t="n">
        <x:v>185.15</x:v>
      </x:c>
      <x:c r="Q7" s="21" t="n">
        <x:v>420</x:v>
      </x:c>
      <x:c r="R7" s="22" t="n">
        <x:f>P7/Q7</x:f>
        <x:v>0.44083333333333335</x:v>
      </x:c>
      <x:c r="S7" s="23" t="n">
        <x:v>1.5624206349206349</x:v>
      </x:c>
      <x:c r="T7" s="2" t="str">
        <x:v>既知開発50場</x:v>
      </x:c>
    </x:row>
    <x:row r="8" ht="22" customHeight="1">
      <x:c r="A8" s="2" t="str">
        <x:v>TG00</x:v>
      </x:c>
      <x:c r="B8" s="20" t="d">
        <x:v>2026-09-21T17:00:00.000Z</x:v>
      </x:c>
      <x:c r="C8" s="2" t="str">
        <x:v>ナイト</x:v>
      </x:c>
      <x:c r="D8" s="2" t="str">
        <x:v>上昇</x:v>
      </x:c>
      <x:c r="E8" s="19" t="n">
        <x:v>0</x:v>
      </x:c>
      <x:c r="F8" s="19" t="n">
        <x:v>45384</x:v>
      </x:c>
      <x:c r="G8" s="19" t="n">
        <x:f>E8-F8</x:f>
        <x:v>-45384</x:v>
      </x:c>
      <x:c r="H8" s="19" t="n">
        <x:f>SUMIFS($G$7:$G$56,$B$7:$B$56,"&lt;="&amp;B8)</x:f>
        <x:v>44079</x:v>
      </x:c>
      <x:c r="I8" s="19" t="n">
        <x:v>384</x:v>
      </x:c>
      <x:c r="J8" s="19" t="n">
        <x:v>-45000</x:v>
      </x:c>
      <x:c r="K8" s="2" t="n">
        <x:v>1</x:v>
      </x:c>
      <x:c r="L8" s="2" t="n">
        <x:v>5</x:v>
      </x:c>
      <x:c r="M8" s="2" t="n">
        <x:v>5</x:v>
      </x:c>
      <x:c r="N8" s="21" t="n">
        <x:v>360.01666666666665</x:v>
      </x:c>
      <x:c r="O8" s="21" t="n">
        <x:v>5.666666666666667</x:v>
      </x:c>
      <x:c r="P8" s="21" t="n">
        <x:v>5.666666666666667</x:v>
      </x:c>
      <x:c r="Q8" s="21" t="n">
        <x:v>600</x:v>
      </x:c>
      <x:c r="R8" s="22" t="n">
        <x:f>P8/Q8</x:f>
        <x:v>0.009444444444444445</x:v>
      </x:c>
      <x:c r="S8" s="23" t="n">
        <x:v>0.04722222222222222</x:v>
      </x:c>
      <x:c r="T8" s="2" t="str">
        <x:v>既知開発50場</x:v>
      </x:c>
    </x:row>
    <x:row r="9" ht="22" customHeight="1">
      <x:c r="A9" s="2" t="str">
        <x:v>TG00</x:v>
      </x:c>
      <x:c r="B9" s="20" t="d">
        <x:v>2026-09-22T08:45:00.000Z</x:v>
      </x:c>
      <x:c r="C9" s="2" t="str">
        <x:v>デイ</x:v>
      </x:c>
      <x:c r="D9" s="2" t="str">
        <x:v>下落</x:v>
      </x:c>
      <x:c r="E9" s="19" t="n">
        <x:v>0</x:v>
      </x:c>
      <x:c r="F9" s="19" t="n">
        <x:v>106152</x:v>
      </x:c>
      <x:c r="G9" s="19" t="n">
        <x:f>E9-F9</x:f>
        <x:v>-106152</x:v>
      </x:c>
      <x:c r="H9" s="19" t="n">
        <x:f>SUMIFS($G$7:$G$56,$B$7:$B$56,"&lt;="&amp;B9)</x:f>
        <x:v>-62073</x:v>
      </x:c>
      <x:c r="I9" s="19" t="n">
        <x:v>1152</x:v>
      </x:c>
      <x:c r="J9" s="19" t="n">
        <x:v>-105000</x:v>
      </x:c>
      <x:c r="K9" s="2" t="n">
        <x:v>3</x:v>
      </x:c>
      <x:c r="L9" s="2" t="n">
        <x:v>15</x:v>
      </x:c>
      <x:c r="M9" s="2" t="n">
        <x:v>5</x:v>
      </x:c>
      <x:c r="N9" s="21" t="n">
        <x:v>242.78333333333333</x:v>
      </x:c>
      <x:c r="O9" s="21" t="n">
        <x:v>28.166666666666668</x:v>
      </x:c>
      <x:c r="P9" s="21" t="n">
        <x:v>28.166666666666668</x:v>
      </x:c>
      <x:c r="Q9" s="21" t="n">
        <x:v>420</x:v>
      </x:c>
      <x:c r="R9" s="22" t="n">
        <x:f>P9/Q9</x:f>
        <x:v>0.06706349206349206</x:v>
      </x:c>
      <x:c r="S9" s="23" t="n">
        <x:v>0.3353174603174603</x:v>
      </x:c>
      <x:c r="T9" s="2" t="str">
        <x:v>既知開発50場</x:v>
      </x:c>
    </x:row>
    <x:row r="10" ht="22" customHeight="1">
      <x:c r="A10" s="2" t="str">
        <x:v>TG00</x:v>
      </x:c>
      <x:c r="B10" s="20" t="d">
        <x:v>2026-09-22T17:00:00.000Z</x:v>
      </x:c>
      <x:c r="C10" s="2" t="str">
        <x:v>ナイト</x:v>
      </x:c>
      <x:c r="D10" s="2" t="str">
        <x:v>上昇</x:v>
      </x:c>
      <x:c r="E10" s="19" t="n">
        <x:v>39616</x:v>
      </x:c>
      <x:c r="F10" s="19" t="n">
        <x:v>0</x:v>
      </x:c>
      <x:c r="G10" s="19" t="n">
        <x:f>E10-F10</x:f>
        <x:v>39616</x:v>
      </x:c>
      <x:c r="H10" s="19" t="n">
        <x:f>SUMIFS($G$7:$G$56,$B$7:$B$56,"&lt;="&amp;B10)</x:f>
        <x:v>-22457</x:v>
      </x:c>
      <x:c r="I10" s="19" t="n">
        <x:v>384</x:v>
      </x:c>
      <x:c r="J10" s="19" t="n">
        <x:v>40000</x:v>
      </x:c>
      <x:c r="K10" s="2" t="n">
        <x:v>1</x:v>
      </x:c>
      <x:c r="L10" s="2" t="n">
        <x:v>5</x:v>
      </x:c>
      <x:c r="M10" s="2" t="n">
        <x:v>5</x:v>
      </x:c>
      <x:c r="N10" s="21" t="n">
        <x:v>360.1</x:v>
      </x:c>
      <x:c r="O10" s="21" t="n">
        <x:v>13.583333333333334</x:v>
      </x:c>
      <x:c r="P10" s="21" t="n">
        <x:v>13.583333333333334</x:v>
      </x:c>
      <x:c r="Q10" s="21" t="n">
        <x:v>600</x:v>
      </x:c>
      <x:c r="R10" s="22" t="n">
        <x:f>P10/Q10</x:f>
        <x:v>0.02263888888888889</x:v>
      </x:c>
      <x:c r="S10" s="23" t="n">
        <x:v>0.11319444444444444</x:v>
      </x:c>
      <x:c r="T10" s="2" t="str">
        <x:v>既知開発50場</x:v>
      </x:c>
    </x:row>
    <x:row r="11" ht="22" customHeight="1">
      <x:c r="A11" s="2" t="str">
        <x:v>TG00</x:v>
      </x:c>
      <x:c r="B11" s="20" t="d">
        <x:v>2026-09-23T08:45:00.000Z</x:v>
      </x:c>
      <x:c r="C11" s="2" t="str">
        <x:v>デイ</x:v>
      </x:c>
      <x:c r="D11" s="2" t="str">
        <x:v>下落</x:v>
      </x:c>
      <x:c r="E11" s="19" t="n">
        <x:v>0</x:v>
      </x:c>
      <x:c r="F11" s="19" t="n">
        <x:v>4384</x:v>
      </x:c>
      <x:c r="G11" s="19" t="n">
        <x:f>E11-F11</x:f>
        <x:v>-4384</x:v>
      </x:c>
      <x:c r="H11" s="19" t="n">
        <x:f>SUMIFS($G$7:$G$56,$B$7:$B$56,"&lt;="&amp;B11)</x:f>
        <x:v>-26841</x:v>
      </x:c>
      <x:c r="I11" s="19" t="n">
        <x:v>384</x:v>
      </x:c>
      <x:c r="J11" s="19" t="n">
        <x:v>-4000</x:v>
      </x:c>
      <x:c r="K11" s="2" t="n">
        <x:v>1</x:v>
      </x:c>
      <x:c r="L11" s="2" t="n">
        <x:v>5</x:v>
      </x:c>
      <x:c r="M11" s="2" t="n">
        <x:v>5</x:v>
      </x:c>
      <x:c r="N11" s="21" t="n">
        <x:v>68.15</x:v>
      </x:c>
      <x:c r="O11" s="21" t="n">
        <x:v>313.75</x:v>
      </x:c>
      <x:c r="P11" s="21" t="n">
        <x:v>313.75</x:v>
      </x:c>
      <x:c r="Q11" s="21" t="n">
        <x:v>420</x:v>
      </x:c>
      <x:c r="R11" s="22" t="n">
        <x:f>P11/Q11</x:f>
        <x:v>0.7470238095238095</x:v>
      </x:c>
      <x:c r="S11" s="23" t="n">
        <x:v>2.6480555555555556</x:v>
      </x:c>
      <x:c r="T11" s="2" t="str">
        <x:v>既知開発50場</x:v>
      </x:c>
    </x:row>
    <x:row r="12" ht="22" customHeight="1">
      <x:c r="A12" s="2" t="str">
        <x:v>TG00</x:v>
      </x:c>
      <x:c r="B12" s="20" t="d">
        <x:v>2026-09-23T17:00:00.000Z</x:v>
      </x:c>
      <x:c r="C12" s="2" t="str">
        <x:v>ナイト</x:v>
      </x:c>
      <x:c r="D12" s="2" t="str">
        <x:v>下落</x:v>
      </x:c>
      <x:c r="E12" s="19" t="n">
        <x:v>3848</x:v>
      </x:c>
      <x:c r="F12" s="19" t="n">
        <x:v>40384</x:v>
      </x:c>
      <x:c r="G12" s="19" t="n">
        <x:f>E12-F12</x:f>
        <x:v>-36536</x:v>
      </x:c>
      <x:c r="H12" s="19" t="n">
        <x:f>SUMIFS($G$7:$G$56,$B$7:$B$56,"&lt;="&amp;B12)</x:f>
        <x:v>-63377</x:v>
      </x:c>
      <x:c r="I12" s="19" t="n">
        <x:v>536</x:v>
      </x:c>
      <x:c r="J12" s="19" t="n">
        <x:v>-36000</x:v>
      </x:c>
      <x:c r="K12" s="2" t="n">
        <x:v>3</x:v>
      </x:c>
      <x:c r="L12" s="2" t="n">
        <x:v>7</x:v>
      </x:c>
      <x:c r="M12" s="2" t="n">
        <x:v>5</x:v>
      </x:c>
      <x:c r="N12" s="21" t="n">
        <x:v>358.03333333333336</x:v>
      </x:c>
      <x:c r="O12" s="21" t="n">
        <x:v>5.3</x:v>
      </x:c>
      <x:c r="P12" s="21" t="n">
        <x:v>5.3</x:v>
      </x:c>
      <x:c r="Q12" s="21" t="n">
        <x:v>600</x:v>
      </x:c>
      <x:c r="R12" s="22" t="n">
        <x:f>P12/Q12</x:f>
        <x:v>0.008833333333333334</x:v>
      </x:c>
      <x:c r="S12" s="23" t="n">
        <x:v>0.026555555555555554</x:v>
      </x:c>
      <x:c r="T12" s="2" t="str">
        <x:v>既知開発50場</x:v>
      </x:c>
    </x:row>
    <x:row r="13" ht="22" customHeight="1">
      <x:c r="A13" s="2" t="str">
        <x:v>TG00</x:v>
      </x:c>
      <x:c r="B13" s="20" t="d">
        <x:v>2026-09-24T08:45:00.000Z</x:v>
      </x:c>
      <x:c r="C13" s="2" t="str">
        <x:v>デイ</x:v>
      </x:c>
      <x:c r="D13" s="2" t="str">
        <x:v>下落</x:v>
      </x:c>
      <x:c r="E13" s="19" t="n">
        <x:v>148157</x:v>
      </x:c>
      <x:c r="F13" s="19" t="n">
        <x:v>60384</x:v>
      </x:c>
      <x:c r="G13" s="19" t="n">
        <x:f>E13-F13</x:f>
        <x:v>87773</x:v>
      </x:c>
      <x:c r="H13" s="19" t="n">
        <x:f>SUMIFS($G$7:$G$56,$B$7:$B$56,"&lt;="&amp;B13)</x:f>
        <x:v>24396</x:v>
      </x:c>
      <x:c r="I13" s="19" t="n">
        <x:v>1227</x:v>
      </x:c>
      <x:c r="J13" s="19" t="n">
        <x:v>89000</x:v>
      </x:c>
      <x:c r="K13" s="2" t="n">
        <x:v>6</x:v>
      </x:c>
      <x:c r="L13" s="2" t="n">
        <x:v>16</x:v>
      </x:c>
      <x:c r="M13" s="2" t="n">
        <x:v>7</x:v>
      </x:c>
      <x:c r="N13" s="21" t="n">
        <x:v>28.283333333333335</x:v>
      </x:c>
      <x:c r="O13" s="21" t="n">
        <x:v>272.8333333333333</x:v>
      </x:c>
      <x:c r="P13" s="21" t="n">
        <x:v>272.8333333333333</x:v>
      </x:c>
      <x:c r="Q13" s="21" t="n">
        <x:v>420</x:v>
      </x:c>
      <x:c r="R13" s="22" t="n">
        <x:f>P13/Q13</x:f>
        <x:v>0.6496031746031745</x:v>
      </x:c>
      <x:c r="S13" s="23" t="n">
        <x:v>1.897579365079365</x:v>
      </x:c>
      <x:c r="T13" s="2" t="str">
        <x:v>既知開発50場</x:v>
      </x:c>
    </x:row>
    <x:row r="14" ht="22" customHeight="1">
      <x:c r="A14" s="2" t="str">
        <x:v>TG00</x:v>
      </x:c>
      <x:c r="B14" s="20" t="d">
        <x:v>2026-09-24T17:00:00.000Z</x:v>
      </x:c>
      <x:c r="C14" s="2" t="str">
        <x:v>ナイト</x:v>
      </x:c>
      <x:c r="D14" s="2" t="str">
        <x:v>下落</x:v>
      </x:c>
      <x:c r="E14" s="19" t="n">
        <x:v>16848</x:v>
      </x:c>
      <x:c r="F14" s="19" t="n">
        <x:v>0</x:v>
      </x:c>
      <x:c r="G14" s="19" t="n">
        <x:f>E14-F14</x:f>
        <x:v>16848</x:v>
      </x:c>
      <x:c r="H14" s="19" t="n">
        <x:f>SUMIFS($G$7:$G$56,$B$7:$B$56,"&lt;="&amp;B14)</x:f>
        <x:v>41244</x:v>
      </x:c>
      <x:c r="I14" s="19" t="n">
        <x:v>152</x:v>
      </x:c>
      <x:c r="J14" s="19" t="n">
        <x:v>17000</x:v>
      </x:c>
      <x:c r="K14" s="2" t="n">
        <x:v>2</x:v>
      </x:c>
      <x:c r="L14" s="2" t="n">
        <x:v>2</x:v>
      </x:c>
      <x:c r="M14" s="2" t="n">
        <x:v>2</x:v>
      </x:c>
      <x:c r="N14" s="21" t="n">
        <x:v>395.93333333333334</x:v>
      </x:c>
      <x:c r="O14" s="21" t="n">
        <x:v>12.366666666666667</x:v>
      </x:c>
      <x:c r="P14" s="21" t="n">
        <x:v>12.366666666666667</x:v>
      </x:c>
      <x:c r="Q14" s="21" t="n">
        <x:v>600</x:v>
      </x:c>
      <x:c r="R14" s="22" t="n">
        <x:f>P14/Q14</x:f>
        <x:v>0.02061111111111111</x:v>
      </x:c>
      <x:c r="S14" s="23" t="n">
        <x:v>0.036</x:v>
      </x:c>
      <x:c r="T14" s="2" t="str">
        <x:v>既知開発50場</x:v>
      </x:c>
    </x:row>
    <x:row r="15" ht="22" customHeight="1">
      <x:c r="A15" s="2" t="str">
        <x:v>TG00</x:v>
      </x:c>
      <x:c r="B15" s="20" t="d">
        <x:v>2026-09-25T08:45:00.000Z</x:v>
      </x:c>
      <x:c r="C15" s="2" t="str">
        <x:v>デイ</x:v>
      </x:c>
      <x:c r="D15" s="2" t="str">
        <x:v>上昇</x:v>
      </x:c>
      <x:c r="E15" s="19" t="n">
        <x:v>156386</x:v>
      </x:c>
      <x:c r="F15" s="19" t="n">
        <x:v>46308</x:v>
      </x:c>
      <x:c r="G15" s="19" t="n">
        <x:f>E15-F15</x:f>
        <x:v>110078</x:v>
      </x:c>
      <x:c r="H15" s="19" t="n">
        <x:f>SUMIFS($G$7:$G$56,$B$7:$B$56,"&lt;="&amp;B15)</x:f>
        <x:v>151322</x:v>
      </x:c>
      <x:c r="I15" s="19" t="n">
        <x:v>922</x:v>
      </x:c>
      <x:c r="J15" s="19" t="n">
        <x:v>111000</x:v>
      </x:c>
      <x:c r="K15" s="2" t="n">
        <x:v>5</x:v>
      </x:c>
      <x:c r="L15" s="2" t="n">
        <x:v>12</x:v>
      </x:c>
      <x:c r="M15" s="2" t="n">
        <x:v>5</x:v>
      </x:c>
      <x:c r="N15" s="21" t="n">
        <x:v>62.81666666666667</x:v>
      </x:c>
      <x:c r="O15" s="21" t="n">
        <x:v>343.81666666666666</x:v>
      </x:c>
      <x:c r="P15" s="21" t="n">
        <x:v>343.81666666666666</x:v>
      </x:c>
      <x:c r="Q15" s="21" t="n">
        <x:v>420</x:v>
      </x:c>
      <x:c r="R15" s="22" t="n">
        <x:f>P15/Q15</x:f>
        <x:v>0.8186111111111111</x:v>
      </x:c>
      <x:c r="S15" s="23" t="n">
        <x:v>3.1823809523809525</x:v>
      </x:c>
      <x:c r="T15" s="2" t="str">
        <x:v>既知開発50場</x:v>
      </x:c>
    </x:row>
    <x:row r="16" ht="22" customHeight="1">
      <x:c r="A16" s="2" t="str">
        <x:v>TG00</x:v>
      </x:c>
      <x:c r="B16" s="20" t="d">
        <x:v>2026-09-25T17:00:00.000Z</x:v>
      </x:c>
      <x:c r="C16" s="2" t="str">
        <x:v>ナイト</x:v>
      </x:c>
      <x:c r="D16" s="2" t="str">
        <x:v>上昇</x:v>
      </x:c>
      <x:c r="E16" s="19" t="n">
        <x:v>14616</x:v>
      </x:c>
      <x:c r="F16" s="19" t="n">
        <x:v>16076</x:v>
      </x:c>
      <x:c r="G16" s="19" t="n">
        <x:f>E16-F16</x:f>
        <x:v>-1460</x:v>
      </x:c>
      <x:c r="H16" s="19" t="n">
        <x:f>SUMIFS($G$7:$G$56,$B$7:$B$56,"&lt;="&amp;B16)</x:f>
        <x:v>149862</x:v>
      </x:c>
      <x:c r="I16" s="19" t="n">
        <x:v>460</x:v>
      </x:c>
      <x:c r="J16" s="19" t="n">
        <x:v>-1000</x:v>
      </x:c>
      <x:c r="K16" s="2" t="n">
        <x:v>2</x:v>
      </x:c>
      <x:c r="L16" s="2" t="n">
        <x:v>6</x:v>
      </x:c>
      <x:c r="M16" s="2" t="n">
        <x:v>5</x:v>
      </x:c>
      <x:c r="N16" s="21" t="n">
        <x:v>347.8333333333333</x:v>
      </x:c>
      <x:c r="O16" s="21" t="n">
        <x:v>16.833333333333332</x:v>
      </x:c>
      <x:c r="P16" s="21" t="n">
        <x:v>16.833333333333332</x:v>
      </x:c>
      <x:c r="Q16" s="21" t="n">
        <x:v>600</x:v>
      </x:c>
      <x:c r="R16" s="22" t="n">
        <x:f>P16/Q16</x:f>
        <x:v>0.028055555555555552</x:v>
      </x:c>
      <x:c r="S16" s="23" t="n">
        <x:v>0.04833333333333333</x:v>
      </x:c>
      <x:c r="T16" s="2" t="str">
        <x:v>既知開発50場</x:v>
      </x:c>
    </x:row>
    <x:row r="17" ht="22" customHeight="1">
      <x:c r="A17" s="2" t="str">
        <x:v>TG00</x:v>
      </x:c>
      <x:c r="B17" s="20" t="d">
        <x:v>2026-09-28T08:45:00.000Z</x:v>
      </x:c>
      <x:c r="C17" s="2" t="str">
        <x:v>デイ</x:v>
      </x:c>
      <x:c r="D17" s="2" t="str">
        <x:v>下落</x:v>
      </x:c>
      <x:c r="E17" s="19" t="n">
        <x:v>268387</x:v>
      </x:c>
      <x:c r="F17" s="19" t="n">
        <x:v>170154</x:v>
      </x:c>
      <x:c r="G17" s="19" t="n">
        <x:f>E17-F17</x:f>
        <x:v>98233</x:v>
      </x:c>
      <x:c r="H17" s="19" t="n">
        <x:f>SUMIFS($G$7:$G$56,$B$7:$B$56,"&lt;="&amp;B17)</x:f>
        <x:v>248095</x:v>
      </x:c>
      <x:c r="I17" s="19" t="n">
        <x:v>1767</x:v>
      </x:c>
      <x:c r="J17" s="19" t="n">
        <x:v>100000</x:v>
      </x:c>
      <x:c r="K17" s="2" t="n">
        <x:v>9</x:v>
      </x:c>
      <x:c r="L17" s="2" t="n">
        <x:v>23</x:v>
      </x:c>
      <x:c r="M17" s="2" t="n">
        <x:v>7</x:v>
      </x:c>
      <x:c r="N17" s="21" t="n">
        <x:v>66.3</x:v>
      </x:c>
      <x:c r="O17" s="21" t="n">
        <x:v>331.28333333333336</x:v>
      </x:c>
      <x:c r="P17" s="21" t="n">
        <x:v>331.28333333333336</x:v>
      </x:c>
      <x:c r="Q17" s="21" t="n">
        <x:v>420</x:v>
      </x:c>
      <x:c r="R17" s="22" t="n">
        <x:f>P17/Q17</x:f>
        <x:v>0.7887698412698413</x:v>
      </x:c>
      <x:c r="S17" s="23" t="n">
        <x:v>3.31765873015873</x:v>
      </x:c>
      <x:c r="T17" s="2" t="str">
        <x:v>既知開発50場</x:v>
      </x:c>
    </x:row>
    <x:row r="18" ht="22" customHeight="1">
      <x:c r="A18" s="2" t="str">
        <x:v>TG00</x:v>
      </x:c>
      <x:c r="B18" s="20" t="d">
        <x:v>2026-09-28T17:00:00.000Z</x:v>
      </x:c>
      <x:c r="C18" s="2" t="str">
        <x:v>ナイト</x:v>
      </x:c>
      <x:c r="D18" s="2" t="str">
        <x:v>下落</x:v>
      </x:c>
      <x:c r="E18" s="19" t="n">
        <x:v>8924</x:v>
      </x:c>
      <x:c r="F18" s="19" t="n">
        <x:v>48306</x:v>
      </x:c>
      <x:c r="G18" s="19" t="n">
        <x:f>E18-F18</x:f>
        <x:v>-39382</x:v>
      </x:c>
      <x:c r="H18" s="19" t="n">
        <x:f>SUMIFS($G$7:$G$56,$B$7:$B$56,"&lt;="&amp;B18)</x:f>
        <x:v>208713</x:v>
      </x:c>
      <x:c r="I18" s="19" t="n">
        <x:v>382</x:v>
      </x:c>
      <x:c r="J18" s="19" t="n">
        <x:v>-39000</x:v>
      </x:c>
      <x:c r="K18" s="2" t="n">
        <x:v>4</x:v>
      </x:c>
      <x:c r="L18" s="2" t="n">
        <x:v>5</x:v>
      </x:c>
      <x:c r="M18" s="2" t="n">
        <x:v>3</x:v>
      </x:c>
      <x:c r="N18" s="21" t="n">
        <x:v>135.46666666666667</x:v>
      </x:c>
      <x:c r="O18" s="21" t="n">
        <x:v>67.81666666666666</x:v>
      </x:c>
      <x:c r="P18" s="21" t="n">
        <x:v>67.81666666666666</x:v>
      </x:c>
      <x:c r="Q18" s="21" t="n">
        <x:v>600</x:v>
      </x:c>
      <x:c r="R18" s="22" t="n">
        <x:f>P18/Q18</x:f>
        <x:v>0.11302777777777777</x:v>
      </x:c>
      <x:c r="S18" s="23" t="n">
        <x:v>0.11858333333333333</x:v>
      </x:c>
      <x:c r="T18" s="2" t="str">
        <x:v>既知開発50場</x:v>
      </x:c>
    </x:row>
    <x:row r="19" ht="22" customHeight="1">
      <x:c r="A19" s="2" t="str">
        <x:v>TG00</x:v>
      </x:c>
      <x:c r="B19" s="20" t="d">
        <x:v>2026-09-29T08:45:00.000Z</x:v>
      </x:c>
      <x:c r="C19" s="2" t="str">
        <x:v>デイ</x:v>
      </x:c>
      <x:c r="D19" s="2" t="str">
        <x:v>下落</x:v>
      </x:c>
      <x:c r="E19" s="19" t="n">
        <x:v>282232</x:v>
      </x:c>
      <x:c r="F19" s="19" t="n">
        <x:v>127843</x:v>
      </x:c>
      <x:c r="G19" s="19" t="n">
        <x:f>E19-F19</x:f>
        <x:v>154389</x:v>
      </x:c>
      <x:c r="H19" s="19" t="n">
        <x:f>SUMIFS($G$7:$G$56,$B$7:$B$56,"&lt;="&amp;B19)</x:f>
        <x:v>363102</x:v>
      </x:c>
      <x:c r="I19" s="19" t="n">
        <x:v>1611</x:v>
      </x:c>
      <x:c r="J19" s="19" t="n">
        <x:v>156000</x:v>
      </x:c>
      <x:c r="K19" s="2" t="n">
        <x:v>9</x:v>
      </x:c>
      <x:c r="L19" s="2" t="n">
        <x:v>21</x:v>
      </x:c>
      <x:c r="M19" s="2" t="n">
        <x:v>8</x:v>
      </x:c>
      <x:c r="N19" s="21" t="n">
        <x:v>53.016666666666666</x:v>
      </x:c>
      <x:c r="O19" s="21" t="n">
        <x:v>310.6333333333333</x:v>
      </x:c>
      <x:c r="P19" s="21" t="n">
        <x:v>310.6333333333333</x:v>
      </x:c>
      <x:c r="Q19" s="21" t="n">
        <x:v>420</x:v>
      </x:c>
      <x:c r="R19" s="22" t="n">
        <x:f>P19/Q19</x:f>
        <x:v>0.7396031746031746</x:v>
      </x:c>
      <x:c r="S19" s="23" t="n">
        <x:v>3.328769841269841</x:v>
      </x:c>
      <x:c r="T19" s="2" t="str">
        <x:v>既知開発50場</x:v>
      </x:c>
    </x:row>
    <x:row r="20" ht="22" customHeight="1">
      <x:c r="A20" s="2" t="str">
        <x:v>TG00</x:v>
      </x:c>
      <x:c r="B20" s="20" t="d">
        <x:v>2026-09-29T17:00:00.000Z</x:v>
      </x:c>
      <x:c r="C20" s="2" t="str">
        <x:v>ナイト</x:v>
      </x:c>
      <x:c r="D20" s="2" t="str">
        <x:v>上昇</x:v>
      </x:c>
      <x:c r="E20" s="19" t="n">
        <x:v>104080</x:v>
      </x:c>
      <x:c r="F20" s="19" t="n">
        <x:v>72536</x:v>
      </x:c>
      <x:c r="G20" s="19" t="n">
        <x:f>E20-F20</x:f>
        <x:v>31544</x:v>
      </x:c>
      <x:c r="H20" s="19" t="n">
        <x:f>SUMIFS($G$7:$G$56,$B$7:$B$56,"&lt;="&amp;B20)</x:f>
        <x:v>394646</x:v>
      </x:c>
      <x:c r="I20" s="19" t="n">
        <x:v>1456</x:v>
      </x:c>
      <x:c r="J20" s="19" t="n">
        <x:v>33000</x:v>
      </x:c>
      <x:c r="K20" s="2" t="n">
        <x:v>7</x:v>
      </x:c>
      <x:c r="L20" s="2" t="n">
        <x:v>19</x:v>
      </x:c>
      <x:c r="M20" s="2" t="n">
        <x:v>5</x:v>
      </x:c>
      <x:c r="N20" s="21" t="n">
        <x:v>359.71666666666664</x:v>
      </x:c>
      <x:c r="O20" s="21" t="n">
        <x:v>105.35</x:v>
      </x:c>
      <x:c r="P20" s="21" t="n">
        <x:v>105.35</x:v>
      </x:c>
      <x:c r="Q20" s="21" t="n">
        <x:v>600</x:v>
      </x:c>
      <x:c r="R20" s="22" t="n">
        <x:f>P20/Q20</x:f>
        <x:v>0.1755833333333333</x:v>
      </x:c>
      <x:c r="S20" s="23" t="n">
        <x:v>0.4753611111111111</x:v>
      </x:c>
      <x:c r="T20" s="2" t="str">
        <x:v>既知開発50場</x:v>
      </x:c>
    </x:row>
    <x:row r="21" ht="22" customHeight="1">
      <x:c r="A21" s="2" t="str">
        <x:v>TG00</x:v>
      </x:c>
      <x:c r="B21" s="20" t="d">
        <x:v>2026-09-30T08:45:00.000Z</x:v>
      </x:c>
      <x:c r="C21" s="2" t="str">
        <x:v>デイ</x:v>
      </x:c>
      <x:c r="D21" s="2" t="str">
        <x:v>上昇</x:v>
      </x:c>
      <x:c r="E21" s="19" t="n">
        <x:v>173387</x:v>
      </x:c>
      <x:c r="F21" s="19" t="n">
        <x:v>100768</x:v>
      </x:c>
      <x:c r="G21" s="19" t="n">
        <x:f>E21-F21</x:f>
        <x:v>72619</x:v>
      </x:c>
      <x:c r="H21" s="19" t="n">
        <x:f>SUMIFS($G$7:$G$56,$B$7:$B$56,"&lt;="&amp;B21)</x:f>
        <x:v>467265</x:v>
      </x:c>
      <x:c r="I21" s="19" t="n">
        <x:v>1381</x:v>
      </x:c>
      <x:c r="J21" s="19" t="n">
        <x:v>74000</x:v>
      </x:c>
      <x:c r="K21" s="2" t="n">
        <x:v>7</x:v>
      </x:c>
      <x:c r="L21" s="2" t="n">
        <x:v>18</x:v>
      </x:c>
      <x:c r="M21" s="2" t="n">
        <x:v>5</x:v>
      </x:c>
      <x:c r="N21" s="21" t="n">
        <x:v>119.66666666666667</x:v>
      </x:c>
      <x:c r="O21" s="21" t="n">
        <x:v>190.75</x:v>
      </x:c>
      <x:c r="P21" s="21" t="n">
        <x:v>190.75</x:v>
      </x:c>
      <x:c r="Q21" s="21" t="n">
        <x:v>420</x:v>
      </x:c>
      <x:c r="R21" s="22" t="n">
        <x:f>P21/Q21</x:f>
        <x:v>0.45416666666666666</x:v>
      </x:c>
      <x:c r="S21" s="23" t="n">
        <x:v>1.5721031746031746</x:v>
      </x:c>
      <x:c r="T21" s="2" t="str">
        <x:v>既知開発50場</x:v>
      </x:c>
    </x:row>
    <x:row r="22" ht="22" customHeight="1">
      <x:c r="A22" s="2" t="str">
        <x:v>TG00</x:v>
      </x:c>
      <x:c r="B22" s="20" t="d">
        <x:v>2026-09-30T17:00:00.000Z</x:v>
      </x:c>
      <x:c r="C22" s="2" t="str">
        <x:v>ナイト</x:v>
      </x:c>
      <x:c r="D22" s="2" t="str">
        <x:v>下落</x:v>
      </x:c>
      <x:c r="E22" s="19" t="n">
        <x:v>47464</x:v>
      </x:c>
      <x:c r="F22" s="19" t="n">
        <x:v>0</x:v>
      </x:c>
      <x:c r="G22" s="19" t="n">
        <x:f>E22-F22</x:f>
        <x:v>47464</x:v>
      </x:c>
      <x:c r="H22" s="19" t="n">
        <x:f>SUMIFS($G$7:$G$56,$B$7:$B$56,"&lt;="&amp;B22)</x:f>
        <x:v>514729</x:v>
      </x:c>
      <x:c r="I22" s="19" t="n">
        <x:v>536</x:v>
      </x:c>
      <x:c r="J22" s="19" t="n">
        <x:v>48000</x:v>
      </x:c>
      <x:c r="K22" s="2" t="n">
        <x:v>3</x:v>
      </x:c>
      <x:c r="L22" s="2" t="n">
        <x:v>7</x:v>
      </x:c>
      <x:c r="M22" s="2" t="n">
        <x:v>7</x:v>
      </x:c>
      <x:c r="N22" s="21" t="n">
        <x:v>349.46666666666664</x:v>
      </x:c>
      <x:c r="O22" s="21" t="n">
        <x:v>33.416666666666664</x:v>
      </x:c>
      <x:c r="P22" s="21" t="n">
        <x:v>33.416666666666664</x:v>
      </x:c>
      <x:c r="Q22" s="21" t="n">
        <x:v>600</x:v>
      </x:c>
      <x:c r="R22" s="22" t="n">
        <x:f>P22/Q22</x:f>
        <x:v>0.05569444444444444</x:v>
      </x:c>
      <x:c r="S22" s="23" t="n">
        <x:v>0.16494444444444445</x:v>
      </x:c>
      <x:c r="T22" s="2" t="str">
        <x:v>既知開発50場</x:v>
      </x:c>
    </x:row>
    <x:row r="23" ht="22" customHeight="1">
      <x:c r="A23" s="2" t="str">
        <x:v>TG00</x:v>
      </x:c>
      <x:c r="B23" s="20" t="d">
        <x:v>2026-10-01T08:45:00.000Z</x:v>
      </x:c>
      <x:c r="C23" s="2" t="str">
        <x:v>デイ</x:v>
      </x:c>
      <x:c r="D23" s="2" t="str">
        <x:v>上昇</x:v>
      </x:c>
      <x:c r="E23" s="19" t="n">
        <x:v>415386</x:v>
      </x:c>
      <x:c r="F23" s="19" t="n">
        <x:v>84538</x:v>
      </x:c>
      <x:c r="G23" s="19" t="n">
        <x:f>E23-F23</x:f>
        <x:v>330848</x:v>
      </x:c>
      <x:c r="H23" s="19" t="n">
        <x:f>SUMIFS($G$7:$G$56,$B$7:$B$56,"&lt;="&amp;B23)</x:f>
        <x:v>845577</x:v>
      </x:c>
      <x:c r="I23" s="19" t="n">
        <x:v>1152</x:v>
      </x:c>
      <x:c r="J23" s="19" t="n">
        <x:v>332000</x:v>
      </x:c>
      <x:c r="K23" s="2" t="n">
        <x:v>5</x:v>
      </x:c>
      <x:c r="L23" s="2" t="n">
        <x:v>15</x:v>
      </x:c>
      <x:c r="M23" s="2" t="n">
        <x:v>7</x:v>
      </x:c>
      <x:c r="N23" s="21" t="n">
        <x:v>88.93333333333334</x:v>
      </x:c>
      <x:c r="O23" s="21" t="n">
        <x:v>317.35</x:v>
      </x:c>
      <x:c r="P23" s="21" t="n">
        <x:v>317.35</x:v>
      </x:c>
      <x:c r="Q23" s="21" t="n">
        <x:v>420</x:v>
      </x:c>
      <x:c r="R23" s="22" t="n">
        <x:f>P23/Q23</x:f>
        <x:v>0.7555952380952381</x:v>
      </x:c>
      <x:c r="S23" s="23" t="n">
        <x:v>3.056468253968254</x:v>
      </x:c>
      <x:c r="T23" s="2" t="str">
        <x:v>既知開発50場</x:v>
      </x:c>
    </x:row>
    <x:row r="24" ht="22" customHeight="1">
      <x:c r="A24" s="2" t="str">
        <x:v>TG00</x:v>
      </x:c>
      <x:c r="B24" s="20" t="d">
        <x:v>2026-10-01T17:00:00.000Z</x:v>
      </x:c>
      <x:c r="C24" s="2" t="str">
        <x:v>ナイト</x:v>
      </x:c>
      <x:c r="D24" s="2" t="str">
        <x:v>上昇</x:v>
      </x:c>
      <x:c r="E24" s="19" t="n">
        <x:v>111082</x:v>
      </x:c>
      <x:c r="F24" s="19" t="n">
        <x:v>85457</x:v>
      </x:c>
      <x:c r="G24" s="19" t="n">
        <x:f>E24-F24</x:f>
        <x:v>25625</x:v>
      </x:c>
      <x:c r="H24" s="19" t="n">
        <x:f>SUMIFS($G$7:$G$56,$B$7:$B$56,"&lt;="&amp;B24)</x:f>
        <x:v>871202</x:v>
      </x:c>
      <x:c r="I24" s="19" t="n">
        <x:v>1375</x:v>
      </x:c>
      <x:c r="J24" s="19" t="n">
        <x:v>27000</x:v>
      </x:c>
      <x:c r="K24" s="2" t="n">
        <x:v>13</x:v>
      </x:c>
      <x:c r="L24" s="2" t="n">
        <x:v>18</x:v>
      </x:c>
      <x:c r="M24" s="2" t="n">
        <x:v>5</x:v>
      </x:c>
      <x:c r="N24" s="21" t="n">
        <x:v>109.66666666666667</x:v>
      </x:c>
      <x:c r="O24" s="21" t="n">
        <x:v>133.61666666666667</x:v>
      </x:c>
      <x:c r="P24" s="21" t="n">
        <x:v>78.33333333333333</x:v>
      </x:c>
      <x:c r="Q24" s="21" t="n">
        <x:v>600</x:v>
      </x:c>
      <x:c r="R24" s="22" t="n">
        <x:f>P24/Q24</x:f>
        <x:v>0.13055555555555554</x:v>
      </x:c>
      <x:c r="S24" s="23" t="n">
        <x:v>0.31622222222222224</x:v>
      </x:c>
      <x:c r="T24" s="2" t="str">
        <x:v>既知開発50場</x:v>
      </x:c>
    </x:row>
    <x:row r="25" ht="22" customHeight="1">
      <x:c r="A25" s="2" t="str">
        <x:v>TG00</x:v>
      </x:c>
      <x:c r="B25" s="20" t="d">
        <x:v>2026-10-02T08:45:00.000Z</x:v>
      </x:c>
      <x:c r="C25" s="2" t="str">
        <x:v>デイ</x:v>
      </x:c>
      <x:c r="D25" s="2" t="str">
        <x:v>上昇</x:v>
      </x:c>
      <x:c r="E25" s="19" t="n">
        <x:v>81541</x:v>
      </x:c>
      <x:c r="F25" s="19" t="n">
        <x:v>107844</x:v>
      </x:c>
      <x:c r="G25" s="19" t="n">
        <x:f>E25-F25</x:f>
        <x:v>-26303</x:v>
      </x:c>
      <x:c r="H25" s="19" t="n">
        <x:f>SUMIFS($G$7:$G$56,$B$7:$B$56,"&lt;="&amp;B25)</x:f>
        <x:v>844899</x:v>
      </x:c>
      <x:c r="I25" s="19" t="n">
        <x:v>1303</x:v>
      </x:c>
      <x:c r="J25" s="19" t="n">
        <x:v>-25000</x:v>
      </x:c>
      <x:c r="K25" s="2" t="n">
        <x:v>9</x:v>
      </x:c>
      <x:c r="L25" s="2" t="n">
        <x:v>17</x:v>
      </x:c>
      <x:c r="M25" s="2" t="n">
        <x:v>5</x:v>
      </x:c>
      <x:c r="N25" s="21" t="n">
        <x:v>25.783333333333335</x:v>
      </x:c>
      <x:c r="O25" s="21" t="n">
        <x:v>272.6</x:v>
      </x:c>
      <x:c r="P25" s="21" t="n">
        <x:v>272.6</x:v>
      </x:c>
      <x:c r="Q25" s="21" t="n">
        <x:v>420</x:v>
      </x:c>
      <x:c r="R25" s="22" t="n">
        <x:f>P25/Q25</x:f>
        <x:v>0.6490476190476191</x:v>
      </x:c>
      <x:c r="S25" s="23" t="n">
        <x:v>2.0503174603174603</x:v>
      </x:c>
      <x:c r="T25" s="2" t="str">
        <x:v>既知開発50場</x:v>
      </x:c>
    </x:row>
    <x:row r="26" ht="22" customHeight="1">
      <x:c r="A26" s="2" t="str">
        <x:v>TG00</x:v>
      </x:c>
      <x:c r="B26" s="20" t="d">
        <x:v>2026-10-02T17:00:00.000Z</x:v>
      </x:c>
      <x:c r="C26" s="2" t="str">
        <x:v>ナイト</x:v>
      </x:c>
      <x:c r="D26" s="2" t="str">
        <x:v>上昇</x:v>
      </x:c>
      <x:c r="E26" s="19" t="n">
        <x:v>254546</x:v>
      </x:c>
      <x:c r="F26" s="19" t="n">
        <x:v>25382</x:v>
      </x:c>
      <x:c r="G26" s="19" t="n">
        <x:f>E26-F26</x:f>
        <x:v>229164</x:v>
      </x:c>
      <x:c r="H26" s="19" t="n">
        <x:f>SUMIFS($G$7:$G$56,$B$7:$B$56,"&lt;="&amp;B26)</x:f>
        <x:v>1074063</x:v>
      </x:c>
      <x:c r="I26" s="19" t="n">
        <x:v>1836</x:v>
      </x:c>
      <x:c r="J26" s="19" t="n">
        <x:v>231000</x:v>
      </x:c>
      <x:c r="K26" s="2" t="n">
        <x:v>14</x:v>
      </x:c>
      <x:c r="L26" s="2" t="n">
        <x:v>24</x:v>
      </x:c>
      <x:c r="M26" s="2" t="n">
        <x:v>7</x:v>
      </x:c>
      <x:c r="N26" s="21" t="n">
        <x:v>71.05</x:v>
      </x:c>
      <x:c r="O26" s="21" t="n">
        <x:v>366.1</x:v>
      </x:c>
      <x:c r="P26" s="21" t="n">
        <x:v>259.48333333333335</x:v>
      </x:c>
      <x:c r="Q26" s="21" t="n">
        <x:v>600</x:v>
      </x:c>
      <x:c r="R26" s="22" t="n">
        <x:f>P26/Q26</x:f>
        <x:v>0.43247222222222226</x:v>
      </x:c>
      <x:c r="S26" s="23" t="n">
        <x:v>0.8051388888888888</x:v>
      </x:c>
      <x:c r="T26" s="2" t="str">
        <x:v>既知開発50場</x:v>
      </x:c>
    </x:row>
    <x:row r="27" ht="22" customHeight="1">
      <x:c r="A27" s="2" t="str">
        <x:v>TG00</x:v>
      </x:c>
      <x:c r="B27" s="20" t="d">
        <x:v>2026-10-05T08:45:00.000Z</x:v>
      </x:c>
      <x:c r="C27" s="2" t="str">
        <x:v>デイ</x:v>
      </x:c>
      <x:c r="D27" s="2" t="str">
        <x:v>上昇</x:v>
      </x:c>
      <x:c r="E27" s="19" t="n">
        <x:v>84928</x:v>
      </x:c>
      <x:c r="F27" s="19" t="n">
        <x:v>149844</x:v>
      </x:c>
      <x:c r="G27" s="19" t="n">
        <x:f>E27-F27</x:f>
        <x:v>-64916</x:v>
      </x:c>
      <x:c r="H27" s="19" t="n">
        <x:f>SUMIFS($G$7:$G$56,$B$7:$B$56,"&lt;="&amp;B27)</x:f>
        <x:v>1009147</x:v>
      </x:c>
      <x:c r="I27" s="19" t="n">
        <x:v>2916</x:v>
      </x:c>
      <x:c r="J27" s="19" t="n">
        <x:v>-62000</x:v>
      </x:c>
      <x:c r="K27" s="2" t="n">
        <x:v>13</x:v>
      </x:c>
      <x:c r="L27" s="2" t="n">
        <x:v>38</x:v>
      </x:c>
      <x:c r="M27" s="2" t="n">
        <x:v>8</x:v>
      </x:c>
      <x:c r="N27" s="21" t="n">
        <x:v>26.133333333333333</x:v>
      </x:c>
      <x:c r="O27" s="21" t="n">
        <x:v>246.78333333333333</x:v>
      </x:c>
      <x:c r="P27" s="21" t="n">
        <x:v>246.78333333333333</x:v>
      </x:c>
      <x:c r="Q27" s="21" t="n">
        <x:v>420</x:v>
      </x:c>
      <x:c r="R27" s="22" t="n">
        <x:f>P27/Q27</x:f>
        <x:v>0.587579365079365</x:v>
      </x:c>
      <x:c r="S27" s="23" t="n">
        <x:v>2.2968650793650793</x:v>
      </x:c>
      <x:c r="T27" s="2" t="str">
        <x:v>既知開発50場</x:v>
      </x:c>
    </x:row>
    <x:row r="28" ht="22" customHeight="1">
      <x:c r="A28" s="2" t="str">
        <x:v>TG00</x:v>
      </x:c>
      <x:c r="B28" s="20" t="d">
        <x:v>2026-10-05T17:00:00.000Z</x:v>
      </x:c>
      <x:c r="C28" s="2" t="str">
        <x:v>ナイト</x:v>
      </x:c>
      <x:c r="D28" s="2" t="str">
        <x:v>下落</x:v>
      </x:c>
      <x:c r="E28" s="19" t="n">
        <x:v>112618</x:v>
      </x:c>
      <x:c r="F28" s="19" t="n">
        <x:v>20384</x:v>
      </x:c>
      <x:c r="G28" s="19" t="n">
        <x:f>E28-F28</x:f>
        <x:v>92234</x:v>
      </x:c>
      <x:c r="H28" s="19" t="n">
        <x:f>SUMIFS($G$7:$G$56,$B$7:$B$56,"&lt;="&amp;B28)</x:f>
        <x:v>1101381</x:v>
      </x:c>
      <x:c r="I28" s="19" t="n">
        <x:v>766</x:v>
      </x:c>
      <x:c r="J28" s="19" t="n">
        <x:v>93000</x:v>
      </x:c>
      <x:c r="K28" s="2" t="n">
        <x:v>5</x:v>
      </x:c>
      <x:c r="L28" s="2" t="n">
        <x:v>10</x:v>
      </x:c>
      <x:c r="M28" s="2" t="n">
        <x:v>5</x:v>
      </x:c>
      <x:c r="N28" s="21" t="n">
        <x:v>356.01666666666665</x:v>
      </x:c>
      <x:c r="O28" s="21" t="n">
        <x:v>55.38333333333333</x:v>
      </x:c>
      <x:c r="P28" s="21" t="n">
        <x:v>27.483333333333334</x:v>
      </x:c>
      <x:c r="Q28" s="21" t="n">
        <x:v>600</x:v>
      </x:c>
      <x:c r="R28" s="22" t="n">
        <x:f>P28/Q28</x:f>
        <x:v>0.04580555555555556</x:v>
      </x:c>
      <x:c r="S28" s="23" t="n">
        <x:v>0.2015</x:v>
      </x:c>
      <x:c r="T28" s="2" t="str">
        <x:v>既知開発50場</x:v>
      </x:c>
    </x:row>
    <x:row r="29" ht="22" customHeight="1">
      <x:c r="A29" s="2" t="str">
        <x:v>TG00</x:v>
      </x:c>
      <x:c r="B29" s="20" t="d">
        <x:v>2026-10-06T08:45:00.000Z</x:v>
      </x:c>
      <x:c r="C29" s="2" t="str">
        <x:v>デイ</x:v>
      </x:c>
      <x:c r="D29" s="2" t="str">
        <x:v>上昇</x:v>
      </x:c>
      <x:c r="E29" s="19" t="n">
        <x:v>225157</x:v>
      </x:c>
      <x:c r="F29" s="19" t="n">
        <x:v>139075</x:v>
      </x:c>
      <x:c r="G29" s="19" t="n">
        <x:f>E29-F29</x:f>
        <x:v>86082</x:v>
      </x:c>
      <x:c r="H29" s="19" t="n">
        <x:f>SUMIFS($G$7:$G$56,$B$7:$B$56,"&lt;="&amp;B29)</x:f>
        <x:v>1187463</x:v>
      </x:c>
      <x:c r="I29" s="19" t="n">
        <x:v>1918</x:v>
      </x:c>
      <x:c r="J29" s="19" t="n">
        <x:v>88000</x:v>
      </x:c>
      <x:c r="K29" s="2" t="n">
        <x:v>11</x:v>
      </x:c>
      <x:c r="L29" s="2" t="n">
        <x:v>25</x:v>
      </x:c>
      <x:c r="M29" s="2" t="n">
        <x:v>7</x:v>
      </x:c>
      <x:c r="N29" s="21" t="n">
        <x:v>48.916666666666664</x:v>
      </x:c>
      <x:c r="O29" s="21" t="n">
        <x:v>361.0833333333333</x:v>
      </x:c>
      <x:c r="P29" s="21" t="n">
        <x:v>361.0833333333333</x:v>
      </x:c>
      <x:c r="Q29" s="21" t="n">
        <x:v>420</x:v>
      </x:c>
      <x:c r="R29" s="22" t="n">
        <x:f>P29/Q29</x:f>
        <x:v>0.8597222222222222</x:v>
      </x:c>
      <x:c r="S29" s="23" t="n">
        <x:v>3.01265873015873</x:v>
      </x:c>
      <x:c r="T29" s="2" t="str">
        <x:v>既知開発50場</x:v>
      </x:c>
    </x:row>
    <x:row r="30" ht="22" customHeight="1">
      <x:c r="A30" s="2" t="str">
        <x:v>TG00</x:v>
      </x:c>
      <x:c r="B30" s="20" t="d">
        <x:v>2026-10-06T17:00:00.000Z</x:v>
      </x:c>
      <x:c r="C30" s="2" t="str">
        <x:v>ナイト</x:v>
      </x:c>
      <x:c r="D30" s="2" t="str">
        <x:v>下落</x:v>
      </x:c>
      <x:c r="E30" s="19" t="n">
        <x:v>16848</x:v>
      </x:c>
      <x:c r="F30" s="19" t="n">
        <x:v>43460</x:v>
      </x:c>
      <x:c r="G30" s="19" t="n">
        <x:f>E30-F30</x:f>
        <x:v>-26612</x:v>
      </x:c>
      <x:c r="H30" s="19" t="n">
        <x:f>SUMIFS($G$7:$G$56,$B$7:$B$56,"&lt;="&amp;B30)</x:f>
        <x:v>1160851</x:v>
      </x:c>
      <x:c r="I30" s="19" t="n">
        <x:v>612</x:v>
      </x:c>
      <x:c r="J30" s="19" t="n">
        <x:v>-26000</x:v>
      </x:c>
      <x:c r="K30" s="2" t="n">
        <x:v>4</x:v>
      </x:c>
      <x:c r="L30" s="2" t="n">
        <x:v>8</x:v>
      </x:c>
      <x:c r="M30" s="2" t="n">
        <x:v>7</x:v>
      </x:c>
      <x:c r="N30" s="21" t="n">
        <x:v>349.78333333333336</x:v>
      </x:c>
      <x:c r="O30" s="21" t="n">
        <x:v>91.68333333333334</x:v>
      </x:c>
      <x:c r="P30" s="21" t="n">
        <x:v>91.68333333333334</x:v>
      </x:c>
      <x:c r="Q30" s="21" t="n">
        <x:v>600</x:v>
      </x:c>
      <x:c r="R30" s="22" t="n">
        <x:f>P30/Q30</x:f>
        <x:v>0.15280555555555556</x:v>
      </x:c>
      <x:c r="S30" s="23" t="n">
        <x:v>0.3416111111111111</x:v>
      </x:c>
      <x:c r="T30" s="2" t="str">
        <x:v>既知開発50場</x:v>
      </x:c>
    </x:row>
    <x:row r="31" ht="22" customHeight="1">
      <x:c r="A31" s="2" t="str">
        <x:v>TG00</x:v>
      </x:c>
      <x:c r="B31" s="20" t="d">
        <x:v>2026-10-07T08:45:00.000Z</x:v>
      </x:c>
      <x:c r="C31" s="2" t="str">
        <x:v>デイ</x:v>
      </x:c>
      <x:c r="D31" s="2" t="str">
        <x:v>下落</x:v>
      </x:c>
      <x:c r="E31" s="19" t="n">
        <x:v>97156</x:v>
      </x:c>
      <x:c r="F31" s="19" t="n">
        <x:v>42538</x:v>
      </x:c>
      <x:c r="G31" s="19" t="n">
        <x:f>E31-F31</x:f>
        <x:v>54618</x:v>
      </x:c>
      <x:c r="H31" s="19" t="n">
        <x:f>SUMIFS($G$7:$G$56,$B$7:$B$56,"&lt;="&amp;B31)</x:f>
        <x:v>1215469</x:v>
      </x:c>
      <x:c r="I31" s="19" t="n">
        <x:v>1382</x:v>
      </x:c>
      <x:c r="J31" s="19" t="n">
        <x:v>56000</x:v>
      </x:c>
      <x:c r="K31" s="2" t="n">
        <x:v>7</x:v>
      </x:c>
      <x:c r="L31" s="2" t="n">
        <x:v>18</x:v>
      </x:c>
      <x:c r="M31" s="2" t="n">
        <x:v>5</x:v>
      </x:c>
      <x:c r="N31" s="21" t="n">
        <x:v>47.516666666666666</x:v>
      </x:c>
      <x:c r="O31" s="21" t="n">
        <x:v>107.3</x:v>
      </x:c>
      <x:c r="P31" s="21" t="n">
        <x:v>107.3</x:v>
      </x:c>
      <x:c r="Q31" s="21" t="n">
        <x:v>420</x:v>
      </x:c>
      <x:c r="R31" s="22" t="n">
        <x:f>P31/Q31</x:f>
        <x:v>0.25547619047619047</x:v>
      </x:c>
      <x:c r="S31" s="23" t="n">
        <x:v>0.8221428571428572</x:v>
      </x:c>
      <x:c r="T31" s="2" t="str">
        <x:v>既知開発50場</x:v>
      </x:c>
    </x:row>
    <x:row r="32" ht="22" customHeight="1">
      <x:c r="A32" s="2" t="str">
        <x:v>TG00</x:v>
      </x:c>
      <x:c r="B32" s="20" t="d">
        <x:v>2026-10-07T17:00:00.000Z</x:v>
      </x:c>
      <x:c r="C32" s="2" t="str">
        <x:v>ナイト</x:v>
      </x:c>
      <x:c r="D32" s="2" t="str">
        <x:v>下落</x:v>
      </x:c>
      <x:c r="E32" s="19" t="n">
        <x:v>0</x:v>
      </x:c>
      <x:c r="F32" s="19" t="n">
        <x:v>43304</x:v>
      </x:c>
      <x:c r="G32" s="19" t="n">
        <x:f>E32-F32</x:f>
        <x:v>-43304</x:v>
      </x:c>
      <x:c r="H32" s="19" t="n">
        <x:f>SUMIFS($G$7:$G$56,$B$7:$B$56,"&lt;="&amp;B32)</x:f>
        <x:v>1172165</x:v>
      </x:c>
      <x:c r="I32" s="19" t="n">
        <x:v>304</x:v>
      </x:c>
      <x:c r="J32" s="19" t="n">
        <x:v>-43000</x:v>
      </x:c>
      <x:c r="K32" s="2" t="n">
        <x:v>4</x:v>
      </x:c>
      <x:c r="L32" s="2" t="n">
        <x:v>4</x:v>
      </x:c>
      <x:c r="M32" s="2" t="n">
        <x:v>2</x:v>
      </x:c>
      <x:c r="N32" s="21" t="n">
        <x:v>235.05</x:v>
      </x:c>
      <x:c r="O32" s="21" t="n">
        <x:v>40.6</x:v>
      </x:c>
      <x:c r="P32" s="21" t="n">
        <x:v>40.6</x:v>
      </x:c>
      <x:c r="Q32" s="21" t="n">
        <x:v>600</x:v>
      </x:c>
      <x:c r="R32" s="22" t="n">
        <x:f>P32/Q32</x:f>
        <x:v>0.06766666666666667</x:v>
      </x:c>
      <x:c r="S32" s="23" t="n">
        <x:v>0.12144444444444444</x:v>
      </x:c>
      <x:c r="T32" s="2" t="str">
        <x:v>既知開発50場</x:v>
      </x:c>
    </x:row>
    <x:row r="33" ht="22" customHeight="1">
      <x:c r="A33" s="2" t="str">
        <x:v>TG00</x:v>
      </x:c>
      <x:c r="B33" s="20" t="d">
        <x:v>2026-10-08T08:45:00.000Z</x:v>
      </x:c>
      <x:c r="C33" s="2" t="str">
        <x:v>デイ</x:v>
      </x:c>
      <x:c r="D33" s="2" t="str">
        <x:v>下落</x:v>
      </x:c>
      <x:c r="E33" s="19" t="n">
        <x:v>195544</x:v>
      </x:c>
      <x:c r="F33" s="19" t="n">
        <x:v>131306</x:v>
      </x:c>
      <x:c r="G33" s="19" t="n">
        <x:f>E33-F33</x:f>
        <x:v>64238</x:v>
      </x:c>
      <x:c r="H33" s="19" t="n">
        <x:f>SUMIFS($G$7:$G$56,$B$7:$B$56,"&lt;="&amp;B33)</x:f>
        <x:v>1236403</x:v>
      </x:c>
      <x:c r="I33" s="19" t="n">
        <x:v>2762</x:v>
      </x:c>
      <x:c r="J33" s="19" t="n">
        <x:v>67000</x:v>
      </x:c>
      <x:c r="K33" s="2" t="n">
        <x:v>12</x:v>
      </x:c>
      <x:c r="L33" s="2" t="n">
        <x:v>36</x:v>
      </x:c>
      <x:c r="M33" s="2" t="n">
        <x:v>5</x:v>
      </x:c>
      <x:c r="N33" s="21" t="n">
        <x:v>33.6</x:v>
      </x:c>
      <x:c r="O33" s="21" t="n">
        <x:v>158.66666666666666</x:v>
      </x:c>
      <x:c r="P33" s="21" t="n">
        <x:v>158.66666666666666</x:v>
      </x:c>
      <x:c r="Q33" s="21" t="n">
        <x:v>420</x:v>
      </x:c>
      <x:c r="R33" s="22" t="n">
        <x:f>P33/Q33</x:f>
        <x:v>0.37777777777777777</x:v>
      </x:c>
      <x:c r="S33" s="23" t="n">
        <x:v>1.126031746031746</x:v>
      </x:c>
      <x:c r="T33" s="2" t="str">
        <x:v>既知開発50場</x:v>
      </x:c>
    </x:row>
    <x:row r="34" ht="22" customHeight="1">
      <x:c r="A34" s="2" t="str">
        <x:v>TG00</x:v>
      </x:c>
      <x:c r="B34" s="20" t="d">
        <x:v>2026-10-08T17:00:00.000Z</x:v>
      </x:c>
      <x:c r="C34" s="2" t="str">
        <x:v>ナイト</x:v>
      </x:c>
      <x:c r="D34" s="2" t="str">
        <x:v>下落</x:v>
      </x:c>
      <x:c r="E34" s="19" t="n">
        <x:v>174698</x:v>
      </x:c>
      <x:c r="F34" s="19" t="n">
        <x:v>0</x:v>
      </x:c>
      <x:c r="G34" s="19" t="n">
        <x:f>E34-F34</x:f>
        <x:v>174698</x:v>
      </x:c>
      <x:c r="H34" s="19" t="n">
        <x:f>SUMIFS($G$7:$G$56,$B$7:$B$56,"&lt;="&amp;B34)</x:f>
        <x:v>1411101</x:v>
      </x:c>
      <x:c r="I34" s="19" t="n">
        <x:v>1302</x:v>
      </x:c>
      <x:c r="J34" s="19" t="n">
        <x:v>176000</x:v>
      </x:c>
      <x:c r="K34" s="2" t="n">
        <x:v>8</x:v>
      </x:c>
      <x:c r="L34" s="2" t="n">
        <x:v>17</x:v>
      </x:c>
      <x:c r="M34" s="2" t="n">
        <x:v>8</x:v>
      </x:c>
      <x:c r="N34" s="21" t="n">
        <x:v>103.98333333333333</x:v>
      </x:c>
      <x:c r="O34" s="21" t="n">
        <x:v>96.76666666666667</x:v>
      </x:c>
      <x:c r="P34" s="21" t="n">
        <x:v>96.76666666666667</x:v>
      </x:c>
      <x:c r="Q34" s="21" t="n">
        <x:v>600</x:v>
      </x:c>
      <x:c r="R34" s="22" t="n">
        <x:f>P34/Q34</x:f>
        <x:v>0.16127777777777777</x:v>
      </x:c>
      <x:c r="S34" s="23" t="n">
        <x:v>0.5247777777777778</x:v>
      </x:c>
      <x:c r="T34" s="2" t="str">
        <x:v>既知開発50場</x:v>
      </x:c>
    </x:row>
    <x:row r="35" ht="22" customHeight="1">
      <x:c r="A35" s="2" t="str">
        <x:v>TG00</x:v>
      </x:c>
      <x:c r="B35" s="20" t="d">
        <x:v>2026-10-09T08:45:00.000Z</x:v>
      </x:c>
      <x:c r="C35" s="2" t="str">
        <x:v>デイ</x:v>
      </x:c>
      <x:c r="D35" s="2" t="str">
        <x:v>上昇</x:v>
      </x:c>
      <x:c r="E35" s="19" t="n">
        <x:v>89386</x:v>
      </x:c>
      <x:c r="F35" s="19" t="n">
        <x:v>68767</x:v>
      </x:c>
      <x:c r="G35" s="19" t="n">
        <x:f>E35-F35</x:f>
        <x:v>20619</x:v>
      </x:c>
      <x:c r="H35" s="19" t="n">
        <x:f>SUMIFS($G$7:$G$56,$B$7:$B$56,"&lt;="&amp;B35)</x:f>
        <x:v>1431720</x:v>
      </x:c>
      <x:c r="I35" s="19" t="n">
        <x:v>1381</x:v>
      </x:c>
      <x:c r="J35" s="19" t="n">
        <x:v>22000</x:v>
      </x:c>
      <x:c r="K35" s="2" t="n">
        <x:v>9</x:v>
      </x:c>
      <x:c r="L35" s="2" t="n">
        <x:v>18</x:v>
      </x:c>
      <x:c r="M35" s="2" t="n">
        <x:v>5</x:v>
      </x:c>
      <x:c r="N35" s="21" t="n">
        <x:v>25.95</x:v>
      </x:c>
      <x:c r="O35" s="21" t="n">
        <x:v>111.3</x:v>
      </x:c>
      <x:c r="P35" s="21" t="n">
        <x:v>111.3</x:v>
      </x:c>
      <x:c r="Q35" s="21" t="n">
        <x:v>420</x:v>
      </x:c>
      <x:c r="R35" s="22" t="n">
        <x:f>P35/Q35</x:f>
        <x:v>0.265</x:v>
      </x:c>
      <x:c r="S35" s="23" t="n">
        <x:v>0.7346825396825397</x:v>
      </x:c>
      <x:c r="T35" s="2" t="str">
        <x:v>既知開発50場</x:v>
      </x:c>
    </x:row>
    <x:row r="36" ht="22" customHeight="1">
      <x:c r="A36" s="2" t="str">
        <x:v>TG00</x:v>
      </x:c>
      <x:c r="B36" s="20" t="d">
        <x:v>2026-10-09T17:00:00.000Z</x:v>
      </x:c>
      <x:c r="C36" s="2" t="str">
        <x:v>ナイト</x:v>
      </x:c>
      <x:c r="D36" s="2" t="str">
        <x:v>下落</x:v>
      </x:c>
      <x:c r="E36" s="19" t="n">
        <x:v>19616</x:v>
      </x:c>
      <x:c r="F36" s="19" t="n">
        <x:v>0</x:v>
      </x:c>
      <x:c r="G36" s="19" t="n">
        <x:f>E36-F36</x:f>
        <x:v>19616</x:v>
      </x:c>
      <x:c r="H36" s="19" t="n">
        <x:f>SUMIFS($G$7:$G$56,$B$7:$B$56,"&lt;="&amp;B36)</x:f>
        <x:v>1451336</x:v>
      </x:c>
      <x:c r="I36" s="19" t="n">
        <x:v>384</x:v>
      </x:c>
      <x:c r="J36" s="19" t="n">
        <x:v>20000</x:v>
      </x:c>
      <x:c r="K36" s="2" t="n">
        <x:v>1</x:v>
      </x:c>
      <x:c r="L36" s="2" t="n">
        <x:v>5</x:v>
      </x:c>
      <x:c r="M36" s="2" t="n">
        <x:v>5</x:v>
      </x:c>
      <x:c r="N36" s="21" t="n">
        <x:v>360.06666666666666</x:v>
      </x:c>
      <x:c r="O36" s="21" t="n">
        <x:v>11.916666666666666</x:v>
      </x:c>
      <x:c r="P36" s="21" t="n">
        <x:v>11.916666666666666</x:v>
      </x:c>
      <x:c r="Q36" s="21" t="n">
        <x:v>600</x:v>
      </x:c>
      <x:c r="R36" s="22" t="n">
        <x:f>P36/Q36</x:f>
        <x:v>0.01986111111111111</x:v>
      </x:c>
      <x:c r="S36" s="23" t="n">
        <x:v>0.09930555555555555</x:v>
      </x:c>
      <x:c r="T36" s="2" t="str">
        <x:v>既知開発50場</x:v>
      </x:c>
    </x:row>
    <x:row r="37" ht="22" customHeight="1">
      <x:c r="A37" s="2" t="str">
        <x:v>TG00</x:v>
      </x:c>
      <x:c r="B37" s="20" t="d">
        <x:v>2026-10-12T08:45:00.000Z</x:v>
      </x:c>
      <x:c r="C37" s="2" t="str">
        <x:v>デイ</x:v>
      </x:c>
      <x:c r="D37" s="2" t="str">
        <x:v>下落</x:v>
      </x:c>
      <x:c r="E37" s="19" t="n">
        <x:v>32616</x:v>
      </x:c>
      <x:c r="F37" s="19" t="n">
        <x:v>53538</x:v>
      </x:c>
      <x:c r="G37" s="19" t="n">
        <x:f>E37-F37</x:f>
        <x:v>-20922</x:v>
      </x:c>
      <x:c r="H37" s="19" t="n">
        <x:f>SUMIFS($G$7:$G$56,$B$7:$B$56,"&lt;="&amp;B37)</x:f>
        <x:v>1430414</x:v>
      </x:c>
      <x:c r="I37" s="19" t="n">
        <x:v>922</x:v>
      </x:c>
      <x:c r="J37" s="19" t="n">
        <x:v>-20000</x:v>
      </x:c>
      <x:c r="K37" s="2" t="n">
        <x:v>3</x:v>
      </x:c>
      <x:c r="L37" s="2" t="n">
        <x:v>12</x:v>
      </x:c>
      <x:c r="M37" s="2" t="n">
        <x:v>5</x:v>
      </x:c>
      <x:c r="N37" s="21" t="n">
        <x:v>76.48333333333333</x:v>
      </x:c>
      <x:c r="O37" s="21" t="n">
        <x:v>287.26666666666665</x:v>
      </x:c>
      <x:c r="P37" s="21" t="n">
        <x:v>287.26666666666665</x:v>
      </x:c>
      <x:c r="Q37" s="21" t="n">
        <x:v>420</x:v>
      </x:c>
      <x:c r="R37" s="22" t="n">
        <x:f>P37/Q37</x:f>
        <x:v>0.6839682539682539</x:v>
      </x:c>
      <x:c r="S37" s="23" t="n">
        <x:v>2.387777777777778</x:v>
      </x:c>
      <x:c r="T37" s="2" t="str">
        <x:v>既知開発50場</x:v>
      </x:c>
    </x:row>
    <x:row r="38" ht="22" customHeight="1">
      <x:c r="A38" s="2" t="str">
        <x:v>TG00</x:v>
      </x:c>
      <x:c r="B38" s="20" t="d">
        <x:v>2026-10-12T17:00:00.000Z</x:v>
      </x:c>
      <x:c r="C38" s="2" t="str">
        <x:v>ナイト</x:v>
      </x:c>
      <x:c r="D38" s="2" t="str">
        <x:v>下落</x:v>
      </x:c>
      <x:c r="E38" s="19" t="n">
        <x:v>94616</x:v>
      </x:c>
      <x:c r="F38" s="19" t="n">
        <x:v>0</x:v>
      </x:c>
      <x:c r="G38" s="19" t="n">
        <x:f>E38-F38</x:f>
        <x:v>94616</x:v>
      </x:c>
      <x:c r="H38" s="19" t="n">
        <x:f>SUMIFS($G$7:$G$56,$B$7:$B$56,"&lt;="&amp;B38)</x:f>
        <x:v>1525030</x:v>
      </x:c>
      <x:c r="I38" s="19" t="n">
        <x:v>384</x:v>
      </x:c>
      <x:c r="J38" s="19" t="n">
        <x:v>95000</x:v>
      </x:c>
      <x:c r="K38" s="2" t="n">
        <x:v>1</x:v>
      </x:c>
      <x:c r="L38" s="2" t="n">
        <x:v>5</x:v>
      </x:c>
      <x:c r="M38" s="2" t="n">
        <x:v>5</x:v>
      </x:c>
      <x:c r="N38" s="21" t="n">
        <x:v>360.21666666666664</x:v>
      </x:c>
      <x:c r="O38" s="21" t="n">
        <x:v>10.65</x:v>
      </x:c>
      <x:c r="P38" s="21" t="n">
        <x:v>10.65</x:v>
      </x:c>
      <x:c r="Q38" s="21" t="n">
        <x:v>600</x:v>
      </x:c>
      <x:c r="R38" s="22" t="n">
        <x:f>P38/Q38</x:f>
        <x:v>0.017750000000000002</x:v>
      </x:c>
      <x:c r="S38" s="23" t="n">
        <x:v>0.08875</x:v>
      </x:c>
      <x:c r="T38" s="2" t="str">
        <x:v>既知開発50場</x:v>
      </x:c>
    </x:row>
    <x:row r="39" ht="22" customHeight="1">
      <x:c r="A39" s="2" t="str">
        <x:v>TG00</x:v>
      </x:c>
      <x:c r="B39" s="20" t="d">
        <x:v>2026-10-13T08:45:00.000Z</x:v>
      </x:c>
      <x:c r="C39" s="2" t="str">
        <x:v>デイ</x:v>
      </x:c>
      <x:c r="D39" s="2" t="str">
        <x:v>下落</x:v>
      </x:c>
      <x:c r="E39" s="19" t="n">
        <x:v>84544</x:v>
      </x:c>
      <x:c r="F39" s="19" t="n">
        <x:v>166154</x:v>
      </x:c>
      <x:c r="G39" s="19" t="n">
        <x:f>E39-F39</x:f>
        <x:v>-81610</x:v>
      </x:c>
      <x:c r="H39" s="19" t="n">
        <x:f>SUMIFS($G$7:$G$56,$B$7:$B$56,"&lt;="&amp;B39)</x:f>
        <x:v>1443420</x:v>
      </x:c>
      <x:c r="I39" s="19" t="n">
        <x:v>2610</x:v>
      </x:c>
      <x:c r="J39" s="19" t="n">
        <x:v>-79000</x:v>
      </x:c>
      <x:c r="K39" s="2" t="n">
        <x:v>14</x:v>
      </x:c>
      <x:c r="L39" s="2" t="n">
        <x:v>34</x:v>
      </x:c>
      <x:c r="M39" s="2" t="n">
        <x:v>5</x:v>
      </x:c>
      <x:c r="N39" s="21" t="n">
        <x:v>28.466666666666665</x:v>
      </x:c>
      <x:c r="O39" s="21" t="n">
        <x:v>320.1166666666667</x:v>
      </x:c>
      <x:c r="P39" s="21" t="n">
        <x:v>320.1166666666667</x:v>
      </x:c>
      <x:c r="Q39" s="21" t="n">
        <x:v>420</x:v>
      </x:c>
      <x:c r="R39" s="22" t="n">
        <x:f>P39/Q39</x:f>
        <x:v>0.7621825396825397</x:v>
      </x:c>
      <x:c r="S39" s="23" t="n">
        <x:v>2.8428174603174603</x:v>
      </x:c>
      <x:c r="T39" s="2" t="str">
        <x:v>既知開発50場</x:v>
      </x:c>
    </x:row>
    <x:row r="40" ht="22" customHeight="1">
      <x:c r="A40" s="2" t="str">
        <x:v>TG00</x:v>
      </x:c>
      <x:c r="B40" s="20" t="d">
        <x:v>2026-10-13T17:00:00.000Z</x:v>
      </x:c>
      <x:c r="C40" s="2" t="str">
        <x:v>ナイト</x:v>
      </x:c>
      <x:c r="D40" s="2" t="str">
        <x:v>上昇</x:v>
      </x:c>
      <x:c r="E40" s="19" t="n">
        <x:v>0</x:v>
      </x:c>
      <x:c r="F40" s="19" t="n">
        <x:v>53460</x:v>
      </x:c>
      <x:c r="G40" s="19" t="n">
        <x:f>E40-F40</x:f>
        <x:v>-53460</x:v>
      </x:c>
      <x:c r="H40" s="19" t="n">
        <x:f>SUMIFS($G$7:$G$56,$B$7:$B$56,"&lt;="&amp;B40)</x:f>
        <x:v>1389960</x:v>
      </x:c>
      <x:c r="I40" s="19" t="n">
        <x:v>460</x:v>
      </x:c>
      <x:c r="J40" s="19" t="n">
        <x:v>-53000</x:v>
      </x:c>
      <x:c r="K40" s="2" t="n">
        <x:v>2</x:v>
      </x:c>
      <x:c r="L40" s="2" t="n">
        <x:v>6</x:v>
      </x:c>
      <x:c r="M40" s="2" t="n">
        <x:v>5</x:v>
      </x:c>
      <x:c r="N40" s="21" t="n">
        <x:v>360.23333333333335</x:v>
      </x:c>
      <x:c r="O40" s="21" t="n">
        <x:v>7.2</x:v>
      </x:c>
      <x:c r="P40" s="21" t="n">
        <x:v>7.2</x:v>
      </x:c>
      <x:c r="Q40" s="21" t="n">
        <x:v>600</x:v>
      </x:c>
      <x:c r="R40" s="22" t="n">
        <x:f>P40/Q40</x:f>
        <x:v>0.012</x:v>
      </x:c>
      <x:c r="S40" s="23" t="n">
        <x:v>0.041666666666666664</x:v>
      </x:c>
      <x:c r="T40" s="2" t="str">
        <x:v>既知開発50場</x:v>
      </x:c>
    </x:row>
    <x:row r="41" ht="22" customHeight="1">
      <x:c r="A41" s="2" t="str">
        <x:v>TG00</x:v>
      </x:c>
      <x:c r="B41" s="20" t="d">
        <x:v>2026-10-14T08:45:00.000Z</x:v>
      </x:c>
      <x:c r="C41" s="2" t="str">
        <x:v>デイ</x:v>
      </x:c>
      <x:c r="D41" s="2" t="str">
        <x:v>上昇</x:v>
      </x:c>
      <x:c r="E41" s="19" t="n">
        <x:v>172232</x:v>
      </x:c>
      <x:c r="F41" s="19" t="n">
        <x:v>72768</x:v>
      </x:c>
      <x:c r="G41" s="19" t="n">
        <x:f>E41-F41</x:f>
        <x:v>99464</x:v>
      </x:c>
      <x:c r="H41" s="19" t="n">
        <x:f>SUMIFS($G$7:$G$56,$B$7:$B$56,"&lt;="&amp;B41)</x:f>
        <x:v>1489424</x:v>
      </x:c>
      <x:c r="I41" s="19" t="n">
        <x:v>1536</x:v>
      </x:c>
      <x:c r="J41" s="19" t="n">
        <x:v>101000</x:v>
      </x:c>
      <x:c r="K41" s="2" t="n">
        <x:v>6</x:v>
      </x:c>
      <x:c r="L41" s="2" t="n">
        <x:v>20</x:v>
      </x:c>
      <x:c r="M41" s="2" t="n">
        <x:v>5</x:v>
      </x:c>
      <x:c r="N41" s="21" t="n">
        <x:v>107.68333333333334</x:v>
      </x:c>
      <x:c r="O41" s="21" t="n">
        <x:v>79.76666666666667</x:v>
      </x:c>
      <x:c r="P41" s="21" t="n">
        <x:v>79.76666666666667</x:v>
      </x:c>
      <x:c r="Q41" s="21" t="n">
        <x:v>420</x:v>
      </x:c>
      <x:c r="R41" s="22" t="n">
        <x:f>P41/Q41</x:f>
        <x:v>0.1899206349206349</x:v>
      </x:c>
      <x:c r="S41" s="23" t="n">
        <x:v>0.7856349206349207</x:v>
      </x:c>
      <x:c r="T41" s="2" t="str">
        <x:v>既知開発50場</x:v>
      </x:c>
    </x:row>
    <x:row r="42" ht="22" customHeight="1">
      <x:c r="A42" s="2" t="str">
        <x:v>TG00</x:v>
      </x:c>
      <x:c r="B42" s="20" t="d">
        <x:v>2026-10-14T17:00:00.000Z</x:v>
      </x:c>
      <x:c r="C42" s="2" t="str">
        <x:v>ナイト</x:v>
      </x:c>
      <x:c r="D42" s="2" t="str">
        <x:v>下落</x:v>
      </x:c>
      <x:c r="E42" s="19" t="n">
        <x:v>214232</x:v>
      </x:c>
      <x:c r="F42" s="19" t="n">
        <x:v>61306</x:v>
      </x:c>
      <x:c r="G42" s="19" t="n">
        <x:f>E42-F42</x:f>
        <x:v>152926</x:v>
      </x:c>
      <x:c r="H42" s="19" t="n">
        <x:f>SUMIFS($G$7:$G$56,$B$7:$B$56,"&lt;="&amp;B42)</x:f>
        <x:v>1642350</x:v>
      </x:c>
      <x:c r="I42" s="19" t="n">
        <x:v>1074</x:v>
      </x:c>
      <x:c r="J42" s="19" t="n">
        <x:v>154000</x:v>
      </x:c>
      <x:c r="K42" s="2" t="n">
        <x:v>5</x:v>
      </x:c>
      <x:c r="L42" s="2" t="n">
        <x:v>14</x:v>
      </x:c>
      <x:c r="M42" s="2" t="n">
        <x:v>5</x:v>
      </x:c>
      <x:c r="N42" s="21" t="n">
        <x:v>360</x:v>
      </x:c>
      <x:c r="O42" s="21" t="n">
        <x:v>181.1</x:v>
      </x:c>
      <x:c r="P42" s="21" t="n">
        <x:v>178.18333333333334</x:v>
      </x:c>
      <x:c r="Q42" s="21" t="n">
        <x:v>600</x:v>
      </x:c>
      <x:c r="R42" s="22" t="n">
        <x:f>P42/Q42</x:f>
        <x:v>0.29697222222222225</x:v>
      </x:c>
      <x:c r="S42" s="23" t="n">
        <x:v>1.0774444444444444</x:v>
      </x:c>
      <x:c r="T42" s="2" t="str">
        <x:v>既知開発50場</x:v>
      </x:c>
    </x:row>
    <x:row r="43" ht="22" customHeight="1">
      <x:c r="A43" s="2" t="str">
        <x:v>TG00</x:v>
      </x:c>
      <x:c r="B43" s="20" t="d">
        <x:v>2026-10-15T08:45:00.000Z</x:v>
      </x:c>
      <x:c r="C43" s="2" t="str">
        <x:v>デイ</x:v>
      </x:c>
      <x:c r="D43" s="2" t="str">
        <x:v>下落</x:v>
      </x:c>
      <x:c r="E43" s="19" t="n">
        <x:v>492469</x:v>
      </x:c>
      <x:c r="F43" s="19" t="n">
        <x:v>194999</x:v>
      </x:c>
      <x:c r="G43" s="19" t="n">
        <x:f>E43-F43</x:f>
        <x:v>297470</x:v>
      </x:c>
      <x:c r="H43" s="19" t="n">
        <x:f>SUMIFS($G$7:$G$56,$B$7:$B$56,"&lt;="&amp;B43)</x:f>
        <x:v>1939820</x:v>
      </x:c>
      <x:c r="I43" s="19" t="n">
        <x:v>2530</x:v>
      </x:c>
      <x:c r="J43" s="19" t="n">
        <x:v>300000</x:v>
      </x:c>
      <x:c r="K43" s="2" t="n">
        <x:v>18</x:v>
      </x:c>
      <x:c r="L43" s="2" t="n">
        <x:v>33</x:v>
      </x:c>
      <x:c r="M43" s="2" t="n">
        <x:v>5</x:v>
      </x:c>
      <x:c r="N43" s="21" t="n">
        <x:v>22.5</x:v>
      </x:c>
      <x:c r="O43" s="21" t="n">
        <x:v>255.38333333333333</x:v>
      </x:c>
      <x:c r="P43" s="21" t="n">
        <x:v>255.38333333333333</x:v>
      </x:c>
      <x:c r="Q43" s="21" t="n">
        <x:v>420</x:v>
      </x:c>
      <x:c r="R43" s="22" t="n">
        <x:f>P43/Q43</x:f>
        <x:v>0.6080555555555556</x:v>
      </x:c>
      <x:c r="S43" s="23" t="n">
        <x:v>1.9069444444444446</x:v>
      </x:c>
      <x:c r="T43" s="2" t="str">
        <x:v>既知開発50場</x:v>
      </x:c>
    </x:row>
    <x:row r="44" ht="22" customHeight="1">
      <x:c r="A44" s="2" t="str">
        <x:v>TG00</x:v>
      </x:c>
      <x:c r="B44" s="20" t="d">
        <x:v>2026-10-15T17:00:00.000Z</x:v>
      </x:c>
      <x:c r="C44" s="2" t="str">
        <x:v>ナイト</x:v>
      </x:c>
      <x:c r="D44" s="2" t="str">
        <x:v>上昇</x:v>
      </x:c>
      <x:c r="E44" s="19" t="n">
        <x:v>59696</x:v>
      </x:c>
      <x:c r="F44" s="19" t="n">
        <x:v>95383</x:v>
      </x:c>
      <x:c r="G44" s="19" t="n">
        <x:f>E44-F44</x:f>
        <x:v>-35687</x:v>
      </x:c>
      <x:c r="H44" s="19" t="n">
        <x:f>SUMIFS($G$7:$G$56,$B$7:$B$56,"&lt;="&amp;B44)</x:f>
        <x:v>1904133</x:v>
      </x:c>
      <x:c r="I44" s="19" t="n">
        <x:v>687</x:v>
      </x:c>
      <x:c r="J44" s="19" t="n">
        <x:v>-35000</x:v>
      </x:c>
      <x:c r="K44" s="2" t="n">
        <x:v>7</x:v>
      </x:c>
      <x:c r="L44" s="2" t="n">
        <x:v>9</x:v>
      </x:c>
      <x:c r="M44" s="2" t="n">
        <x:v>3</x:v>
      </x:c>
      <x:c r="N44" s="21" t="n">
        <x:v>361.31666666666666</x:v>
      </x:c>
      <x:c r="O44" s="21" t="n">
        <x:v>151.03333333333333</x:v>
      </x:c>
      <x:c r="P44" s="21" t="n">
        <x:v>151.03333333333333</x:v>
      </x:c>
      <x:c r="Q44" s="21" t="n">
        <x:v>600</x:v>
      </x:c>
      <x:c r="R44" s="22" t="n">
        <x:f>P44/Q44</x:f>
        <x:v>0.25172222222222224</x:v>
      </x:c>
      <x:c r="S44" s="23" t="n">
        <x:v>0.5433611111111111</x:v>
      </x:c>
      <x:c r="T44" s="2" t="str">
        <x:v>既知開発50場</x:v>
      </x:c>
    </x:row>
    <x:row r="45" ht="22" customHeight="1">
      <x:c r="A45" s="2" t="str">
        <x:v>TG00</x:v>
      </x:c>
      <x:c r="B45" s="20" t="d">
        <x:v>2026-10-16T08:45:00.000Z</x:v>
      </x:c>
      <x:c r="C45" s="2" t="str">
        <x:v>デイ</x:v>
      </x:c>
      <x:c r="D45" s="2" t="str">
        <x:v>上昇</x:v>
      </x:c>
      <x:c r="E45" s="19" t="n">
        <x:v>132391</x:v>
      </x:c>
      <x:c r="F45" s="19" t="n">
        <x:v>169844</x:v>
      </x:c>
      <x:c r="G45" s="19" t="n">
        <x:f>E45-F45</x:f>
        <x:v>-37453</x:v>
      </x:c>
      <x:c r="H45" s="19" t="n">
        <x:f>SUMIFS($G$7:$G$56,$B$7:$B$56,"&lt;="&amp;B45)</x:f>
        <x:v>1866680</x:v>
      </x:c>
      <x:c r="I45" s="19" t="n">
        <x:v>3453</x:v>
      </x:c>
      <x:c r="J45" s="19" t="n">
        <x:v>-34000</x:v>
      </x:c>
      <x:c r="K45" s="2" t="n">
        <x:v>15</x:v>
      </x:c>
      <x:c r="L45" s="2" t="n">
        <x:v>45</x:v>
      </x:c>
      <x:c r="M45" s="2" t="n">
        <x:v>7</x:v>
      </x:c>
      <x:c r="N45" s="21" t="n">
        <x:v>24.816666666666666</x:v>
      </x:c>
      <x:c r="O45" s="21" t="n">
        <x:v>307.26666666666665</x:v>
      </x:c>
      <x:c r="P45" s="21" t="n">
        <x:v>307.26666666666665</x:v>
      </x:c>
      <x:c r="Q45" s="21" t="n">
        <x:v>420</x:v>
      </x:c>
      <x:c r="R45" s="22" t="n">
        <x:f>P45/Q45</x:f>
        <x:v>0.7315873015873016</x:v>
      </x:c>
      <x:c r="S45" s="23" t="n">
        <x:v>2.304642857142857</x:v>
      </x:c>
      <x:c r="T45" s="2" t="str">
        <x:v>既知開発50場</x:v>
      </x:c>
    </x:row>
    <x:row r="46" ht="22" customHeight="1">
      <x:c r="A46" s="2" t="str">
        <x:v>TG00</x:v>
      </x:c>
      <x:c r="B46" s="20" t="d">
        <x:v>2026-10-16T17:00:00.000Z</x:v>
      </x:c>
      <x:c r="C46" s="2" t="str">
        <x:v>ナイト</x:v>
      </x:c>
      <x:c r="D46" s="2" t="str">
        <x:v>下落</x:v>
      </x:c>
      <x:c r="E46" s="19" t="n">
        <x:v>112468</x:v>
      </x:c>
      <x:c r="F46" s="19" t="n">
        <x:v>142536</x:v>
      </x:c>
      <x:c r="G46" s="19" t="n">
        <x:f>E46-F46</x:f>
        <x:v>-30068</x:v>
      </x:c>
      <x:c r="H46" s="19" t="n">
        <x:f>SUMIFS($G$7:$G$56,$B$7:$B$56,"&lt;="&amp;B46)</x:f>
        <x:v>1836612</x:v>
      </x:c>
      <x:c r="I46" s="19" t="n">
        <x:v>2068</x:v>
      </x:c>
      <x:c r="J46" s="19" t="n">
        <x:v>-28000</x:v>
      </x:c>
      <x:c r="K46" s="2" t="n">
        <x:v>14</x:v>
      </x:c>
      <x:c r="L46" s="2" t="n">
        <x:v>27</x:v>
      </x:c>
      <x:c r="M46" s="2" t="n">
        <x:v>5</x:v>
      </x:c>
      <x:c r="N46" s="21" t="n">
        <x:v>45.46666666666667</x:v>
      </x:c>
      <x:c r="O46" s="21" t="n">
        <x:v>170.16666666666666</x:v>
      </x:c>
      <x:c r="P46" s="21" t="n">
        <x:v>98.11666666666666</x:v>
      </x:c>
      <x:c r="Q46" s="21" t="n">
        <x:v>600</x:v>
      </x:c>
      <x:c r="R46" s="22" t="n">
        <x:f>P46/Q46</x:f>
        <x:v>0.16352777777777777</x:v>
      </x:c>
      <x:c r="S46" s="23" t="n">
        <x:v>0.27858333333333335</x:v>
      </x:c>
      <x:c r="T46" s="2" t="str">
        <x:v>既知開発50場</x:v>
      </x:c>
    </x:row>
    <x:row r="47" ht="22" customHeight="1">
      <x:c r="A47" s="2" t="str">
        <x:v>TG00</x:v>
      </x:c>
      <x:c r="B47" s="20" t="d">
        <x:v>2026-10-19T08:45:00.000Z</x:v>
      </x:c>
      <x:c r="C47" s="2" t="str">
        <x:v>デイ</x:v>
      </x:c>
      <x:c r="D47" s="2" t="str">
        <x:v>上昇</x:v>
      </x:c>
      <x:c r="E47" s="19" t="n">
        <x:v>347467</x:v>
      </x:c>
      <x:c r="F47" s="19" t="n">
        <x:v>58462</x:v>
      </x:c>
      <x:c r="G47" s="19" t="n">
        <x:f>E47-F47</x:f>
        <x:v>289005</x:v>
      </x:c>
      <x:c r="H47" s="19" t="n">
        <x:f>SUMIFS($G$7:$G$56,$B$7:$B$56,"&lt;="&amp;B47)</x:f>
        <x:v>2125617</x:v>
      </x:c>
      <x:c r="I47" s="19" t="n">
        <x:v>1995</x:v>
      </x:c>
      <x:c r="J47" s="19" t="n">
        <x:v>291000</x:v>
      </x:c>
      <x:c r="K47" s="2" t="n">
        <x:v>14</x:v>
      </x:c>
      <x:c r="L47" s="2" t="n">
        <x:v>26</x:v>
      </x:c>
      <x:c r="M47" s="2" t="n">
        <x:v>8</x:v>
      </x:c>
      <x:c r="N47" s="21" t="n">
        <x:v>46.78333333333333</x:v>
      </x:c>
      <x:c r="O47" s="21" t="n">
        <x:v>363.21666666666664</x:v>
      </x:c>
      <x:c r="P47" s="21" t="n">
        <x:v>363.21666666666664</x:v>
      </x:c>
      <x:c r="Q47" s="21" t="n">
        <x:v>420</x:v>
      </x:c>
      <x:c r="R47" s="22" t="n">
        <x:f>P47/Q47</x:f>
        <x:v>0.8648015873015873</x:v>
      </x:c>
      <x:c r="S47" s="23" t="n">
        <x:v>5.229484126984127</x:v>
      </x:c>
      <x:c r="T47" s="2" t="str">
        <x:v>既知開発50場</x:v>
      </x:c>
    </x:row>
    <x:row r="48" ht="22" customHeight="1">
      <x:c r="A48" s="2" t="str">
        <x:v>TG00</x:v>
      </x:c>
      <x:c r="B48" s="20" t="d">
        <x:v>2026-10-19T17:00:00.000Z</x:v>
      </x:c>
      <x:c r="C48" s="2" t="str">
        <x:v>ナイト</x:v>
      </x:c>
      <x:c r="D48" s="2" t="str">
        <x:v>上昇</x:v>
      </x:c>
      <x:c r="E48" s="19" t="n">
        <x:v>86081</x:v>
      </x:c>
      <x:c r="F48" s="19" t="n">
        <x:v>34228</x:v>
      </x:c>
      <x:c r="G48" s="19" t="n">
        <x:f>E48-F48</x:f>
        <x:v>51853</x:v>
      </x:c>
      <x:c r="H48" s="19" t="n">
        <x:f>SUMIFS($G$7:$G$56,$B$7:$B$56,"&lt;="&amp;B48)</x:f>
        <x:v>2177470</x:v>
      </x:c>
      <x:c r="I48" s="19" t="n">
        <x:v>1147</x:v>
      </x:c>
      <x:c r="J48" s="19" t="n">
        <x:v>53000</x:v>
      </x:c>
      <x:c r="K48" s="2" t="n">
        <x:v>9</x:v>
      </x:c>
      <x:c r="L48" s="2" t="n">
        <x:v>15</x:v>
      </x:c>
      <x:c r="M48" s="2" t="n">
        <x:v>5</x:v>
      </x:c>
      <x:c r="N48" s="21" t="n">
        <x:v>349.46666666666664</x:v>
      </x:c>
      <x:c r="O48" s="21" t="n">
        <x:v>89.91666666666667</x:v>
      </x:c>
      <x:c r="P48" s="21" t="n">
        <x:v>89.91666666666667</x:v>
      </x:c>
      <x:c r="Q48" s="21" t="n">
        <x:v>600</x:v>
      </x:c>
      <x:c r="R48" s="22" t="n">
        <x:f>P48/Q48</x:f>
        <x:v>0.1498611111111111</x:v>
      </x:c>
      <x:c r="S48" s="23" t="n">
        <x:v>0.3215</x:v>
      </x:c>
      <x:c r="T48" s="2" t="str">
        <x:v>既知開発50場</x:v>
      </x:c>
    </x:row>
    <x:row r="49" ht="22" customHeight="1">
      <x:c r="A49" s="2" t="str">
        <x:v>TG00</x:v>
      </x:c>
      <x:c r="B49" s="20" t="d">
        <x:v>2026-10-20T08:45:00.000Z</x:v>
      </x:c>
      <x:c r="C49" s="2" t="str">
        <x:v>デイ</x:v>
      </x:c>
      <x:c r="D49" s="2" t="str">
        <x:v>下落</x:v>
      </x:c>
      <x:c r="E49" s="19" t="n">
        <x:v>173544</x:v>
      </x:c>
      <x:c r="F49" s="19" t="n">
        <x:v>215538</x:v>
      </x:c>
      <x:c r="G49" s="19" t="n">
        <x:f>E49-F49</x:f>
        <x:v>-41994</x:v>
      </x:c>
      <x:c r="H49" s="19" t="n">
        <x:f>SUMIFS($G$7:$G$56,$B$7:$B$56,"&lt;="&amp;B49)</x:f>
        <x:v>2135476</x:v>
      </x:c>
      <x:c r="I49" s="19" t="n">
        <x:v>2994</x:v>
      </x:c>
      <x:c r="J49" s="19" t="n">
        <x:v>-39000</x:v>
      </x:c>
      <x:c r="K49" s="2" t="n">
        <x:v>15</x:v>
      </x:c>
      <x:c r="L49" s="2" t="n">
        <x:v>39</x:v>
      </x:c>
      <x:c r="M49" s="2" t="n">
        <x:v>8</x:v>
      </x:c>
      <x:c r="N49" s="21" t="n">
        <x:v>22.716666666666665</x:v>
      </x:c>
      <x:c r="O49" s="21" t="n">
        <x:v>171.6</x:v>
      </x:c>
      <x:c r="P49" s="21" t="n">
        <x:v>171.6</x:v>
      </x:c>
      <x:c r="Q49" s="21" t="n">
        <x:v>420</x:v>
      </x:c>
      <x:c r="R49" s="22" t="n">
        <x:f>P49/Q49</x:f>
        <x:v>0.4085714285714286</x:v>
      </x:c>
      <x:c r="S49" s="23" t="n">
        <x:v>1.406626984126984</x:v>
      </x:c>
      <x:c r="T49" s="2" t="str">
        <x:v>既知開発50場</x:v>
      </x:c>
    </x:row>
    <x:row r="50" ht="22" customHeight="1">
      <x:c r="A50" s="2" t="str">
        <x:v>TG00</x:v>
      </x:c>
      <x:c r="B50" s="20" t="d">
        <x:v>2026-10-20T17:00:00.000Z</x:v>
      </x:c>
      <x:c r="C50" s="2" t="str">
        <x:v>ナイト</x:v>
      </x:c>
      <x:c r="D50" s="2" t="str">
        <x:v>上昇</x:v>
      </x:c>
      <x:c r="E50" s="19" t="n">
        <x:v>493778</x:v>
      </x:c>
      <x:c r="F50" s="19" t="n">
        <x:v>0</x:v>
      </x:c>
      <x:c r="G50" s="19" t="n">
        <x:f>E50-F50</x:f>
        <x:v>493778</x:v>
      </x:c>
      <x:c r="H50" s="19" t="n">
        <x:f>SUMIFS($G$7:$G$56,$B$7:$B$56,"&lt;="&amp;B50)</x:f>
        <x:v>2629254</x:v>
      </x:c>
      <x:c r="I50" s="19" t="n">
        <x:v>1222</x:v>
      </x:c>
      <x:c r="J50" s="19" t="n">
        <x:v>495000</x:v>
      </x:c>
      <x:c r="K50" s="2" t="n">
        <x:v>13</x:v>
      </x:c>
      <x:c r="L50" s="2" t="n">
        <x:v>16</x:v>
      </x:c>
      <x:c r="M50" s="2" t="n">
        <x:v>7</x:v>
      </x:c>
      <x:c r="N50" s="21" t="n">
        <x:v>272.3333333333333</x:v>
      </x:c>
      <x:c r="O50" s="21" t="n">
        <x:v>371.76666666666665</x:v>
      </x:c>
      <x:c r="P50" s="21" t="n">
        <x:v>201.43333333333334</x:v>
      </x:c>
      <x:c r="Q50" s="21" t="n">
        <x:v>600</x:v>
      </x:c>
      <x:c r="R50" s="22" t="n">
        <x:f>P50/Q50</x:f>
        <x:v>0.33572222222222226</x:v>
      </x:c>
      <x:c r="S50" s="23" t="n">
        <x:v>0.9135277777777778</x:v>
      </x:c>
      <x:c r="T50" s="2" t="str">
        <x:v>既知開発50場</x:v>
      </x:c>
    </x:row>
    <x:row r="51" ht="22" customHeight="1">
      <x:c r="A51" s="2" t="str">
        <x:v>TG00</x:v>
      </x:c>
      <x:c r="B51" s="20" t="d">
        <x:v>2026-10-21T08:45:00.000Z</x:v>
      </x:c>
      <x:c r="C51" s="2" t="str">
        <x:v>デイ</x:v>
      </x:c>
      <x:c r="D51" s="2" t="str">
        <x:v>下落</x:v>
      </x:c>
      <x:c r="E51" s="19" t="n">
        <x:v>251698</x:v>
      </x:c>
      <x:c r="F51" s="19" t="n">
        <x:v>234228</x:v>
      </x:c>
      <x:c r="G51" s="19" t="n">
        <x:f>E51-F51</x:f>
        <x:v>17470</x:v>
      </x:c>
      <x:c r="H51" s="19" t="n">
        <x:f>SUMIFS($G$7:$G$56,$B$7:$B$56,"&lt;="&amp;B51)</x:f>
        <x:v>2646724</x:v>
      </x:c>
      <x:c r="I51" s="19" t="n">
        <x:v>3530</x:v>
      </x:c>
      <x:c r="J51" s="19" t="n">
        <x:v>21000</x:v>
      </x:c>
      <x:c r="K51" s="2" t="n">
        <x:v>16</x:v>
      </x:c>
      <x:c r="L51" s="2" t="n">
        <x:v>46</x:v>
      </x:c>
      <x:c r="M51" s="2" t="n">
        <x:v>5</x:v>
      </x:c>
      <x:c r="N51" s="21" t="n">
        <x:v>50</x:v>
      </x:c>
      <x:c r="O51" s="21" t="n">
        <x:v>181.65</x:v>
      </x:c>
      <x:c r="P51" s="21" t="n">
        <x:v>181.65</x:v>
      </x:c>
      <x:c r="Q51" s="21" t="n">
        <x:v>420</x:v>
      </x:c>
      <x:c r="R51" s="22" t="n">
        <x:f>P51/Q51</x:f>
        <x:v>0.4325</x:v>
      </x:c>
      <x:c r="S51" s="23" t="n">
        <x:v>1.6092063492063493</x:v>
      </x:c>
      <x:c r="T51" s="2" t="str">
        <x:v>既知開発50場</x:v>
      </x:c>
    </x:row>
    <x:row r="52" ht="22" customHeight="1">
      <x:c r="A52" s="2" t="str">
        <x:v>TG00</x:v>
      </x:c>
      <x:c r="B52" s="20" t="d">
        <x:v>2026-10-21T17:00:00.000Z</x:v>
      </x:c>
      <x:c r="C52" s="2" t="str">
        <x:v>ナイト</x:v>
      </x:c>
      <x:c r="D52" s="2" t="str">
        <x:v>上昇</x:v>
      </x:c>
      <x:c r="E52" s="19" t="n">
        <x:v>67464</x:v>
      </x:c>
      <x:c r="F52" s="19" t="n">
        <x:v>85768</x:v>
      </x:c>
      <x:c r="G52" s="19" t="n">
        <x:f>E52-F52</x:f>
        <x:v>-18304</x:v>
      </x:c>
      <x:c r="H52" s="19" t="n">
        <x:f>SUMIFS($G$7:$G$56,$B$7:$B$56,"&lt;="&amp;B52)</x:f>
        <x:v>2628420</x:v>
      </x:c>
      <x:c r="I52" s="19" t="n">
        <x:v>1304</x:v>
      </x:c>
      <x:c r="J52" s="19" t="n">
        <x:v>-17000</x:v>
      </x:c>
      <x:c r="K52" s="2" t="n">
        <x:v>5</x:v>
      </x:c>
      <x:c r="L52" s="2" t="n">
        <x:v>17</x:v>
      </x:c>
      <x:c r="M52" s="2" t="n">
        <x:v>7</x:v>
      </x:c>
      <x:c r="N52" s="21" t="n">
        <x:v>360</x:v>
      </x:c>
      <x:c r="O52" s="21" t="n">
        <x:v>149.45</x:v>
      </x:c>
      <x:c r="P52" s="21" t="n">
        <x:v>149.45</x:v>
      </x:c>
      <x:c r="Q52" s="21" t="n">
        <x:v>600</x:v>
      </x:c>
      <x:c r="R52" s="22" t="n">
        <x:f>P52/Q52</x:f>
        <x:v>0.24908333333333332</x:v>
      </x:c>
      <x:c r="S52" s="23" t="n">
        <x:v>1.1384166666666666</x:v>
      </x:c>
      <x:c r="T52" s="2" t="str">
        <x:v>既知開発50場</x:v>
      </x:c>
    </x:row>
    <x:row r="53" ht="22" customHeight="1">
      <x:c r="A53" s="2" t="str">
        <x:v>TG00</x:v>
      </x:c>
      <x:c r="B53" s="20" t="d">
        <x:v>2026-10-22T08:45:00.000Z</x:v>
      </x:c>
      <x:c r="C53" s="2" t="str">
        <x:v>デイ</x:v>
      </x:c>
      <x:c r="D53" s="2" t="str">
        <x:v>下落</x:v>
      </x:c>
      <x:c r="E53" s="19" t="n">
        <x:v>676928</x:v>
      </x:c>
      <x:c r="F53" s="19" t="n">
        <x:v>70308</x:v>
      </x:c>
      <x:c r="G53" s="19" t="n">
        <x:f>E53-F53</x:f>
        <x:v>606620</x:v>
      </x:c>
      <x:c r="H53" s="19" t="n">
        <x:f>SUMIFS($G$7:$G$56,$B$7:$B$56,"&lt;="&amp;B53)</x:f>
        <x:v>3235040</x:v>
      </x:c>
      <x:c r="I53" s="19" t="n">
        <x:v>1380</x:v>
      </x:c>
      <x:c r="J53" s="19" t="n">
        <x:v>608000</x:v>
      </x:c>
      <x:c r="K53" s="2" t="n">
        <x:v>9</x:v>
      </x:c>
      <x:c r="L53" s="2" t="n">
        <x:v>18</x:v>
      </x:c>
      <x:c r="M53" s="2" t="n">
        <x:v>7</x:v>
      </x:c>
      <x:c r="N53" s="21" t="n">
        <x:v>29</x:v>
      </x:c>
      <x:c r="O53" s="21" t="n">
        <x:v>375.9166666666667</x:v>
      </x:c>
      <x:c r="P53" s="21" t="n">
        <x:v>375.9166666666667</x:v>
      </x:c>
      <x:c r="Q53" s="21" t="n">
        <x:v>420</x:v>
      </x:c>
      <x:c r="R53" s="22" t="n">
        <x:f>P53/Q53</x:f>
        <x:v>0.8950396825396826</x:v>
      </x:c>
      <x:c r="S53" s="23" t="n">
        <x:v>4.036626984126984</x:v>
      </x:c>
      <x:c r="T53" s="2" t="str">
        <x:v>既知開発50場</x:v>
      </x:c>
    </x:row>
    <x:row r="54" ht="22" customHeight="1">
      <x:c r="A54" s="2" t="str">
        <x:v>TG00</x:v>
      </x:c>
      <x:c r="B54" s="20" t="d">
        <x:v>2026-10-22T17:00:00.000Z</x:v>
      </x:c>
      <x:c r="C54" s="2" t="str">
        <x:v>ナイト</x:v>
      </x:c>
      <x:c r="D54" s="2" t="str">
        <x:v>下落</x:v>
      </x:c>
      <x:c r="E54" s="19" t="n">
        <x:v>154312</x:v>
      </x:c>
      <x:c r="F54" s="19" t="n">
        <x:v>39305</x:v>
      </x:c>
      <x:c r="G54" s="19" t="n">
        <x:f>E54-F54</x:f>
        <x:v>115007</x:v>
      </x:c>
      <x:c r="H54" s="19" t="n">
        <x:f>SUMIFS($G$7:$G$56,$B$7:$B$56,"&lt;="&amp;B54)</x:f>
        <x:v>3350047</x:v>
      </x:c>
      <x:c r="I54" s="19" t="n">
        <x:v>993</x:v>
      </x:c>
      <x:c r="J54" s="19" t="n">
        <x:v>116000</x:v>
      </x:c>
      <x:c r="K54" s="2" t="n">
        <x:v>8</x:v>
      </x:c>
      <x:c r="L54" s="2" t="n">
        <x:v>13</x:v>
      </x:c>
      <x:c r="M54" s="2" t="n">
        <x:v>5</x:v>
      </x:c>
      <x:c r="N54" s="21" t="n">
        <x:v>364.46666666666664</x:v>
      </x:c>
      <x:c r="O54" s="21" t="n">
        <x:v>61.766666666666666</x:v>
      </x:c>
      <x:c r="P54" s="21" t="n">
        <x:v>61.766666666666666</x:v>
      </x:c>
      <x:c r="Q54" s="21" t="n">
        <x:v>600</x:v>
      </x:c>
      <x:c r="R54" s="22" t="n">
        <x:f>P54/Q54</x:f>
        <x:v>0.10294444444444445</x:v>
      </x:c>
      <x:c r="S54" s="23" t="n">
        <x:v>0.2876388888888889</x:v>
      </x:c>
      <x:c r="T54" s="2" t="str">
        <x:v>既知開発50場</x:v>
      </x:c>
    </x:row>
    <x:row r="55" ht="22" customHeight="1">
      <x:c r="A55" s="2" t="str">
        <x:v>TG00</x:v>
      </x:c>
      <x:c r="B55" s="20" t="d">
        <x:v>2026-10-23T08:45:00.000Z</x:v>
      </x:c>
      <x:c r="C55" s="2" t="str">
        <x:v>デイ</x:v>
      </x:c>
      <x:c r="D55" s="2" t="str">
        <x:v>上昇</x:v>
      </x:c>
      <x:c r="E55" s="19" t="n">
        <x:v>163388</x:v>
      </x:c>
      <x:c r="F55" s="19" t="n">
        <x:v>128229</x:v>
      </x:c>
      <x:c r="G55" s="19" t="n">
        <x:f>E55-F55</x:f>
        <x:v>35159</x:v>
      </x:c>
      <x:c r="H55" s="19" t="n">
        <x:f>SUMIFS($G$7:$G$56,$B$7:$B$56,"&lt;="&amp;B55)</x:f>
        <x:v>3385206</x:v>
      </x:c>
      <x:c r="I55" s="19" t="n">
        <x:v>1841</x:v>
      </x:c>
      <x:c r="J55" s="19" t="n">
        <x:v>37000</x:v>
      </x:c>
      <x:c r="K55" s="2" t="n">
        <x:v>12</x:v>
      </x:c>
      <x:c r="L55" s="2" t="n">
        <x:v>24</x:v>
      </x:c>
      <x:c r="M55" s="2" t="n">
        <x:v>5</x:v>
      </x:c>
      <x:c r="N55" s="21" t="n">
        <x:v>41.96666666666667</x:v>
      </x:c>
      <x:c r="O55" s="21" t="n">
        <x:v>259.8333333333333</x:v>
      </x:c>
      <x:c r="P55" s="21" t="n">
        <x:v>259.8333333333333</x:v>
      </x:c>
      <x:c r="Q55" s="21" t="n">
        <x:v>420</x:v>
      </x:c>
      <x:c r="R55" s="22" t="n">
        <x:f>P55/Q55</x:f>
        <x:v>0.6186507936507936</x:v>
      </x:c>
      <x:c r="S55" s="23" t="n">
        <x:v>1.4237301587301587</x:v>
      </x:c>
      <x:c r="T55" s="2" t="str">
        <x:v>既知開発50場</x:v>
      </x:c>
    </x:row>
    <x:row r="56" ht="22" customHeight="1">
      <x:c r="A56" s="2" t="str">
        <x:v>TG00</x:v>
      </x:c>
      <x:c r="B56" s="20" t="d">
        <x:v>2026-10-23T17:00:00.000Z</x:v>
      </x:c>
      <x:c r="C56" s="2" t="str">
        <x:v>ナイト</x:v>
      </x:c>
      <x:c r="D56" s="2" t="str">
        <x:v>上昇</x:v>
      </x:c>
      <x:c r="E56" s="19" t="n">
        <x:v>53312</x:v>
      </x:c>
      <x:c r="F56" s="19" t="n">
        <x:v>53457</x:v>
      </x:c>
      <x:c r="G56" s="19" t="n">
        <x:f>E56-F56</x:f>
        <x:v>-145</x:v>
      </x:c>
      <x:c r="H56" s="19" t="n">
        <x:f>SUMIFS($G$7:$G$56,$B$7:$B$56,"&lt;="&amp;B56)</x:f>
        <x:v>3385061</x:v>
      </x:c>
      <x:c r="I56" s="19" t="n">
        <x:v>1145</x:v>
      </x:c>
      <x:c r="J56" s="19" t="n">
        <x:v>1000</x:v>
      </x:c>
      <x:c r="K56" s="2" t="n">
        <x:v>10</x:v>
      </x:c>
      <x:c r="L56" s="2" t="n">
        <x:v>15</x:v>
      </x:c>
      <x:c r="M56" s="2" t="n">
        <x:v>5</x:v>
      </x:c>
      <x:c r="N56" s="21" t="n">
        <x:v>103.51666666666667</x:v>
      </x:c>
      <x:c r="O56" s="21" t="n">
        <x:v>269.3666666666667</x:v>
      </x:c>
      <x:c r="P56" s="21" t="n">
        <x:v>269.3666666666667</x:v>
      </x:c>
      <x:c r="Q56" s="21" t="n">
        <x:v>600</x:v>
      </x:c>
      <x:c r="R56" s="22" t="n">
        <x:f>P56/Q56</x:f>
        <x:v>0.4489444444444445</x:v>
      </x:c>
      <x:c r="S56" s="23" t="n">
        <x:v>0.8703888888888889</x:v>
      </x:c>
      <x:c r="T56" s="2" t="str">
        <x:v>既知開発50場</x:v>
      </x:c>
    </x:row>
  </x:sheetData>
  <x:conditionalFormatting sqref="E7:J56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c9d094fbc3455f"/>
  </x:tableParts>
</x:worksheet>
</file>

<file path=xl/worksheets/sheet5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3" hidden="0" customWidth="1"/>
    <x:col min="4" max="4" width="13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3" hidden="0" customWidth="1"/>
    <x:col min="16" max="16" width="23" hidden="0" customWidth="1"/>
    <x:col min="17" max="17" width="23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日経mini TG04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6" t="str">
        <x:v>片方向上限10枚。円・手数料後。保有率はデイ420分／ナイト17～03時の600分。損益は全セッションを含みます。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6" t="str">
        <x:v>昼：O17とE01に残玉化、追加G02／夜：O02とA34に残玉化、追加C13。第一候補。5＋3＋2枚。利確後の実現利益を予算に一枚を3R追尾。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6" t="str">
        <x:v>始終値方向は事後評価専用。平均枚数は同じ評価時間の合計保有枚数を平均し、両建ても合算します。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8" customHeight="1">
      <x:c r="A6" s="15" t="str">
        <x:v>手法ID</x:v>
      </x:c>
      <x:c r="B6" s="16" t="str">
        <x:v>開始日時</x:v>
      </x:c>
      <x:c r="C6" s="16" t="str">
        <x:v>昼夜</x:v>
      </x:c>
      <x:c r="D6" s="16" t="str">
        <x:v>始終値方向</x:v>
      </x:c>
      <x:c r="E6" s="16" t="str">
        <x:v>利益（円）</x:v>
      </x:c>
      <x:c r="F6" s="16" t="str">
        <x:v>損失（円）</x:v>
      </x:c>
      <x:c r="G6" s="16" t="str">
        <x:v>収支（円）</x:v>
      </x:c>
      <x:c r="H6" s="16" t="str">
        <x:v>累計（円）</x:v>
      </x:c>
      <x:c r="I6" s="16" t="str">
        <x:v>内数手数料（円）</x:v>
      </x:c>
      <x:c r="J6" s="16" t="str">
        <x:v>費用前収支（円）</x:v>
      </x:c>
      <x:c r="K6" s="16" t="str">
        <x:v>新規回数</x:v>
      </x:c>
      <x:c r="L6" s="16" t="str">
        <x:v>新規枚数</x:v>
      </x:c>
      <x:c r="M6" s="16" t="str">
        <x:v>最大片方向保有</x:v>
      </x:c>
      <x:c r="N6" s="16" t="str">
        <x:v>初回まで（分）</x:v>
      </x:c>
      <x:c r="O6" s="16" t="str">
        <x:v>全場保有（分）</x:v>
      </x:c>
      <x:c r="P6" s="16" t="str">
        <x:v>03時以降除外保有（分）</x:v>
      </x:c>
      <x:c r="Q6" s="16" t="str">
        <x:v>評価時間（分）</x:v>
      </x:c>
      <x:c r="R6" s="16" t="str">
        <x:v>保有率</x:v>
      </x:c>
      <x:c r="S6" s="16" t="str">
        <x:v>平均保有枚数</x:v>
      </x:c>
      <x:c r="T6" s="17" t="str">
        <x:v>対象区分</x:v>
      </x:c>
    </x:row>
    <x:row r="7" ht="22" customHeight="1">
      <x:c r="A7" s="2" t="str">
        <x:v>TG04</x:v>
      </x:c>
      <x:c r="B7" s="20" t="d">
        <x:v>2026-09-21T08:45:00.000Z</x:v>
      </x:c>
      <x:c r="C7" s="2" t="str">
        <x:v>デイ</x:v>
      </x:c>
      <x:c r="D7" s="2" t="str">
        <x:v>上昇</x:v>
      </x:c>
      <x:c r="E7" s="19" t="n">
        <x:v>104463</x:v>
      </x:c>
      <x:c r="F7" s="19" t="n">
        <x:v>0</x:v>
      </x:c>
      <x:c r="G7" s="19" t="n">
        <x:f>E7-F7</x:f>
        <x:v>104463</x:v>
      </x:c>
      <x:c r="H7" s="19" t="n">
        <x:f>SUMIFS($G$7:$G$56,$B$7:$B$56,"&lt;="&amp;B7)</x:f>
        <x:v>104463</x:v>
      </x:c>
      <x:c r="I7" s="19" t="n">
        <x:v>537</x:v>
      </x:c>
      <x:c r="J7" s="19" t="n">
        <x:v>105000</x:v>
      </x:c>
      <x:c r="K7" s="2" t="n">
        <x:v>2</x:v>
      </x:c>
      <x:c r="L7" s="2" t="n">
        <x:v>7</x:v>
      </x:c>
      <x:c r="M7" s="2" t="n">
        <x:v>5</x:v>
      </x:c>
      <x:c r="N7" s="21" t="n">
        <x:v>38.733333333333334</x:v>
      </x:c>
      <x:c r="O7" s="21" t="n">
        <x:v>237.88333333333333</x:v>
      </x:c>
      <x:c r="P7" s="21" t="n">
        <x:v>237.88333333333333</x:v>
      </x:c>
      <x:c r="Q7" s="21" t="n">
        <x:v>420</x:v>
      </x:c>
      <x:c r="R7" s="22" t="n">
        <x:f>P7/Q7</x:f>
        <x:v>0.5663888888888888</x:v>
      </x:c>
      <x:c r="S7" s="23" t="n">
        <x:v>1.6879761904761905</x:v>
      </x:c>
      <x:c r="T7" s="2" t="str">
        <x:v>既知開発50場</x:v>
      </x:c>
    </x:row>
    <x:row r="8" ht="22" customHeight="1">
      <x:c r="A8" s="2" t="str">
        <x:v>TG04</x:v>
      </x:c>
      <x:c r="B8" s="20" t="d">
        <x:v>2026-09-21T17:00:00.000Z</x:v>
      </x:c>
      <x:c r="C8" s="2" t="str">
        <x:v>ナイト</x:v>
      </x:c>
      <x:c r="D8" s="2" t="str">
        <x:v>上昇</x:v>
      </x:c>
      <x:c r="E8" s="19" t="n">
        <x:v>0</x:v>
      </x:c>
      <x:c r="F8" s="19" t="n">
        <x:v>45384</x:v>
      </x:c>
      <x:c r="G8" s="19" t="n">
        <x:f>E8-F8</x:f>
        <x:v>-45384</x:v>
      </x:c>
      <x:c r="H8" s="19" t="n">
        <x:f>SUMIFS($G$7:$G$56,$B$7:$B$56,"&lt;="&amp;B8)</x:f>
        <x:v>59079</x:v>
      </x:c>
      <x:c r="I8" s="19" t="n">
        <x:v>384</x:v>
      </x:c>
      <x:c r="J8" s="19" t="n">
        <x:v>-45000</x:v>
      </x:c>
      <x:c r="K8" s="2" t="n">
        <x:v>1</x:v>
      </x:c>
      <x:c r="L8" s="2" t="n">
        <x:v>5</x:v>
      </x:c>
      <x:c r="M8" s="2" t="n">
        <x:v>5</x:v>
      </x:c>
      <x:c r="N8" s="21" t="n">
        <x:v>360.01666666666665</x:v>
      </x:c>
      <x:c r="O8" s="21" t="n">
        <x:v>5.666666666666667</x:v>
      </x:c>
      <x:c r="P8" s="21" t="n">
        <x:v>5.666666666666667</x:v>
      </x:c>
      <x:c r="Q8" s="21" t="n">
        <x:v>600</x:v>
      </x:c>
      <x:c r="R8" s="22" t="n">
        <x:f>P8/Q8</x:f>
        <x:v>0.009444444444444445</x:v>
      </x:c>
      <x:c r="S8" s="23" t="n">
        <x:v>0.04722222222222222</x:v>
      </x:c>
      <x:c r="T8" s="2" t="str">
        <x:v>既知開発50場</x:v>
      </x:c>
    </x:row>
    <x:row r="9" ht="22" customHeight="1">
      <x:c r="A9" s="2" t="str">
        <x:v>TG04</x:v>
      </x:c>
      <x:c r="B9" s="20" t="d">
        <x:v>2026-09-22T08:45:00.000Z</x:v>
      </x:c>
      <x:c r="C9" s="2" t="str">
        <x:v>デイ</x:v>
      </x:c>
      <x:c r="D9" s="2" t="str">
        <x:v>下落</x:v>
      </x:c>
      <x:c r="E9" s="19" t="n">
        <x:v>0</x:v>
      </x:c>
      <x:c r="F9" s="19" t="n">
        <x:v>106152</x:v>
      </x:c>
      <x:c r="G9" s="19" t="n">
        <x:f>E9-F9</x:f>
        <x:v>-106152</x:v>
      </x:c>
      <x:c r="H9" s="19" t="n">
        <x:f>SUMIFS($G$7:$G$56,$B$7:$B$56,"&lt;="&amp;B9)</x:f>
        <x:v>-47073</x:v>
      </x:c>
      <x:c r="I9" s="19" t="n">
        <x:v>1152</x:v>
      </x:c>
      <x:c r="J9" s="19" t="n">
        <x:v>-105000</x:v>
      </x:c>
      <x:c r="K9" s="2" t="n">
        <x:v>3</x:v>
      </x:c>
      <x:c r="L9" s="2" t="n">
        <x:v>15</x:v>
      </x:c>
      <x:c r="M9" s="2" t="n">
        <x:v>5</x:v>
      </x:c>
      <x:c r="N9" s="21" t="n">
        <x:v>242.78333333333333</x:v>
      </x:c>
      <x:c r="O9" s="21" t="n">
        <x:v>28.166666666666668</x:v>
      </x:c>
      <x:c r="P9" s="21" t="n">
        <x:v>28.166666666666668</x:v>
      </x:c>
      <x:c r="Q9" s="21" t="n">
        <x:v>420</x:v>
      </x:c>
      <x:c r="R9" s="22" t="n">
        <x:f>P9/Q9</x:f>
        <x:v>0.06706349206349206</x:v>
      </x:c>
      <x:c r="S9" s="23" t="n">
        <x:v>0.3353174603174603</x:v>
      </x:c>
      <x:c r="T9" s="2" t="str">
        <x:v>既知開発50場</x:v>
      </x:c>
    </x:row>
    <x:row r="10" ht="22" customHeight="1">
      <x:c r="A10" s="2" t="str">
        <x:v>TG04</x:v>
      </x:c>
      <x:c r="B10" s="20" t="d">
        <x:v>2026-09-22T17:00:00.000Z</x:v>
      </x:c>
      <x:c r="C10" s="2" t="str">
        <x:v>ナイト</x:v>
      </x:c>
      <x:c r="D10" s="2" t="str">
        <x:v>上昇</x:v>
      </x:c>
      <x:c r="E10" s="19" t="n">
        <x:v>15616</x:v>
      </x:c>
      <x:c r="F10" s="19" t="n">
        <x:v>0</x:v>
      </x:c>
      <x:c r="G10" s="19" t="n">
        <x:f>E10-F10</x:f>
        <x:v>15616</x:v>
      </x:c>
      <x:c r="H10" s="19" t="n">
        <x:f>SUMIFS($G$7:$G$56,$B$7:$B$56,"&lt;="&amp;B10)</x:f>
        <x:v>-31457</x:v>
      </x:c>
      <x:c r="I10" s="19" t="n">
        <x:v>384</x:v>
      </x:c>
      <x:c r="J10" s="19" t="n">
        <x:v>16000</x:v>
      </x:c>
      <x:c r="K10" s="2" t="n">
        <x:v>1</x:v>
      </x:c>
      <x:c r="L10" s="2" t="n">
        <x:v>5</x:v>
      </x:c>
      <x:c r="M10" s="2" t="n">
        <x:v>5</x:v>
      </x:c>
      <x:c r="N10" s="21" t="n">
        <x:v>360.1</x:v>
      </x:c>
      <x:c r="O10" s="21" t="n">
        <x:v>41.63333333333333</x:v>
      </x:c>
      <x:c r="P10" s="21" t="n">
        <x:v>41.63333333333333</x:v>
      </x:c>
      <x:c r="Q10" s="21" t="n">
        <x:v>600</x:v>
      </x:c>
      <x:c r="R10" s="22" t="n">
        <x:f>P10/Q10</x:f>
        <x:v>0.06938888888888889</x:v>
      </x:c>
      <x:c r="S10" s="23" t="n">
        <x:v>0.15994444444444444</x:v>
      </x:c>
      <x:c r="T10" s="2" t="str">
        <x:v>既知開発50場</x:v>
      </x:c>
    </x:row>
    <x:row r="11" ht="22" customHeight="1">
      <x:c r="A11" s="2" t="str">
        <x:v>TG04</x:v>
      </x:c>
      <x:c r="B11" s="20" t="d">
        <x:v>2026-09-23T08:45:00.000Z</x:v>
      </x:c>
      <x:c r="C11" s="2" t="str">
        <x:v>デイ</x:v>
      </x:c>
      <x:c r="D11" s="2" t="str">
        <x:v>下落</x:v>
      </x:c>
      <x:c r="E11" s="19" t="n">
        <x:v>0</x:v>
      </x:c>
      <x:c r="F11" s="19" t="n">
        <x:v>4384</x:v>
      </x:c>
      <x:c r="G11" s="19" t="n">
        <x:f>E11-F11</x:f>
        <x:v>-4384</x:v>
      </x:c>
      <x:c r="H11" s="19" t="n">
        <x:f>SUMIFS($G$7:$G$56,$B$7:$B$56,"&lt;="&amp;B11)</x:f>
        <x:v>-35841</x:v>
      </x:c>
      <x:c r="I11" s="19" t="n">
        <x:v>384</x:v>
      </x:c>
      <x:c r="J11" s="19" t="n">
        <x:v>-4000</x:v>
      </x:c>
      <x:c r="K11" s="2" t="n">
        <x:v>1</x:v>
      </x:c>
      <x:c r="L11" s="2" t="n">
        <x:v>5</x:v>
      </x:c>
      <x:c r="M11" s="2" t="n">
        <x:v>5</x:v>
      </x:c>
      <x:c r="N11" s="21" t="n">
        <x:v>68.15</x:v>
      </x:c>
      <x:c r="O11" s="21" t="n">
        <x:v>313.75</x:v>
      </x:c>
      <x:c r="P11" s="21" t="n">
        <x:v>313.75</x:v>
      </x:c>
      <x:c r="Q11" s="21" t="n">
        <x:v>420</x:v>
      </x:c>
      <x:c r="R11" s="22" t="n">
        <x:f>P11/Q11</x:f>
        <x:v>0.7470238095238095</x:v>
      </x:c>
      <x:c r="S11" s="23" t="n">
        <x:v>2.6480555555555556</x:v>
      </x:c>
      <x:c r="T11" s="2" t="str">
        <x:v>既知開発50場</x:v>
      </x:c>
    </x:row>
    <x:row r="12" ht="22" customHeight="1">
      <x:c r="A12" s="2" t="str">
        <x:v>TG04</x:v>
      </x:c>
      <x:c r="B12" s="20" t="d">
        <x:v>2026-09-23T17:00:00.000Z</x:v>
      </x:c>
      <x:c r="C12" s="2" t="str">
        <x:v>ナイト</x:v>
      </x:c>
      <x:c r="D12" s="2" t="str">
        <x:v>下落</x:v>
      </x:c>
      <x:c r="E12" s="19" t="n">
        <x:v>3848</x:v>
      </x:c>
      <x:c r="F12" s="19" t="n">
        <x:v>40384</x:v>
      </x:c>
      <x:c r="G12" s="19" t="n">
        <x:f>E12-F12</x:f>
        <x:v>-36536</x:v>
      </x:c>
      <x:c r="H12" s="19" t="n">
        <x:f>SUMIFS($G$7:$G$56,$B$7:$B$56,"&lt;="&amp;B12)</x:f>
        <x:v>-72377</x:v>
      </x:c>
      <x:c r="I12" s="19" t="n">
        <x:v>536</x:v>
      </x:c>
      <x:c r="J12" s="19" t="n">
        <x:v>-36000</x:v>
      </x:c>
      <x:c r="K12" s="2" t="n">
        <x:v>3</x:v>
      </x:c>
      <x:c r="L12" s="2" t="n">
        <x:v>7</x:v>
      </x:c>
      <x:c r="M12" s="2" t="n">
        <x:v>5</x:v>
      </x:c>
      <x:c r="N12" s="21" t="n">
        <x:v>358.03333333333336</x:v>
      </x:c>
      <x:c r="O12" s="21" t="n">
        <x:v>5.3</x:v>
      </x:c>
      <x:c r="P12" s="21" t="n">
        <x:v>5.3</x:v>
      </x:c>
      <x:c r="Q12" s="21" t="n">
        <x:v>600</x:v>
      </x:c>
      <x:c r="R12" s="22" t="n">
        <x:f>P12/Q12</x:f>
        <x:v>0.008833333333333334</x:v>
      </x:c>
      <x:c r="S12" s="23" t="n">
        <x:v>0.026555555555555554</x:v>
      </x:c>
      <x:c r="T12" s="2" t="str">
        <x:v>既知開発50場</x:v>
      </x:c>
    </x:row>
    <x:row r="13" ht="22" customHeight="1">
      <x:c r="A13" s="2" t="str">
        <x:v>TG04</x:v>
      </x:c>
      <x:c r="B13" s="20" t="d">
        <x:v>2026-09-24T08:45:00.000Z</x:v>
      </x:c>
      <x:c r="C13" s="2" t="str">
        <x:v>デイ</x:v>
      </x:c>
      <x:c r="D13" s="2" t="str">
        <x:v>下落</x:v>
      </x:c>
      <x:c r="E13" s="19" t="n">
        <x:v>106387</x:v>
      </x:c>
      <x:c r="F13" s="19" t="n">
        <x:v>60613</x:v>
      </x:c>
      <x:c r="G13" s="19" t="n">
        <x:f>E13-F13</x:f>
        <x:v>45774</x:v>
      </x:c>
      <x:c r="H13" s="19" t="n">
        <x:f>SUMIFS($G$7:$G$56,$B$7:$B$56,"&lt;="&amp;B13)</x:f>
        <x:v>-26603</x:v>
      </x:c>
      <x:c r="I13" s="19" t="n">
        <x:v>1226</x:v>
      </x:c>
      <x:c r="J13" s="19" t="n">
        <x:v>47000</x:v>
      </x:c>
      <x:c r="K13" s="2" t="n">
        <x:v>6</x:v>
      </x:c>
      <x:c r="L13" s="2" t="n">
        <x:v>16</x:v>
      </x:c>
      <x:c r="M13" s="2" t="n">
        <x:v>7</x:v>
      </x:c>
      <x:c r="N13" s="21" t="n">
        <x:v>28.283333333333335</x:v>
      </x:c>
      <x:c r="O13" s="21" t="n">
        <x:v>381.76666666666665</x:v>
      </x:c>
      <x:c r="P13" s="21" t="n">
        <x:v>381.76666666666665</x:v>
      </x:c>
      <x:c r="Q13" s="21" t="n">
        <x:v>420</x:v>
      </x:c>
      <x:c r="R13" s="22" t="n">
        <x:f>P13/Q13</x:f>
        <x:v>0.908968253968254</x:v>
      </x:c>
      <x:c r="S13" s="23" t="n">
        <x:v>2.6149603174603175</x:v>
      </x:c>
      <x:c r="T13" s="2" t="str">
        <x:v>既知開発50場</x:v>
      </x:c>
    </x:row>
    <x:row r="14" ht="22" customHeight="1">
      <x:c r="A14" s="2" t="str">
        <x:v>TG04</x:v>
      </x:c>
      <x:c r="B14" s="20" t="d">
        <x:v>2026-09-24T17:00:00.000Z</x:v>
      </x:c>
      <x:c r="C14" s="2" t="str">
        <x:v>ナイト</x:v>
      </x:c>
      <x:c r="D14" s="2" t="str">
        <x:v>下落</x:v>
      </x:c>
      <x:c r="E14" s="19" t="n">
        <x:v>19848</x:v>
      </x:c>
      <x:c r="F14" s="19" t="n">
        <x:v>0</x:v>
      </x:c>
      <x:c r="G14" s="19" t="n">
        <x:f>E14-F14</x:f>
        <x:v>19848</x:v>
      </x:c>
      <x:c r="H14" s="19" t="n">
        <x:f>SUMIFS($G$7:$G$56,$B$7:$B$56,"&lt;="&amp;B14)</x:f>
        <x:v>-6755</x:v>
      </x:c>
      <x:c r="I14" s="19" t="n">
        <x:v>152</x:v>
      </x:c>
      <x:c r="J14" s="19" t="n">
        <x:v>20000</x:v>
      </x:c>
      <x:c r="K14" s="2" t="n">
        <x:v>2</x:v>
      </x:c>
      <x:c r="L14" s="2" t="n">
        <x:v>2</x:v>
      </x:c>
      <x:c r="M14" s="2" t="n">
        <x:v>2</x:v>
      </x:c>
      <x:c r="N14" s="21" t="n">
        <x:v>395.93333333333334</x:v>
      </x:c>
      <x:c r="O14" s="21" t="n">
        <x:v>99.11666666666666</x:v>
      </x:c>
      <x:c r="P14" s="21" t="n">
        <x:v>99.11666666666666</x:v>
      </x:c>
      <x:c r="Q14" s="21" t="n">
        <x:v>600</x:v>
      </x:c>
      <x:c r="R14" s="22" t="n">
        <x:f>P14/Q14</x:f>
        <x:v>0.16519444444444442</x:v>
      </x:c>
      <x:c r="S14" s="23" t="n">
        <x:v>0.18058333333333335</x:v>
      </x:c>
      <x:c r="T14" s="2" t="str">
        <x:v>既知開発50場</x:v>
      </x:c>
    </x:row>
    <x:row r="15" ht="22" customHeight="1">
      <x:c r="A15" s="2" t="str">
        <x:v>TG04</x:v>
      </x:c>
      <x:c r="B15" s="20" t="d">
        <x:v>2026-09-25T08:45:00.000Z</x:v>
      </x:c>
      <x:c r="C15" s="2" t="str">
        <x:v>デイ</x:v>
      </x:c>
      <x:c r="D15" s="2" t="str">
        <x:v>上昇</x:v>
      </x:c>
      <x:c r="E15" s="19" t="n">
        <x:v>156386</x:v>
      </x:c>
      <x:c r="F15" s="19" t="n">
        <x:v>46308</x:v>
      </x:c>
      <x:c r="G15" s="19" t="n">
        <x:f>E15-F15</x:f>
        <x:v>110078</x:v>
      </x:c>
      <x:c r="H15" s="19" t="n">
        <x:f>SUMIFS($G$7:$G$56,$B$7:$B$56,"&lt;="&amp;B15)</x:f>
        <x:v>103323</x:v>
      </x:c>
      <x:c r="I15" s="19" t="n">
        <x:v>922</x:v>
      </x:c>
      <x:c r="J15" s="19" t="n">
        <x:v>111000</x:v>
      </x:c>
      <x:c r="K15" s="2" t="n">
        <x:v>5</x:v>
      </x:c>
      <x:c r="L15" s="2" t="n">
        <x:v>12</x:v>
      </x:c>
      <x:c r="M15" s="2" t="n">
        <x:v>5</x:v>
      </x:c>
      <x:c r="N15" s="21" t="n">
        <x:v>62.81666666666667</x:v>
      </x:c>
      <x:c r="O15" s="21" t="n">
        <x:v>343.81666666666666</x:v>
      </x:c>
      <x:c r="P15" s="21" t="n">
        <x:v>343.81666666666666</x:v>
      </x:c>
      <x:c r="Q15" s="21" t="n">
        <x:v>420</x:v>
      </x:c>
      <x:c r="R15" s="22" t="n">
        <x:f>P15/Q15</x:f>
        <x:v>0.8186111111111111</x:v>
      </x:c>
      <x:c r="S15" s="23" t="n">
        <x:v>3.1823809523809525</x:v>
      </x:c>
      <x:c r="T15" s="2" t="str">
        <x:v>既知開発50場</x:v>
      </x:c>
    </x:row>
    <x:row r="16" ht="22" customHeight="1">
      <x:c r="A16" s="2" t="str">
        <x:v>TG04</x:v>
      </x:c>
      <x:c r="B16" s="20" t="d">
        <x:v>2026-09-25T17:00:00.000Z</x:v>
      </x:c>
      <x:c r="C16" s="2" t="str">
        <x:v>ナイト</x:v>
      </x:c>
      <x:c r="D16" s="2" t="str">
        <x:v>上昇</x:v>
      </x:c>
      <x:c r="E16" s="19" t="n">
        <x:v>11616</x:v>
      </x:c>
      <x:c r="F16" s="19" t="n">
        <x:v>16076</x:v>
      </x:c>
      <x:c r="G16" s="19" t="n">
        <x:f>E16-F16</x:f>
        <x:v>-4460</x:v>
      </x:c>
      <x:c r="H16" s="19" t="n">
        <x:f>SUMIFS($G$7:$G$56,$B$7:$B$56,"&lt;="&amp;B16)</x:f>
        <x:v>98863</x:v>
      </x:c>
      <x:c r="I16" s="19" t="n">
        <x:v>460</x:v>
      </x:c>
      <x:c r="J16" s="19" t="n">
        <x:v>-4000</x:v>
      </x:c>
      <x:c r="K16" s="2" t="n">
        <x:v>2</x:v>
      </x:c>
      <x:c r="L16" s="2" t="n">
        <x:v>6</x:v>
      </x:c>
      <x:c r="M16" s="2" t="n">
        <x:v>5</x:v>
      </x:c>
      <x:c r="N16" s="21" t="n">
        <x:v>347.8333333333333</x:v>
      </x:c>
      <x:c r="O16" s="21" t="n">
        <x:v>102.33333333333333</x:v>
      </x:c>
      <x:c r="P16" s="21" t="n">
        <x:v>102.33333333333333</x:v>
      </x:c>
      <x:c r="Q16" s="21" t="n">
        <x:v>600</x:v>
      </x:c>
      <x:c r="R16" s="22" t="n">
        <x:f>P16/Q16</x:f>
        <x:v>0.17055555555555554</x:v>
      </x:c>
      <x:c r="S16" s="23" t="n">
        <x:v>0.19455555555555556</x:v>
      </x:c>
      <x:c r="T16" s="2" t="str">
        <x:v>既知開発50場</x:v>
      </x:c>
    </x:row>
    <x:row r="17" ht="22" customHeight="1">
      <x:c r="A17" s="2" t="str">
        <x:v>TG04</x:v>
      </x:c>
      <x:c r="B17" s="20" t="d">
        <x:v>2026-09-28T08:45:00.000Z</x:v>
      </x:c>
      <x:c r="C17" s="2" t="str">
        <x:v>デイ</x:v>
      </x:c>
      <x:c r="D17" s="2" t="str">
        <x:v>下落</x:v>
      </x:c>
      <x:c r="E17" s="19" t="n">
        <x:v>330387</x:v>
      </x:c>
      <x:c r="F17" s="19" t="n">
        <x:v>152000</x:v>
      </x:c>
      <x:c r="G17" s="19" t="n">
        <x:f>E17-F17</x:f>
        <x:v>178387</x:v>
      </x:c>
      <x:c r="H17" s="19" t="n">
        <x:f>SUMIFS($G$7:$G$56,$B$7:$B$56,"&lt;="&amp;B17)</x:f>
        <x:v>277250</x:v>
      </x:c>
      <x:c r="I17" s="19" t="n">
        <x:v>1613</x:v>
      </x:c>
      <x:c r="J17" s="19" t="n">
        <x:v>180000</x:v>
      </x:c>
      <x:c r="K17" s="2" t="n">
        <x:v>8</x:v>
      </x:c>
      <x:c r="L17" s="2" t="n">
        <x:v>21</x:v>
      </x:c>
      <x:c r="M17" s="2" t="n">
        <x:v>7</x:v>
      </x:c>
      <x:c r="N17" s="21" t="n">
        <x:v>66.3</x:v>
      </x:c>
      <x:c r="O17" s="21" t="n">
        <x:v>331.28333333333336</x:v>
      </x:c>
      <x:c r="P17" s="21" t="n">
        <x:v>331.28333333333336</x:v>
      </x:c>
      <x:c r="Q17" s="21" t="n">
        <x:v>420</x:v>
      </x:c>
      <x:c r="R17" s="22" t="n">
        <x:f>P17/Q17</x:f>
        <x:v>0.7887698412698413</x:v>
      </x:c>
      <x:c r="S17" s="23" t="n">
        <x:v>3.965079365079365</x:v>
      </x:c>
      <x:c r="T17" s="2" t="str">
        <x:v>既知開発50場</x:v>
      </x:c>
    </x:row>
    <x:row r="18" ht="22" customHeight="1">
      <x:c r="A18" s="2" t="str">
        <x:v>TG04</x:v>
      </x:c>
      <x:c r="B18" s="20" t="d">
        <x:v>2026-09-28T17:00:00.000Z</x:v>
      </x:c>
      <x:c r="C18" s="2" t="str">
        <x:v>ナイト</x:v>
      </x:c>
      <x:c r="D18" s="2" t="str">
        <x:v>下落</x:v>
      </x:c>
      <x:c r="E18" s="19" t="n">
        <x:v>8924</x:v>
      </x:c>
      <x:c r="F18" s="19" t="n">
        <x:v>48306</x:v>
      </x:c>
      <x:c r="G18" s="19" t="n">
        <x:f>E18-F18</x:f>
        <x:v>-39382</x:v>
      </x:c>
      <x:c r="H18" s="19" t="n">
        <x:f>SUMIFS($G$7:$G$56,$B$7:$B$56,"&lt;="&amp;B18)</x:f>
        <x:v>237868</x:v>
      </x:c>
      <x:c r="I18" s="19" t="n">
        <x:v>382</x:v>
      </x:c>
      <x:c r="J18" s="19" t="n">
        <x:v>-39000</x:v>
      </x:c>
      <x:c r="K18" s="2" t="n">
        <x:v>4</x:v>
      </x:c>
      <x:c r="L18" s="2" t="n">
        <x:v>5</x:v>
      </x:c>
      <x:c r="M18" s="2" t="n">
        <x:v>3</x:v>
      </x:c>
      <x:c r="N18" s="21" t="n">
        <x:v>135.46666666666667</x:v>
      </x:c>
      <x:c r="O18" s="21" t="n">
        <x:v>67.81666666666666</x:v>
      </x:c>
      <x:c r="P18" s="21" t="n">
        <x:v>67.81666666666666</x:v>
      </x:c>
      <x:c r="Q18" s="21" t="n">
        <x:v>600</x:v>
      </x:c>
      <x:c r="R18" s="22" t="n">
        <x:f>P18/Q18</x:f>
        <x:v>0.11302777777777777</x:v>
      </x:c>
      <x:c r="S18" s="23" t="n">
        <x:v>0.11858333333333333</x:v>
      </x:c>
      <x:c r="T18" s="2" t="str">
        <x:v>既知開発50場</x:v>
      </x:c>
    </x:row>
    <x:row r="19" ht="22" customHeight="1">
      <x:c r="A19" s="2" t="str">
        <x:v>TG04</x:v>
      </x:c>
      <x:c r="B19" s="20" t="d">
        <x:v>2026-09-29T08:45:00.000Z</x:v>
      </x:c>
      <x:c r="C19" s="2" t="str">
        <x:v>デイ</x:v>
      </x:c>
      <x:c r="D19" s="2" t="str">
        <x:v>下落</x:v>
      </x:c>
      <x:c r="E19" s="19" t="n">
        <x:v>128616</x:v>
      </x:c>
      <x:c r="F19" s="19" t="n">
        <x:v>127843</x:v>
      </x:c>
      <x:c r="G19" s="19" t="n">
        <x:f>E19-F19</x:f>
        <x:v>773</x:v>
      </x:c>
      <x:c r="H19" s="19" t="n">
        <x:f>SUMIFS($G$7:$G$56,$B$7:$B$56,"&lt;="&amp;B19)</x:f>
        <x:v>238641</x:v>
      </x:c>
      <x:c r="I19" s="19" t="n">
        <x:v>1227</x:v>
      </x:c>
      <x:c r="J19" s="19" t="n">
        <x:v>2000</x:v>
      </x:c>
      <x:c r="K19" s="2" t="n">
        <x:v>8</x:v>
      </x:c>
      <x:c r="L19" s="2" t="n">
        <x:v>16</x:v>
      </x:c>
      <x:c r="M19" s="2" t="n">
        <x:v>8</x:v>
      </x:c>
      <x:c r="N19" s="21" t="n">
        <x:v>53.016666666666666</x:v>
      </x:c>
      <x:c r="O19" s="21" t="n">
        <x:v>351.5833333333333</x:v>
      </x:c>
      <x:c r="P19" s="21" t="n">
        <x:v>351.5833333333333</x:v>
      </x:c>
      <x:c r="Q19" s="21" t="n">
        <x:v>420</x:v>
      </x:c>
      <x:c r="R19" s="22" t="n">
        <x:f>P19/Q19</x:f>
        <x:v>0.8371031746031745</x:v>
      </x:c>
      <x:c r="S19" s="23" t="n">
        <x:v>3.3404761904761906</x:v>
      </x:c>
      <x:c r="T19" s="2" t="str">
        <x:v>既知開発50場</x:v>
      </x:c>
    </x:row>
    <x:row r="20" ht="22" customHeight="1">
      <x:c r="A20" s="2" t="str">
        <x:v>TG04</x:v>
      </x:c>
      <x:c r="B20" s="20" t="d">
        <x:v>2026-09-29T17:00:00.000Z</x:v>
      </x:c>
      <x:c r="C20" s="2" t="str">
        <x:v>ナイト</x:v>
      </x:c>
      <x:c r="D20" s="2" t="str">
        <x:v>上昇</x:v>
      </x:c>
      <x:c r="E20" s="19" t="n">
        <x:v>72232</x:v>
      </x:c>
      <x:c r="F20" s="19" t="n">
        <x:v>22304</x:v>
      </x:c>
      <x:c r="G20" s="19" t="n">
        <x:f>E20-F20</x:f>
        <x:v>49928</x:v>
      </x:c>
      <x:c r="H20" s="19" t="n">
        <x:f>SUMIFS($G$7:$G$56,$B$7:$B$56,"&lt;="&amp;B20)</x:f>
        <x:v>288569</x:v>
      </x:c>
      <x:c r="I20" s="19" t="n">
        <x:v>1072</x:v>
      </x:c>
      <x:c r="J20" s="19" t="n">
        <x:v>51000</x:v>
      </x:c>
      <x:c r="K20" s="2" t="n">
        <x:v>6</x:v>
      </x:c>
      <x:c r="L20" s="2" t="n">
        <x:v>14</x:v>
      </x:c>
      <x:c r="M20" s="2" t="n">
        <x:v>5</x:v>
      </x:c>
      <x:c r="N20" s="21" t="n">
        <x:v>359.71666666666664</x:v>
      </x:c>
      <x:c r="O20" s="21" t="n">
        <x:v>246.33333333333334</x:v>
      </x:c>
      <x:c r="P20" s="21" t="n">
        <x:v>207.38333333333333</x:v>
      </x:c>
      <x:c r="Q20" s="21" t="n">
        <x:v>600</x:v>
      </x:c>
      <x:c r="R20" s="22" t="n">
        <x:f>P20/Q20</x:f>
        <x:v>0.3456388888888889</x:v>
      </x:c>
      <x:c r="S20" s="23" t="n">
        <x:v>0.8551944444444445</x:v>
      </x:c>
      <x:c r="T20" s="2" t="str">
        <x:v>既知開発50場</x:v>
      </x:c>
    </x:row>
    <x:row r="21" ht="22" customHeight="1">
      <x:c r="A21" s="2" t="str">
        <x:v>TG04</x:v>
      </x:c>
      <x:c r="B21" s="20" t="d">
        <x:v>2026-09-30T08:45:00.000Z</x:v>
      </x:c>
      <x:c r="C21" s="2" t="str">
        <x:v>デイ</x:v>
      </x:c>
      <x:c r="D21" s="2" t="str">
        <x:v>上昇</x:v>
      </x:c>
      <x:c r="E21" s="19" t="n">
        <x:v>174616</x:v>
      </x:c>
      <x:c r="F21" s="19" t="n">
        <x:v>100997</x:v>
      </x:c>
      <x:c r="G21" s="19" t="n">
        <x:f>E21-F21</x:f>
        <x:v>73619</x:v>
      </x:c>
      <x:c r="H21" s="19" t="n">
        <x:f>SUMIFS($G$7:$G$56,$B$7:$B$56,"&lt;="&amp;B21)</x:f>
        <x:v>362188</x:v>
      </x:c>
      <x:c r="I21" s="19" t="n">
        <x:v>1381</x:v>
      </x:c>
      <x:c r="J21" s="19" t="n">
        <x:v>75000</x:v>
      </x:c>
      <x:c r="K21" s="2" t="n">
        <x:v>7</x:v>
      </x:c>
      <x:c r="L21" s="2" t="n">
        <x:v>18</x:v>
      </x:c>
      <x:c r="M21" s="2" t="n">
        <x:v>5</x:v>
      </x:c>
      <x:c r="N21" s="21" t="n">
        <x:v>119.66666666666667</x:v>
      </x:c>
      <x:c r="O21" s="21" t="n">
        <x:v>244.76666666666668</x:v>
      </x:c>
      <x:c r="P21" s="21" t="n">
        <x:v>244.76666666666668</x:v>
      </x:c>
      <x:c r="Q21" s="21" t="n">
        <x:v>420</x:v>
      </x:c>
      <x:c r="R21" s="22" t="n">
        <x:f>P21/Q21</x:f>
        <x:v>0.5827777777777778</x:v>
      </x:c>
      <x:c r="S21" s="23" t="n">
        <x:v>1.8333333333333333</x:v>
      </x:c>
      <x:c r="T21" s="2" t="str">
        <x:v>既知開発50場</x:v>
      </x:c>
    </x:row>
    <x:row r="22" ht="22" customHeight="1">
      <x:c r="A22" s="2" t="str">
        <x:v>TG04</x:v>
      </x:c>
      <x:c r="B22" s="20" t="d">
        <x:v>2026-09-30T17:00:00.000Z</x:v>
      </x:c>
      <x:c r="C22" s="2" t="str">
        <x:v>ナイト</x:v>
      </x:c>
      <x:c r="D22" s="2" t="str">
        <x:v>下落</x:v>
      </x:c>
      <x:c r="E22" s="19" t="n">
        <x:v>26464</x:v>
      </x:c>
      <x:c r="F22" s="19" t="n">
        <x:v>0</x:v>
      </x:c>
      <x:c r="G22" s="19" t="n">
        <x:f>E22-F22</x:f>
        <x:v>26464</x:v>
      </x:c>
      <x:c r="H22" s="19" t="n">
        <x:f>SUMIFS($G$7:$G$56,$B$7:$B$56,"&lt;="&amp;B22)</x:f>
        <x:v>388652</x:v>
      </x:c>
      <x:c r="I22" s="19" t="n">
        <x:v>536</x:v>
      </x:c>
      <x:c r="J22" s="19" t="n">
        <x:v>27000</x:v>
      </x:c>
      <x:c r="K22" s="2" t="n">
        <x:v>3</x:v>
      </x:c>
      <x:c r="L22" s="2" t="n">
        <x:v>7</x:v>
      </x:c>
      <x:c r="M22" s="2" t="n">
        <x:v>7</x:v>
      </x:c>
      <x:c r="N22" s="21" t="n">
        <x:v>349.46666666666664</x:v>
      </x:c>
      <x:c r="O22" s="21" t="n">
        <x:v>96.58333333333333</x:v>
      </x:c>
      <x:c r="P22" s="21" t="n">
        <x:v>96.58333333333333</x:v>
      </x:c>
      <x:c r="Q22" s="21" t="n">
        <x:v>600</x:v>
      </x:c>
      <x:c r="R22" s="22" t="n">
        <x:f>P22/Q22</x:f>
        <x:v>0.1609722222222222</x:v>
      </x:c>
      <x:c r="S22" s="23" t="n">
        <x:v>0.29288888888888887</x:v>
      </x:c>
      <x:c r="T22" s="2" t="str">
        <x:v>既知開発50場</x:v>
      </x:c>
    </x:row>
    <x:row r="23" ht="22" customHeight="1">
      <x:c r="A23" s="2" t="str">
        <x:v>TG04</x:v>
      </x:c>
      <x:c r="B23" s="20" t="d">
        <x:v>2026-10-01T08:45:00.000Z</x:v>
      </x:c>
      <x:c r="C23" s="2" t="str">
        <x:v>デイ</x:v>
      </x:c>
      <x:c r="D23" s="2" t="str">
        <x:v>上昇</x:v>
      </x:c>
      <x:c r="E23" s="19" t="n">
        <x:v>471387</x:v>
      </x:c>
      <x:c r="F23" s="19" t="n">
        <x:v>84538</x:v>
      </x:c>
      <x:c r="G23" s="19" t="n">
        <x:f>E23-F23</x:f>
        <x:v>386849</x:v>
      </x:c>
      <x:c r="H23" s="19" t="n">
        <x:f>SUMIFS($G$7:$G$56,$B$7:$B$56,"&lt;="&amp;B23)</x:f>
        <x:v>775501</x:v>
      </x:c>
      <x:c r="I23" s="19" t="n">
        <x:v>1151</x:v>
      </x:c>
      <x:c r="J23" s="19" t="n">
        <x:v>388000</x:v>
      </x:c>
      <x:c r="K23" s="2" t="n">
        <x:v>5</x:v>
      </x:c>
      <x:c r="L23" s="2" t="n">
        <x:v>15</x:v>
      </x:c>
      <x:c r="M23" s="2" t="n">
        <x:v>7</x:v>
      </x:c>
      <x:c r="N23" s="21" t="n">
        <x:v>88.93333333333334</x:v>
      </x:c>
      <x:c r="O23" s="21" t="n">
        <x:v>317.35</x:v>
      </x:c>
      <x:c r="P23" s="21" t="n">
        <x:v>317.35</x:v>
      </x:c>
      <x:c r="Q23" s="21" t="n">
        <x:v>420</x:v>
      </x:c>
      <x:c r="R23" s="22" t="n">
        <x:f>P23/Q23</x:f>
        <x:v>0.7555952380952381</x:v>
      </x:c>
      <x:c r="S23" s="23" t="n">
        <x:v>3.494761904761905</x:v>
      </x:c>
      <x:c r="T23" s="2" t="str">
        <x:v>既知開発50場</x:v>
      </x:c>
    </x:row>
    <x:row r="24" ht="22" customHeight="1">
      <x:c r="A24" s="2" t="str">
        <x:v>TG04</x:v>
      </x:c>
      <x:c r="B24" s="20" t="d">
        <x:v>2026-10-01T17:00:00.000Z</x:v>
      </x:c>
      <x:c r="C24" s="2" t="str">
        <x:v>ナイト</x:v>
      </x:c>
      <x:c r="D24" s="2" t="str">
        <x:v>上昇</x:v>
      </x:c>
      <x:c r="E24" s="19" t="n">
        <x:v>145311</x:v>
      </x:c>
      <x:c r="F24" s="19" t="n">
        <x:v>85609</x:v>
      </x:c>
      <x:c r="G24" s="19" t="n">
        <x:f>E24-F24</x:f>
        <x:v>59702</x:v>
      </x:c>
      <x:c r="H24" s="19" t="n">
        <x:f>SUMIFS($G$7:$G$56,$B$7:$B$56,"&lt;="&amp;B24)</x:f>
        <x:v>835203</x:v>
      </x:c>
      <x:c r="I24" s="19" t="n">
        <x:v>1298</x:v>
      </x:c>
      <x:c r="J24" s="19" t="n">
        <x:v>61000</x:v>
      </x:c>
      <x:c r="K24" s="2" t="n">
        <x:v>12</x:v>
      </x:c>
      <x:c r="L24" s="2" t="n">
        <x:v>17</x:v>
      </x:c>
      <x:c r="M24" s="2" t="n">
        <x:v>5</x:v>
      </x:c>
      <x:c r="N24" s="21" t="n">
        <x:v>109.66666666666667</x:v>
      </x:c>
      <x:c r="O24" s="21" t="n">
        <x:v>456.76666666666665</x:v>
      </x:c>
      <x:c r="P24" s="21" t="n">
        <x:v>286.28333333333336</x:v>
      </x:c>
      <x:c r="Q24" s="21" t="n">
        <x:v>600</x:v>
      </x:c>
      <x:c r="R24" s="22" t="n">
        <x:f>P24/Q24</x:f>
        <x:v>0.47713888888888895</x:v>
      </x:c>
      <x:c r="S24" s="23" t="n">
        <x:v>0.7766111111111111</x:v>
      </x:c>
      <x:c r="T24" s="2" t="str">
        <x:v>既知開発50場</x:v>
      </x:c>
    </x:row>
    <x:row r="25" ht="22" customHeight="1">
      <x:c r="A25" s="2" t="str">
        <x:v>TG04</x:v>
      </x:c>
      <x:c r="B25" s="20" t="d">
        <x:v>2026-10-02T08:45:00.000Z</x:v>
      </x:c>
      <x:c r="C25" s="2" t="str">
        <x:v>デイ</x:v>
      </x:c>
      <x:c r="D25" s="2" t="str">
        <x:v>上昇</x:v>
      </x:c>
      <x:c r="E25" s="19" t="n">
        <x:v>64541</x:v>
      </x:c>
      <x:c r="F25" s="19" t="n">
        <x:v>107844</x:v>
      </x:c>
      <x:c r="G25" s="19" t="n">
        <x:f>E25-F25</x:f>
        <x:v>-43303</x:v>
      </x:c>
      <x:c r="H25" s="19" t="n">
        <x:f>SUMIFS($G$7:$G$56,$B$7:$B$56,"&lt;="&amp;B25)</x:f>
        <x:v>791900</x:v>
      </x:c>
      <x:c r="I25" s="19" t="n">
        <x:v>1303</x:v>
      </x:c>
      <x:c r="J25" s="19" t="n">
        <x:v>-42000</x:v>
      </x:c>
      <x:c r="K25" s="2" t="n">
        <x:v>9</x:v>
      </x:c>
      <x:c r="L25" s="2" t="n">
        <x:v>17</x:v>
      </x:c>
      <x:c r="M25" s="2" t="n">
        <x:v>5</x:v>
      </x:c>
      <x:c r="N25" s="21" t="n">
        <x:v>25.783333333333335</x:v>
      </x:c>
      <x:c r="O25" s="21" t="n">
        <x:v>384.25</x:v>
      </x:c>
      <x:c r="P25" s="21" t="n">
        <x:v>384.25</x:v>
      </x:c>
      <x:c r="Q25" s="21" t="n">
        <x:v>420</x:v>
      </x:c>
      <x:c r="R25" s="22" t="n">
        <x:f>P25/Q25</x:f>
        <x:v>0.9148809523809524</x:v>
      </x:c>
      <x:c r="S25" s="23" t="n">
        <x:v>2.928611111111111</x:v>
      </x:c>
      <x:c r="T25" s="2" t="str">
        <x:v>既知開発50場</x:v>
      </x:c>
    </x:row>
    <x:row r="26" ht="22" customHeight="1">
      <x:c r="A26" s="2" t="str">
        <x:v>TG04</x:v>
      </x:c>
      <x:c r="B26" s="20" t="d">
        <x:v>2026-10-02T17:00:00.000Z</x:v>
      </x:c>
      <x:c r="C26" s="2" t="str">
        <x:v>ナイト</x:v>
      </x:c>
      <x:c r="D26" s="2" t="str">
        <x:v>上昇</x:v>
      </x:c>
      <x:c r="E26" s="19" t="n">
        <x:v>180930</x:v>
      </x:c>
      <x:c r="F26" s="19" t="n">
        <x:v>230</x:v>
      </x:c>
      <x:c r="G26" s="19" t="n">
        <x:f>E26-F26</x:f>
        <x:v>180700</x:v>
      </x:c>
      <x:c r="H26" s="19" t="n">
        <x:f>SUMIFS($G$7:$G$56,$B$7:$B$56,"&lt;="&amp;B26)</x:f>
        <x:v>972600</x:v>
      </x:c>
      <x:c r="I26" s="19" t="n">
        <x:v>1300</x:v>
      </x:c>
      <x:c r="J26" s="19" t="n">
        <x:v>182000</x:v>
      </x:c>
      <x:c r="K26" s="2" t="n">
        <x:v>11</x:v>
      </x:c>
      <x:c r="L26" s="2" t="n">
        <x:v>17</x:v>
      </x:c>
      <x:c r="M26" s="2" t="n">
        <x:v>5</x:v>
      </x:c>
      <x:c r="N26" s="21" t="n">
        <x:v>71.05</x:v>
      </x:c>
      <x:c r="O26" s="21" t="n">
        <x:v>587.8</x:v>
      </x:c>
      <x:c r="P26" s="21" t="n">
        <x:v>492.46666666666664</x:v>
      </x:c>
      <x:c r="Q26" s="21" t="n">
        <x:v>600</x:v>
      </x:c>
      <x:c r="R26" s="22" t="n">
        <x:f>P26/Q26</x:f>
        <x:v>0.8207777777777777</x:v>
      </x:c>
      <x:c r="S26" s="23" t="n">
        <x:v>1.1842777777777778</x:v>
      </x:c>
      <x:c r="T26" s="2" t="str">
        <x:v>既知開発50場</x:v>
      </x:c>
    </x:row>
    <x:row r="27" ht="22" customHeight="1">
      <x:c r="A27" s="2" t="str">
        <x:v>TG04</x:v>
      </x:c>
      <x:c r="B27" s="20" t="d">
        <x:v>2026-10-05T08:45:00.000Z</x:v>
      </x:c>
      <x:c r="C27" s="2" t="str">
        <x:v>デイ</x:v>
      </x:c>
      <x:c r="D27" s="2" t="str">
        <x:v>上昇</x:v>
      </x:c>
      <x:c r="E27" s="19" t="n">
        <x:v>84157</x:v>
      </x:c>
      <x:c r="F27" s="19" t="n">
        <x:v>149844</x:v>
      </x:c>
      <x:c r="G27" s="19" t="n">
        <x:f>E27-F27</x:f>
        <x:v>-65687</x:v>
      </x:c>
      <x:c r="H27" s="19" t="n">
        <x:f>SUMIFS($G$7:$G$56,$B$7:$B$56,"&lt;="&amp;B27)</x:f>
        <x:v>906913</x:v>
      </x:c>
      <x:c r="I27" s="19" t="n">
        <x:v>2687</x:v>
      </x:c>
      <x:c r="J27" s="19" t="n">
        <x:v>-63000</x:v>
      </x:c>
      <x:c r="K27" s="2" t="n">
        <x:v>11</x:v>
      </x:c>
      <x:c r="L27" s="2" t="n">
        <x:v>35</x:v>
      </x:c>
      <x:c r="M27" s="2" t="n">
        <x:v>9</x:v>
      </x:c>
      <x:c r="N27" s="21" t="n">
        <x:v>26.133333333333333</x:v>
      </x:c>
      <x:c r="O27" s="21" t="n">
        <x:v>360.2</x:v>
      </x:c>
      <x:c r="P27" s="21" t="n">
        <x:v>360.2</x:v>
      </x:c>
      <x:c r="Q27" s="21" t="n">
        <x:v>420</x:v>
      </x:c>
      <x:c r="R27" s="22" t="n">
        <x:f>P27/Q27</x:f>
        <x:v>0.8576190476190476</x:v>
      </x:c>
      <x:c r="S27" s="23" t="n">
        <x:v>2.958690476190476</x:v>
      </x:c>
      <x:c r="T27" s="2" t="str">
        <x:v>既知開発50場</x:v>
      </x:c>
    </x:row>
    <x:row r="28" ht="22" customHeight="1">
      <x:c r="A28" s="2" t="str">
        <x:v>TG04</x:v>
      </x:c>
      <x:c r="B28" s="20" t="d">
        <x:v>2026-10-05T17:00:00.000Z</x:v>
      </x:c>
      <x:c r="C28" s="2" t="str">
        <x:v>ナイト</x:v>
      </x:c>
      <x:c r="D28" s="2" t="str">
        <x:v>下落</x:v>
      </x:c>
      <x:c r="E28" s="19" t="n">
        <x:v>93618</x:v>
      </x:c>
      <x:c r="F28" s="19" t="n">
        <x:v>20384</x:v>
      </x:c>
      <x:c r="G28" s="19" t="n">
        <x:f>E28-F28</x:f>
        <x:v>73234</x:v>
      </x:c>
      <x:c r="H28" s="19" t="n">
        <x:f>SUMIFS($G$7:$G$56,$B$7:$B$56,"&lt;="&amp;B28)</x:f>
        <x:v>980147</x:v>
      </x:c>
      <x:c r="I28" s="19" t="n">
        <x:v>766</x:v>
      </x:c>
      <x:c r="J28" s="19" t="n">
        <x:v>74000</x:v>
      </x:c>
      <x:c r="K28" s="2" t="n">
        <x:v>5</x:v>
      </x:c>
      <x:c r="L28" s="2" t="n">
        <x:v>10</x:v>
      </x:c>
      <x:c r="M28" s="2" t="n">
        <x:v>5</x:v>
      </x:c>
      <x:c r="N28" s="21" t="n">
        <x:v>356.01666666666665</x:v>
      </x:c>
      <x:c r="O28" s="21" t="n">
        <x:v>98.65</x:v>
      </x:c>
      <x:c r="P28" s="21" t="n">
        <x:v>70.75</x:v>
      </x:c>
      <x:c r="Q28" s="21" t="n">
        <x:v>600</x:v>
      </x:c>
      <x:c r="R28" s="22" t="n">
        <x:f>P28/Q28</x:f>
        <x:v>0.11791666666666667</x:v>
      </x:c>
      <x:c r="S28" s="23" t="n">
        <x:v>0.27361111111111114</x:v>
      </x:c>
      <x:c r="T28" s="2" t="str">
        <x:v>既知開発50場</x:v>
      </x:c>
    </x:row>
    <x:row r="29" ht="22" customHeight="1">
      <x:c r="A29" s="2" t="str">
        <x:v>TG04</x:v>
      </x:c>
      <x:c r="B29" s="20" t="d">
        <x:v>2026-10-06T08:45:00.000Z</x:v>
      </x:c>
      <x:c r="C29" s="2" t="str">
        <x:v>デイ</x:v>
      </x:c>
      <x:c r="D29" s="2" t="str">
        <x:v>上昇</x:v>
      </x:c>
      <x:c r="E29" s="19" t="n">
        <x:v>266157</x:v>
      </x:c>
      <x:c r="F29" s="19" t="n">
        <x:v>139075</x:v>
      </x:c>
      <x:c r="G29" s="19" t="n">
        <x:f>E29-F29</x:f>
        <x:v>127082</x:v>
      </x:c>
      <x:c r="H29" s="19" t="n">
        <x:f>SUMIFS($G$7:$G$56,$B$7:$B$56,"&lt;="&amp;B29)</x:f>
        <x:v>1107229</x:v>
      </x:c>
      <x:c r="I29" s="19" t="n">
        <x:v>1918</x:v>
      </x:c>
      <x:c r="J29" s="19" t="n">
        <x:v>129000</x:v>
      </x:c>
      <x:c r="K29" s="2" t="n">
        <x:v>11</x:v>
      </x:c>
      <x:c r="L29" s="2" t="n">
        <x:v>25</x:v>
      </x:c>
      <x:c r="M29" s="2" t="n">
        <x:v>7</x:v>
      </x:c>
      <x:c r="N29" s="21" t="n">
        <x:v>48.916666666666664</x:v>
      </x:c>
      <x:c r="O29" s="21" t="n">
        <x:v>361.0833333333333</x:v>
      </x:c>
      <x:c r="P29" s="21" t="n">
        <x:v>361.0833333333333</x:v>
      </x:c>
      <x:c r="Q29" s="21" t="n">
        <x:v>420</x:v>
      </x:c>
      <x:c r="R29" s="22" t="n">
        <x:f>P29/Q29</x:f>
        <x:v>0.8597222222222222</x:v>
      </x:c>
      <x:c r="S29" s="23" t="n">
        <x:v>3.4307539682539683</x:v>
      </x:c>
      <x:c r="T29" s="2" t="str">
        <x:v>既知開発50場</x:v>
      </x:c>
    </x:row>
    <x:row r="30" ht="22" customHeight="1">
      <x:c r="A30" s="2" t="str">
        <x:v>TG04</x:v>
      </x:c>
      <x:c r="B30" s="20" t="d">
        <x:v>2026-10-06T17:00:00.000Z</x:v>
      </x:c>
      <x:c r="C30" s="2" t="str">
        <x:v>ナイト</x:v>
      </x:c>
      <x:c r="D30" s="2" t="str">
        <x:v>下落</x:v>
      </x:c>
      <x:c r="E30" s="19" t="n">
        <x:v>32848</x:v>
      </x:c>
      <x:c r="F30" s="19" t="n">
        <x:v>43460</x:v>
      </x:c>
      <x:c r="G30" s="19" t="n">
        <x:f>E30-F30</x:f>
        <x:v>-10612</x:v>
      </x:c>
      <x:c r="H30" s="19" t="n">
        <x:f>SUMIFS($G$7:$G$56,$B$7:$B$56,"&lt;="&amp;B30)</x:f>
        <x:v>1096617</x:v>
      </x:c>
      <x:c r="I30" s="19" t="n">
        <x:v>612</x:v>
      </x:c>
      <x:c r="J30" s="19" t="n">
        <x:v>-10000</x:v>
      </x:c>
      <x:c r="K30" s="2" t="n">
        <x:v>4</x:v>
      </x:c>
      <x:c r="L30" s="2" t="n">
        <x:v>8</x:v>
      </x:c>
      <x:c r="M30" s="2" t="n">
        <x:v>7</x:v>
      </x:c>
      <x:c r="N30" s="21" t="n">
        <x:v>349.78333333333336</x:v>
      </x:c>
      <x:c r="O30" s="21" t="n">
        <x:v>329.01666666666665</x:v>
      </x:c>
      <x:c r="P30" s="21" t="n">
        <x:v>159</x:v>
      </x:c>
      <x:c r="Q30" s="21" t="n">
        <x:v>600</x:v>
      </x:c>
      <x:c r="R30" s="22" t="n">
        <x:f>P30/Q30</x:f>
        <x:v>0.265</x:v>
      </x:c>
      <x:c r="S30" s="23" t="n">
        <x:v>0.4538055555555556</x:v>
      </x:c>
      <x:c r="T30" s="2" t="str">
        <x:v>既知開発50場</x:v>
      </x:c>
    </x:row>
    <x:row r="31" ht="22" customHeight="1">
      <x:c r="A31" s="2" t="str">
        <x:v>TG04</x:v>
      </x:c>
      <x:c r="B31" s="20" t="d">
        <x:v>2026-10-07T08:45:00.000Z</x:v>
      </x:c>
      <x:c r="C31" s="2" t="str">
        <x:v>デイ</x:v>
      </x:c>
      <x:c r="D31" s="2" t="str">
        <x:v>下落</x:v>
      </x:c>
      <x:c r="E31" s="19" t="n">
        <x:v>95156</x:v>
      </x:c>
      <x:c r="F31" s="19" t="n">
        <x:v>42538</x:v>
      </x:c>
      <x:c r="G31" s="19" t="n">
        <x:f>E31-F31</x:f>
        <x:v>52618</x:v>
      </x:c>
      <x:c r="H31" s="19" t="n">
        <x:f>SUMIFS($G$7:$G$56,$B$7:$B$56,"&lt;="&amp;B31)</x:f>
        <x:v>1149235</x:v>
      </x:c>
      <x:c r="I31" s="19" t="n">
        <x:v>1382</x:v>
      </x:c>
      <x:c r="J31" s="19" t="n">
        <x:v>54000</x:v>
      </x:c>
      <x:c r="K31" s="2" t="n">
        <x:v>7</x:v>
      </x:c>
      <x:c r="L31" s="2" t="n">
        <x:v>18</x:v>
      </x:c>
      <x:c r="M31" s="2" t="n">
        <x:v>5</x:v>
      </x:c>
      <x:c r="N31" s="21" t="n">
        <x:v>47.516666666666666</x:v>
      </x:c>
      <x:c r="O31" s="21" t="n">
        <x:v>112.26666666666667</x:v>
      </x:c>
      <x:c r="P31" s="21" t="n">
        <x:v>112.26666666666667</x:v>
      </x:c>
      <x:c r="Q31" s="21" t="n">
        <x:v>420</x:v>
      </x:c>
      <x:c r="R31" s="22" t="n">
        <x:f>P31/Q31</x:f>
        <x:v>0.2673015873015873</x:v>
      </x:c>
      <x:c r="S31" s="23" t="n">
        <x:v>0.8339682539682539</x:v>
      </x:c>
      <x:c r="T31" s="2" t="str">
        <x:v>既知開発50場</x:v>
      </x:c>
    </x:row>
    <x:row r="32" ht="22" customHeight="1">
      <x:c r="A32" s="2" t="str">
        <x:v>TG04</x:v>
      </x:c>
      <x:c r="B32" s="20" t="d">
        <x:v>2026-10-07T17:00:00.000Z</x:v>
      </x:c>
      <x:c r="C32" s="2" t="str">
        <x:v>ナイト</x:v>
      </x:c>
      <x:c r="D32" s="2" t="str">
        <x:v>下落</x:v>
      </x:c>
      <x:c r="E32" s="19" t="n">
        <x:v>0</x:v>
      </x:c>
      <x:c r="F32" s="19" t="n">
        <x:v>43304</x:v>
      </x:c>
      <x:c r="G32" s="19" t="n">
        <x:f>E32-F32</x:f>
        <x:v>-43304</x:v>
      </x:c>
      <x:c r="H32" s="19" t="n">
        <x:f>SUMIFS($G$7:$G$56,$B$7:$B$56,"&lt;="&amp;B32)</x:f>
        <x:v>1105931</x:v>
      </x:c>
      <x:c r="I32" s="19" t="n">
        <x:v>304</x:v>
      </x:c>
      <x:c r="J32" s="19" t="n">
        <x:v>-43000</x:v>
      </x:c>
      <x:c r="K32" s="2" t="n">
        <x:v>4</x:v>
      </x:c>
      <x:c r="L32" s="2" t="n">
        <x:v>4</x:v>
      </x:c>
      <x:c r="M32" s="2" t="n">
        <x:v>2</x:v>
      </x:c>
      <x:c r="N32" s="21" t="n">
        <x:v>235.05</x:v>
      </x:c>
      <x:c r="O32" s="21" t="n">
        <x:v>40.6</x:v>
      </x:c>
      <x:c r="P32" s="21" t="n">
        <x:v>40.6</x:v>
      </x:c>
      <x:c r="Q32" s="21" t="n">
        <x:v>600</x:v>
      </x:c>
      <x:c r="R32" s="22" t="n">
        <x:f>P32/Q32</x:f>
        <x:v>0.06766666666666667</x:v>
      </x:c>
      <x:c r="S32" s="23" t="n">
        <x:v>0.12144444444444444</x:v>
      </x:c>
      <x:c r="T32" s="2" t="str">
        <x:v>既知開発50場</x:v>
      </x:c>
    </x:row>
    <x:row r="33" ht="22" customHeight="1">
      <x:c r="A33" s="2" t="str">
        <x:v>TG04</x:v>
      </x:c>
      <x:c r="B33" s="20" t="d">
        <x:v>2026-10-08T08:45:00.000Z</x:v>
      </x:c>
      <x:c r="C33" s="2" t="str">
        <x:v>デイ</x:v>
      </x:c>
      <x:c r="D33" s="2" t="str">
        <x:v>下落</x:v>
      </x:c>
      <x:c r="E33" s="19" t="n">
        <x:v>180002</x:v>
      </x:c>
      <x:c r="F33" s="19" t="n">
        <x:v>131535</x:v>
      </x:c>
      <x:c r="G33" s="19" t="n">
        <x:f>E33-F33</x:f>
        <x:v>48467</x:v>
      </x:c>
      <x:c r="H33" s="19" t="n">
        <x:f>SUMIFS($G$7:$G$56,$B$7:$B$56,"&lt;="&amp;B33)</x:f>
        <x:v>1154398</x:v>
      </x:c>
      <x:c r="I33" s="19" t="n">
        <x:v>2533</x:v>
      </x:c>
      <x:c r="J33" s="19" t="n">
        <x:v>51000</x:v>
      </x:c>
      <x:c r="K33" s="2" t="n">
        <x:v>10</x:v>
      </x:c>
      <x:c r="L33" s="2" t="n">
        <x:v>33</x:v>
      </x:c>
      <x:c r="M33" s="2" t="n">
        <x:v>6</x:v>
      </x:c>
      <x:c r="N33" s="21" t="n">
        <x:v>33.6</x:v>
      </x:c>
      <x:c r="O33" s="21" t="n">
        <x:v>224.78333333333333</x:v>
      </x:c>
      <x:c r="P33" s="21" t="n">
        <x:v>224.78333333333333</x:v>
      </x:c>
      <x:c r="Q33" s="21" t="n">
        <x:v>420</x:v>
      </x:c>
      <x:c r="R33" s="22" t="n">
        <x:f>P33/Q33</x:f>
        <x:v>0.5351984126984127</x:v>
      </x:c>
      <x:c r="S33" s="23" t="n">
        <x:v>1.2057936507936509</x:v>
      </x:c>
      <x:c r="T33" s="2" t="str">
        <x:v>既知開発50場</x:v>
      </x:c>
    </x:row>
    <x:row r="34" ht="22" customHeight="1">
      <x:c r="A34" s="2" t="str">
        <x:v>TG04</x:v>
      </x:c>
      <x:c r="B34" s="20" t="d">
        <x:v>2026-10-08T17:00:00.000Z</x:v>
      </x:c>
      <x:c r="C34" s="2" t="str">
        <x:v>ナイト</x:v>
      </x:c>
      <x:c r="D34" s="2" t="str">
        <x:v>下落</x:v>
      </x:c>
      <x:c r="E34" s="19" t="n">
        <x:v>142698</x:v>
      </x:c>
      <x:c r="F34" s="19" t="n">
        <x:v>0</x:v>
      </x:c>
      <x:c r="G34" s="19" t="n">
        <x:f>E34-F34</x:f>
        <x:v>142698</x:v>
      </x:c>
      <x:c r="H34" s="19" t="n">
        <x:f>SUMIFS($G$7:$G$56,$B$7:$B$56,"&lt;="&amp;B34)</x:f>
        <x:v>1297096</x:v>
      </x:c>
      <x:c r="I34" s="19" t="n">
        <x:v>1302</x:v>
      </x:c>
      <x:c r="J34" s="19" t="n">
        <x:v>144000</x:v>
      </x:c>
      <x:c r="K34" s="2" t="n">
        <x:v>8</x:v>
      </x:c>
      <x:c r="L34" s="2" t="n">
        <x:v>17</x:v>
      </x:c>
      <x:c r="M34" s="2" t="n">
        <x:v>8</x:v>
      </x:c>
      <x:c r="N34" s="21" t="n">
        <x:v>103.98333333333333</x:v>
      </x:c>
      <x:c r="O34" s="21" t="n">
        <x:v>335.6666666666667</x:v>
      </x:c>
      <x:c r="P34" s="21" t="n">
        <x:v>335.6666666666667</x:v>
      </x:c>
      <x:c r="Q34" s="21" t="n">
        <x:v>600</x:v>
      </x:c>
      <x:c r="R34" s="22" t="n">
        <x:f>P34/Q34</x:f>
        <x:v>0.5594444444444445</x:v>
      </x:c>
      <x:c r="S34" s="23" t="n">
        <x:v>0.9873611111111111</x:v>
      </x:c>
      <x:c r="T34" s="2" t="str">
        <x:v>既知開発50場</x:v>
      </x:c>
    </x:row>
    <x:row r="35" ht="22" customHeight="1">
      <x:c r="A35" s="2" t="str">
        <x:v>TG04</x:v>
      </x:c>
      <x:c r="B35" s="20" t="d">
        <x:v>2026-10-09T08:45:00.000Z</x:v>
      </x:c>
      <x:c r="C35" s="2" t="str">
        <x:v>デイ</x:v>
      </x:c>
      <x:c r="D35" s="2" t="str">
        <x:v>上昇</x:v>
      </x:c>
      <x:c r="E35" s="19" t="n">
        <x:v>133386</x:v>
      </x:c>
      <x:c r="F35" s="19" t="n">
        <x:v>68767</x:v>
      </x:c>
      <x:c r="G35" s="19" t="n">
        <x:f>E35-F35</x:f>
        <x:v>64619</x:v>
      </x:c>
      <x:c r="H35" s="19" t="n">
        <x:f>SUMIFS($G$7:$G$56,$B$7:$B$56,"&lt;="&amp;B35)</x:f>
        <x:v>1361715</x:v>
      </x:c>
      <x:c r="I35" s="19" t="n">
        <x:v>1381</x:v>
      </x:c>
      <x:c r="J35" s="19" t="n">
        <x:v>66000</x:v>
      </x:c>
      <x:c r="K35" s="2" t="n">
        <x:v>9</x:v>
      </x:c>
      <x:c r="L35" s="2" t="n">
        <x:v>18</x:v>
      </x:c>
      <x:c r="M35" s="2" t="n">
        <x:v>5</x:v>
      </x:c>
      <x:c r="N35" s="21" t="n">
        <x:v>25.95</x:v>
      </x:c>
      <x:c r="O35" s="21" t="n">
        <x:v>251.7</x:v>
      </x:c>
      <x:c r="P35" s="21" t="n">
        <x:v>251.7</x:v>
      </x:c>
      <x:c r="Q35" s="21" t="n">
        <x:v>420</x:v>
      </x:c>
      <x:c r="R35" s="22" t="n">
        <x:f>P35/Q35</x:f>
        <x:v>0.5992857142857143</x:v>
      </x:c>
      <x:c r="S35" s="23" t="n">
        <x:v>1.1408333333333334</x:v>
      </x:c>
      <x:c r="T35" s="2" t="str">
        <x:v>既知開発50場</x:v>
      </x:c>
    </x:row>
    <x:row r="36" ht="22" customHeight="1">
      <x:c r="A36" s="2" t="str">
        <x:v>TG04</x:v>
      </x:c>
      <x:c r="B36" s="20" t="d">
        <x:v>2026-10-09T17:00:00.000Z</x:v>
      </x:c>
      <x:c r="C36" s="2" t="str">
        <x:v>ナイト</x:v>
      </x:c>
      <x:c r="D36" s="2" t="str">
        <x:v>下落</x:v>
      </x:c>
      <x:c r="E36" s="19" t="n">
        <x:v>13616</x:v>
      </x:c>
      <x:c r="F36" s="19" t="n">
        <x:v>0</x:v>
      </x:c>
      <x:c r="G36" s="19" t="n">
        <x:f>E36-F36</x:f>
        <x:v>13616</x:v>
      </x:c>
      <x:c r="H36" s="19" t="n">
        <x:f>SUMIFS($G$7:$G$56,$B$7:$B$56,"&lt;="&amp;B36)</x:f>
        <x:v>1375331</x:v>
      </x:c>
      <x:c r="I36" s="19" t="n">
        <x:v>384</x:v>
      </x:c>
      <x:c r="J36" s="19" t="n">
        <x:v>14000</x:v>
      </x:c>
      <x:c r="K36" s="2" t="n">
        <x:v>1</x:v>
      </x:c>
      <x:c r="L36" s="2" t="n">
        <x:v>5</x:v>
      </x:c>
      <x:c r="M36" s="2" t="n">
        <x:v>5</x:v>
      </x:c>
      <x:c r="N36" s="21" t="n">
        <x:v>360.06666666666666</x:v>
      </x:c>
      <x:c r="O36" s="21" t="n">
        <x:v>412.53333333333336</x:v>
      </x:c>
      <x:c r="P36" s="21" t="n">
        <x:v>239.93333333333334</x:v>
      </x:c>
      <x:c r="Q36" s="21" t="n">
        <x:v>600</x:v>
      </x:c>
      <x:c r="R36" s="22" t="n">
        <x:f>P36/Q36</x:f>
        <x:v>0.3998888888888889</x:v>
      </x:c>
      <x:c r="S36" s="23" t="n">
        <x:v>0.47933333333333333</x:v>
      </x:c>
      <x:c r="T36" s="2" t="str">
        <x:v>既知開発50場</x:v>
      </x:c>
    </x:row>
    <x:row r="37" ht="22" customHeight="1">
      <x:c r="A37" s="2" t="str">
        <x:v>TG04</x:v>
      </x:c>
      <x:c r="B37" s="20" t="d">
        <x:v>2026-10-12T08:45:00.000Z</x:v>
      </x:c>
      <x:c r="C37" s="2" t="str">
        <x:v>デイ</x:v>
      </x:c>
      <x:c r="D37" s="2" t="str">
        <x:v>下落</x:v>
      </x:c>
      <x:c r="E37" s="19" t="n">
        <x:v>32616</x:v>
      </x:c>
      <x:c r="F37" s="19" t="n">
        <x:v>53538</x:v>
      </x:c>
      <x:c r="G37" s="19" t="n">
        <x:f>E37-F37</x:f>
        <x:v>-20922</x:v>
      </x:c>
      <x:c r="H37" s="19" t="n">
        <x:f>SUMIFS($G$7:$G$56,$B$7:$B$56,"&lt;="&amp;B37)</x:f>
        <x:v>1354409</x:v>
      </x:c>
      <x:c r="I37" s="19" t="n">
        <x:v>922</x:v>
      </x:c>
      <x:c r="J37" s="19" t="n">
        <x:v>-20000</x:v>
      </x:c>
      <x:c r="K37" s="2" t="n">
        <x:v>3</x:v>
      </x:c>
      <x:c r="L37" s="2" t="n">
        <x:v>12</x:v>
      </x:c>
      <x:c r="M37" s="2" t="n">
        <x:v>5</x:v>
      </x:c>
      <x:c r="N37" s="21" t="n">
        <x:v>76.48333333333333</x:v>
      </x:c>
      <x:c r="O37" s="21" t="n">
        <x:v>287.26666666666665</x:v>
      </x:c>
      <x:c r="P37" s="21" t="n">
        <x:v>287.26666666666665</x:v>
      </x:c>
      <x:c r="Q37" s="21" t="n">
        <x:v>420</x:v>
      </x:c>
      <x:c r="R37" s="22" t="n">
        <x:f>P37/Q37</x:f>
        <x:v>0.6839682539682539</x:v>
      </x:c>
      <x:c r="S37" s="23" t="n">
        <x:v>2.387777777777778</x:v>
      </x:c>
      <x:c r="T37" s="2" t="str">
        <x:v>既知開発50場</x:v>
      </x:c>
    </x:row>
    <x:row r="38" ht="22" customHeight="1">
      <x:c r="A38" s="2" t="str">
        <x:v>TG04</x:v>
      </x:c>
      <x:c r="B38" s="20" t="d">
        <x:v>2026-10-12T17:00:00.000Z</x:v>
      </x:c>
      <x:c r="C38" s="2" t="str">
        <x:v>ナイト</x:v>
      </x:c>
      <x:c r="D38" s="2" t="str">
        <x:v>下落</x:v>
      </x:c>
      <x:c r="E38" s="19" t="n">
        <x:v>106616</x:v>
      </x:c>
      <x:c r="F38" s="19" t="n">
        <x:v>0</x:v>
      </x:c>
      <x:c r="G38" s="19" t="n">
        <x:f>E38-F38</x:f>
        <x:v>106616</x:v>
      </x:c>
      <x:c r="H38" s="19" t="n">
        <x:f>SUMIFS($G$7:$G$56,$B$7:$B$56,"&lt;="&amp;B38)</x:f>
        <x:v>1461025</x:v>
      </x:c>
      <x:c r="I38" s="19" t="n">
        <x:v>384</x:v>
      </x:c>
      <x:c r="J38" s="19" t="n">
        <x:v>107000</x:v>
      </x:c>
      <x:c r="K38" s="2" t="n">
        <x:v>1</x:v>
      </x:c>
      <x:c r="L38" s="2" t="n">
        <x:v>5</x:v>
      </x:c>
      <x:c r="M38" s="2" t="n">
        <x:v>5</x:v>
      </x:c>
      <x:c r="N38" s="21" t="n">
        <x:v>360.21666666666664</x:v>
      </x:c>
      <x:c r="O38" s="21" t="n">
        <x:v>409.98333333333335</x:v>
      </x:c>
      <x:c r="P38" s="21" t="n">
        <x:v>239.78333333333333</x:v>
      </x:c>
      <x:c r="Q38" s="21" t="n">
        <x:v>600</x:v>
      </x:c>
      <x:c r="R38" s="22" t="n">
        <x:f>P38/Q38</x:f>
        <x:v>0.3996388888888889</x:v>
      </x:c>
      <x:c r="S38" s="23" t="n">
        <x:v>0.4706388888888889</x:v>
      </x:c>
      <x:c r="T38" s="2" t="str">
        <x:v>既知開発50場</x:v>
      </x:c>
    </x:row>
    <x:row r="39" ht="22" customHeight="1">
      <x:c r="A39" s="2" t="str">
        <x:v>TG04</x:v>
      </x:c>
      <x:c r="B39" s="20" t="d">
        <x:v>2026-10-13T08:45:00.000Z</x:v>
      </x:c>
      <x:c r="C39" s="2" t="str">
        <x:v>デイ</x:v>
      </x:c>
      <x:c r="D39" s="2" t="str">
        <x:v>下落</x:v>
      </x:c>
      <x:c r="E39" s="19" t="n">
        <x:v>81544</x:v>
      </x:c>
      <x:c r="F39" s="19" t="n">
        <x:v>166154</x:v>
      </x:c>
      <x:c r="G39" s="19" t="n">
        <x:f>E39-F39</x:f>
        <x:v>-84610</x:v>
      </x:c>
      <x:c r="H39" s="19" t="n">
        <x:f>SUMIFS($G$7:$G$56,$B$7:$B$56,"&lt;="&amp;B39)</x:f>
        <x:v>1376415</x:v>
      </x:c>
      <x:c r="I39" s="19" t="n">
        <x:v>2610</x:v>
      </x:c>
      <x:c r="J39" s="19" t="n">
        <x:v>-82000</x:v>
      </x:c>
      <x:c r="K39" s="2" t="n">
        <x:v>14</x:v>
      </x:c>
      <x:c r="L39" s="2" t="n">
        <x:v>34</x:v>
      </x:c>
      <x:c r="M39" s="2" t="n">
        <x:v>5</x:v>
      </x:c>
      <x:c r="N39" s="21" t="n">
        <x:v>28.466666666666665</x:v>
      </x:c>
      <x:c r="O39" s="21" t="n">
        <x:v>325.15</x:v>
      </x:c>
      <x:c r="P39" s="21" t="n">
        <x:v>325.15</x:v>
      </x:c>
      <x:c r="Q39" s="21" t="n">
        <x:v>420</x:v>
      </x:c>
      <x:c r="R39" s="22" t="n">
        <x:f>P39/Q39</x:f>
        <x:v>0.7741666666666666</x:v>
      </x:c>
      <x:c r="S39" s="23" t="n">
        <x:v>2.8548015873015875</x:v>
      </x:c>
      <x:c r="T39" s="2" t="str">
        <x:v>既知開発50場</x:v>
      </x:c>
    </x:row>
    <x:row r="40" ht="22" customHeight="1">
      <x:c r="A40" s="2" t="str">
        <x:v>TG04</x:v>
      </x:c>
      <x:c r="B40" s="20" t="d">
        <x:v>2026-10-13T17:00:00.000Z</x:v>
      </x:c>
      <x:c r="C40" s="2" t="str">
        <x:v>ナイト</x:v>
      </x:c>
      <x:c r="D40" s="2" t="str">
        <x:v>上昇</x:v>
      </x:c>
      <x:c r="E40" s="19" t="n">
        <x:v>0</x:v>
      </x:c>
      <x:c r="F40" s="19" t="n">
        <x:v>53460</x:v>
      </x:c>
      <x:c r="G40" s="19" t="n">
        <x:f>E40-F40</x:f>
        <x:v>-53460</x:v>
      </x:c>
      <x:c r="H40" s="19" t="n">
        <x:f>SUMIFS($G$7:$G$56,$B$7:$B$56,"&lt;="&amp;B40)</x:f>
        <x:v>1322955</x:v>
      </x:c>
      <x:c r="I40" s="19" t="n">
        <x:v>460</x:v>
      </x:c>
      <x:c r="J40" s="19" t="n">
        <x:v>-53000</x:v>
      </x:c>
      <x:c r="K40" s="2" t="n">
        <x:v>2</x:v>
      </x:c>
      <x:c r="L40" s="2" t="n">
        <x:v>6</x:v>
      </x:c>
      <x:c r="M40" s="2" t="n">
        <x:v>5</x:v>
      </x:c>
      <x:c r="N40" s="21" t="n">
        <x:v>360.23333333333335</x:v>
      </x:c>
      <x:c r="O40" s="21" t="n">
        <x:v>7.2</x:v>
      </x:c>
      <x:c r="P40" s="21" t="n">
        <x:v>7.2</x:v>
      </x:c>
      <x:c r="Q40" s="21" t="n">
        <x:v>600</x:v>
      </x:c>
      <x:c r="R40" s="22" t="n">
        <x:f>P40/Q40</x:f>
        <x:v>0.012</x:v>
      </x:c>
      <x:c r="S40" s="23" t="n">
        <x:v>0.041666666666666664</x:v>
      </x:c>
      <x:c r="T40" s="2" t="str">
        <x:v>既知開発50場</x:v>
      </x:c>
    </x:row>
    <x:row r="41" ht="22" customHeight="1">
      <x:c r="A41" s="2" t="str">
        <x:v>TG04</x:v>
      </x:c>
      <x:c r="B41" s="20" t="d">
        <x:v>2026-10-14T08:45:00.000Z</x:v>
      </x:c>
      <x:c r="C41" s="2" t="str">
        <x:v>デイ</x:v>
      </x:c>
      <x:c r="D41" s="2" t="str">
        <x:v>上昇</x:v>
      </x:c>
      <x:c r="E41" s="19" t="n">
        <x:v>148232</x:v>
      </x:c>
      <x:c r="F41" s="19" t="n">
        <x:v>72768</x:v>
      </x:c>
      <x:c r="G41" s="19" t="n">
        <x:f>E41-F41</x:f>
        <x:v>75464</x:v>
      </x:c>
      <x:c r="H41" s="19" t="n">
        <x:f>SUMIFS($G$7:$G$56,$B$7:$B$56,"&lt;="&amp;B41)</x:f>
        <x:v>1398419</x:v>
      </x:c>
      <x:c r="I41" s="19" t="n">
        <x:v>1536</x:v>
      </x:c>
      <x:c r="J41" s="19" t="n">
        <x:v>77000</x:v>
      </x:c>
      <x:c r="K41" s="2" t="n">
        <x:v>6</x:v>
      </x:c>
      <x:c r="L41" s="2" t="n">
        <x:v>20</x:v>
      </x:c>
      <x:c r="M41" s="2" t="n">
        <x:v>5</x:v>
      </x:c>
      <x:c r="N41" s="21" t="n">
        <x:v>107.68333333333334</x:v>
      </x:c>
      <x:c r="O41" s="21" t="n">
        <x:v>147.25</x:v>
      </x:c>
      <x:c r="P41" s="21" t="n">
        <x:v>147.25</x:v>
      </x:c>
      <x:c r="Q41" s="21" t="n">
        <x:v>420</x:v>
      </x:c>
      <x:c r="R41" s="22" t="n">
        <x:f>P41/Q41</x:f>
        <x:v>0.35059523809523807</x:v>
      </x:c>
      <x:c r="S41" s="23" t="n">
        <x:v>0.9463095238095238</x:v>
      </x:c>
      <x:c r="T41" s="2" t="str">
        <x:v>既知開発50場</x:v>
      </x:c>
    </x:row>
    <x:row r="42" ht="22" customHeight="1">
      <x:c r="A42" s="2" t="str">
        <x:v>TG04</x:v>
      </x:c>
      <x:c r="B42" s="20" t="d">
        <x:v>2026-10-14T17:00:00.000Z</x:v>
      </x:c>
      <x:c r="C42" s="2" t="str">
        <x:v>ナイト</x:v>
      </x:c>
      <x:c r="D42" s="2" t="str">
        <x:v>下落</x:v>
      </x:c>
      <x:c r="E42" s="19" t="n">
        <x:v>235616</x:v>
      </x:c>
      <x:c r="F42" s="19" t="n">
        <x:v>61306</x:v>
      </x:c>
      <x:c r="G42" s="19" t="n">
        <x:f>E42-F42</x:f>
        <x:v>174310</x:v>
      </x:c>
      <x:c r="H42" s="19" t="n">
        <x:f>SUMIFS($G$7:$G$56,$B$7:$B$56,"&lt;="&amp;B42)</x:f>
        <x:v>1572729</x:v>
      </x:c>
      <x:c r="I42" s="19" t="n">
        <x:v>690</x:v>
      </x:c>
      <x:c r="J42" s="19" t="n">
        <x:v>175000</x:v>
      </x:c>
      <x:c r="K42" s="2" t="n">
        <x:v>4</x:v>
      </x:c>
      <x:c r="L42" s="2" t="n">
        <x:v>9</x:v>
      </x:c>
      <x:c r="M42" s="2" t="n">
        <x:v>5</x:v>
      </x:c>
      <x:c r="N42" s="21" t="n">
        <x:v>360</x:v>
      </x:c>
      <x:c r="O42" s="21" t="n">
        <x:v>398.18333333333334</x:v>
      </x:c>
      <x:c r="P42" s="21" t="n">
        <x:v>227.95</x:v>
      </x:c>
      <x:c r="Q42" s="21" t="n">
        <x:v>600</x:v>
      </x:c>
      <x:c r="R42" s="22" t="n">
        <x:f>P42/Q42</x:f>
        <x:v>0.3799166666666666</x:v>
      </x:c>
      <x:c r="S42" s="23" t="n">
        <x:v>0.9473888888888888</x:v>
      </x:c>
      <x:c r="T42" s="2" t="str">
        <x:v>既知開発50場</x:v>
      </x:c>
    </x:row>
    <x:row r="43" ht="22" customHeight="1">
      <x:c r="A43" s="2" t="str">
        <x:v>TG04</x:v>
      </x:c>
      <x:c r="B43" s="20" t="d">
        <x:v>2026-10-15T08:45:00.000Z</x:v>
      </x:c>
      <x:c r="C43" s="2" t="str">
        <x:v>デイ</x:v>
      </x:c>
      <x:c r="D43" s="2" t="str">
        <x:v>下落</x:v>
      </x:c>
      <x:c r="E43" s="19" t="n">
        <x:v>500927</x:v>
      </x:c>
      <x:c r="F43" s="19" t="n">
        <x:v>66154</x:v>
      </x:c>
      <x:c r="G43" s="19" t="n">
        <x:f>E43-F43</x:f>
        <x:v>434773</x:v>
      </x:c>
      <x:c r="H43" s="19" t="n">
        <x:f>SUMIFS($G$7:$G$56,$B$7:$B$56,"&lt;="&amp;B43)</x:f>
        <x:v>2007502</x:v>
      </x:c>
      <x:c r="I43" s="19" t="n">
        <x:v>1227</x:v>
      </x:c>
      <x:c r="J43" s="19" t="n">
        <x:v>436000</x:v>
      </x:c>
      <x:c r="K43" s="2" t="n">
        <x:v>8</x:v>
      </x:c>
      <x:c r="L43" s="2" t="n">
        <x:v>16</x:v>
      </x:c>
      <x:c r="M43" s="2" t="n">
        <x:v>6</x:v>
      </x:c>
      <x:c r="N43" s="21" t="n">
        <x:v>22.5</x:v>
      </x:c>
      <x:c r="O43" s="21" t="n">
        <x:v>387.5</x:v>
      </x:c>
      <x:c r="P43" s="21" t="n">
        <x:v>387.5</x:v>
      </x:c>
      <x:c r="Q43" s="21" t="n">
        <x:v>420</x:v>
      </x:c>
      <x:c r="R43" s="22" t="n">
        <x:f>P43/Q43</x:f>
        <x:v>0.9226190476190477</x:v>
      </x:c>
      <x:c r="S43" s="23" t="n">
        <x:v>2.721547619047619</x:v>
      </x:c>
      <x:c r="T43" s="2" t="str">
        <x:v>既知開発50場</x:v>
      </x:c>
    </x:row>
    <x:row r="44" ht="22" customHeight="1">
      <x:c r="A44" s="2" t="str">
        <x:v>TG04</x:v>
      </x:c>
      <x:c r="B44" s="20" t="d">
        <x:v>2026-10-15T17:00:00.000Z</x:v>
      </x:c>
      <x:c r="C44" s="2" t="str">
        <x:v>ナイト</x:v>
      </x:c>
      <x:c r="D44" s="2" t="str">
        <x:v>上昇</x:v>
      </x:c>
      <x:c r="E44" s="19" t="n">
        <x:v>74696</x:v>
      </x:c>
      <x:c r="F44" s="19" t="n">
        <x:v>95383</x:v>
      </x:c>
      <x:c r="G44" s="19" t="n">
        <x:f>E44-F44</x:f>
        <x:v>-20687</x:v>
      </x:c>
      <x:c r="H44" s="19" t="n">
        <x:f>SUMIFS($G$7:$G$56,$B$7:$B$56,"&lt;="&amp;B44)</x:f>
        <x:v>1986815</x:v>
      </x:c>
      <x:c r="I44" s="19" t="n">
        <x:v>687</x:v>
      </x:c>
      <x:c r="J44" s="19" t="n">
        <x:v>-20000</x:v>
      </x:c>
      <x:c r="K44" s="2" t="n">
        <x:v>7</x:v>
      </x:c>
      <x:c r="L44" s="2" t="n">
        <x:v>9</x:v>
      </x:c>
      <x:c r="M44" s="2" t="n">
        <x:v>3</x:v>
      </x:c>
      <x:c r="N44" s="21" t="n">
        <x:v>361.31666666666666</x:v>
      </x:c>
      <x:c r="O44" s="21" t="n">
        <x:v>331.81666666666666</x:v>
      </x:c>
      <x:c r="P44" s="21" t="n">
        <x:v>161.41666666666666</x:v>
      </x:c>
      <x:c r="Q44" s="21" t="n">
        <x:v>600</x:v>
      </x:c>
      <x:c r="R44" s="22" t="n">
        <x:f>P44/Q44</x:f>
        <x:v>0.26902777777777775</x:v>
      </x:c>
      <x:c r="S44" s="23" t="n">
        <x:v>0.5606666666666666</x:v>
      </x:c>
      <x:c r="T44" s="2" t="str">
        <x:v>既知開発50場</x:v>
      </x:c>
    </x:row>
    <x:row r="45" ht="22" customHeight="1">
      <x:c r="A45" s="2" t="str">
        <x:v>TG04</x:v>
      </x:c>
      <x:c r="B45" s="20" t="d">
        <x:v>2026-10-16T08:45:00.000Z</x:v>
      </x:c>
      <x:c r="C45" s="2" t="str">
        <x:v>デイ</x:v>
      </x:c>
      <x:c r="D45" s="2" t="str">
        <x:v>上昇</x:v>
      </x:c>
      <x:c r="E45" s="19" t="n">
        <x:v>85773</x:v>
      </x:c>
      <x:c r="F45" s="19" t="n">
        <x:v>170226</x:v>
      </x:c>
      <x:c r="G45" s="19" t="n">
        <x:f>E45-F45</x:f>
        <x:v>-84453</x:v>
      </x:c>
      <x:c r="H45" s="19" t="n">
        <x:f>SUMIFS($G$7:$G$56,$B$7:$B$56,"&lt;="&amp;B45)</x:f>
        <x:v>1902362</x:v>
      </x:c>
      <x:c r="I45" s="19" t="n">
        <x:v>3453</x:v>
      </x:c>
      <x:c r="J45" s="19" t="n">
        <x:v>-81000</x:v>
      </x:c>
      <x:c r="K45" s="2" t="n">
        <x:v>15</x:v>
      </x:c>
      <x:c r="L45" s="2" t="n">
        <x:v>45</x:v>
      </x:c>
      <x:c r="M45" s="2" t="n">
        <x:v>7</x:v>
      </x:c>
      <x:c r="N45" s="21" t="n">
        <x:v>24.816666666666666</x:v>
      </x:c>
      <x:c r="O45" s="21" t="n">
        <x:v>332.81666666666666</x:v>
      </x:c>
      <x:c r="P45" s="21" t="n">
        <x:v>332.81666666666666</x:v>
      </x:c>
      <x:c r="Q45" s="21" t="n">
        <x:v>420</x:v>
      </x:c>
      <x:c r="R45" s="22" t="n">
        <x:f>P45/Q45</x:f>
        <x:v>0.7924206349206349</x:v>
      </x:c>
      <x:c r="S45" s="23" t="n">
        <x:v>2.3903968253968255</x:v>
      </x:c>
      <x:c r="T45" s="2" t="str">
        <x:v>既知開発50場</x:v>
      </x:c>
    </x:row>
    <x:row r="46" ht="22" customHeight="1">
      <x:c r="A46" s="2" t="str">
        <x:v>TG04</x:v>
      </x:c>
      <x:c r="B46" s="20" t="d">
        <x:v>2026-10-16T17:00:00.000Z</x:v>
      </x:c>
      <x:c r="C46" s="2" t="str">
        <x:v>ナイト</x:v>
      </x:c>
      <x:c r="D46" s="2" t="str">
        <x:v>下落</x:v>
      </x:c>
      <x:c r="E46" s="19" t="n">
        <x:v>158698</x:v>
      </x:c>
      <x:c r="F46" s="19" t="n">
        <x:v>142766</x:v>
      </x:c>
      <x:c r="G46" s="19" t="n">
        <x:f>E46-F46</x:f>
        <x:v>15932</x:v>
      </x:c>
      <x:c r="H46" s="19" t="n">
        <x:f>SUMIFS($G$7:$G$56,$B$7:$B$56,"&lt;="&amp;B46)</x:f>
        <x:v>1918294</x:v>
      </x:c>
      <x:c r="I46" s="19" t="n">
        <x:v>2068</x:v>
      </x:c>
      <x:c r="J46" s="19" t="n">
        <x:v>18000</x:v>
      </x:c>
      <x:c r="K46" s="2" t="n">
        <x:v>14</x:v>
      </x:c>
      <x:c r="L46" s="2" t="n">
        <x:v>27</x:v>
      </x:c>
      <x:c r="M46" s="2" t="n">
        <x:v>6</x:v>
      </x:c>
      <x:c r="N46" s="21" t="n">
        <x:v>45.46666666666667</x:v>
      </x:c>
      <x:c r="O46" s="21" t="n">
        <x:v>392.18333333333334</x:v>
      </x:c>
      <x:c r="P46" s="21" t="n">
        <x:v>236.48333333333332</x:v>
      </x:c>
      <x:c r="Q46" s="21" t="n">
        <x:v>600</x:v>
      </x:c>
      <x:c r="R46" s="22" t="n">
        <x:f>P46/Q46</x:f>
        <x:v>0.39413888888888887</x:v>
      </x:c>
      <x:c r="S46" s="23" t="n">
        <x:v>0.5497222222222222</x:v>
      </x:c>
      <x:c r="T46" s="2" t="str">
        <x:v>既知開発50場</x:v>
      </x:c>
    </x:row>
    <x:row r="47" ht="22" customHeight="1">
      <x:c r="A47" s="2" t="str">
        <x:v>TG04</x:v>
      </x:c>
      <x:c r="B47" s="20" t="d">
        <x:v>2026-10-19T08:45:00.000Z</x:v>
      </x:c>
      <x:c r="C47" s="2" t="str">
        <x:v>デイ</x:v>
      </x:c>
      <x:c r="D47" s="2" t="str">
        <x:v>上昇</x:v>
      </x:c>
      <x:c r="E47" s="19" t="n">
        <x:v>418467</x:v>
      </x:c>
      <x:c r="F47" s="19" t="n">
        <x:v>16154</x:v>
      </x:c>
      <x:c r="G47" s="19" t="n">
        <x:f>E47-F47</x:f>
        <x:v>402313</x:v>
      </x:c>
      <x:c r="H47" s="19" t="n">
        <x:f>SUMIFS($G$7:$G$56,$B$7:$B$56,"&lt;="&amp;B47)</x:f>
        <x:v>2320607</x:v>
      </x:c>
      <x:c r="I47" s="19" t="n">
        <x:v>1687</x:v>
      </x:c>
      <x:c r="J47" s="19" t="n">
        <x:v>404000</x:v>
      </x:c>
      <x:c r="K47" s="2" t="n">
        <x:v>12</x:v>
      </x:c>
      <x:c r="L47" s="2" t="n">
        <x:v>22</x:v>
      </x:c>
      <x:c r="M47" s="2" t="n">
        <x:v>9</x:v>
      </x:c>
      <x:c r="N47" s="21" t="n">
        <x:v>46.78333333333333</x:v>
      </x:c>
      <x:c r="O47" s="21" t="n">
        <x:v>363.21666666666664</x:v>
      </x:c>
      <x:c r="P47" s="21" t="n">
        <x:v>363.21666666666664</x:v>
      </x:c>
      <x:c r="Q47" s="21" t="n">
        <x:v>420</x:v>
      </x:c>
      <x:c r="R47" s="22" t="n">
        <x:f>P47/Q47</x:f>
        <x:v>0.8648015873015873</x:v>
      </x:c>
      <x:c r="S47" s="23" t="n">
        <x:v>5.778134920634921</x:v>
      </x:c>
      <x:c r="T47" s="2" t="str">
        <x:v>既知開発50場</x:v>
      </x:c>
    </x:row>
    <x:row r="48" ht="22" customHeight="1">
      <x:c r="A48" s="2" t="str">
        <x:v>TG04</x:v>
      </x:c>
      <x:c r="B48" s="20" t="d">
        <x:v>2026-10-19T17:00:00.000Z</x:v>
      </x:c>
      <x:c r="C48" s="2" t="str">
        <x:v>ナイト</x:v>
      </x:c>
      <x:c r="D48" s="2" t="str">
        <x:v>上昇</x:v>
      </x:c>
      <x:c r="E48" s="19" t="n">
        <x:v>94081</x:v>
      </x:c>
      <x:c r="F48" s="19" t="n">
        <x:v>34228</x:v>
      </x:c>
      <x:c r="G48" s="19" t="n">
        <x:f>E48-F48</x:f>
        <x:v>59853</x:v>
      </x:c>
      <x:c r="H48" s="19" t="n">
        <x:f>SUMIFS($G$7:$G$56,$B$7:$B$56,"&lt;="&amp;B48)</x:f>
        <x:v>2380460</x:v>
      </x:c>
      <x:c r="I48" s="19" t="n">
        <x:v>1147</x:v>
      </x:c>
      <x:c r="J48" s="19" t="n">
        <x:v>61000</x:v>
      </x:c>
      <x:c r="K48" s="2" t="n">
        <x:v>9</x:v>
      </x:c>
      <x:c r="L48" s="2" t="n">
        <x:v>15</x:v>
      </x:c>
      <x:c r="M48" s="2" t="n">
        <x:v>5</x:v>
      </x:c>
      <x:c r="N48" s="21" t="n">
        <x:v>349.46666666666664</x:v>
      </x:c>
      <x:c r="O48" s="21" t="n">
        <x:v>262.4</x:v>
      </x:c>
      <x:c r="P48" s="21" t="n">
        <x:v>177.68333333333334</x:v>
      </x:c>
      <x:c r="Q48" s="21" t="n">
        <x:v>600</x:v>
      </x:c>
      <x:c r="R48" s="22" t="n">
        <x:f>P48/Q48</x:f>
        <x:v>0.2961388888888889</x:v>
      </x:c>
      <x:c r="S48" s="23" t="n">
        <x:v>0.4677777777777778</x:v>
      </x:c>
      <x:c r="T48" s="2" t="str">
        <x:v>既知開発50場</x:v>
      </x:c>
    </x:row>
    <x:row r="49" ht="22" customHeight="1">
      <x:c r="A49" s="2" t="str">
        <x:v>TG04</x:v>
      </x:c>
      <x:c r="B49" s="20" t="d">
        <x:v>2026-10-20T08:45:00.000Z</x:v>
      </x:c>
      <x:c r="C49" s="2" t="str">
        <x:v>デイ</x:v>
      </x:c>
      <x:c r="D49" s="2" t="str">
        <x:v>下落</x:v>
      </x:c>
      <x:c r="E49" s="19" t="n">
        <x:v>163544</x:v>
      </x:c>
      <x:c r="F49" s="19" t="n">
        <x:v>215538</x:v>
      </x:c>
      <x:c r="G49" s="19" t="n">
        <x:f>E49-F49</x:f>
        <x:v>-51994</x:v>
      </x:c>
      <x:c r="H49" s="19" t="n">
        <x:f>SUMIFS($G$7:$G$56,$B$7:$B$56,"&lt;="&amp;B49)</x:f>
        <x:v>2328466</x:v>
      </x:c>
      <x:c r="I49" s="19" t="n">
        <x:v>2994</x:v>
      </x:c>
      <x:c r="J49" s="19" t="n">
        <x:v>-49000</x:v>
      </x:c>
      <x:c r="K49" s="2" t="n">
        <x:v>15</x:v>
      </x:c>
      <x:c r="L49" s="2" t="n">
        <x:v>39</x:v>
      </x:c>
      <x:c r="M49" s="2" t="n">
        <x:v>8</x:v>
      </x:c>
      <x:c r="N49" s="21" t="n">
        <x:v>22.716666666666665</x:v>
      </x:c>
      <x:c r="O49" s="21" t="n">
        <x:v>219.45</x:v>
      </x:c>
      <x:c r="P49" s="21" t="n">
        <x:v>219.45</x:v>
      </x:c>
      <x:c r="Q49" s="21" t="n">
        <x:v>420</x:v>
      </x:c>
      <x:c r="R49" s="22" t="n">
        <x:f>P49/Q49</x:f>
        <x:v>0.5225</x:v>
      </x:c>
      <x:c r="S49" s="23" t="n">
        <x:v>1.571547619047619</x:v>
      </x:c>
      <x:c r="T49" s="2" t="str">
        <x:v>既知開発50場</x:v>
      </x:c>
    </x:row>
    <x:row r="50" ht="22" customHeight="1">
      <x:c r="A50" s="2" t="str">
        <x:v>TG04</x:v>
      </x:c>
      <x:c r="B50" s="20" t="d">
        <x:v>2026-10-20T17:00:00.000Z</x:v>
      </x:c>
      <x:c r="C50" s="2" t="str">
        <x:v>ナイト</x:v>
      </x:c>
      <x:c r="D50" s="2" t="str">
        <x:v>上昇</x:v>
      </x:c>
      <x:c r="E50" s="19" t="n">
        <x:v>518931</x:v>
      </x:c>
      <x:c r="F50" s="19" t="n">
        <x:v>0</x:v>
      </x:c>
      <x:c r="G50" s="19" t="n">
        <x:f>E50-F50</x:f>
        <x:v>518931</x:v>
      </x:c>
      <x:c r="H50" s="19" t="n">
        <x:f>SUMIFS($G$7:$G$56,$B$7:$B$56,"&lt;="&amp;B50)</x:f>
        <x:v>2847397</x:v>
      </x:c>
      <x:c r="I50" s="19" t="n">
        <x:v>1069</x:v>
      </x:c>
      <x:c r="J50" s="19" t="n">
        <x:v>520000</x:v>
      </x:c>
      <x:c r="K50" s="2" t="n">
        <x:v>11</x:v>
      </x:c>
      <x:c r="L50" s="2" t="n">
        <x:v>14</x:v>
      </x:c>
      <x:c r="M50" s="2" t="n">
        <x:v>7</x:v>
      </x:c>
      <x:c r="N50" s="21" t="n">
        <x:v>272.3333333333333</x:v>
      </x:c>
      <x:c r="O50" s="21" t="n">
        <x:v>446.1166666666667</x:v>
      </x:c>
      <x:c r="P50" s="21" t="n">
        <x:v>275.78333333333336</x:v>
      </x:c>
      <x:c r="Q50" s="21" t="n">
        <x:v>600</x:v>
      </x:c>
      <x:c r="R50" s="22" t="n">
        <x:f>P50/Q50</x:f>
        <x:v>0.45963888888888893</x:v>
      </x:c>
      <x:c r="S50" s="23" t="n">
        <x:v>1.1341666666666668</x:v>
      </x:c>
      <x:c r="T50" s="2" t="str">
        <x:v>既知開発50場</x:v>
      </x:c>
    </x:row>
    <x:row r="51" ht="22" customHeight="1">
      <x:c r="A51" s="2" t="str">
        <x:v>TG04</x:v>
      </x:c>
      <x:c r="B51" s="20" t="d">
        <x:v>2026-10-21T08:45:00.000Z</x:v>
      </x:c>
      <x:c r="C51" s="2" t="str">
        <x:v>デイ</x:v>
      </x:c>
      <x:c r="D51" s="2" t="str">
        <x:v>下落</x:v>
      </x:c>
      <x:c r="E51" s="19" t="n">
        <x:v>240927</x:v>
      </x:c>
      <x:c r="F51" s="19" t="n">
        <x:v>201920</x:v>
      </x:c>
      <x:c r="G51" s="19" t="n">
        <x:f>E51-F51</x:f>
        <x:v>39007</x:v>
      </x:c>
      <x:c r="H51" s="19" t="n">
        <x:f>SUMIFS($G$7:$G$56,$B$7:$B$56,"&lt;="&amp;B51)</x:f>
        <x:v>2886404</x:v>
      </x:c>
      <x:c r="I51" s="19" t="n">
        <x:v>2993</x:v>
      </x:c>
      <x:c r="J51" s="19" t="n">
        <x:v>42000</x:v>
      </x:c>
      <x:c r="K51" s="2" t="n">
        <x:v>12</x:v>
      </x:c>
      <x:c r="L51" s="2" t="n">
        <x:v>39</x:v>
      </x:c>
      <x:c r="M51" s="2" t="n">
        <x:v>6</x:v>
      </x:c>
      <x:c r="N51" s="21" t="n">
        <x:v>50</x:v>
      </x:c>
      <x:c r="O51" s="21" t="n">
        <x:v>360</x:v>
      </x:c>
      <x:c r="P51" s="21" t="n">
        <x:v>360</x:v>
      </x:c>
      <x:c r="Q51" s="21" t="n">
        <x:v>420</x:v>
      </x:c>
      <x:c r="R51" s="22" t="n">
        <x:f>P51/Q51</x:f>
        <x:v>0.8571428571428571</x:v>
      </x:c>
      <x:c r="S51" s="23" t="n">
        <x:v>2.3809126984126983</x:v>
      </x:c>
      <x:c r="T51" s="2" t="str">
        <x:v>既知開発50場</x:v>
      </x:c>
    </x:row>
    <x:row r="52" ht="22" customHeight="1">
      <x:c r="A52" s="2" t="str">
        <x:v>TG04</x:v>
      </x:c>
      <x:c r="B52" s="20" t="d">
        <x:v>2026-10-21T17:00:00.000Z</x:v>
      </x:c>
      <x:c r="C52" s="2" t="str">
        <x:v>ナイト</x:v>
      </x:c>
      <x:c r="D52" s="2" t="str">
        <x:v>上昇</x:v>
      </x:c>
      <x:c r="E52" s="19" t="n">
        <x:v>44464</x:v>
      </x:c>
      <x:c r="F52" s="19" t="n">
        <x:v>85768</x:v>
      </x:c>
      <x:c r="G52" s="19" t="n">
        <x:f>E52-F52</x:f>
        <x:v>-41304</x:v>
      </x:c>
      <x:c r="H52" s="19" t="n">
        <x:f>SUMIFS($G$7:$G$56,$B$7:$B$56,"&lt;="&amp;B52)</x:f>
        <x:v>2845100</x:v>
      </x:c>
      <x:c r="I52" s="19" t="n">
        <x:v>1304</x:v>
      </x:c>
      <x:c r="J52" s="19" t="n">
        <x:v>-40000</x:v>
      </x:c>
      <x:c r="K52" s="2" t="n">
        <x:v>5</x:v>
      </x:c>
      <x:c r="L52" s="2" t="n">
        <x:v>17</x:v>
      </x:c>
      <x:c r="M52" s="2" t="n">
        <x:v>7</x:v>
      </x:c>
      <x:c r="N52" s="21" t="n">
        <x:v>360</x:v>
      </x:c>
      <x:c r="O52" s="21" t="n">
        <x:v>155.93333333333334</x:v>
      </x:c>
      <x:c r="P52" s="21" t="n">
        <x:v>155.93333333333334</x:v>
      </x:c>
      <x:c r="Q52" s="21" t="n">
        <x:v>600</x:v>
      </x:c>
      <x:c r="R52" s="22" t="n">
        <x:f>P52/Q52</x:f>
        <x:v>0.2598888888888889</x:v>
      </x:c>
      <x:c r="S52" s="23" t="n">
        <x:v>1.1795277777777777</x:v>
      </x:c>
      <x:c r="T52" s="2" t="str">
        <x:v>既知開発50場</x:v>
      </x:c>
    </x:row>
    <x:row r="53" ht="22" customHeight="1">
      <x:c r="A53" s="2" t="str">
        <x:v>TG04</x:v>
      </x:c>
      <x:c r="B53" s="20" t="d">
        <x:v>2026-10-22T08:45:00.000Z</x:v>
      </x:c>
      <x:c r="C53" s="2" t="str">
        <x:v>デイ</x:v>
      </x:c>
      <x:c r="D53" s="2" t="str">
        <x:v>下落</x:v>
      </x:c>
      <x:c r="E53" s="19" t="n">
        <x:v>726157</x:v>
      </x:c>
      <x:c r="F53" s="19" t="n">
        <x:v>70308</x:v>
      </x:c>
      <x:c r="G53" s="19" t="n">
        <x:f>E53-F53</x:f>
        <x:v>655849</x:v>
      </x:c>
      <x:c r="H53" s="19" t="n">
        <x:f>SUMIFS($G$7:$G$56,$B$7:$B$56,"&lt;="&amp;B53)</x:f>
        <x:v>3500949</x:v>
      </x:c>
      <x:c r="I53" s="19" t="n">
        <x:v>1151</x:v>
      </x:c>
      <x:c r="J53" s="19" t="n">
        <x:v>657000</x:v>
      </x:c>
      <x:c r="K53" s="2" t="n">
        <x:v>7</x:v>
      </x:c>
      <x:c r="L53" s="2" t="n">
        <x:v>15</x:v>
      </x:c>
      <x:c r="M53" s="2" t="n">
        <x:v>7</x:v>
      </x:c>
      <x:c r="N53" s="21" t="n">
        <x:v>29</x:v>
      </x:c>
      <x:c r="O53" s="21" t="n">
        <x:v>381</x:v>
      </x:c>
      <x:c r="P53" s="21" t="n">
        <x:v>381</x:v>
      </x:c>
      <x:c r="Q53" s="21" t="n">
        <x:v>420</x:v>
      </x:c>
      <x:c r="R53" s="22" t="n">
        <x:f>P53/Q53</x:f>
        <x:v>0.9071428571428571</x:v>
      </x:c>
      <x:c r="S53" s="23" t="n">
        <x:v>4.263928571428571</x:v>
      </x:c>
      <x:c r="T53" s="2" t="str">
        <x:v>既知開発50場</x:v>
      </x:c>
    </x:row>
    <x:row r="54" ht="22" customHeight="1">
      <x:c r="A54" s="2" t="str">
        <x:v>TG04</x:v>
      </x:c>
      <x:c r="B54" s="20" t="d">
        <x:v>2026-10-22T17:00:00.000Z</x:v>
      </x:c>
      <x:c r="C54" s="2" t="str">
        <x:v>ナイト</x:v>
      </x:c>
      <x:c r="D54" s="2" t="str">
        <x:v>下落</x:v>
      </x:c>
      <x:c r="E54" s="19" t="n">
        <x:v>163464</x:v>
      </x:c>
      <x:c r="F54" s="19" t="n">
        <x:v>10153</x:v>
      </x:c>
      <x:c r="G54" s="19" t="n">
        <x:f>E54-F54</x:f>
        <x:v>153311</x:v>
      </x:c>
      <x:c r="H54" s="19" t="n">
        <x:f>SUMIFS($G$7:$G$56,$B$7:$B$56,"&lt;="&amp;B54)</x:f>
        <x:v>3654260</x:v>
      </x:c>
      <x:c r="I54" s="19" t="n">
        <x:v>689</x:v>
      </x:c>
      <x:c r="J54" s="19" t="n">
        <x:v>154000</x:v>
      </x:c>
      <x:c r="K54" s="2" t="n">
        <x:v>4</x:v>
      </x:c>
      <x:c r="L54" s="2" t="n">
        <x:v>9</x:v>
      </x:c>
      <x:c r="M54" s="2" t="n">
        <x:v>6</x:v>
      </x:c>
      <x:c r="N54" s="21" t="n">
        <x:v>364.46666666666664</x:v>
      </x:c>
      <x:c r="O54" s="21" t="n">
        <x:v>219.35</x:v>
      </x:c>
      <x:c r="P54" s="21" t="n">
        <x:v>219.35</x:v>
      </x:c>
      <x:c r="Q54" s="21" t="n">
        <x:v>600</x:v>
      </x:c>
      <x:c r="R54" s="22" t="n">
        <x:f>P54/Q54</x:f>
        <x:v>0.3655833333333333</x:v>
      </x:c>
      <x:c r="S54" s="23" t="n">
        <x:v>0.6793888888888889</x:v>
      </x:c>
      <x:c r="T54" s="2" t="str">
        <x:v>既知開発50場</x:v>
      </x:c>
    </x:row>
    <x:row r="55" ht="22" customHeight="1">
      <x:c r="A55" s="2" t="str">
        <x:v>TG04</x:v>
      </x:c>
      <x:c r="B55" s="20" t="d">
        <x:v>2026-10-23T08:45:00.000Z</x:v>
      </x:c>
      <x:c r="C55" s="2" t="str">
        <x:v>デイ</x:v>
      </x:c>
      <x:c r="D55" s="2" t="str">
        <x:v>上昇</x:v>
      </x:c>
      <x:c r="E55" s="19" t="n">
        <x:v>217541</x:v>
      </x:c>
      <x:c r="F55" s="19" t="n">
        <x:v>99692</x:v>
      </x:c>
      <x:c r="G55" s="19" t="n">
        <x:f>E55-F55</x:f>
        <x:v>117849</x:v>
      </x:c>
      <x:c r="H55" s="19" t="n">
        <x:f>SUMIFS($G$7:$G$56,$B$7:$B$56,"&lt;="&amp;B55)</x:f>
        <x:v>3772109</x:v>
      </x:c>
      <x:c r="I55" s="19" t="n">
        <x:v>1151</x:v>
      </x:c>
      <x:c r="J55" s="19" t="n">
        <x:v>119000</x:v>
      </x:c>
      <x:c r="K55" s="2" t="n">
        <x:v>7</x:v>
      </x:c>
      <x:c r="L55" s="2" t="n">
        <x:v>15</x:v>
      </x:c>
      <x:c r="M55" s="2" t="n">
        <x:v>5</x:v>
      </x:c>
      <x:c r="N55" s="21" t="n">
        <x:v>41.96666666666667</x:v>
      </x:c>
      <x:c r="O55" s="21" t="n">
        <x:v>368.03333333333336</x:v>
      </x:c>
      <x:c r="P55" s="21" t="n">
        <x:v>368.03333333333336</x:v>
      </x:c>
      <x:c r="Q55" s="21" t="n">
        <x:v>420</x:v>
      </x:c>
      <x:c r="R55" s="22" t="n">
        <x:f>P55/Q55</x:f>
        <x:v>0.8762698412698413</x:v>
      </x:c>
      <x:c r="S55" s="23" t="n">
        <x:v>2.1406746031746033</x:v>
      </x:c>
      <x:c r="T55" s="2" t="str">
        <x:v>既知開発50場</x:v>
      </x:c>
    </x:row>
    <x:row r="56" ht="22" customHeight="1">
      <x:c r="A56" s="2" t="str">
        <x:v>TG04</x:v>
      </x:c>
      <x:c r="B56" s="20" t="d">
        <x:v>2026-10-23T17:00:00.000Z</x:v>
      </x:c>
      <x:c r="C56" s="2" t="str">
        <x:v>ナイト</x:v>
      </x:c>
      <x:c r="D56" s="2" t="str">
        <x:v>上昇</x:v>
      </x:c>
      <x:c r="E56" s="19" t="n">
        <x:v>21312</x:v>
      </x:c>
      <x:c r="F56" s="19" t="n">
        <x:v>53457</x:v>
      </x:c>
      <x:c r="G56" s="19" t="n">
        <x:f>E56-F56</x:f>
        <x:v>-32145</x:v>
      </x:c>
      <x:c r="H56" s="19" t="n">
        <x:f>SUMIFS($G$7:$G$56,$B$7:$B$56,"&lt;="&amp;B56)</x:f>
        <x:v>3739964</x:v>
      </x:c>
      <x:c r="I56" s="19" t="n">
        <x:v>1145</x:v>
      </x:c>
      <x:c r="J56" s="19" t="n">
        <x:v>-31000</x:v>
      </x:c>
      <x:c r="K56" s="2" t="n">
        <x:v>10</x:v>
      </x:c>
      <x:c r="L56" s="2" t="n">
        <x:v>15</x:v>
      </x:c>
      <x:c r="M56" s="2" t="n">
        <x:v>5</x:v>
      </x:c>
      <x:c r="N56" s="21" t="n">
        <x:v>103.51666666666667</x:v>
      </x:c>
      <x:c r="O56" s="21" t="n">
        <x:v>482.21666666666664</x:v>
      </x:c>
      <x:c r="P56" s="21" t="n">
        <x:v>311.96666666666664</x:v>
      </x:c>
      <x:c r="Q56" s="21" t="n">
        <x:v>600</x:v>
      </x:c>
      <x:c r="R56" s="22" t="n">
        <x:f>P56/Q56</x:f>
        <x:v>0.5199444444444444</x:v>
      </x:c>
      <x:c r="S56" s="23" t="n">
        <x:v>0.9624166666666667</x:v>
      </x:c>
      <x:c r="T56" s="2" t="str">
        <x:v>既知開発50場</x:v>
      </x:c>
    </x:row>
  </x:sheetData>
  <x:conditionalFormatting sqref="E7:J56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50fb26855a4189"/>
  </x:tableParts>
</x:worksheet>
</file>

<file path=xl/worksheets/sheet6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3" hidden="0" customWidth="1"/>
    <x:col min="4" max="4" width="13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3" hidden="0" customWidth="1"/>
    <x:col min="16" max="16" width="23" hidden="0" customWidth="1"/>
    <x:col min="17" max="17" width="23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日経mini PP04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6" t="str">
        <x:v>片方向上限10枚。円・手数料後。保有率はデイ420分／ナイト17～03時の600分。損益は全セッションを含みます。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6" t="str">
        <x:v>昼：B5と帯回復E01の残玉化／夜：Z04と帯反発A34の残玉化。二担当の比較候補。5＋5枚。基本の入口・退出に新しい逆流判定を足さない。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6" t="str">
        <x:v>始終値方向は事後評価専用。平均枚数は同じ評価時間の合計保有枚数を平均し、両建ても合算します。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8" customHeight="1">
      <x:c r="A6" s="15" t="str">
        <x:v>手法ID</x:v>
      </x:c>
      <x:c r="B6" s="16" t="str">
        <x:v>開始日時</x:v>
      </x:c>
      <x:c r="C6" s="16" t="str">
        <x:v>昼夜</x:v>
      </x:c>
      <x:c r="D6" s="16" t="str">
        <x:v>始終値方向</x:v>
      </x:c>
      <x:c r="E6" s="16" t="str">
        <x:v>利益（円）</x:v>
      </x:c>
      <x:c r="F6" s="16" t="str">
        <x:v>損失（円）</x:v>
      </x:c>
      <x:c r="G6" s="16" t="str">
        <x:v>収支（円）</x:v>
      </x:c>
      <x:c r="H6" s="16" t="str">
        <x:v>累計（円）</x:v>
      </x:c>
      <x:c r="I6" s="16" t="str">
        <x:v>内数手数料（円）</x:v>
      </x:c>
      <x:c r="J6" s="16" t="str">
        <x:v>費用前収支（円）</x:v>
      </x:c>
      <x:c r="K6" s="16" t="str">
        <x:v>新規回数</x:v>
      </x:c>
      <x:c r="L6" s="16" t="str">
        <x:v>新規枚数</x:v>
      </x:c>
      <x:c r="M6" s="16" t="str">
        <x:v>最大片方向保有</x:v>
      </x:c>
      <x:c r="N6" s="16" t="str">
        <x:v>初回まで（分）</x:v>
      </x:c>
      <x:c r="O6" s="16" t="str">
        <x:v>全場保有（分）</x:v>
      </x:c>
      <x:c r="P6" s="16" t="str">
        <x:v>03時以降除外保有（分）</x:v>
      </x:c>
      <x:c r="Q6" s="16" t="str">
        <x:v>評価時間（分）</x:v>
      </x:c>
      <x:c r="R6" s="16" t="str">
        <x:v>保有率</x:v>
      </x:c>
      <x:c r="S6" s="16" t="str">
        <x:v>平均保有枚数</x:v>
      </x:c>
      <x:c r="T6" s="17" t="str">
        <x:v>対象区分</x:v>
      </x:c>
    </x:row>
    <x:row r="7" ht="22" customHeight="1">
      <x:c r="A7" s="2" t="str">
        <x:v>PP04</x:v>
      </x:c>
      <x:c r="B7" s="20" t="d">
        <x:v>2026-09-21T08:45:00.000Z</x:v>
      </x:c>
      <x:c r="C7" s="2" t="str">
        <x:v>デイ</x:v>
      </x:c>
      <x:c r="D7" s="2" t="str">
        <x:v>上昇</x:v>
      </x:c>
      <x:c r="E7" s="19" t="n">
        <x:v>104463</x:v>
      </x:c>
      <x:c r="F7" s="19" t="n">
        <x:v>0</x:v>
      </x:c>
      <x:c r="G7" s="19" t="n">
        <x:f>E7-F7</x:f>
        <x:v>104463</x:v>
      </x:c>
      <x:c r="H7" s="19" t="n">
        <x:f>SUMIFS($G$7:$G$56,$B$7:$B$56,"&lt;="&amp;B7)</x:f>
        <x:v>104463</x:v>
      </x:c>
      <x:c r="I7" s="19" t="n">
        <x:v>537</x:v>
      </x:c>
      <x:c r="J7" s="19" t="n">
        <x:v>105000</x:v>
      </x:c>
      <x:c r="K7" s="2" t="n">
        <x:v>2</x:v>
      </x:c>
      <x:c r="L7" s="2" t="n">
        <x:v>7</x:v>
      </x:c>
      <x:c r="M7" s="2" t="n">
        <x:v>5</x:v>
      </x:c>
      <x:c r="N7" s="21" t="n">
        <x:v>38.733333333333334</x:v>
      </x:c>
      <x:c r="O7" s="21" t="n">
        <x:v>237.88333333333333</x:v>
      </x:c>
      <x:c r="P7" s="21" t="n">
        <x:v>237.88333333333333</x:v>
      </x:c>
      <x:c r="Q7" s="21" t="n">
        <x:v>420</x:v>
      </x:c>
      <x:c r="R7" s="22" t="n">
        <x:f>P7/Q7</x:f>
        <x:v>0.5663888888888888</x:v>
      </x:c>
      <x:c r="S7" s="23" t="n">
        <x:v>1.6879761904761905</x:v>
      </x:c>
      <x:c r="T7" s="2" t="str">
        <x:v>既知開発50場</x:v>
      </x:c>
    </x:row>
    <x:row r="8" ht="22" customHeight="1">
      <x:c r="A8" s="2" t="str">
        <x:v>PP04</x:v>
      </x:c>
      <x:c r="B8" s="20" t="d">
        <x:v>2026-09-21T17:00:00.000Z</x:v>
      </x:c>
      <x:c r="C8" s="2" t="str">
        <x:v>ナイト</x:v>
      </x:c>
      <x:c r="D8" s="2" t="str">
        <x:v>上昇</x:v>
      </x:c>
      <x:c r="E8" s="19" t="n">
        <x:v>0</x:v>
      </x:c>
      <x:c r="F8" s="19" t="n">
        <x:v>45384</x:v>
      </x:c>
      <x:c r="G8" s="19" t="n">
        <x:f>E8-F8</x:f>
        <x:v>-45384</x:v>
      </x:c>
      <x:c r="H8" s="19" t="n">
        <x:f>SUMIFS($G$7:$G$56,$B$7:$B$56,"&lt;="&amp;B8)</x:f>
        <x:v>59079</x:v>
      </x:c>
      <x:c r="I8" s="19" t="n">
        <x:v>384</x:v>
      </x:c>
      <x:c r="J8" s="19" t="n">
        <x:v>-45000</x:v>
      </x:c>
      <x:c r="K8" s="2" t="n">
        <x:v>1</x:v>
      </x:c>
      <x:c r="L8" s="2" t="n">
        <x:v>5</x:v>
      </x:c>
      <x:c r="M8" s="2" t="n">
        <x:v>5</x:v>
      </x:c>
      <x:c r="N8" s="21" t="n">
        <x:v>360.01666666666665</x:v>
      </x:c>
      <x:c r="O8" s="21" t="n">
        <x:v>5.666666666666667</x:v>
      </x:c>
      <x:c r="P8" s="21" t="n">
        <x:v>5.666666666666667</x:v>
      </x:c>
      <x:c r="Q8" s="21" t="n">
        <x:v>600</x:v>
      </x:c>
      <x:c r="R8" s="22" t="n">
        <x:f>P8/Q8</x:f>
        <x:v>0.009444444444444445</x:v>
      </x:c>
      <x:c r="S8" s="23" t="n">
        <x:v>0.04722222222222222</x:v>
      </x:c>
      <x:c r="T8" s="2" t="str">
        <x:v>既知開発50場</x:v>
      </x:c>
    </x:row>
    <x:row r="9" ht="22" customHeight="1">
      <x:c r="A9" s="2" t="str">
        <x:v>PP04</x:v>
      </x:c>
      <x:c r="B9" s="20" t="d">
        <x:v>2026-09-22T08:45:00.000Z</x:v>
      </x:c>
      <x:c r="C9" s="2" t="str">
        <x:v>デイ</x:v>
      </x:c>
      <x:c r="D9" s="2" t="str">
        <x:v>下落</x:v>
      </x:c>
      <x:c r="E9" s="19" t="n">
        <x:v>0</x:v>
      </x:c>
      <x:c r="F9" s="19" t="n">
        <x:v>106152</x:v>
      </x:c>
      <x:c r="G9" s="19" t="n">
        <x:f>E9-F9</x:f>
        <x:v>-106152</x:v>
      </x:c>
      <x:c r="H9" s="19" t="n">
        <x:f>SUMIFS($G$7:$G$56,$B$7:$B$56,"&lt;="&amp;B9)</x:f>
        <x:v>-47073</x:v>
      </x:c>
      <x:c r="I9" s="19" t="n">
        <x:v>1152</x:v>
      </x:c>
      <x:c r="J9" s="19" t="n">
        <x:v>-105000</x:v>
      </x:c>
      <x:c r="K9" s="2" t="n">
        <x:v>3</x:v>
      </x:c>
      <x:c r="L9" s="2" t="n">
        <x:v>15</x:v>
      </x:c>
      <x:c r="M9" s="2" t="n">
        <x:v>5</x:v>
      </x:c>
      <x:c r="N9" s="21" t="n">
        <x:v>242.78333333333333</x:v>
      </x:c>
      <x:c r="O9" s="21" t="n">
        <x:v>28.166666666666668</x:v>
      </x:c>
      <x:c r="P9" s="21" t="n">
        <x:v>28.166666666666668</x:v>
      </x:c>
      <x:c r="Q9" s="21" t="n">
        <x:v>420</x:v>
      </x:c>
      <x:c r="R9" s="22" t="n">
        <x:f>P9/Q9</x:f>
        <x:v>0.06706349206349206</x:v>
      </x:c>
      <x:c r="S9" s="23" t="n">
        <x:v>0.3353174603174603</x:v>
      </x:c>
      <x:c r="T9" s="2" t="str">
        <x:v>既知開発50場</x:v>
      </x:c>
    </x:row>
    <x:row r="10" ht="22" customHeight="1">
      <x:c r="A10" s="2" t="str">
        <x:v>PP04</x:v>
      </x:c>
      <x:c r="B10" s="20" t="d">
        <x:v>2026-09-22T17:00:00.000Z</x:v>
      </x:c>
      <x:c r="C10" s="2" t="str">
        <x:v>ナイト</x:v>
      </x:c>
      <x:c r="D10" s="2" t="str">
        <x:v>上昇</x:v>
      </x:c>
      <x:c r="E10" s="19" t="n">
        <x:v>15616</x:v>
      </x:c>
      <x:c r="F10" s="19" t="n">
        <x:v>0</x:v>
      </x:c>
      <x:c r="G10" s="19" t="n">
        <x:f>E10-F10</x:f>
        <x:v>15616</x:v>
      </x:c>
      <x:c r="H10" s="19" t="n">
        <x:f>SUMIFS($G$7:$G$56,$B$7:$B$56,"&lt;="&amp;B10)</x:f>
        <x:v>-31457</x:v>
      </x:c>
      <x:c r="I10" s="19" t="n">
        <x:v>384</x:v>
      </x:c>
      <x:c r="J10" s="19" t="n">
        <x:v>16000</x:v>
      </x:c>
      <x:c r="K10" s="2" t="n">
        <x:v>1</x:v>
      </x:c>
      <x:c r="L10" s="2" t="n">
        <x:v>5</x:v>
      </x:c>
      <x:c r="M10" s="2" t="n">
        <x:v>5</x:v>
      </x:c>
      <x:c r="N10" s="21" t="n">
        <x:v>360.1</x:v>
      </x:c>
      <x:c r="O10" s="21" t="n">
        <x:v>41.63333333333333</x:v>
      </x:c>
      <x:c r="P10" s="21" t="n">
        <x:v>41.63333333333333</x:v>
      </x:c>
      <x:c r="Q10" s="21" t="n">
        <x:v>600</x:v>
      </x:c>
      <x:c r="R10" s="22" t="n">
        <x:f>P10/Q10</x:f>
        <x:v>0.06938888888888889</x:v>
      </x:c>
      <x:c r="S10" s="23" t="n">
        <x:v>0.15994444444444444</x:v>
      </x:c>
      <x:c r="T10" s="2" t="str">
        <x:v>既知開発50場</x:v>
      </x:c>
    </x:row>
    <x:row r="11" ht="22" customHeight="1">
      <x:c r="A11" s="2" t="str">
        <x:v>PP04</x:v>
      </x:c>
      <x:c r="B11" s="20" t="d">
        <x:v>2026-09-23T08:45:00.000Z</x:v>
      </x:c>
      <x:c r="C11" s="2" t="str">
        <x:v>デイ</x:v>
      </x:c>
      <x:c r="D11" s="2" t="str">
        <x:v>下落</x:v>
      </x:c>
      <x:c r="E11" s="19" t="n">
        <x:v>0</x:v>
      </x:c>
      <x:c r="F11" s="19" t="n">
        <x:v>4384</x:v>
      </x:c>
      <x:c r="G11" s="19" t="n">
        <x:f>E11-F11</x:f>
        <x:v>-4384</x:v>
      </x:c>
      <x:c r="H11" s="19" t="n">
        <x:f>SUMIFS($G$7:$G$56,$B$7:$B$56,"&lt;="&amp;B11)</x:f>
        <x:v>-35841</x:v>
      </x:c>
      <x:c r="I11" s="19" t="n">
        <x:v>384</x:v>
      </x:c>
      <x:c r="J11" s="19" t="n">
        <x:v>-4000</x:v>
      </x:c>
      <x:c r="K11" s="2" t="n">
        <x:v>1</x:v>
      </x:c>
      <x:c r="L11" s="2" t="n">
        <x:v>5</x:v>
      </x:c>
      <x:c r="M11" s="2" t="n">
        <x:v>5</x:v>
      </x:c>
      <x:c r="N11" s="21" t="n">
        <x:v>68.15</x:v>
      </x:c>
      <x:c r="O11" s="21" t="n">
        <x:v>313.75</x:v>
      </x:c>
      <x:c r="P11" s="21" t="n">
        <x:v>313.75</x:v>
      </x:c>
      <x:c r="Q11" s="21" t="n">
        <x:v>420</x:v>
      </x:c>
      <x:c r="R11" s="22" t="n">
        <x:f>P11/Q11</x:f>
        <x:v>0.7470238095238095</x:v>
      </x:c>
      <x:c r="S11" s="23" t="n">
        <x:v>2.6480555555555556</x:v>
      </x:c>
      <x:c r="T11" s="2" t="str">
        <x:v>既知開発50場</x:v>
      </x:c>
    </x:row>
    <x:row r="12" ht="22" customHeight="1">
      <x:c r="A12" s="2" t="str">
        <x:v>PP04</x:v>
      </x:c>
      <x:c r="B12" s="20" t="d">
        <x:v>2026-09-23T17:00:00.000Z</x:v>
      </x:c>
      <x:c r="C12" s="2" t="str">
        <x:v>ナイト</x:v>
      </x:c>
      <x:c r="D12" s="2" t="str">
        <x:v>下落</x:v>
      </x:c>
      <x:c r="E12" s="19" t="n">
        <x:v>2694</x:v>
      </x:c>
      <x:c r="F12" s="19" t="n">
        <x:v>40384</x:v>
      </x:c>
      <x:c r="G12" s="19" t="n">
        <x:f>E12-F12</x:f>
        <x:v>-37690</x:v>
      </x:c>
      <x:c r="H12" s="19" t="n">
        <x:f>SUMIFS($G$7:$G$56,$B$7:$B$56,"&lt;="&amp;B12)</x:f>
        <x:v>-73531</x:v>
      </x:c>
      <x:c r="I12" s="19" t="n">
        <x:v>690</x:v>
      </x:c>
      <x:c r="J12" s="19" t="n">
        <x:v>-37000</x:v>
      </x:c>
      <x:c r="K12" s="2" t="n">
        <x:v>4</x:v>
      </x:c>
      <x:c r="L12" s="2" t="n">
        <x:v>9</x:v>
      </x:c>
      <x:c r="M12" s="2" t="n">
        <x:v>5</x:v>
      </x:c>
      <x:c r="N12" s="21" t="n">
        <x:v>358.03333333333336</x:v>
      </x:c>
      <x:c r="O12" s="21" t="n">
        <x:v>5.3</x:v>
      </x:c>
      <x:c r="P12" s="21" t="n">
        <x:v>5.3</x:v>
      </x:c>
      <x:c r="Q12" s="21" t="n">
        <x:v>600</x:v>
      </x:c>
      <x:c r="R12" s="22" t="n">
        <x:f>P12/Q12</x:f>
        <x:v>0.008833333333333334</x:v>
      </x:c>
      <x:c r="S12" s="23" t="n">
        <x:v>0.034305555555555554</x:v>
      </x:c>
      <x:c r="T12" s="2" t="str">
        <x:v>既知開発50場</x:v>
      </x:c>
    </x:row>
    <x:row r="13" ht="22" customHeight="1">
      <x:c r="A13" s="2" t="str">
        <x:v>PP04</x:v>
      </x:c>
      <x:c r="B13" s="20" t="d">
        <x:v>2026-09-24T08:45:00.000Z</x:v>
      </x:c>
      <x:c r="C13" s="2" t="str">
        <x:v>デイ</x:v>
      </x:c>
      <x:c r="D13" s="2" t="str">
        <x:v>下落</x:v>
      </x:c>
      <x:c r="E13" s="19" t="n">
        <x:v>63617</x:v>
      </x:c>
      <x:c r="F13" s="19" t="n">
        <x:v>86149</x:v>
      </x:c>
      <x:c r="G13" s="19" t="n">
        <x:f>E13-F13</x:f>
        <x:v>-22532</x:v>
      </x:c>
      <x:c r="H13" s="19" t="n">
        <x:f>SUMIFS($G$7:$G$56,$B$7:$B$56,"&lt;="&amp;B13)</x:f>
        <x:v>-96063</x:v>
      </x:c>
      <x:c r="I13" s="19" t="n">
        <x:v>1532</x:v>
      </x:c>
      <x:c r="J13" s="19" t="n">
        <x:v>-21000</x:v>
      </x:c>
      <x:c r="K13" s="2" t="n">
        <x:v>7</x:v>
      </x:c>
      <x:c r="L13" s="2" t="n">
        <x:v>20</x:v>
      </x:c>
      <x:c r="M13" s="2" t="n">
        <x:v>5</x:v>
      </x:c>
      <x:c r="N13" s="21" t="n">
        <x:v>28.283333333333335</x:v>
      </x:c>
      <x:c r="O13" s="21" t="n">
        <x:v>313.73333333333335</x:v>
      </x:c>
      <x:c r="P13" s="21" t="n">
        <x:v>313.73333333333335</x:v>
      </x:c>
      <x:c r="Q13" s="21" t="n">
        <x:v>420</x:v>
      </x:c>
      <x:c r="R13" s="22" t="n">
        <x:f>P13/Q13</x:f>
        <x:v>0.746984126984127</x:v>
      </x:c>
      <x:c r="S13" s="23" t="n">
        <x:v>2.1044444444444443</x:v>
      </x:c>
      <x:c r="T13" s="2" t="str">
        <x:v>既知開発50場</x:v>
      </x:c>
    </x:row>
    <x:row r="14" ht="22" customHeight="1">
      <x:c r="A14" s="2" t="str">
        <x:v>PP04</x:v>
      </x:c>
      <x:c r="B14" s="20" t="d">
        <x:v>2026-09-24T17:00:00.000Z</x:v>
      </x:c>
      <x:c r="C14" s="2" t="str">
        <x:v>ナイト</x:v>
      </x:c>
      <x:c r="D14" s="2" t="str">
        <x:v>下落</x:v>
      </x:c>
      <x:c r="E14" s="19" t="n">
        <x:v>53235</x:v>
      </x:c>
      <x:c r="F14" s="19" t="n">
        <x:v>40384</x:v>
      </x:c>
      <x:c r="G14" s="19" t="n">
        <x:f>E14-F14</x:f>
        <x:v>12851</x:v>
      </x:c>
      <x:c r="H14" s="19" t="n">
        <x:f>SUMIFS($G$7:$G$56,$B$7:$B$56,"&lt;="&amp;B14)</x:f>
        <x:v>-83212</x:v>
      </x:c>
      <x:c r="I14" s="19" t="n">
        <x:v>1149</x:v>
      </x:c>
      <x:c r="J14" s="19" t="n">
        <x:v>14000</x:v>
      </x:c>
      <x:c r="K14" s="2" t="n">
        <x:v>6</x:v>
      </x:c>
      <x:c r="L14" s="2" t="n">
        <x:v>15</x:v>
      </x:c>
      <x:c r="M14" s="2" t="n">
        <x:v>5</x:v>
      </x:c>
      <x:c r="N14" s="21" t="n">
        <x:v>360.3333333333333</x:v>
      </x:c>
      <x:c r="O14" s="21" t="n">
        <x:v>144.71666666666667</x:v>
      </x:c>
      <x:c r="P14" s="21" t="n">
        <x:v>105.73333333333333</x:v>
      </x:c>
      <x:c r="Q14" s="21" t="n">
        <x:v>600</x:v>
      </x:c>
      <x:c r="R14" s="22" t="n">
        <x:f>P14/Q14</x:f>
        <x:v>0.17622222222222222</x:v>
      </x:c>
      <x:c r="S14" s="23" t="n">
        <x:v>0.2778611111111111</x:v>
      </x:c>
      <x:c r="T14" s="2" t="str">
        <x:v>既知開発50場</x:v>
      </x:c>
    </x:row>
    <x:row r="15" ht="22" customHeight="1">
      <x:c r="A15" s="2" t="str">
        <x:v>PP04</x:v>
      </x:c>
      <x:c r="B15" s="20" t="d">
        <x:v>2026-09-25T08:45:00.000Z</x:v>
      </x:c>
      <x:c r="C15" s="2" t="str">
        <x:v>デイ</x:v>
      </x:c>
      <x:c r="D15" s="2" t="str">
        <x:v>上昇</x:v>
      </x:c>
      <x:c r="E15" s="19" t="n">
        <x:v>145616</x:v>
      </x:c>
      <x:c r="F15" s="19" t="n">
        <x:v>0</x:v>
      </x:c>
      <x:c r="G15" s="19" t="n">
        <x:f>E15-F15</x:f>
        <x:v>145616</x:v>
      </x:c>
      <x:c r="H15" s="19" t="n">
        <x:f>SUMIFS($G$7:$G$56,$B$7:$B$56,"&lt;="&amp;B15)</x:f>
        <x:v>62404</x:v>
      </x:c>
      <x:c r="I15" s="19" t="n">
        <x:v>384</x:v>
      </x:c>
      <x:c r="J15" s="19" t="n">
        <x:v>146000</x:v>
      </x:c>
      <x:c r="K15" s="2" t="n">
        <x:v>1</x:v>
      </x:c>
      <x:c r="L15" s="2" t="n">
        <x:v>5</x:v>
      </x:c>
      <x:c r="M15" s="2" t="n">
        <x:v>5</x:v>
      </x:c>
      <x:c r="N15" s="21" t="n">
        <x:v>86.55</x:v>
      </x:c>
      <x:c r="O15" s="21" t="n">
        <x:v>323.45</x:v>
      </x:c>
      <x:c r="P15" s="21" t="n">
        <x:v>323.45</x:v>
      </x:c>
      <x:c r="Q15" s="21" t="n">
        <x:v>420</x:v>
      </x:c>
      <x:c r="R15" s="22" t="n">
        <x:f>P15/Q15</x:f>
        <x:v>0.7701190476190476</x:v>
      </x:c>
      <x:c r="S15" s="23" t="n">
        <x:v>2.364404761904762</x:v>
      </x:c>
      <x:c r="T15" s="2" t="str">
        <x:v>既知開発50場</x:v>
      </x:c>
    </x:row>
    <x:row r="16" ht="22" customHeight="1">
      <x:c r="A16" s="2" t="str">
        <x:v>PP04</x:v>
      </x:c>
      <x:c r="B16" s="20" t="d">
        <x:v>2026-09-25T17:00:00.000Z</x:v>
      </x:c>
      <x:c r="C16" s="2" t="str">
        <x:v>ナイト</x:v>
      </x:c>
      <x:c r="D16" s="2" t="str">
        <x:v>上昇</x:v>
      </x:c>
      <x:c r="E16" s="19" t="n">
        <x:v>11616</x:v>
      </x:c>
      <x:c r="F16" s="19" t="n">
        <x:v>32154</x:v>
      </x:c>
      <x:c r="G16" s="19" t="n">
        <x:f>E16-F16</x:f>
        <x:v>-20538</x:v>
      </x:c>
      <x:c r="H16" s="19" t="n">
        <x:f>SUMIFS($G$7:$G$56,$B$7:$B$56,"&lt;="&amp;B16)</x:f>
        <x:v>41866</x:v>
      </x:c>
      <x:c r="I16" s="19" t="n">
        <x:v>538</x:v>
      </x:c>
      <x:c r="J16" s="19" t="n">
        <x:v>-20000</x:v>
      </x:c>
      <x:c r="K16" s="2" t="n">
        <x:v>2</x:v>
      </x:c>
      <x:c r="L16" s="2" t="n">
        <x:v>7</x:v>
      </x:c>
      <x:c r="M16" s="2" t="n">
        <x:v>5</x:v>
      </x:c>
      <x:c r="N16" s="21" t="n">
        <x:v>347.8333333333333</x:v>
      </x:c>
      <x:c r="O16" s="21" t="n">
        <x:v>102.33333333333333</x:v>
      </x:c>
      <x:c r="P16" s="21" t="n">
        <x:v>102.33333333333333</x:v>
      </x:c>
      <x:c r="Q16" s="21" t="n">
        <x:v>600</x:v>
      </x:c>
      <x:c r="R16" s="22" t="n">
        <x:f>P16/Q16</x:f>
        <x:v>0.17055555555555554</x:v>
      </x:c>
      <x:c r="S16" s="23" t="n">
        <x:v>0.22261111111111112</x:v>
      </x:c>
      <x:c r="T16" s="2" t="str">
        <x:v>既知開発50場</x:v>
      </x:c>
    </x:row>
    <x:row r="17" ht="22" customHeight="1">
      <x:c r="A17" s="2" t="str">
        <x:v>PP04</x:v>
      </x:c>
      <x:c r="B17" s="20" t="d">
        <x:v>2026-09-28T08:45:00.000Z</x:v>
      </x:c>
      <x:c r="C17" s="2" t="str">
        <x:v>デイ</x:v>
      </x:c>
      <x:c r="D17" s="2" t="str">
        <x:v>下落</x:v>
      </x:c>
      <x:c r="E17" s="19" t="n">
        <x:v>261616</x:v>
      </x:c>
      <x:c r="F17" s="19" t="n">
        <x:v>97843</x:v>
      </x:c>
      <x:c r="G17" s="19" t="n">
        <x:f>E17-F17</x:f>
        <x:v>163773</x:v>
      </x:c>
      <x:c r="H17" s="19" t="n">
        <x:f>SUMIFS($G$7:$G$56,$B$7:$B$56,"&lt;="&amp;B17)</x:f>
        <x:v>205639</x:v>
      </x:c>
      <x:c r="I17" s="19" t="n">
        <x:v>1227</x:v>
      </x:c>
      <x:c r="J17" s="19" t="n">
        <x:v>165000</x:v>
      </x:c>
      <x:c r="K17" s="2" t="n">
        <x:v>6</x:v>
      </x:c>
      <x:c r="L17" s="2" t="n">
        <x:v>16</x:v>
      </x:c>
      <x:c r="M17" s="2" t="n">
        <x:v>8</x:v>
      </x:c>
      <x:c r="N17" s="21" t="n">
        <x:v>66.3</x:v>
      </x:c>
      <x:c r="O17" s="21" t="n">
        <x:v>331.28333333333336</x:v>
      </x:c>
      <x:c r="P17" s="21" t="n">
        <x:v>331.28333333333336</x:v>
      </x:c>
      <x:c r="Q17" s="21" t="n">
        <x:v>420</x:v>
      </x:c>
      <x:c r="R17" s="22" t="n">
        <x:f>P17/Q17</x:f>
        <x:v>0.7887698412698413</x:v>
      </x:c>
      <x:c r="S17" s="23" t="n">
        <x:v>3.026190476190476</x:v>
      </x:c>
      <x:c r="T17" s="2" t="str">
        <x:v>既知開発50場</x:v>
      </x:c>
    </x:row>
    <x:row r="18" ht="22" customHeight="1">
      <x:c r="A18" s="2" t="str">
        <x:v>PP04</x:v>
      </x:c>
      <x:c r="B18" s="20" t="d">
        <x:v>2026-09-28T17:00:00.000Z</x:v>
      </x:c>
      <x:c r="C18" s="2" t="str">
        <x:v>ナイト</x:v>
      </x:c>
      <x:c r="D18" s="2" t="str">
        <x:v>下落</x:v>
      </x:c>
      <x:c r="E18" s="19" t="n">
        <x:v>124463</x:v>
      </x:c>
      <x:c r="F18" s="19" t="n">
        <x:v>84384</x:v>
      </x:c>
      <x:c r="G18" s="19" t="n">
        <x:f>E18-F18</x:f>
        <x:v>40079</x:v>
      </x:c>
      <x:c r="H18" s="19" t="n">
        <x:f>SUMIFS($G$7:$G$56,$B$7:$B$56,"&lt;="&amp;B18)</x:f>
        <x:v>245718</x:v>
      </x:c>
      <x:c r="I18" s="19" t="n">
        <x:v>921</x:v>
      </x:c>
      <x:c r="J18" s="19" t="n">
        <x:v>41000</x:v>
      </x:c>
      <x:c r="K18" s="2" t="n">
        <x:v>5</x:v>
      </x:c>
      <x:c r="L18" s="2" t="n">
        <x:v>12</x:v>
      </x:c>
      <x:c r="M18" s="2" t="n">
        <x:v>5</x:v>
      </x:c>
      <x:c r="N18" s="21" t="n">
        <x:v>135.46666666666667</x:v>
      </x:c>
      <x:c r="O18" s="21" t="n">
        <x:v>295.05</x:v>
      </x:c>
      <x:c r="P18" s="21" t="n">
        <x:v>295.05</x:v>
      </x:c>
      <x:c r="Q18" s="21" t="n">
        <x:v>600</x:v>
      </x:c>
      <x:c r="R18" s="22" t="n">
        <x:f>P18/Q18</x:f>
        <x:v>0.49175</x:v>
      </x:c>
      <x:c r="S18" s="23" t="n">
        <x:v>0.7246944444444444</x:v>
      </x:c>
      <x:c r="T18" s="2" t="str">
        <x:v>既知開発50場</x:v>
      </x:c>
    </x:row>
    <x:row r="19" ht="22" customHeight="1">
      <x:c r="A19" s="2" t="str">
        <x:v>PP04</x:v>
      </x:c>
      <x:c r="B19" s="20" t="d">
        <x:v>2026-09-29T08:45:00.000Z</x:v>
      </x:c>
      <x:c r="C19" s="2" t="str">
        <x:v>デイ</x:v>
      </x:c>
      <x:c r="D19" s="2" t="str">
        <x:v>下落</x:v>
      </x:c>
      <x:c r="E19" s="19" t="n">
        <x:v>128616</x:v>
      </x:c>
      <x:c r="F19" s="19" t="n">
        <x:v>229</x:v>
      </x:c>
      <x:c r="G19" s="19" t="n">
        <x:f>E19-F19</x:f>
        <x:v>128387</x:v>
      </x:c>
      <x:c r="H19" s="19" t="n">
        <x:f>SUMIFS($G$7:$G$56,$B$7:$B$56,"&lt;="&amp;B19)</x:f>
        <x:v>374105</x:v>
      </x:c>
      <x:c r="I19" s="19" t="n">
        <x:v>613</x:v>
      </x:c>
      <x:c r="J19" s="19" t="n">
        <x:v>129000</x:v>
      </x:c>
      <x:c r="K19" s="2" t="n">
        <x:v>3</x:v>
      </x:c>
      <x:c r="L19" s="2" t="n">
        <x:v>8</x:v>
      </x:c>
      <x:c r="M19" s="2" t="n">
        <x:v>5</x:v>
      </x:c>
      <x:c r="N19" s="21" t="n">
        <x:v>66.68333333333334</x:v>
      </x:c>
      <x:c r="O19" s="21" t="n">
        <x:v>337.9166666666667</x:v>
      </x:c>
      <x:c r="P19" s="21" t="n">
        <x:v>337.9166666666667</x:v>
      </x:c>
      <x:c r="Q19" s="21" t="n">
        <x:v>420</x:v>
      </x:c>
      <x:c r="R19" s="22" t="n">
        <x:f>P19/Q19</x:f>
        <x:v>0.8045634920634921</x:v>
      </x:c>
      <x:c r="S19" s="23" t="n">
        <x:v>2.8929761904761904</x:v>
      </x:c>
      <x:c r="T19" s="2" t="str">
        <x:v>既知開発50場</x:v>
      </x:c>
    </x:row>
    <x:row r="20" ht="22" customHeight="1">
      <x:c r="A20" s="2" t="str">
        <x:v>PP04</x:v>
      </x:c>
      <x:c r="B20" s="20" t="d">
        <x:v>2026-09-29T17:00:00.000Z</x:v>
      </x:c>
      <x:c r="C20" s="2" t="str">
        <x:v>ナイト</x:v>
      </x:c>
      <x:c r="D20" s="2" t="str">
        <x:v>上昇</x:v>
      </x:c>
      <x:c r="E20" s="19" t="n">
        <x:v>158003</x:v>
      </x:c>
      <x:c r="F20" s="19" t="n">
        <x:v>44308</x:v>
      </x:c>
      <x:c r="G20" s="19" t="n">
        <x:f>E20-F20</x:f>
        <x:v>113695</x:v>
      </x:c>
      <x:c r="H20" s="19" t="n">
        <x:f>SUMIFS($G$7:$G$56,$B$7:$B$56,"&lt;="&amp;B20)</x:f>
        <x:v>487800</x:v>
      </x:c>
      <x:c r="I20" s="19" t="n">
        <x:v>1305</x:v>
      </x:c>
      <x:c r="J20" s="19" t="n">
        <x:v>115000</x:v>
      </x:c>
      <x:c r="K20" s="2" t="n">
        <x:v>6</x:v>
      </x:c>
      <x:c r="L20" s="2" t="n">
        <x:v>17</x:v>
      </x:c>
      <x:c r="M20" s="2" t="n">
        <x:v>5</x:v>
      </x:c>
      <x:c r="N20" s="21" t="n">
        <x:v>359.71666666666664</x:v>
      </x:c>
      <x:c r="O20" s="21" t="n">
        <x:v>272.35</x:v>
      </x:c>
      <x:c r="P20" s="21" t="n">
        <x:v>231.6</x:v>
      </x:c>
      <x:c r="Q20" s="21" t="n">
        <x:v>600</x:v>
      </x:c>
      <x:c r="R20" s="22" t="n">
        <x:f>P20/Q20</x:f>
        <x:v>0.386</x:v>
      </x:c>
      <x:c r="S20" s="23" t="n">
        <x:v>1.1396111111111111</x:v>
      </x:c>
      <x:c r="T20" s="2" t="str">
        <x:v>既知開発50場</x:v>
      </x:c>
    </x:row>
    <x:row r="21" ht="22" customHeight="1">
      <x:c r="A21" s="2" t="str">
        <x:v>PP04</x:v>
      </x:c>
      <x:c r="B21" s="20" t="d">
        <x:v>2026-09-30T08:45:00.000Z</x:v>
      </x:c>
      <x:c r="C21" s="2" t="str">
        <x:v>デイ</x:v>
      </x:c>
      <x:c r="D21" s="2" t="str">
        <x:v>上昇</x:v>
      </x:c>
      <x:c r="E21" s="19" t="n">
        <x:v>174616</x:v>
      </x:c>
      <x:c r="F21" s="19" t="n">
        <x:v>90843</x:v>
      </x:c>
      <x:c r="G21" s="19" t="n">
        <x:f>E21-F21</x:f>
        <x:v>83773</x:v>
      </x:c>
      <x:c r="H21" s="19" t="n">
        <x:f>SUMIFS($G$7:$G$56,$B$7:$B$56,"&lt;="&amp;B21)</x:f>
        <x:v>571573</x:v>
      </x:c>
      <x:c r="I21" s="19" t="n">
        <x:v>1227</x:v>
      </x:c>
      <x:c r="J21" s="19" t="n">
        <x:v>85000</x:v>
      </x:c>
      <x:c r="K21" s="2" t="n">
        <x:v>6</x:v>
      </x:c>
      <x:c r="L21" s="2" t="n">
        <x:v>16</x:v>
      </x:c>
      <x:c r="M21" s="2" t="n">
        <x:v>5</x:v>
      </x:c>
      <x:c r="N21" s="21" t="n">
        <x:v>119.66666666666667</x:v>
      </x:c>
      <x:c r="O21" s="21" t="n">
        <x:v>244.06666666666666</x:v>
      </x:c>
      <x:c r="P21" s="21" t="n">
        <x:v>244.06666666666666</x:v>
      </x:c>
      <x:c r="Q21" s="21" t="n">
        <x:v>420</x:v>
      </x:c>
      <x:c r="R21" s="22" t="n">
        <x:f>P21/Q21</x:f>
        <x:v>0.5811111111111111</x:v>
      </x:c>
      <x:c r="S21" s="23" t="n">
        <x:v>1.5128174603174602</x:v>
      </x:c>
      <x:c r="T21" s="2" t="str">
        <x:v>既知開発50場</x:v>
      </x:c>
    </x:row>
    <x:row r="22" ht="22" customHeight="1">
      <x:c r="A22" s="2" t="str">
        <x:v>PP04</x:v>
      </x:c>
      <x:c r="B22" s="20" t="d">
        <x:v>2026-09-30T17:00:00.000Z</x:v>
      </x:c>
      <x:c r="C22" s="2" t="str">
        <x:v>ナイト</x:v>
      </x:c>
      <x:c r="D22" s="2" t="str">
        <x:v>下落</x:v>
      </x:c>
      <x:c r="E22" s="19" t="n">
        <x:v>25235</x:v>
      </x:c>
      <x:c r="F22" s="19" t="n">
        <x:v>0</x:v>
      </x:c>
      <x:c r="G22" s="19" t="n">
        <x:f>E22-F22</x:f>
        <x:v>25235</x:v>
      </x:c>
      <x:c r="H22" s="19" t="n">
        <x:f>SUMIFS($G$7:$G$56,$B$7:$B$56,"&lt;="&amp;B22)</x:f>
        <x:v>596808</x:v>
      </x:c>
      <x:c r="I22" s="19" t="n">
        <x:v>765</x:v>
      </x:c>
      <x:c r="J22" s="19" t="n">
        <x:v>26000</x:v>
      </x:c>
      <x:c r="K22" s="2" t="n">
        <x:v>5</x:v>
      </x:c>
      <x:c r="L22" s="2" t="n">
        <x:v>10</x:v>
      </x:c>
      <x:c r="M22" s="2" t="n">
        <x:v>10</x:v>
      </x:c>
      <x:c r="N22" s="21" t="n">
        <x:v>349.46666666666664</x:v>
      </x:c>
      <x:c r="O22" s="21" t="n">
        <x:v>96.58333333333333</x:v>
      </x:c>
      <x:c r="P22" s="21" t="n">
        <x:v>96.58333333333333</x:v>
      </x:c>
      <x:c r="Q22" s="21" t="n">
        <x:v>600</x:v>
      </x:c>
      <x:c r="R22" s="22" t="n">
        <x:f>P22/Q22</x:f>
        <x:v>0.1609722222222222</x:v>
      </x:c>
      <x:c r="S22" s="23" t="n">
        <x:v>0.5165</x:v>
      </x:c>
      <x:c r="T22" s="2" t="str">
        <x:v>既知開発50場</x:v>
      </x:c>
    </x:row>
    <x:row r="23" ht="22" customHeight="1">
      <x:c r="A23" s="2" t="str">
        <x:v>PP04</x:v>
      </x:c>
      <x:c r="B23" s="20" t="d">
        <x:v>2026-10-01T08:45:00.000Z</x:v>
      </x:c>
      <x:c r="C23" s="2" t="str">
        <x:v>デイ</x:v>
      </x:c>
      <x:c r="D23" s="2" t="str">
        <x:v>上昇</x:v>
      </x:c>
      <x:c r="E23" s="19" t="n">
        <x:v>239617</x:v>
      </x:c>
      <x:c r="F23" s="19" t="n">
        <x:v>84538</x:v>
      </x:c>
      <x:c r="G23" s="19" t="n">
        <x:f>E23-F23</x:f>
        <x:v>155079</x:v>
      </x:c>
      <x:c r="H23" s="19" t="n">
        <x:f>SUMIFS($G$7:$G$56,$B$7:$B$56,"&lt;="&amp;B23)</x:f>
        <x:v>751887</x:v>
      </x:c>
      <x:c r="I23" s="19" t="n">
        <x:v>921</x:v>
      </x:c>
      <x:c r="J23" s="19" t="n">
        <x:v>156000</x:v>
      </x:c>
      <x:c r="K23" s="2" t="n">
        <x:v>3</x:v>
      </x:c>
      <x:c r="L23" s="2" t="n">
        <x:v>12</x:v>
      </x:c>
      <x:c r="M23" s="2" t="n">
        <x:v>5</x:v>
      </x:c>
      <x:c r="N23" s="21" t="n">
        <x:v>88.93333333333334</x:v>
      </x:c>
      <x:c r="O23" s="21" t="n">
        <x:v>312.15</x:v>
      </x:c>
      <x:c r="P23" s="21" t="n">
        <x:v>312.15</x:v>
      </x:c>
      <x:c r="Q23" s="21" t="n">
        <x:v>420</x:v>
      </x:c>
      <x:c r="R23" s="22" t="n">
        <x:f>P23/Q23</x:f>
        <x:v>0.7432142857142856</x:v>
      </x:c>
      <x:c r="S23" s="23" t="n">
        <x:v>1.4843253968253969</x:v>
      </x:c>
      <x:c r="T23" s="2" t="str">
        <x:v>既知開発50場</x:v>
      </x:c>
    </x:row>
    <x:row r="24" ht="22" customHeight="1">
      <x:c r="A24" s="2" t="str">
        <x:v>PP04</x:v>
      </x:c>
      <x:c r="B24" s="20" t="d">
        <x:v>2026-10-01T17:00:00.000Z</x:v>
      </x:c>
      <x:c r="C24" s="2" t="str">
        <x:v>ナイト</x:v>
      </x:c>
      <x:c r="D24" s="2" t="str">
        <x:v>上昇</x:v>
      </x:c>
      <x:c r="E24" s="19" t="n">
        <x:v>153007</x:v>
      </x:c>
      <x:c r="F24" s="19" t="n">
        <x:v>103538</x:v>
      </x:c>
      <x:c r="G24" s="19" t="n">
        <x:f>E24-F24</x:f>
        <x:v>49469</x:v>
      </x:c>
      <x:c r="H24" s="19" t="n">
        <x:f>SUMIFS($G$7:$G$56,$B$7:$B$56,"&lt;="&amp;B24)</x:f>
        <x:v>801356</x:v>
      </x:c>
      <x:c r="I24" s="19" t="n">
        <x:v>1531</x:v>
      </x:c>
      <x:c r="J24" s="19" t="n">
        <x:v>51000</x:v>
      </x:c>
      <x:c r="K24" s="2" t="n">
        <x:v>12</x:v>
      </x:c>
      <x:c r="L24" s="2" t="n">
        <x:v>20</x:v>
      </x:c>
      <x:c r="M24" s="2" t="n">
        <x:v>5</x:v>
      </x:c>
      <x:c r="N24" s="21" t="n">
        <x:v>109.66666666666667</x:v>
      </x:c>
      <x:c r="O24" s="21" t="n">
        <x:v>456.76666666666665</x:v>
      </x:c>
      <x:c r="P24" s="21" t="n">
        <x:v>286.28333333333336</x:v>
      </x:c>
      <x:c r="Q24" s="21" t="n">
        <x:v>600</x:v>
      </x:c>
      <x:c r="R24" s="22" t="n">
        <x:f>P24/Q24</x:f>
        <x:v>0.47713888888888895</x:v>
      </x:c>
      <x:c r="S24" s="23" t="n">
        <x:v>0.88025</x:v>
      </x:c>
      <x:c r="T24" s="2" t="str">
        <x:v>既知開発50場</x:v>
      </x:c>
    </x:row>
    <x:row r="25" ht="22" customHeight="1">
      <x:c r="A25" s="2" t="str">
        <x:v>PP04</x:v>
      </x:c>
      <x:c r="B25" s="20" t="d">
        <x:v>2026-10-02T08:45:00.000Z</x:v>
      </x:c>
      <x:c r="C25" s="2" t="str">
        <x:v>デイ</x:v>
      </x:c>
      <x:c r="D25" s="2" t="str">
        <x:v>上昇</x:v>
      </x:c>
      <x:c r="E25" s="19" t="n">
        <x:v>67543</x:v>
      </x:c>
      <x:c r="F25" s="19" t="n">
        <x:v>65384</x:v>
      </x:c>
      <x:c r="G25" s="19" t="n">
        <x:f>E25-F25</x:f>
        <x:v>2159</x:v>
      </x:c>
      <x:c r="H25" s="19" t="n">
        <x:f>SUMIFS($G$7:$G$56,$B$7:$B$56,"&lt;="&amp;B25)</x:f>
        <x:v>803515</x:v>
      </x:c>
      <x:c r="I25" s="19" t="n">
        <x:v>841</x:v>
      </x:c>
      <x:c r="J25" s="19" t="n">
        <x:v>3000</x:v>
      </x:c>
      <x:c r="K25" s="2" t="n">
        <x:v>6</x:v>
      </x:c>
      <x:c r="L25" s="2" t="n">
        <x:v>11</x:v>
      </x:c>
      <x:c r="M25" s="2" t="n">
        <x:v>5</x:v>
      </x:c>
      <x:c r="N25" s="21" t="n">
        <x:v>25.783333333333335</x:v>
      </x:c>
      <x:c r="O25" s="21" t="n">
        <x:v>384.25</x:v>
      </x:c>
      <x:c r="P25" s="21" t="n">
        <x:v>384.25</x:v>
      </x:c>
      <x:c r="Q25" s="21" t="n">
        <x:v>420</x:v>
      </x:c>
      <x:c r="R25" s="22" t="n">
        <x:f>P25/Q25</x:f>
        <x:v>0.9148809523809524</x:v>
      </x:c>
      <x:c r="S25" s="23" t="n">
        <x:v>1.4180555555555556</x:v>
      </x:c>
      <x:c r="T25" s="2" t="str">
        <x:v>既知開発50場</x:v>
      </x:c>
    </x:row>
    <x:row r="26" ht="22" customHeight="1">
      <x:c r="A26" s="2" t="str">
        <x:v>PP04</x:v>
      </x:c>
      <x:c r="B26" s="20" t="d">
        <x:v>2026-10-02T17:00:00.000Z</x:v>
      </x:c>
      <x:c r="C26" s="2" t="str">
        <x:v>ナイト</x:v>
      </x:c>
      <x:c r="D26" s="2" t="str">
        <x:v>上昇</x:v>
      </x:c>
      <x:c r="E26" s="19" t="n">
        <x:v>273548</x:v>
      </x:c>
      <x:c r="F26" s="19" t="n">
        <x:v>55384</x:v>
      </x:c>
      <x:c r="G26" s="19" t="n">
        <x:f>E26-F26</x:f>
        <x:v>218164</x:v>
      </x:c>
      <x:c r="H26" s="19" t="n">
        <x:f>SUMIFS($G$7:$G$56,$B$7:$B$56,"&lt;="&amp;B26)</x:f>
        <x:v>1021679</x:v>
      </x:c>
      <x:c r="I26" s="19" t="n">
        <x:v>1836</x:v>
      </x:c>
      <x:c r="J26" s="19" t="n">
        <x:v>220000</x:v>
      </x:c>
      <x:c r="K26" s="2" t="n">
        <x:v>13</x:v>
      </x:c>
      <x:c r="L26" s="2" t="n">
        <x:v>24</x:v>
      </x:c>
      <x:c r="M26" s="2" t="n">
        <x:v>6</x:v>
      </x:c>
      <x:c r="N26" s="21" t="n">
        <x:v>71.05</x:v>
      </x:c>
      <x:c r="O26" s="21" t="n">
        <x:v>587.8</x:v>
      </x:c>
      <x:c r="P26" s="21" t="n">
        <x:v>492.46666666666664</x:v>
      </x:c>
      <x:c r="Q26" s="21" t="n">
        <x:v>600</x:v>
      </x:c>
      <x:c r="R26" s="22" t="n">
        <x:f>P26/Q26</x:f>
        <x:v>0.8207777777777777</x:v>
      </x:c>
      <x:c r="S26" s="23" t="n">
        <x:v>1.37625</x:v>
      </x:c>
      <x:c r="T26" s="2" t="str">
        <x:v>既知開発50場</x:v>
      </x:c>
    </x:row>
    <x:row r="27" ht="22" customHeight="1">
      <x:c r="A27" s="2" t="str">
        <x:v>PP04</x:v>
      </x:c>
      <x:c r="B27" s="20" t="d">
        <x:v>2026-10-05T08:45:00.000Z</x:v>
      </x:c>
      <x:c r="C27" s="2" t="str">
        <x:v>デイ</x:v>
      </x:c>
      <x:c r="D27" s="2" t="str">
        <x:v>上昇</x:v>
      </x:c>
      <x:c r="E27" s="19" t="n">
        <x:v>9311</x:v>
      </x:c>
      <x:c r="F27" s="19" t="n">
        <x:v>145071</x:v>
      </x:c>
      <x:c r="G27" s="19" t="n">
        <x:f>E27-F27</x:f>
        <x:v>-135760</x:v>
      </x:c>
      <x:c r="H27" s="19" t="n">
        <x:f>SUMIFS($G$7:$G$56,$B$7:$B$56,"&lt;="&amp;B27)</x:f>
        <x:v>885919</x:v>
      </x:c>
      <x:c r="I27" s="19" t="n">
        <x:v>2760</x:v>
      </x:c>
      <x:c r="J27" s="19" t="n">
        <x:v>-133000</x:v>
      </x:c>
      <x:c r="K27" s="2" t="n">
        <x:v>13</x:v>
      </x:c>
      <x:c r="L27" s="2" t="n">
        <x:v>36</x:v>
      </x:c>
      <x:c r="M27" s="2" t="n">
        <x:v>5</x:v>
      </x:c>
      <x:c r="N27" s="21" t="n">
        <x:v>26.133333333333333</x:v>
      </x:c>
      <x:c r="O27" s="21" t="n">
        <x:v>171.01666666666668</x:v>
      </x:c>
      <x:c r="P27" s="21" t="n">
        <x:v>171.01666666666668</x:v>
      </x:c>
      <x:c r="Q27" s="21" t="n">
        <x:v>420</x:v>
      </x:c>
      <x:c r="R27" s="22" t="n">
        <x:f>P27/Q27</x:f>
        <x:v>0.4071825396825397</x:v>
      </x:c>
      <x:c r="S27" s="23" t="n">
        <x:v>1.7778571428571428</x:v>
      </x:c>
      <x:c r="T27" s="2" t="str">
        <x:v>既知開発50場</x:v>
      </x:c>
    </x:row>
    <x:row r="28" ht="22" customHeight="1">
      <x:c r="A28" s="2" t="str">
        <x:v>PP04</x:v>
      </x:c>
      <x:c r="B28" s="20" t="d">
        <x:v>2026-10-05T17:00:00.000Z</x:v>
      </x:c>
      <x:c r="C28" s="2" t="str">
        <x:v>ナイト</x:v>
      </x:c>
      <x:c r="D28" s="2" t="str">
        <x:v>下落</x:v>
      </x:c>
      <x:c r="E28" s="19" t="n">
        <x:v>84235</x:v>
      </x:c>
      <x:c r="F28" s="19" t="n">
        <x:v>20384</x:v>
      </x:c>
      <x:c r="G28" s="19" t="n">
        <x:f>E28-F28</x:f>
        <x:v>63851</x:v>
      </x:c>
      <x:c r="H28" s="19" t="n">
        <x:f>SUMIFS($G$7:$G$56,$B$7:$B$56,"&lt;="&amp;B28)</x:f>
        <x:v>949770</x:v>
      </x:c>
      <x:c r="I28" s="19" t="n">
        <x:v>1149</x:v>
      </x:c>
      <x:c r="J28" s="19" t="n">
        <x:v>65000</x:v>
      </x:c>
      <x:c r="K28" s="2" t="n">
        <x:v>6</x:v>
      </x:c>
      <x:c r="L28" s="2" t="n">
        <x:v>15</x:v>
      </x:c>
      <x:c r="M28" s="2" t="n">
        <x:v>5</x:v>
      </x:c>
      <x:c r="N28" s="21" t="n">
        <x:v>356.01666666666665</x:v>
      </x:c>
      <x:c r="O28" s="21" t="n">
        <x:v>98.65</x:v>
      </x:c>
      <x:c r="P28" s="21" t="n">
        <x:v>70.75</x:v>
      </x:c>
      <x:c r="Q28" s="21" t="n">
        <x:v>600</x:v>
      </x:c>
      <x:c r="R28" s="22" t="n">
        <x:f>P28/Q28</x:f>
        <x:v>0.11791666666666667</x:v>
      </x:c>
      <x:c r="S28" s="23" t="n">
        <x:v>0.2782777777777778</x:v>
      </x:c>
      <x:c r="T28" s="2" t="str">
        <x:v>既知開発50場</x:v>
      </x:c>
    </x:row>
    <x:row r="29" ht="22" customHeight="1">
      <x:c r="A29" s="2" t="str">
        <x:v>PP04</x:v>
      </x:c>
      <x:c r="B29" s="20" t="d">
        <x:v>2026-10-06T08:45:00.000Z</x:v>
      </x:c>
      <x:c r="C29" s="2" t="str">
        <x:v>デイ</x:v>
      </x:c>
      <x:c r="D29" s="2" t="str">
        <x:v>上昇</x:v>
      </x:c>
      <x:c r="E29" s="19" t="n">
        <x:v>304159</x:v>
      </x:c>
      <x:c r="F29" s="19" t="n">
        <x:v>74767</x:v>
      </x:c>
      <x:c r="G29" s="19" t="n">
        <x:f>E29-F29</x:f>
        <x:v>229392</x:v>
      </x:c>
      <x:c r="H29" s="19" t="n">
        <x:f>SUMIFS($G$7:$G$56,$B$7:$B$56,"&lt;="&amp;B29)</x:f>
        <x:v>1179162</x:v>
      </x:c>
      <x:c r="I29" s="19" t="n">
        <x:v>1608</x:v>
      </x:c>
      <x:c r="J29" s="19" t="n">
        <x:v>231000</x:v>
      </x:c>
      <x:c r="K29" s="2" t="n">
        <x:v>10</x:v>
      </x:c>
      <x:c r="L29" s="2" t="n">
        <x:v>21</x:v>
      </x:c>
      <x:c r="M29" s="2" t="n">
        <x:v>7</x:v>
      </x:c>
      <x:c r="N29" s="21" t="n">
        <x:v>48.916666666666664</x:v>
      </x:c>
      <x:c r="O29" s="21" t="n">
        <x:v>325.23333333333335</x:v>
      </x:c>
      <x:c r="P29" s="21" t="n">
        <x:v>325.23333333333335</x:v>
      </x:c>
      <x:c r="Q29" s="21" t="n">
        <x:v>420</x:v>
      </x:c>
      <x:c r="R29" s="22" t="n">
        <x:f>P29/Q29</x:f>
        <x:v>0.7743650793650794</x:v>
      </x:c>
      <x:c r="S29" s="23" t="n">
        <x:v>3.1611507936507937</x:v>
      </x:c>
      <x:c r="T29" s="2" t="str">
        <x:v>既知開発50場</x:v>
      </x:c>
    </x:row>
    <x:row r="30" ht="22" customHeight="1">
      <x:c r="A30" s="2" t="str">
        <x:v>PP04</x:v>
      </x:c>
      <x:c r="B30" s="20" t="d">
        <x:v>2026-10-06T17:00:00.000Z</x:v>
      </x:c>
      <x:c r="C30" s="2" t="str">
        <x:v>ナイト</x:v>
      </x:c>
      <x:c r="D30" s="2" t="str">
        <x:v>下落</x:v>
      </x:c>
      <x:c r="E30" s="19" t="n">
        <x:v>50235</x:v>
      </x:c>
      <x:c r="F30" s="19" t="n">
        <x:v>51538</x:v>
      </x:c>
      <x:c r="G30" s="19" t="n">
        <x:f>E30-F30</x:f>
        <x:v>-1303</x:v>
      </x:c>
      <x:c r="H30" s="19" t="n">
        <x:f>SUMIFS($G$7:$G$56,$B$7:$B$56,"&lt;="&amp;B30)</x:f>
        <x:v>1177859</x:v>
      </x:c>
      <x:c r="I30" s="19" t="n">
        <x:v>1303</x:v>
      </x:c>
      <x:c r="J30" s="19" t="n">
        <x:v>0</x:v>
      </x:c>
      <x:c r="K30" s="2" t="n">
        <x:v>7</x:v>
      </x:c>
      <x:c r="L30" s="2" t="n">
        <x:v>17</x:v>
      </x:c>
      <x:c r="M30" s="2" t="n">
        <x:v>8</x:v>
      </x:c>
      <x:c r="N30" s="21" t="n">
        <x:v>349.78333333333336</x:v>
      </x:c>
      <x:c r="O30" s="21" t="n">
        <x:v>354.23333333333335</x:v>
      </x:c>
      <x:c r="P30" s="21" t="n">
        <x:v>184.21666666666667</x:v>
      </x:c>
      <x:c r="Q30" s="21" t="n">
        <x:v>600</x:v>
      </x:c>
      <x:c r="R30" s="22" t="n">
        <x:f>P30/Q30</x:f>
        <x:v>0.3070277777777778</x:v>
      </x:c>
      <x:c r="S30" s="23" t="n">
        <x:v>0.8001111111111111</x:v>
      </x:c>
      <x:c r="T30" s="2" t="str">
        <x:v>既知開発50場</x:v>
      </x:c>
    </x:row>
    <x:row r="31" ht="22" customHeight="1">
      <x:c r="A31" s="2" t="str">
        <x:v>PP04</x:v>
      </x:c>
      <x:c r="B31" s="20" t="d">
        <x:v>2026-10-07T08:45:00.000Z</x:v>
      </x:c>
      <x:c r="C31" s="2" t="str">
        <x:v>デイ</x:v>
      </x:c>
      <x:c r="D31" s="2" t="str">
        <x:v>下落</x:v>
      </x:c>
      <x:c r="E31" s="19" t="n">
        <x:v>55232</x:v>
      </x:c>
      <x:c r="F31" s="19" t="n">
        <x:v>22154</x:v>
      </x:c>
      <x:c r="G31" s="19" t="n">
        <x:f>E31-F31</x:f>
        <x:v>33078</x:v>
      </x:c>
      <x:c r="H31" s="19" t="n">
        <x:f>SUMIFS($G$7:$G$56,$B$7:$B$56,"&lt;="&amp;B31)</x:f>
        <x:v>1210937</x:v>
      </x:c>
      <x:c r="I31" s="19" t="n">
        <x:v>922</x:v>
      </x:c>
      <x:c r="J31" s="19" t="n">
        <x:v>34000</x:v>
      </x:c>
      <x:c r="K31" s="2" t="n">
        <x:v>3</x:v>
      </x:c>
      <x:c r="L31" s="2" t="n">
        <x:v>12</x:v>
      </x:c>
      <x:c r="M31" s="2" t="n">
        <x:v>5</x:v>
      </x:c>
      <x:c r="N31" s="21" t="n">
        <x:v>60.56666666666667</x:v>
      </x:c>
      <x:c r="O31" s="21" t="n">
        <x:v>140.06666666666666</x:v>
      </x:c>
      <x:c r="P31" s="21" t="n">
        <x:v>140.06666666666666</x:v>
      </x:c>
      <x:c r="Q31" s="21" t="n">
        <x:v>420</x:v>
      </x:c>
      <x:c r="R31" s="22" t="n">
        <x:f>P31/Q31</x:f>
        <x:v>0.3334920634920635</x:v>
      </x:c>
      <x:c r="S31" s="23" t="n">
        <x:v>0.6283333333333333</x:v>
      </x:c>
      <x:c r="T31" s="2" t="str">
        <x:v>既知開発50場</x:v>
      </x:c>
    </x:row>
    <x:row r="32" ht="22" customHeight="1">
      <x:c r="A32" s="2" t="str">
        <x:v>PP04</x:v>
      </x:c>
      <x:c r="B32" s="20" t="d">
        <x:v>2026-10-07T17:00:00.000Z</x:v>
      </x:c>
      <x:c r="C32" s="2" t="str">
        <x:v>ナイト</x:v>
      </x:c>
      <x:c r="D32" s="2" t="str">
        <x:v>下落</x:v>
      </x:c>
      <x:c r="E32" s="19" t="n">
        <x:v>12616</x:v>
      </x:c>
      <x:c r="F32" s="19" t="n">
        <x:v>59844</x:v>
      </x:c>
      <x:c r="G32" s="19" t="n">
        <x:f>E32-F32</x:f>
        <x:v>-47228</x:v>
      </x:c>
      <x:c r="H32" s="19" t="n">
        <x:f>SUMIFS($G$7:$G$56,$B$7:$B$56,"&lt;="&amp;B32)</x:f>
        <x:v>1163709</x:v>
      </x:c>
      <x:c r="I32" s="19" t="n">
        <x:v>1228</x:v>
      </x:c>
      <x:c r="J32" s="19" t="n">
        <x:v>-46000</x:v>
      </x:c>
      <x:c r="K32" s="2" t="n">
        <x:v>6</x:v>
      </x:c>
      <x:c r="L32" s="2" t="n">
        <x:v>16</x:v>
      </x:c>
      <x:c r="M32" s="2" t="n">
        <x:v>5</x:v>
      </x:c>
      <x:c r="N32" s="21" t="n">
        <x:v>235.05</x:v>
      </x:c>
      <x:c r="O32" s="21" t="n">
        <x:v>359.5833333333333</x:v>
      </x:c>
      <x:c r="P32" s="21" t="n">
        <x:v>189.48333333333332</x:v>
      </x:c>
      <x:c r="Q32" s="21" t="n">
        <x:v>600</x:v>
      </x:c>
      <x:c r="R32" s="22" t="n">
        <x:f>P32/Q32</x:f>
        <x:v>0.3158055555555555</x:v>
      </x:c>
      <x:c r="S32" s="23" t="n">
        <x:v>0.51125</x:v>
      </x:c>
      <x:c r="T32" s="2" t="str">
        <x:v>既知開発50場</x:v>
      </x:c>
    </x:row>
    <x:row r="33" ht="22" customHeight="1">
      <x:c r="A33" s="2" t="str">
        <x:v>PP04</x:v>
      </x:c>
      <x:c r="B33" s="20" t="d">
        <x:v>2026-10-08T08:45:00.000Z</x:v>
      </x:c>
      <x:c r="C33" s="2" t="str">
        <x:v>デイ</x:v>
      </x:c>
      <x:c r="D33" s="2" t="str">
        <x:v>下落</x:v>
      </x:c>
      <x:c r="E33" s="19" t="n">
        <x:v>101387</x:v>
      </x:c>
      <x:c r="F33" s="19" t="n">
        <x:v>193995</x:v>
      </x:c>
      <x:c r="G33" s="19" t="n">
        <x:f>E33-F33</x:f>
        <x:v>-92608</x:v>
      </x:c>
      <x:c r="H33" s="19" t="n">
        <x:f>SUMIFS($G$7:$G$56,$B$7:$B$56,"&lt;="&amp;B33)</x:f>
        <x:v>1071101</x:v>
      </x:c>
      <x:c r="I33" s="19" t="n">
        <x:v>2608</x:v>
      </x:c>
      <x:c r="J33" s="19" t="n">
        <x:v>-90000</x:v>
      </x:c>
      <x:c r="K33" s="2" t="n">
        <x:v>11</x:v>
      </x:c>
      <x:c r="L33" s="2" t="n">
        <x:v>34</x:v>
      </x:c>
      <x:c r="M33" s="2" t="n">
        <x:v>5</x:v>
      </x:c>
      <x:c r="N33" s="21" t="n">
        <x:v>33.6</x:v>
      </x:c>
      <x:c r="O33" s="21" t="n">
        <x:v>144.35</x:v>
      </x:c>
      <x:c r="P33" s="21" t="n">
        <x:v>144.35</x:v>
      </x:c>
      <x:c r="Q33" s="21" t="n">
        <x:v>420</x:v>
      </x:c>
      <x:c r="R33" s="22" t="n">
        <x:f>P33/Q33</x:f>
        <x:v>0.34369047619047616</x:v>
      </x:c>
      <x:c r="S33" s="23" t="n">
        <x:v>1.4284920634920635</x:v>
      </x:c>
      <x:c r="T33" s="2" t="str">
        <x:v>既知開発50場</x:v>
      </x:c>
    </x:row>
    <x:row r="34" ht="22" customHeight="1">
      <x:c r="A34" s="2" t="str">
        <x:v>PP04</x:v>
      </x:c>
      <x:c r="B34" s="20" t="d">
        <x:v>2026-10-08T17:00:00.000Z</x:v>
      </x:c>
      <x:c r="C34" s="2" t="str">
        <x:v>ナイト</x:v>
      </x:c>
      <x:c r="D34" s="2" t="str">
        <x:v>下落</x:v>
      </x:c>
      <x:c r="E34" s="19" t="n">
        <x:v>142470</x:v>
      </x:c>
      <x:c r="F34" s="19" t="n">
        <x:v>0</x:v>
      </x:c>
      <x:c r="G34" s="19" t="n">
        <x:f>E34-F34</x:f>
        <x:v>142470</x:v>
      </x:c>
      <x:c r="H34" s="19" t="n">
        <x:f>SUMIFS($G$7:$G$56,$B$7:$B$56,"&lt;="&amp;B34)</x:f>
        <x:v>1213571</x:v>
      </x:c>
      <x:c r="I34" s="19" t="n">
        <x:v>1530</x:v>
      </x:c>
      <x:c r="J34" s="19" t="n">
        <x:v>144000</x:v>
      </x:c>
      <x:c r="K34" s="2" t="n">
        <x:v>10</x:v>
      </x:c>
      <x:c r="L34" s="2" t="n">
        <x:v>20</x:v>
      </x:c>
      <x:c r="M34" s="2" t="n">
        <x:v>7</x:v>
      </x:c>
      <x:c r="N34" s="21" t="n">
        <x:v>103.98333333333333</x:v>
      </x:c>
      <x:c r="O34" s="21" t="n">
        <x:v>335.6666666666667</x:v>
      </x:c>
      <x:c r="P34" s="21" t="n">
        <x:v>335.6666666666667</x:v>
      </x:c>
      <x:c r="Q34" s="21" t="n">
        <x:v>600</x:v>
      </x:c>
      <x:c r="R34" s="22" t="n">
        <x:f>P34/Q34</x:f>
        <x:v>0.5594444444444445</x:v>
      </x:c>
      <x:c r="S34" s="23" t="n">
        <x:v>1.0455</x:v>
      </x:c>
      <x:c r="T34" s="2" t="str">
        <x:v>既知開発50場</x:v>
      </x:c>
    </x:row>
    <x:row r="35" ht="22" customHeight="1">
      <x:c r="A35" s="2" t="str">
        <x:v>PP04</x:v>
      </x:c>
      <x:c r="B35" s="20" t="d">
        <x:v>2026-10-09T08:45:00.000Z</x:v>
      </x:c>
      <x:c r="C35" s="2" t="str">
        <x:v>デイ</x:v>
      </x:c>
      <x:c r="D35" s="2" t="str">
        <x:v>上昇</x:v>
      </x:c>
      <x:c r="E35" s="19" t="n">
        <x:v>103616</x:v>
      </x:c>
      <x:c r="F35" s="19" t="n">
        <x:v>25383</x:v>
      </x:c>
      <x:c r="G35" s="19" t="n">
        <x:f>E35-F35</x:f>
        <x:v>78233</x:v>
      </x:c>
      <x:c r="H35" s="19" t="n">
        <x:f>SUMIFS($G$7:$G$56,$B$7:$B$56,"&lt;="&amp;B35)</x:f>
        <x:v>1291804</x:v>
      </x:c>
      <x:c r="I35" s="19" t="n">
        <x:v>767</x:v>
      </x:c>
      <x:c r="J35" s="19" t="n">
        <x:v>79000</x:v>
      </x:c>
      <x:c r="K35" s="2" t="n">
        <x:v>4</x:v>
      </x:c>
      <x:c r="L35" s="2" t="n">
        <x:v>10</x:v>
      </x:c>
      <x:c r="M35" s="2" t="n">
        <x:v>5</x:v>
      </x:c>
      <x:c r="N35" s="21" t="n">
        <x:v>25.95</x:v>
      </x:c>
      <x:c r="O35" s="21" t="n">
        <x:v>204.78333333333333</x:v>
      </x:c>
      <x:c r="P35" s="21" t="n">
        <x:v>204.78333333333333</x:v>
      </x:c>
      <x:c r="Q35" s="21" t="n">
        <x:v>420</x:v>
      </x:c>
      <x:c r="R35" s="22" t="n">
        <x:f>P35/Q35</x:f>
        <x:v>0.48757936507936506</x:v>
      </x:c>
      <x:c r="S35" s="23" t="n">
        <x:v>0.6878968253968254</x:v>
      </x:c>
      <x:c r="T35" s="2" t="str">
        <x:v>既知開発50場</x:v>
      </x:c>
    </x:row>
    <x:row r="36" ht="22" customHeight="1">
      <x:c r="A36" s="2" t="str">
        <x:v>PP04</x:v>
      </x:c>
      <x:c r="B36" s="20" t="d">
        <x:v>2026-10-09T17:00:00.000Z</x:v>
      </x:c>
      <x:c r="C36" s="2" t="str">
        <x:v>ナイト</x:v>
      </x:c>
      <x:c r="D36" s="2" t="str">
        <x:v>下落</x:v>
      </x:c>
      <x:c r="E36" s="19" t="n">
        <x:v>13616</x:v>
      </x:c>
      <x:c r="F36" s="19" t="n">
        <x:v>0</x:v>
      </x:c>
      <x:c r="G36" s="19" t="n">
        <x:f>E36-F36</x:f>
        <x:v>13616</x:v>
      </x:c>
      <x:c r="H36" s="19" t="n">
        <x:f>SUMIFS($G$7:$G$56,$B$7:$B$56,"&lt;="&amp;B36)</x:f>
        <x:v>1305420</x:v>
      </x:c>
      <x:c r="I36" s="19" t="n">
        <x:v>384</x:v>
      </x:c>
      <x:c r="J36" s="19" t="n">
        <x:v>14000</x:v>
      </x:c>
      <x:c r="K36" s="2" t="n">
        <x:v>1</x:v>
      </x:c>
      <x:c r="L36" s="2" t="n">
        <x:v>5</x:v>
      </x:c>
      <x:c r="M36" s="2" t="n">
        <x:v>5</x:v>
      </x:c>
      <x:c r="N36" s="21" t="n">
        <x:v>360.06666666666666</x:v>
      </x:c>
      <x:c r="O36" s="21" t="n">
        <x:v>412.53333333333336</x:v>
      </x:c>
      <x:c r="P36" s="21" t="n">
        <x:v>239.93333333333334</x:v>
      </x:c>
      <x:c r="Q36" s="21" t="n">
        <x:v>600</x:v>
      </x:c>
      <x:c r="R36" s="22" t="n">
        <x:f>P36/Q36</x:f>
        <x:v>0.3998888888888889</x:v>
      </x:c>
      <x:c r="S36" s="23" t="n">
        <x:v>0.47933333333333333</x:v>
      </x:c>
      <x:c r="T36" s="2" t="str">
        <x:v>既知開発50場</x:v>
      </x:c>
    </x:row>
    <x:row r="37" ht="22" customHeight="1">
      <x:c r="A37" s="2" t="str">
        <x:v>PP04</x:v>
      </x:c>
      <x:c r="B37" s="20" t="d">
        <x:v>2026-10-12T08:45:00.000Z</x:v>
      </x:c>
      <x:c r="C37" s="2" t="str">
        <x:v>デイ</x:v>
      </x:c>
      <x:c r="D37" s="2" t="str">
        <x:v>下落</x:v>
      </x:c>
      <x:c r="E37" s="19" t="n">
        <x:v>32616</x:v>
      </x:c>
      <x:c r="F37" s="19" t="n">
        <x:v>53538</x:v>
      </x:c>
      <x:c r="G37" s="19" t="n">
        <x:f>E37-F37</x:f>
        <x:v>-20922</x:v>
      </x:c>
      <x:c r="H37" s="19" t="n">
        <x:f>SUMIFS($G$7:$G$56,$B$7:$B$56,"&lt;="&amp;B37)</x:f>
        <x:v>1284498</x:v>
      </x:c>
      <x:c r="I37" s="19" t="n">
        <x:v>922</x:v>
      </x:c>
      <x:c r="J37" s="19" t="n">
        <x:v>-20000</x:v>
      </x:c>
      <x:c r="K37" s="2" t="n">
        <x:v>3</x:v>
      </x:c>
      <x:c r="L37" s="2" t="n">
        <x:v>12</x:v>
      </x:c>
      <x:c r="M37" s="2" t="n">
        <x:v>5</x:v>
      </x:c>
      <x:c r="N37" s="21" t="n">
        <x:v>76.48333333333333</x:v>
      </x:c>
      <x:c r="O37" s="21" t="n">
        <x:v>287.26666666666665</x:v>
      </x:c>
      <x:c r="P37" s="21" t="n">
        <x:v>287.26666666666665</x:v>
      </x:c>
      <x:c r="Q37" s="21" t="n">
        <x:v>420</x:v>
      </x:c>
      <x:c r="R37" s="22" t="n">
        <x:f>P37/Q37</x:f>
        <x:v>0.6839682539682539</x:v>
      </x:c>
      <x:c r="S37" s="23" t="n">
        <x:v>2.387777777777778</x:v>
      </x:c>
      <x:c r="T37" s="2" t="str">
        <x:v>既知開発50場</x:v>
      </x:c>
    </x:row>
    <x:row r="38" ht="22" customHeight="1">
      <x:c r="A38" s="2" t="str">
        <x:v>PP04</x:v>
      </x:c>
      <x:c r="B38" s="20" t="d">
        <x:v>2026-10-12T17:00:00.000Z</x:v>
      </x:c>
      <x:c r="C38" s="2" t="str">
        <x:v>ナイト</x:v>
      </x:c>
      <x:c r="D38" s="2" t="str">
        <x:v>下落</x:v>
      </x:c>
      <x:c r="E38" s="19" t="n">
        <x:v>106616</x:v>
      </x:c>
      <x:c r="F38" s="19" t="n">
        <x:v>0</x:v>
      </x:c>
      <x:c r="G38" s="19" t="n">
        <x:f>E38-F38</x:f>
        <x:v>106616</x:v>
      </x:c>
      <x:c r="H38" s="19" t="n">
        <x:f>SUMIFS($G$7:$G$56,$B$7:$B$56,"&lt;="&amp;B38)</x:f>
        <x:v>1391114</x:v>
      </x:c>
      <x:c r="I38" s="19" t="n">
        <x:v>384</x:v>
      </x:c>
      <x:c r="J38" s="19" t="n">
        <x:v>107000</x:v>
      </x:c>
      <x:c r="K38" s="2" t="n">
        <x:v>1</x:v>
      </x:c>
      <x:c r="L38" s="2" t="n">
        <x:v>5</x:v>
      </x:c>
      <x:c r="M38" s="2" t="n">
        <x:v>5</x:v>
      </x:c>
      <x:c r="N38" s="21" t="n">
        <x:v>360.21666666666664</x:v>
      </x:c>
      <x:c r="O38" s="21" t="n">
        <x:v>409.98333333333335</x:v>
      </x:c>
      <x:c r="P38" s="21" t="n">
        <x:v>239.78333333333333</x:v>
      </x:c>
      <x:c r="Q38" s="21" t="n">
        <x:v>600</x:v>
      </x:c>
      <x:c r="R38" s="22" t="n">
        <x:f>P38/Q38</x:f>
        <x:v>0.3996388888888889</x:v>
      </x:c>
      <x:c r="S38" s="23" t="n">
        <x:v>0.4706388888888889</x:v>
      </x:c>
      <x:c r="T38" s="2" t="str">
        <x:v>既知開発50場</x:v>
      </x:c>
    </x:row>
    <x:row r="39" ht="22" customHeight="1">
      <x:c r="A39" s="2" t="str">
        <x:v>PP04</x:v>
      </x:c>
      <x:c r="B39" s="20" t="d">
        <x:v>2026-10-13T08:45:00.000Z</x:v>
      </x:c>
      <x:c r="C39" s="2" t="str">
        <x:v>デイ</x:v>
      </x:c>
      <x:c r="D39" s="2" t="str">
        <x:v>下落</x:v>
      </x:c>
      <x:c r="E39" s="19" t="n">
        <x:v>67774</x:v>
      </x:c>
      <x:c r="F39" s="19" t="n">
        <x:v>116692</x:v>
      </x:c>
      <x:c r="G39" s="19" t="n">
        <x:f>E39-F39</x:f>
        <x:v>-48918</x:v>
      </x:c>
      <x:c r="H39" s="19" t="n">
        <x:f>SUMIFS($G$7:$G$56,$B$7:$B$56,"&lt;="&amp;B39)</x:f>
        <x:v>1342196</x:v>
      </x:c>
      <x:c r="I39" s="19" t="n">
        <x:v>1918</x:v>
      </x:c>
      <x:c r="J39" s="19" t="n">
        <x:v>-47000</x:v>
      </x:c>
      <x:c r="K39" s="2" t="n">
        <x:v>9</x:v>
      </x:c>
      <x:c r="L39" s="2" t="n">
        <x:v>25</x:v>
      </x:c>
      <x:c r="M39" s="2" t="n">
        <x:v>5</x:v>
      </x:c>
      <x:c r="N39" s="21" t="n">
        <x:v>28.466666666666665</x:v>
      </x:c>
      <x:c r="O39" s="21" t="n">
        <x:v>333.46666666666664</x:v>
      </x:c>
      <x:c r="P39" s="21" t="n">
        <x:v>333.46666666666664</x:v>
      </x:c>
      <x:c r="Q39" s="21" t="n">
        <x:v>420</x:v>
      </x:c>
      <x:c r="R39" s="22" t="n">
        <x:f>P39/Q39</x:f>
        <x:v>0.7939682539682539</x:v>
      </x:c>
      <x:c r="S39" s="23" t="n">
        <x:v>2.7542460317460318</x:v>
      </x:c>
      <x:c r="T39" s="2" t="str">
        <x:v>既知開発50場</x:v>
      </x:c>
    </x:row>
    <x:row r="40" ht="22" customHeight="1">
      <x:c r="A40" s="2" t="str">
        <x:v>PP04</x:v>
      </x:c>
      <x:c r="B40" s="20" t="d">
        <x:v>2026-10-13T17:00:00.000Z</x:v>
      </x:c>
      <x:c r="C40" s="2" t="str">
        <x:v>ナイト</x:v>
      </x:c>
      <x:c r="D40" s="2" t="str">
        <x:v>上昇</x:v>
      </x:c>
      <x:c r="E40" s="19" t="n">
        <x:v>0</x:v>
      </x:c>
      <x:c r="F40" s="19" t="n">
        <x:v>96922</x:v>
      </x:c>
      <x:c r="G40" s="19" t="n">
        <x:f>E40-F40</x:f>
        <x:v>-96922</x:v>
      </x:c>
      <x:c r="H40" s="19" t="n">
        <x:f>SUMIFS($G$7:$G$56,$B$7:$B$56,"&lt;="&amp;B40)</x:f>
        <x:v>1245274</x:v>
      </x:c>
      <x:c r="I40" s="19" t="n">
        <x:v>922</x:v>
      </x:c>
      <x:c r="J40" s="19" t="n">
        <x:v>-96000</x:v>
      </x:c>
      <x:c r="K40" s="2" t="n">
        <x:v>3</x:v>
      </x:c>
      <x:c r="L40" s="2" t="n">
        <x:v>12</x:v>
      </x:c>
      <x:c r="M40" s="2" t="n">
        <x:v>5</x:v>
      </x:c>
      <x:c r="N40" s="21" t="n">
        <x:v>360.23333333333335</x:v>
      </x:c>
      <x:c r="O40" s="21" t="n">
        <x:v>10.466666666666667</x:v>
      </x:c>
      <x:c r="P40" s="21" t="n">
        <x:v>10.466666666666667</x:v>
      </x:c>
      <x:c r="Q40" s="21" t="n">
        <x:v>600</x:v>
      </x:c>
      <x:c r="R40" s="22" t="n">
        <x:f>P40/Q40</x:f>
        <x:v>0.017444444444444443</x:v>
      </x:c>
      <x:c r="S40" s="23" t="n">
        <x:v>0.07347222222222222</x:v>
      </x:c>
      <x:c r="T40" s="2" t="str">
        <x:v>既知開発50場</x:v>
      </x:c>
    </x:row>
    <x:row r="41" ht="22" customHeight="1">
      <x:c r="A41" s="2" t="str">
        <x:v>PP04</x:v>
      </x:c>
      <x:c r="B41" s="20" t="d">
        <x:v>2026-10-14T08:45:00.000Z</x:v>
      </x:c>
      <x:c r="C41" s="2" t="str">
        <x:v>デイ</x:v>
      </x:c>
      <x:c r="D41" s="2" t="str">
        <x:v>上昇</x:v>
      </x:c>
      <x:c r="E41" s="19" t="n">
        <x:v>148232</x:v>
      </x:c>
      <x:c r="F41" s="19" t="n">
        <x:v>15384</x:v>
      </x:c>
      <x:c r="G41" s="19" t="n">
        <x:f>E41-F41</x:f>
        <x:v>132848</x:v>
      </x:c>
      <x:c r="H41" s="19" t="n">
        <x:f>SUMIFS($G$7:$G$56,$B$7:$B$56,"&lt;="&amp;B41)</x:f>
        <x:v>1378122</x:v>
      </x:c>
      <x:c r="I41" s="19" t="n">
        <x:v>1152</x:v>
      </x:c>
      <x:c r="J41" s="19" t="n">
        <x:v>134000</x:v>
      </x:c>
      <x:c r="K41" s="2" t="n">
        <x:v>3</x:v>
      </x:c>
      <x:c r="L41" s="2" t="n">
        <x:v>15</x:v>
      </x:c>
      <x:c r="M41" s="2" t="n">
        <x:v>5</x:v>
      </x:c>
      <x:c r="N41" s="21" t="n">
        <x:v>225</x:v>
      </x:c>
      <x:c r="O41" s="21" t="n">
        <x:v>137.61666666666667</x:v>
      </x:c>
      <x:c r="P41" s="21" t="n">
        <x:v>137.61666666666667</x:v>
      </x:c>
      <x:c r="Q41" s="21" t="n">
        <x:v>420</x:v>
      </x:c>
      <x:c r="R41" s="22" t="n">
        <x:f>P41/Q41</x:f>
        <x:v>0.32765873015873015</x:v>
      </x:c>
      <x:c r="S41" s="23" t="n">
        <x:v>0.9692460317460317</x:v>
      </x:c>
      <x:c r="T41" s="2" t="str">
        <x:v>既知開発50場</x:v>
      </x:c>
    </x:row>
    <x:row r="42" ht="22" customHeight="1">
      <x:c r="A42" s="2" t="str">
        <x:v>PP04</x:v>
      </x:c>
      <x:c r="B42" s="20" t="d">
        <x:v>2026-10-14T17:00:00.000Z</x:v>
      </x:c>
      <x:c r="C42" s="2" t="str">
        <x:v>ナイト</x:v>
      </x:c>
      <x:c r="D42" s="2" t="str">
        <x:v>下落</x:v>
      </x:c>
      <x:c r="E42" s="19" t="n">
        <x:v>235616</x:v>
      </x:c>
      <x:c r="F42" s="19" t="n">
        <x:v>137538</x:v>
      </x:c>
      <x:c r="G42" s="19" t="n">
        <x:f>E42-F42</x:f>
        <x:v>98078</x:v>
      </x:c>
      <x:c r="H42" s="19" t="n">
        <x:f>SUMIFS($G$7:$G$56,$B$7:$B$56,"&lt;="&amp;B42)</x:f>
        <x:v>1476200</x:v>
      </x:c>
      <x:c r="I42" s="19" t="n">
        <x:v>922</x:v>
      </x:c>
      <x:c r="J42" s="19" t="n">
        <x:v>99000</x:v>
      </x:c>
      <x:c r="K42" s="2" t="n">
        <x:v>5</x:v>
      </x:c>
      <x:c r="L42" s="2" t="n">
        <x:v>12</x:v>
      </x:c>
      <x:c r="M42" s="2" t="n">
        <x:v>5</x:v>
      </x:c>
      <x:c r="N42" s="21" t="n">
        <x:v>360</x:v>
      </x:c>
      <x:c r="O42" s="21" t="n">
        <x:v>398.18333333333334</x:v>
      </x:c>
      <x:c r="P42" s="21" t="n">
        <x:v>227.95</x:v>
      </x:c>
      <x:c r="Q42" s="21" t="n">
        <x:v>600</x:v>
      </x:c>
      <x:c r="R42" s="22" t="n">
        <x:f>P42/Q42</x:f>
        <x:v>0.3799166666666666</x:v>
      </x:c>
      <x:c r="S42" s="23" t="n">
        <x:v>1.0969166666666668</x:v>
      </x:c>
      <x:c r="T42" s="2" t="str">
        <x:v>既知開発50場</x:v>
      </x:c>
    </x:row>
    <x:row r="43" ht="22" customHeight="1">
      <x:c r="A43" s="2" t="str">
        <x:v>PP04</x:v>
      </x:c>
      <x:c r="B43" s="20" t="d">
        <x:v>2026-10-15T08:45:00.000Z</x:v>
      </x:c>
      <x:c r="C43" s="2" t="str">
        <x:v>デイ</x:v>
      </x:c>
      <x:c r="D43" s="2" t="str">
        <x:v>下落</x:v>
      </x:c>
      <x:c r="E43" s="19" t="n">
        <x:v>498775</x:v>
      </x:c>
      <x:c r="F43" s="19" t="n">
        <x:v>0</x:v>
      </x:c>
      <x:c r="G43" s="19" t="n">
        <x:f>E43-F43</x:f>
        <x:v>498775</x:v>
      </x:c>
      <x:c r="H43" s="19" t="n">
        <x:f>SUMIFS($G$7:$G$56,$B$7:$B$56,"&lt;="&amp;B43)</x:f>
        <x:v>1974975</x:v>
      </x:c>
      <x:c r="I43" s="19" t="n">
        <x:v>1225</x:v>
      </x:c>
      <x:c r="J43" s="19" t="n">
        <x:v>500000</x:v>
      </x:c>
      <x:c r="K43" s="2" t="n">
        <x:v>7</x:v>
      </x:c>
      <x:c r="L43" s="2" t="n">
        <x:v>16</x:v>
      </x:c>
      <x:c r="M43" s="2" t="n">
        <x:v>6</x:v>
      </x:c>
      <x:c r="N43" s="21" t="n">
        <x:v>22.5</x:v>
      </x:c>
      <x:c r="O43" s="21" t="n">
        <x:v>387.5</x:v>
      </x:c>
      <x:c r="P43" s="21" t="n">
        <x:v>387.5</x:v>
      </x:c>
      <x:c r="Q43" s="21" t="n">
        <x:v>420</x:v>
      </x:c>
      <x:c r="R43" s="22" t="n">
        <x:f>P43/Q43</x:f>
        <x:v>0.9226190476190477</x:v>
      </x:c>
      <x:c r="S43" s="23" t="n">
        <x:v>2.6073412698412697</x:v>
      </x:c>
      <x:c r="T43" s="2" t="str">
        <x:v>既知開発50場</x:v>
      </x:c>
    </x:row>
    <x:row r="44" ht="22" customHeight="1">
      <x:c r="A44" s="2" t="str">
        <x:v>PP04</x:v>
      </x:c>
      <x:c r="B44" s="20" t="d">
        <x:v>2026-10-15T17:00:00.000Z</x:v>
      </x:c>
      <x:c r="C44" s="2" t="str">
        <x:v>ナイト</x:v>
      </x:c>
      <x:c r="D44" s="2" t="str">
        <x:v>上昇</x:v>
      </x:c>
      <x:c r="E44" s="19" t="n">
        <x:v>127237</x:v>
      </x:c>
      <x:c r="F44" s="19" t="n">
        <x:v>116308</x:v>
      </x:c>
      <x:c r="G44" s="19" t="n">
        <x:f>E44-F44</x:f>
        <x:v>10929</x:v>
      </x:c>
      <x:c r="H44" s="19" t="n">
        <x:f>SUMIFS($G$7:$G$56,$B$7:$B$56,"&lt;="&amp;B44)</x:f>
        <x:v>1985904</x:v>
      </x:c>
      <x:c r="I44" s="19" t="n">
        <x:v>1071</x:v>
      </x:c>
      <x:c r="J44" s="19" t="n">
        <x:v>12000</x:v>
      </x:c>
      <x:c r="K44" s="2" t="n">
        <x:v>10</x:v>
      </x:c>
      <x:c r="L44" s="2" t="n">
        <x:v>14</x:v>
      </x:c>
      <x:c r="M44" s="2" t="n">
        <x:v>5</x:v>
      </x:c>
      <x:c r="N44" s="21" t="n">
        <x:v>360</x:v>
      </x:c>
      <x:c r="O44" s="21" t="n">
        <x:v>310.23333333333335</x:v>
      </x:c>
      <x:c r="P44" s="21" t="n">
        <x:v>139.83333333333334</x:v>
      </x:c>
      <x:c r="Q44" s="21" t="n">
        <x:v>600</x:v>
      </x:c>
      <x:c r="R44" s="22" t="n">
        <x:f>P44/Q44</x:f>
        <x:v>0.23305555555555557</x:v>
      </x:c>
      <x:c r="S44" s="23" t="n">
        <x:v>0.81525</x:v>
      </x:c>
      <x:c r="T44" s="2" t="str">
        <x:v>既知開発50場</x:v>
      </x:c>
    </x:row>
    <x:row r="45" ht="22" customHeight="1">
      <x:c r="A45" s="2" t="str">
        <x:v>PP04</x:v>
      </x:c>
      <x:c r="B45" s="20" t="d">
        <x:v>2026-10-16T08:45:00.000Z</x:v>
      </x:c>
      <x:c r="C45" s="2" t="str">
        <x:v>デイ</x:v>
      </x:c>
      <x:c r="D45" s="2" t="str">
        <x:v>上昇</x:v>
      </x:c>
      <x:c r="E45" s="19" t="n">
        <x:v>68003</x:v>
      </x:c>
      <x:c r="F45" s="19" t="n">
        <x:v>190300</x:v>
      </x:c>
      <x:c r="G45" s="19" t="n">
        <x:f>E45-F45</x:f>
        <x:v>-122297</x:v>
      </x:c>
      <x:c r="H45" s="19" t="n">
        <x:f>SUMIFS($G$7:$G$56,$B$7:$B$56,"&lt;="&amp;B45)</x:f>
        <x:v>1863607</x:v>
      </x:c>
      <x:c r="I45" s="19" t="n">
        <x:v>3297</x:v>
      </x:c>
      <x:c r="J45" s="19" t="n">
        <x:v>-119000</x:v>
      </x:c>
      <x:c r="K45" s="2" t="n">
        <x:v>15</x:v>
      </x:c>
      <x:c r="L45" s="2" t="n">
        <x:v>43</x:v>
      </x:c>
      <x:c r="M45" s="2" t="n">
        <x:v>10</x:v>
      </x:c>
      <x:c r="N45" s="21" t="n">
        <x:v>24.816666666666666</x:v>
      </x:c>
      <x:c r="O45" s="21" t="n">
        <x:v>214.81666666666666</x:v>
      </x:c>
      <x:c r="P45" s="21" t="n">
        <x:v>214.81666666666666</x:v>
      </x:c>
      <x:c r="Q45" s="21" t="n">
        <x:v>420</x:v>
      </x:c>
      <x:c r="R45" s="22" t="n">
        <x:f>P45/Q45</x:f>
        <x:v>0.5114682539682539</x:v>
      </x:c>
      <x:c r="S45" s="23" t="n">
        <x:v>1.6817460317460318</x:v>
      </x:c>
      <x:c r="T45" s="2" t="str">
        <x:v>既知開発50場</x:v>
      </x:c>
    </x:row>
    <x:row r="46" ht="22" customHeight="1">
      <x:c r="A46" s="2" t="str">
        <x:v>PP04</x:v>
      </x:c>
      <x:c r="B46" s="20" t="d">
        <x:v>2026-10-16T17:00:00.000Z</x:v>
      </x:c>
      <x:c r="C46" s="2" t="str">
        <x:v>ナイト</x:v>
      </x:c>
      <x:c r="D46" s="2" t="str">
        <x:v>下落</x:v>
      </x:c>
      <x:c r="E46" s="19" t="n">
        <x:v>153851</x:v>
      </x:c>
      <x:c r="F46" s="19" t="n">
        <x:v>136997</x:v>
      </x:c>
      <x:c r="G46" s="19" t="n">
        <x:f>E46-F46</x:f>
        <x:v>16854</x:v>
      </x:c>
      <x:c r="H46" s="19" t="n">
        <x:f>SUMIFS($G$7:$G$56,$B$7:$B$56,"&lt;="&amp;B46)</x:f>
        <x:v>1880461</x:v>
      </x:c>
      <x:c r="I46" s="19" t="n">
        <x:v>2146</x:v>
      </x:c>
      <x:c r="J46" s="19" t="n">
        <x:v>19000</x:v>
      </x:c>
      <x:c r="K46" s="2" t="n">
        <x:v>13</x:v>
      </x:c>
      <x:c r="L46" s="2" t="n">
        <x:v>28</x:v>
      </x:c>
      <x:c r="M46" s="2" t="n">
        <x:v>6</x:v>
      </x:c>
      <x:c r="N46" s="21" t="n">
        <x:v>45.46666666666667</x:v>
      </x:c>
      <x:c r="O46" s="21" t="n">
        <x:v>396.9166666666667</x:v>
      </x:c>
      <x:c r="P46" s="21" t="n">
        <x:v>241.21666666666667</x:v>
      </x:c>
      <x:c r="Q46" s="21" t="n">
        <x:v>600</x:v>
      </x:c>
      <x:c r="R46" s="22" t="n">
        <x:f>P46/Q46</x:f>
        <x:v>0.40202777777777776</x:v>
      </x:c>
      <x:c r="S46" s="23" t="n">
        <x:v>0.6838888888888889</x:v>
      </x:c>
      <x:c r="T46" s="2" t="str">
        <x:v>既知開発50場</x:v>
      </x:c>
    </x:row>
    <x:row r="47" ht="22" customHeight="1">
      <x:c r="A47" s="2" t="str">
        <x:v>PP04</x:v>
      </x:c>
      <x:c r="B47" s="20" t="d">
        <x:v>2026-10-19T08:45:00.000Z</x:v>
      </x:c>
      <x:c r="C47" s="2" t="str">
        <x:v>デイ</x:v>
      </x:c>
      <x:c r="D47" s="2" t="str">
        <x:v>上昇</x:v>
      </x:c>
      <x:c r="E47" s="19" t="n">
        <x:v>190235</x:v>
      </x:c>
      <x:c r="F47" s="19" t="n">
        <x:v>42308</x:v>
      </x:c>
      <x:c r="G47" s="19" t="n">
        <x:f>E47-F47</x:f>
        <x:v>147927</x:v>
      </x:c>
      <x:c r="H47" s="19" t="n">
        <x:f>SUMIFS($G$7:$G$56,$B$7:$B$56,"&lt;="&amp;B47)</x:f>
        <x:v>2028388</x:v>
      </x:c>
      <x:c r="I47" s="19" t="n">
        <x:v>1073</x:v>
      </x:c>
      <x:c r="J47" s="19" t="n">
        <x:v>149000</x:v>
      </x:c>
      <x:c r="K47" s="2" t="n">
        <x:v>7</x:v>
      </x:c>
      <x:c r="L47" s="2" t="n">
        <x:v>14</x:v>
      </x:c>
      <x:c r="M47" s="2" t="n">
        <x:v>5</x:v>
      </x:c>
      <x:c r="N47" s="21" t="n">
        <x:v>55.7</x:v>
      </x:c>
      <x:c r="O47" s="21" t="n">
        <x:v>338.6166666666667</x:v>
      </x:c>
      <x:c r="P47" s="21" t="n">
        <x:v>338.6166666666667</x:v>
      </x:c>
      <x:c r="Q47" s="21" t="n">
        <x:v>420</x:v>
      </x:c>
      <x:c r="R47" s="22" t="n">
        <x:f>P47/Q47</x:f>
        <x:v>0.8062301587301588</x:v>
      </x:c>
      <x:c r="S47" s="23" t="n">
        <x:v>3.6592460317460316</x:v>
      </x:c>
      <x:c r="T47" s="2" t="str">
        <x:v>既知開発50場</x:v>
      </x:c>
    </x:row>
    <x:row r="48" ht="22" customHeight="1">
      <x:c r="A48" s="2" t="str">
        <x:v>PP04</x:v>
      </x:c>
      <x:c r="B48" s="20" t="d">
        <x:v>2026-10-19T17:00:00.000Z</x:v>
      </x:c>
      <x:c r="C48" s="2" t="str">
        <x:v>ナイト</x:v>
      </x:c>
      <x:c r="D48" s="2" t="str">
        <x:v>上昇</x:v>
      </x:c>
      <x:c r="E48" s="19" t="n">
        <x:v>67235</x:v>
      </x:c>
      <x:c r="F48" s="19" t="n">
        <x:v>103768</x:v>
      </x:c>
      <x:c r="G48" s="19" t="n">
        <x:f>E48-F48</x:f>
        <x:v>-36533</x:v>
      </x:c>
      <x:c r="H48" s="19" t="n">
        <x:f>SUMIFS($G$7:$G$56,$B$7:$B$56,"&lt;="&amp;B48)</x:f>
        <x:v>1991855</x:v>
      </x:c>
      <x:c r="I48" s="19" t="n">
        <x:v>1533</x:v>
      </x:c>
      <x:c r="J48" s="19" t="n">
        <x:v>-35000</x:v>
      </x:c>
      <x:c r="K48" s="2" t="n">
        <x:v>9</x:v>
      </x:c>
      <x:c r="L48" s="2" t="n">
        <x:v>20</x:v>
      </x:c>
      <x:c r="M48" s="2" t="n">
        <x:v>8</x:v>
      </x:c>
      <x:c r="N48" s="21" t="n">
        <x:v>349.46666666666664</x:v>
      </x:c>
      <x:c r="O48" s="21" t="n">
        <x:v>290.3</x:v>
      </x:c>
      <x:c r="P48" s="21" t="n">
        <x:v>205.58333333333334</x:v>
      </x:c>
      <x:c r="Q48" s="21" t="n">
        <x:v>600</x:v>
      </x:c>
      <x:c r="R48" s="22" t="n">
        <x:f>P48/Q48</x:f>
        <x:v>0.3426388888888889</x:v>
      </x:c>
      <x:c r="S48" s="23" t="n">
        <x:v>0.6859444444444445</x:v>
      </x:c>
      <x:c r="T48" s="2" t="str">
        <x:v>既知開発50場</x:v>
      </x:c>
    </x:row>
    <x:row r="49" ht="22" customHeight="1">
      <x:c r="A49" s="2" t="str">
        <x:v>PP04</x:v>
      </x:c>
      <x:c r="B49" s="20" t="d">
        <x:v>2026-10-20T08:45:00.000Z</x:v>
      </x:c>
      <x:c r="C49" s="2" t="str">
        <x:v>デイ</x:v>
      </x:c>
      <x:c r="D49" s="2" t="str">
        <x:v>下落</x:v>
      </x:c>
      <x:c r="E49" s="19" t="n">
        <x:v>135238</x:v>
      </x:c>
      <x:c r="F49" s="19" t="n">
        <x:v>89692</x:v>
      </x:c>
      <x:c r="G49" s="19" t="n">
        <x:f>E49-F49</x:f>
        <x:v>45546</x:v>
      </x:c>
      <x:c r="H49" s="19" t="n">
        <x:f>SUMIFS($G$7:$G$56,$B$7:$B$56,"&lt;="&amp;B49)</x:f>
        <x:v>2037401</x:v>
      </x:c>
      <x:c r="I49" s="19" t="n">
        <x:v>2454</x:v>
      </x:c>
      <x:c r="J49" s="19" t="n">
        <x:v>48000</x:v>
      </x:c>
      <x:c r="K49" s="2" t="n">
        <x:v>12</x:v>
      </x:c>
      <x:c r="L49" s="2" t="n">
        <x:v>32</x:v>
      </x:c>
      <x:c r="M49" s="2" t="n">
        <x:v>5</x:v>
      </x:c>
      <x:c r="N49" s="21" t="n">
        <x:v>22.716666666666665</x:v>
      </x:c>
      <x:c r="O49" s="21" t="n">
        <x:v>297.8666666666667</x:v>
      </x:c>
      <x:c r="P49" s="21" t="n">
        <x:v>297.8666666666667</x:v>
      </x:c>
      <x:c r="Q49" s="21" t="n">
        <x:v>420</x:v>
      </x:c>
      <x:c r="R49" s="22" t="n">
        <x:f>P49/Q49</x:f>
        <x:v>0.7092063492063492</x:v>
      </x:c>
      <x:c r="S49" s="23" t="n">
        <x:v>2.3354761904761903</x:v>
      </x:c>
      <x:c r="T49" s="2" t="str">
        <x:v>既知開発50場</x:v>
      </x:c>
    </x:row>
    <x:row r="50" ht="22" customHeight="1">
      <x:c r="A50" s="2" t="str">
        <x:v>PP04</x:v>
      </x:c>
      <x:c r="B50" s="20" t="d">
        <x:v>2026-10-20T17:00:00.000Z</x:v>
      </x:c>
      <x:c r="C50" s="2" t="str">
        <x:v>ナイト</x:v>
      </x:c>
      <x:c r="D50" s="2" t="str">
        <x:v>上昇</x:v>
      </x:c>
      <x:c r="E50" s="19" t="n">
        <x:v>516855</x:v>
      </x:c>
      <x:c r="F50" s="19" t="n">
        <x:v>0</x:v>
      </x:c>
      <x:c r="G50" s="19" t="n">
        <x:f>E50-F50</x:f>
        <x:v>516855</x:v>
      </x:c>
      <x:c r="H50" s="19" t="n">
        <x:f>SUMIFS($G$7:$G$56,$B$7:$B$56,"&lt;="&amp;B50)</x:f>
        <x:v>2554256</x:v>
      </x:c>
      <x:c r="I50" s="19" t="n">
        <x:v>1145</x:v>
      </x:c>
      <x:c r="J50" s="19" t="n">
        <x:v>518000</x:v>
      </x:c>
      <x:c r="K50" s="2" t="n">
        <x:v>11</x:v>
      </x:c>
      <x:c r="L50" s="2" t="n">
        <x:v>15</x:v>
      </x:c>
      <x:c r="M50" s="2" t="n">
        <x:v>7</x:v>
      </x:c>
      <x:c r="N50" s="21" t="n">
        <x:v>272.3333333333333</x:v>
      </x:c>
      <x:c r="O50" s="21" t="n">
        <x:v>445.23333333333335</x:v>
      </x:c>
      <x:c r="P50" s="21" t="n">
        <x:v>274.9</x:v>
      </x:c>
      <x:c r="Q50" s="21" t="n">
        <x:v>600</x:v>
      </x:c>
      <x:c r="R50" s="22" t="n">
        <x:f>P50/Q50</x:f>
        <x:v>0.4581666666666666</x:v>
      </x:c>
      <x:c r="S50" s="23" t="n">
        <x:v>1.3680555555555556</x:v>
      </x:c>
      <x:c r="T50" s="2" t="str">
        <x:v>既知開発50場</x:v>
      </x:c>
    </x:row>
    <x:row r="51" ht="22" customHeight="1">
      <x:c r="A51" s="2" t="str">
        <x:v>PP04</x:v>
      </x:c>
      <x:c r="B51" s="20" t="d">
        <x:v>2026-10-21T08:45:00.000Z</x:v>
      </x:c>
      <x:c r="C51" s="2" t="str">
        <x:v>デイ</x:v>
      </x:c>
      <x:c r="D51" s="2" t="str">
        <x:v>下落</x:v>
      </x:c>
      <x:c r="E51" s="19" t="n">
        <x:v>146159</x:v>
      </x:c>
      <x:c r="F51" s="19" t="n">
        <x:v>246920</x:v>
      </x:c>
      <x:c r="G51" s="19" t="n">
        <x:f>E51-F51</x:f>
        <x:v>-100761</x:v>
      </x:c>
      <x:c r="H51" s="19" t="n">
        <x:f>SUMIFS($G$7:$G$56,$B$7:$B$56,"&lt;="&amp;B51)</x:f>
        <x:v>2453495</x:v>
      </x:c>
      <x:c r="I51" s="19" t="n">
        <x:v>2761</x:v>
      </x:c>
      <x:c r="J51" s="19" t="n">
        <x:v>-98000</x:v>
      </x:c>
      <x:c r="K51" s="2" t="n">
        <x:v>11</x:v>
      </x:c>
      <x:c r="L51" s="2" t="n">
        <x:v>36</x:v>
      </x:c>
      <x:c r="M51" s="2" t="n">
        <x:v>6</x:v>
      </x:c>
      <x:c r="N51" s="21" t="n">
        <x:v>50</x:v>
      </x:c>
      <x:c r="O51" s="21" t="n">
        <x:v>360</x:v>
      </x:c>
      <x:c r="P51" s="21" t="n">
        <x:v>360</x:v>
      </x:c>
      <x:c r="Q51" s="21" t="n">
        <x:v>420</x:v>
      </x:c>
      <x:c r="R51" s="22" t="n">
        <x:f>P51/Q51</x:f>
        <x:v>0.8571428571428571</x:v>
      </x:c>
      <x:c r="S51" s="23" t="n">
        <x:v>2.139761904761905</x:v>
      </x:c>
      <x:c r="T51" s="2" t="str">
        <x:v>既知開発50場</x:v>
      </x:c>
    </x:row>
    <x:row r="52" ht="22" customHeight="1">
      <x:c r="A52" s="2" t="str">
        <x:v>PP04</x:v>
      </x:c>
      <x:c r="B52" s="20" t="d">
        <x:v>2026-10-21T17:00:00.000Z</x:v>
      </x:c>
      <x:c r="C52" s="2" t="str">
        <x:v>ナイト</x:v>
      </x:c>
      <x:c r="D52" s="2" t="str">
        <x:v>上昇</x:v>
      </x:c>
      <x:c r="E52" s="19" t="n">
        <x:v>48235</x:v>
      </x:c>
      <x:c r="F52" s="19" t="n">
        <x:v>85768</x:v>
      </x:c>
      <x:c r="G52" s="19" t="n">
        <x:f>E52-F52</x:f>
        <x:v>-37533</x:v>
      </x:c>
      <x:c r="H52" s="19" t="n">
        <x:f>SUMIFS($G$7:$G$56,$B$7:$B$56,"&lt;="&amp;B52)</x:f>
        <x:v>2415962</x:v>
      </x:c>
      <x:c r="I52" s="19" t="n">
        <x:v>1533</x:v>
      </x:c>
      <x:c r="J52" s="19" t="n">
        <x:v>-36000</x:v>
      </x:c>
      <x:c r="K52" s="2" t="n">
        <x:v>7</x:v>
      </x:c>
      <x:c r="L52" s="2" t="n">
        <x:v>20</x:v>
      </x:c>
      <x:c r="M52" s="2" t="n">
        <x:v>10</x:v>
      </x:c>
      <x:c r="N52" s="21" t="n">
        <x:v>360</x:v>
      </x:c>
      <x:c r="O52" s="21" t="n">
        <x:v>289.76666666666665</x:v>
      </x:c>
      <x:c r="P52" s="21" t="n">
        <x:v>240</x:v>
      </x:c>
      <x:c r="Q52" s="21" t="n">
        <x:v>600</x:v>
      </x:c>
      <x:c r="R52" s="22" t="n">
        <x:f>P52/Q52</x:f>
        <x:v>0.4</x:v>
      </x:c>
      <x:c r="S52" s="23" t="n">
        <x:v>1.7929166666666667</x:v>
      </x:c>
      <x:c r="T52" s="2" t="str">
        <x:v>既知開発50場</x:v>
      </x:c>
    </x:row>
    <x:row r="53" ht="22" customHeight="1">
      <x:c r="A53" s="2" t="str">
        <x:v>PP04</x:v>
      </x:c>
      <x:c r="B53" s="20" t="d">
        <x:v>2026-10-22T08:45:00.000Z</x:v>
      </x:c>
      <x:c r="C53" s="2" t="str">
        <x:v>デイ</x:v>
      </x:c>
      <x:c r="D53" s="2" t="str">
        <x:v>下落</x:v>
      </x:c>
      <x:c r="E53" s="19" t="n">
        <x:v>949159</x:v>
      </x:c>
      <x:c r="F53" s="19" t="n">
        <x:v>0</x:v>
      </x:c>
      <x:c r="G53" s="19" t="n">
        <x:f>E53-F53</x:f>
        <x:v>949159</x:v>
      </x:c>
      <x:c r="H53" s="19" t="n">
        <x:f>SUMIFS($G$7:$G$56,$B$7:$B$56,"&lt;="&amp;B53)</x:f>
        <x:v>3365121</x:v>
      </x:c>
      <x:c r="I53" s="19" t="n">
        <x:v>841</x:v>
      </x:c>
      <x:c r="J53" s="19" t="n">
        <x:v>950000</x:v>
      </x:c>
      <x:c r="K53" s="2" t="n">
        <x:v>6</x:v>
      </x:c>
      <x:c r="L53" s="2" t="n">
        <x:v>11</x:v>
      </x:c>
      <x:c r="M53" s="2" t="n">
        <x:v>10</x:v>
      </x:c>
      <x:c r="N53" s="21" t="n">
        <x:v>29</x:v>
      </x:c>
      <x:c r="O53" s="21" t="n">
        <x:v>381</x:v>
      </x:c>
      <x:c r="P53" s="21" t="n">
        <x:v>381</x:v>
      </x:c>
      <x:c r="Q53" s="21" t="n">
        <x:v>420</x:v>
      </x:c>
      <x:c r="R53" s="22" t="n">
        <x:f>P53/Q53</x:f>
        <x:v>0.9071428571428571</x:v>
      </x:c>
      <x:c r="S53" s="23" t="n">
        <x:v>6.07984126984127</x:v>
      </x:c>
      <x:c r="T53" s="2" t="str">
        <x:v>既知開発50場</x:v>
      </x:c>
    </x:row>
    <x:row r="54" ht="22" customHeight="1">
      <x:c r="A54" s="2" t="str">
        <x:v>PP04</x:v>
      </x:c>
      <x:c r="B54" s="20" t="d">
        <x:v>2026-10-22T17:00:00.000Z</x:v>
      </x:c>
      <x:c r="C54" s="2" t="str">
        <x:v>ナイト</x:v>
      </x:c>
      <x:c r="D54" s="2" t="str">
        <x:v>下落</x:v>
      </x:c>
      <x:c r="E54" s="19" t="n">
        <x:v>190235</x:v>
      </x:c>
      <x:c r="F54" s="19" t="n">
        <x:v>55384</x:v>
      </x:c>
      <x:c r="G54" s="19" t="n">
        <x:f>E54-F54</x:f>
        <x:v>134851</x:v>
      </x:c>
      <x:c r="H54" s="19" t="n">
        <x:f>SUMIFS($G$7:$G$56,$B$7:$B$56,"&lt;="&amp;B54)</x:f>
        <x:v>3499972</x:v>
      </x:c>
      <x:c r="I54" s="19" t="n">
        <x:v>1149</x:v>
      </x:c>
      <x:c r="J54" s="19" t="n">
        <x:v>136000</x:v>
      </x:c>
      <x:c r="K54" s="2" t="n">
        <x:v>6</x:v>
      </x:c>
      <x:c r="L54" s="2" t="n">
        <x:v>15</x:v>
      </x:c>
      <x:c r="M54" s="2" t="n">
        <x:v>6</x:v>
      </x:c>
      <x:c r="N54" s="21" t="n">
        <x:v>360.06666666666666</x:v>
      </x:c>
      <x:c r="O54" s="21" t="n">
        <x:v>223.75</x:v>
      </x:c>
      <x:c r="P54" s="21" t="n">
        <x:v>223.75</x:v>
      </x:c>
      <x:c r="Q54" s="21" t="n">
        <x:v>600</x:v>
      </x:c>
      <x:c r="R54" s="22" t="n">
        <x:f>P54/Q54</x:f>
        <x:v>0.3729166666666667</x:v>
      </x:c>
      <x:c r="S54" s="23" t="n">
        <x:v>0.7392777777777778</x:v>
      </x:c>
      <x:c r="T54" s="2" t="str">
        <x:v>既知開発50場</x:v>
      </x:c>
    </x:row>
    <x:row r="55" ht="22" customHeight="1">
      <x:c r="A55" s="2" t="str">
        <x:v>PP04</x:v>
      </x:c>
      <x:c r="B55" s="20" t="d">
        <x:v>2026-10-23T08:45:00.000Z</x:v>
      </x:c>
      <x:c r="C55" s="2" t="str">
        <x:v>デイ</x:v>
      </x:c>
      <x:c r="D55" s="2" t="str">
        <x:v>上昇</x:v>
      </x:c>
      <x:c r="E55" s="19" t="n">
        <x:v>118619</x:v>
      </x:c>
      <x:c r="F55" s="19" t="n">
        <x:v>45384</x:v>
      </x:c>
      <x:c r="G55" s="19" t="n">
        <x:f>E55-F55</x:f>
        <x:v>73235</x:v>
      </x:c>
      <x:c r="H55" s="19" t="n">
        <x:f>SUMIFS($G$7:$G$56,$B$7:$B$56,"&lt;="&amp;B55)</x:f>
        <x:v>3573207</x:v>
      </x:c>
      <x:c r="I55" s="19" t="n">
        <x:v>765</x:v>
      </x:c>
      <x:c r="J55" s="19" t="n">
        <x:v>74000</x:v>
      </x:c>
      <x:c r="K55" s="2" t="n">
        <x:v>5</x:v>
      </x:c>
      <x:c r="L55" s="2" t="n">
        <x:v>10</x:v>
      </x:c>
      <x:c r="M55" s="2" t="n">
        <x:v>5</x:v>
      </x:c>
      <x:c r="N55" s="21" t="n">
        <x:v>41.96666666666667</x:v>
      </x:c>
      <x:c r="O55" s="21" t="n">
        <x:v>368.03333333333336</x:v>
      </x:c>
      <x:c r="P55" s="21" t="n">
        <x:v>368.03333333333336</x:v>
      </x:c>
      <x:c r="Q55" s="21" t="n">
        <x:v>420</x:v>
      </x:c>
      <x:c r="R55" s="22" t="n">
        <x:f>P55/Q55</x:f>
        <x:v>0.8762698412698413</x:v>
      </x:c>
      <x:c r="S55" s="23" t="n">
        <x:v>1.026309523809524</x:v>
      </x:c>
      <x:c r="T55" s="2" t="str">
        <x:v>既知開発50場</x:v>
      </x:c>
    </x:row>
    <x:row r="56" ht="22" customHeight="1">
      <x:c r="A56" s="2" t="str">
        <x:v>PP04</x:v>
      </x:c>
      <x:c r="B56" s="20" t="d">
        <x:v>2026-10-23T17:00:00.000Z</x:v>
      </x:c>
      <x:c r="C56" s="2" t="str">
        <x:v>ナイト</x:v>
      </x:c>
      <x:c r="D56" s="2" t="str">
        <x:v>上昇</x:v>
      </x:c>
      <x:c r="E56" s="19" t="n">
        <x:v>21623</x:v>
      </x:c>
      <x:c r="F56" s="19" t="n">
        <x:v>43230</x:v>
      </x:c>
      <x:c r="G56" s="19" t="n">
        <x:f>E56-F56</x:f>
        <x:v>-21607</x:v>
      </x:c>
      <x:c r="H56" s="19" t="n">
        <x:f>SUMIFS($G$7:$G$56,$B$7:$B$56,"&lt;="&amp;B56)</x:f>
        <x:v>3551600</x:v>
      </x:c>
      <x:c r="I56" s="19" t="n">
        <x:v>1607</x:v>
      </x:c>
      <x:c r="J56" s="19" t="n">
        <x:v>-20000</x:v>
      </x:c>
      <x:c r="K56" s="2" t="n">
        <x:v>13</x:v>
      </x:c>
      <x:c r="L56" s="2" t="n">
        <x:v>21</x:v>
      </x:c>
      <x:c r="M56" s="2" t="n">
        <x:v>5</x:v>
      </x:c>
      <x:c r="N56" s="21" t="n">
        <x:v>103.51666666666667</x:v>
      </x:c>
      <x:c r="O56" s="21" t="n">
        <x:v>482.21666666666664</x:v>
      </x:c>
      <x:c r="P56" s="21" t="n">
        <x:v>311.96666666666664</x:v>
      </x:c>
      <x:c r="Q56" s="21" t="n">
        <x:v>600</x:v>
      </x:c>
      <x:c r="R56" s="22" t="n">
        <x:f>P56/Q56</x:f>
        <x:v>0.5199444444444444</x:v>
      </x:c>
      <x:c r="S56" s="23" t="n">
        <x:v>1.5647777777777778</x:v>
      </x:c>
      <x:c r="T56" s="2" t="str">
        <x:v>既知開発50場</x:v>
      </x:c>
    </x:row>
  </x:sheetData>
  <x:conditionalFormatting sqref="E7:J56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71bea2456d4ef7"/>
  </x:tableParts>
</x:worksheet>
</file>

<file path=xl/worksheets/sheet7.xml><?xml version="1.0" encoding="utf-8"?>
<x:worksheet xmlns:x="http://schemas.openxmlformats.org/spreadsheetml/2006/main">
  <x:sheetPr>
    <x:tabColor rgb="FF25456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3" hidden="0" customWidth="1"/>
    <x:col min="4" max="4" width="13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3" hidden="0" customWidth="1"/>
    <x:col min="16" max="16" width="23" hidden="0" customWidth="1"/>
    <x:col min="17" max="17" width="23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4" t="str">
        <x:v>日経mini PG04 セッション損益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6" t="str">
        <x:v>片方向上限10枚。円・手数料後。保有率はデイ420分／ナイト17～03時の600分。損益は全セッションを含みます。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2" customHeight="1">
      <x:c r="A4" s="6" t="str">
        <x:v>昼：O17と帯回復E01の残玉化／夜：O02と帯反発A34の残玉化。二担当の比較候補。5＋5枚。利益損失比に優るが赤字場はやや多い。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6" t="str">
        <x:v>始終値方向は事後評価専用。平均枚数は同じ評価時間の合計保有枚数を平均し、両建ても合算します。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8" customHeight="1">
      <x:c r="A6" s="15" t="str">
        <x:v>手法ID</x:v>
      </x:c>
      <x:c r="B6" s="16" t="str">
        <x:v>開始日時</x:v>
      </x:c>
      <x:c r="C6" s="16" t="str">
        <x:v>昼夜</x:v>
      </x:c>
      <x:c r="D6" s="16" t="str">
        <x:v>始終値方向</x:v>
      </x:c>
      <x:c r="E6" s="16" t="str">
        <x:v>利益（円）</x:v>
      </x:c>
      <x:c r="F6" s="16" t="str">
        <x:v>損失（円）</x:v>
      </x:c>
      <x:c r="G6" s="16" t="str">
        <x:v>収支（円）</x:v>
      </x:c>
      <x:c r="H6" s="16" t="str">
        <x:v>累計（円）</x:v>
      </x:c>
      <x:c r="I6" s="16" t="str">
        <x:v>内数手数料（円）</x:v>
      </x:c>
      <x:c r="J6" s="16" t="str">
        <x:v>費用前収支（円）</x:v>
      </x:c>
      <x:c r="K6" s="16" t="str">
        <x:v>新規回数</x:v>
      </x:c>
      <x:c r="L6" s="16" t="str">
        <x:v>新規枚数</x:v>
      </x:c>
      <x:c r="M6" s="16" t="str">
        <x:v>最大片方向保有</x:v>
      </x:c>
      <x:c r="N6" s="16" t="str">
        <x:v>初回まで（分）</x:v>
      </x:c>
      <x:c r="O6" s="16" t="str">
        <x:v>全場保有（分）</x:v>
      </x:c>
      <x:c r="P6" s="16" t="str">
        <x:v>03時以降除外保有（分）</x:v>
      </x:c>
      <x:c r="Q6" s="16" t="str">
        <x:v>評価時間（分）</x:v>
      </x:c>
      <x:c r="R6" s="16" t="str">
        <x:v>保有率</x:v>
      </x:c>
      <x:c r="S6" s="16" t="str">
        <x:v>平均保有枚数</x:v>
      </x:c>
      <x:c r="T6" s="17" t="str">
        <x:v>対象区分</x:v>
      </x:c>
    </x:row>
    <x:row r="7" ht="22" customHeight="1">
      <x:c r="A7" s="2" t="str">
        <x:v>PG04</x:v>
      </x:c>
      <x:c r="B7" s="20" t="d">
        <x:v>2026-09-21T08:45:00.000Z</x:v>
      </x:c>
      <x:c r="C7" s="2" t="str">
        <x:v>デイ</x:v>
      </x:c>
      <x:c r="D7" s="2" t="str">
        <x:v>上昇</x:v>
      </x:c>
      <x:c r="E7" s="19" t="n">
        <x:v>104463</x:v>
      </x:c>
      <x:c r="F7" s="19" t="n">
        <x:v>0</x:v>
      </x:c>
      <x:c r="G7" s="19" t="n">
        <x:f>E7-F7</x:f>
        <x:v>104463</x:v>
      </x:c>
      <x:c r="H7" s="19" t="n">
        <x:f>SUMIFS($G$7:$G$56,$B$7:$B$56,"&lt;="&amp;B7)</x:f>
        <x:v>104463</x:v>
      </x:c>
      <x:c r="I7" s="19" t="n">
        <x:v>537</x:v>
      </x:c>
      <x:c r="J7" s="19" t="n">
        <x:v>105000</x:v>
      </x:c>
      <x:c r="K7" s="2" t="n">
        <x:v>2</x:v>
      </x:c>
      <x:c r="L7" s="2" t="n">
        <x:v>7</x:v>
      </x:c>
      <x:c r="M7" s="2" t="n">
        <x:v>5</x:v>
      </x:c>
      <x:c r="N7" s="21" t="n">
        <x:v>38.733333333333334</x:v>
      </x:c>
      <x:c r="O7" s="21" t="n">
        <x:v>237.88333333333333</x:v>
      </x:c>
      <x:c r="P7" s="21" t="n">
        <x:v>237.88333333333333</x:v>
      </x:c>
      <x:c r="Q7" s="21" t="n">
        <x:v>420</x:v>
      </x:c>
      <x:c r="R7" s="22" t="n">
        <x:f>P7/Q7</x:f>
        <x:v>0.5663888888888888</x:v>
      </x:c>
      <x:c r="S7" s="23" t="n">
        <x:v>1.6879761904761905</x:v>
      </x:c>
      <x:c r="T7" s="2" t="str">
        <x:v>既知開発50場</x:v>
      </x:c>
    </x:row>
    <x:row r="8" ht="22" customHeight="1">
      <x:c r="A8" s="2" t="str">
        <x:v>PG04</x:v>
      </x:c>
      <x:c r="B8" s="20" t="d">
        <x:v>2026-09-21T17:00:00.000Z</x:v>
      </x:c>
      <x:c r="C8" s="2" t="str">
        <x:v>ナイト</x:v>
      </x:c>
      <x:c r="D8" s="2" t="str">
        <x:v>上昇</x:v>
      </x:c>
      <x:c r="E8" s="19" t="n">
        <x:v>0</x:v>
      </x:c>
      <x:c r="F8" s="19" t="n">
        <x:v>45384</x:v>
      </x:c>
      <x:c r="G8" s="19" t="n">
        <x:f>E8-F8</x:f>
        <x:v>-45384</x:v>
      </x:c>
      <x:c r="H8" s="19" t="n">
        <x:f>SUMIFS($G$7:$G$56,$B$7:$B$56,"&lt;="&amp;B8)</x:f>
        <x:v>59079</x:v>
      </x:c>
      <x:c r="I8" s="19" t="n">
        <x:v>384</x:v>
      </x:c>
      <x:c r="J8" s="19" t="n">
        <x:v>-45000</x:v>
      </x:c>
      <x:c r="K8" s="2" t="n">
        <x:v>1</x:v>
      </x:c>
      <x:c r="L8" s="2" t="n">
        <x:v>5</x:v>
      </x:c>
      <x:c r="M8" s="2" t="n">
        <x:v>5</x:v>
      </x:c>
      <x:c r="N8" s="21" t="n">
        <x:v>360.01666666666665</x:v>
      </x:c>
      <x:c r="O8" s="21" t="n">
        <x:v>5.666666666666667</x:v>
      </x:c>
      <x:c r="P8" s="21" t="n">
        <x:v>5.666666666666667</x:v>
      </x:c>
      <x:c r="Q8" s="21" t="n">
        <x:v>600</x:v>
      </x:c>
      <x:c r="R8" s="22" t="n">
        <x:f>P8/Q8</x:f>
        <x:v>0.009444444444444445</x:v>
      </x:c>
      <x:c r="S8" s="23" t="n">
        <x:v>0.04722222222222222</x:v>
      </x:c>
      <x:c r="T8" s="2" t="str">
        <x:v>既知開発50場</x:v>
      </x:c>
    </x:row>
    <x:row r="9" ht="22" customHeight="1">
      <x:c r="A9" s="2" t="str">
        <x:v>PG04</x:v>
      </x:c>
      <x:c r="B9" s="20" t="d">
        <x:v>2026-09-22T08:45:00.000Z</x:v>
      </x:c>
      <x:c r="C9" s="2" t="str">
        <x:v>デイ</x:v>
      </x:c>
      <x:c r="D9" s="2" t="str">
        <x:v>下落</x:v>
      </x:c>
      <x:c r="E9" s="19" t="n">
        <x:v>0</x:v>
      </x:c>
      <x:c r="F9" s="19" t="n">
        <x:v>106152</x:v>
      </x:c>
      <x:c r="G9" s="19" t="n">
        <x:f>E9-F9</x:f>
        <x:v>-106152</x:v>
      </x:c>
      <x:c r="H9" s="19" t="n">
        <x:f>SUMIFS($G$7:$G$56,$B$7:$B$56,"&lt;="&amp;B9)</x:f>
        <x:v>-47073</x:v>
      </x:c>
      <x:c r="I9" s="19" t="n">
        <x:v>1152</x:v>
      </x:c>
      <x:c r="J9" s="19" t="n">
        <x:v>-105000</x:v>
      </x:c>
      <x:c r="K9" s="2" t="n">
        <x:v>3</x:v>
      </x:c>
      <x:c r="L9" s="2" t="n">
        <x:v>15</x:v>
      </x:c>
      <x:c r="M9" s="2" t="n">
        <x:v>5</x:v>
      </x:c>
      <x:c r="N9" s="21" t="n">
        <x:v>242.78333333333333</x:v>
      </x:c>
      <x:c r="O9" s="21" t="n">
        <x:v>28.166666666666668</x:v>
      </x:c>
      <x:c r="P9" s="21" t="n">
        <x:v>28.166666666666668</x:v>
      </x:c>
      <x:c r="Q9" s="21" t="n">
        <x:v>420</x:v>
      </x:c>
      <x:c r="R9" s="22" t="n">
        <x:f>P9/Q9</x:f>
        <x:v>0.06706349206349206</x:v>
      </x:c>
      <x:c r="S9" s="23" t="n">
        <x:v>0.3353174603174603</x:v>
      </x:c>
      <x:c r="T9" s="2" t="str">
        <x:v>既知開発50場</x:v>
      </x:c>
    </x:row>
    <x:row r="10" ht="22" customHeight="1">
      <x:c r="A10" s="2" t="str">
        <x:v>PG04</x:v>
      </x:c>
      <x:c r="B10" s="20" t="d">
        <x:v>2026-09-22T17:00:00.000Z</x:v>
      </x:c>
      <x:c r="C10" s="2" t="str">
        <x:v>ナイト</x:v>
      </x:c>
      <x:c r="D10" s="2" t="str">
        <x:v>上昇</x:v>
      </x:c>
      <x:c r="E10" s="19" t="n">
        <x:v>15616</x:v>
      </x:c>
      <x:c r="F10" s="19" t="n">
        <x:v>0</x:v>
      </x:c>
      <x:c r="G10" s="19" t="n">
        <x:f>E10-F10</x:f>
        <x:v>15616</x:v>
      </x:c>
      <x:c r="H10" s="19" t="n">
        <x:f>SUMIFS($G$7:$G$56,$B$7:$B$56,"&lt;="&amp;B10)</x:f>
        <x:v>-31457</x:v>
      </x:c>
      <x:c r="I10" s="19" t="n">
        <x:v>384</x:v>
      </x:c>
      <x:c r="J10" s="19" t="n">
        <x:v>16000</x:v>
      </x:c>
      <x:c r="K10" s="2" t="n">
        <x:v>1</x:v>
      </x:c>
      <x:c r="L10" s="2" t="n">
        <x:v>5</x:v>
      </x:c>
      <x:c r="M10" s="2" t="n">
        <x:v>5</x:v>
      </x:c>
      <x:c r="N10" s="21" t="n">
        <x:v>360.1</x:v>
      </x:c>
      <x:c r="O10" s="21" t="n">
        <x:v>41.63333333333333</x:v>
      </x:c>
      <x:c r="P10" s="21" t="n">
        <x:v>41.63333333333333</x:v>
      </x:c>
      <x:c r="Q10" s="21" t="n">
        <x:v>600</x:v>
      </x:c>
      <x:c r="R10" s="22" t="n">
        <x:f>P10/Q10</x:f>
        <x:v>0.06938888888888889</x:v>
      </x:c>
      <x:c r="S10" s="23" t="n">
        <x:v>0.15994444444444444</x:v>
      </x:c>
      <x:c r="T10" s="2" t="str">
        <x:v>既知開発50場</x:v>
      </x:c>
    </x:row>
    <x:row r="11" ht="22" customHeight="1">
      <x:c r="A11" s="2" t="str">
        <x:v>PG04</x:v>
      </x:c>
      <x:c r="B11" s="20" t="d">
        <x:v>2026-09-23T08:45:00.000Z</x:v>
      </x:c>
      <x:c r="C11" s="2" t="str">
        <x:v>デイ</x:v>
      </x:c>
      <x:c r="D11" s="2" t="str">
        <x:v>下落</x:v>
      </x:c>
      <x:c r="E11" s="19" t="n">
        <x:v>0</x:v>
      </x:c>
      <x:c r="F11" s="19" t="n">
        <x:v>4384</x:v>
      </x:c>
      <x:c r="G11" s="19" t="n">
        <x:f>E11-F11</x:f>
        <x:v>-4384</x:v>
      </x:c>
      <x:c r="H11" s="19" t="n">
        <x:f>SUMIFS($G$7:$G$56,$B$7:$B$56,"&lt;="&amp;B11)</x:f>
        <x:v>-35841</x:v>
      </x:c>
      <x:c r="I11" s="19" t="n">
        <x:v>384</x:v>
      </x:c>
      <x:c r="J11" s="19" t="n">
        <x:v>-4000</x:v>
      </x:c>
      <x:c r="K11" s="2" t="n">
        <x:v>1</x:v>
      </x:c>
      <x:c r="L11" s="2" t="n">
        <x:v>5</x:v>
      </x:c>
      <x:c r="M11" s="2" t="n">
        <x:v>5</x:v>
      </x:c>
      <x:c r="N11" s="21" t="n">
        <x:v>68.15</x:v>
      </x:c>
      <x:c r="O11" s="21" t="n">
        <x:v>313.75</x:v>
      </x:c>
      <x:c r="P11" s="21" t="n">
        <x:v>313.75</x:v>
      </x:c>
      <x:c r="Q11" s="21" t="n">
        <x:v>420</x:v>
      </x:c>
      <x:c r="R11" s="22" t="n">
        <x:f>P11/Q11</x:f>
        <x:v>0.7470238095238095</x:v>
      </x:c>
      <x:c r="S11" s="23" t="n">
        <x:v>2.6480555555555556</x:v>
      </x:c>
      <x:c r="T11" s="2" t="str">
        <x:v>既知開発50場</x:v>
      </x:c>
    </x:row>
    <x:row r="12" ht="22" customHeight="1">
      <x:c r="A12" s="2" t="str">
        <x:v>PG04</x:v>
      </x:c>
      <x:c r="B12" s="20" t="d">
        <x:v>2026-09-23T17:00:00.000Z</x:v>
      </x:c>
      <x:c r="C12" s="2" t="str">
        <x:v>ナイト</x:v>
      </x:c>
      <x:c r="D12" s="2" t="str">
        <x:v>下落</x:v>
      </x:c>
      <x:c r="E12" s="19" t="n">
        <x:v>2694</x:v>
      </x:c>
      <x:c r="F12" s="19" t="n">
        <x:v>40384</x:v>
      </x:c>
      <x:c r="G12" s="19" t="n">
        <x:f>E12-F12</x:f>
        <x:v>-37690</x:v>
      </x:c>
      <x:c r="H12" s="19" t="n">
        <x:f>SUMIFS($G$7:$G$56,$B$7:$B$56,"&lt;="&amp;B12)</x:f>
        <x:v>-73531</x:v>
      </x:c>
      <x:c r="I12" s="19" t="n">
        <x:v>690</x:v>
      </x:c>
      <x:c r="J12" s="19" t="n">
        <x:v>-37000</x:v>
      </x:c>
      <x:c r="K12" s="2" t="n">
        <x:v>4</x:v>
      </x:c>
      <x:c r="L12" s="2" t="n">
        <x:v>9</x:v>
      </x:c>
      <x:c r="M12" s="2" t="n">
        <x:v>5</x:v>
      </x:c>
      <x:c r="N12" s="21" t="n">
        <x:v>358.03333333333336</x:v>
      </x:c>
      <x:c r="O12" s="21" t="n">
        <x:v>5.3</x:v>
      </x:c>
      <x:c r="P12" s="21" t="n">
        <x:v>5.3</x:v>
      </x:c>
      <x:c r="Q12" s="21" t="n">
        <x:v>600</x:v>
      </x:c>
      <x:c r="R12" s="22" t="n">
        <x:f>P12/Q12</x:f>
        <x:v>0.008833333333333334</x:v>
      </x:c>
      <x:c r="S12" s="23" t="n">
        <x:v>0.034305555555555554</x:v>
      </x:c>
      <x:c r="T12" s="2" t="str">
        <x:v>既知開発50場</x:v>
      </x:c>
    </x:row>
    <x:row r="13" ht="22" customHeight="1">
      <x:c r="A13" s="2" t="str">
        <x:v>PG04</x:v>
      </x:c>
      <x:c r="B13" s="20" t="d">
        <x:v>2026-09-24T08:45:00.000Z</x:v>
      </x:c>
      <x:c r="C13" s="2" t="str">
        <x:v>デイ</x:v>
      </x:c>
      <x:c r="D13" s="2" t="str">
        <x:v>下落</x:v>
      </x:c>
      <x:c r="E13" s="19" t="n">
        <x:v>63617</x:v>
      </x:c>
      <x:c r="F13" s="19" t="n">
        <x:v>60765</x:v>
      </x:c>
      <x:c r="G13" s="19" t="n">
        <x:f>E13-F13</x:f>
        <x:v>2852</x:v>
      </x:c>
      <x:c r="H13" s="19" t="n">
        <x:f>SUMIFS($G$7:$G$56,$B$7:$B$56,"&lt;="&amp;B13)</x:f>
        <x:v>-70679</x:v>
      </x:c>
      <x:c r="I13" s="19" t="n">
        <x:v>1148</x:v>
      </x:c>
      <x:c r="J13" s="19" t="n">
        <x:v>4000</x:v>
      </x:c>
      <x:c r="K13" s="2" t="n">
        <x:v>6</x:v>
      </x:c>
      <x:c r="L13" s="2" t="n">
        <x:v>15</x:v>
      </x:c>
      <x:c r="M13" s="2" t="n">
        <x:v>5</x:v>
      </x:c>
      <x:c r="N13" s="21" t="n">
        <x:v>28.283333333333335</x:v>
      </x:c>
      <x:c r="O13" s="21" t="n">
        <x:v>253.28333333333333</x:v>
      </x:c>
      <x:c r="P13" s="21" t="n">
        <x:v>253.28333333333333</x:v>
      </x:c>
      <x:c r="Q13" s="21" t="n">
        <x:v>420</x:v>
      </x:c>
      <x:c r="R13" s="22" t="n">
        <x:f>P13/Q13</x:f>
        <x:v>0.6030555555555556</x:v>
      </x:c>
      <x:c r="S13" s="23" t="n">
        <x:v>1.3848015873015873</x:v>
      </x:c>
      <x:c r="T13" s="2" t="str">
        <x:v>既知開発50場</x:v>
      </x:c>
    </x:row>
    <x:row r="14" ht="22" customHeight="1">
      <x:c r="A14" s="2" t="str">
        <x:v>PG04</x:v>
      </x:c>
      <x:c r="B14" s="20" t="d">
        <x:v>2026-09-24T17:00:00.000Z</x:v>
      </x:c>
      <x:c r="C14" s="2" t="str">
        <x:v>ナイト</x:v>
      </x:c>
      <x:c r="D14" s="2" t="str">
        <x:v>下落</x:v>
      </x:c>
      <x:c r="E14" s="19" t="n">
        <x:v>32619</x:v>
      </x:c>
      <x:c r="F14" s="19" t="n">
        <x:v>0</x:v>
      </x:c>
      <x:c r="G14" s="19" t="n">
        <x:f>E14-F14</x:f>
        <x:v>32619</x:v>
      </x:c>
      <x:c r="H14" s="19" t="n">
        <x:f>SUMIFS($G$7:$G$56,$B$7:$B$56,"&lt;="&amp;B14)</x:f>
        <x:v>-38060</x:v>
      </x:c>
      <x:c r="I14" s="19" t="n">
        <x:v>381</x:v>
      </x:c>
      <x:c r="J14" s="19" t="n">
        <x:v>33000</x:v>
      </x:c>
      <x:c r="K14" s="2" t="n">
        <x:v>4</x:v>
      </x:c>
      <x:c r="L14" s="2" t="n">
        <x:v>5</x:v>
      </x:c>
      <x:c r="M14" s="2" t="n">
        <x:v>5</x:v>
      </x:c>
      <x:c r="N14" s="21" t="n">
        <x:v>395.93333333333334</x:v>
      </x:c>
      <x:c r="O14" s="21" t="n">
        <x:v>99.11666666666666</x:v>
      </x:c>
      <x:c r="P14" s="21" t="n">
        <x:v>99.11666666666666</x:v>
      </x:c>
      <x:c r="Q14" s="21" t="n">
        <x:v>600</x:v>
      </x:c>
      <x:c r="R14" s="22" t="n">
        <x:f>P14/Q14</x:f>
        <x:v>0.16519444444444442</x:v>
      </x:c>
      <x:c r="S14" s="23" t="n">
        <x:v>0.2227222222222222</x:v>
      </x:c>
      <x:c r="T14" s="2" t="str">
        <x:v>既知開発50場</x:v>
      </x:c>
    </x:row>
    <x:row r="15" ht="22" customHeight="1">
      <x:c r="A15" s="2" t="str">
        <x:v>PG04</x:v>
      </x:c>
      <x:c r="B15" s="20" t="d">
        <x:v>2026-09-25T08:45:00.000Z</x:v>
      </x:c>
      <x:c r="C15" s="2" t="str">
        <x:v>デイ</x:v>
      </x:c>
      <x:c r="D15" s="2" t="str">
        <x:v>上昇</x:v>
      </x:c>
      <x:c r="E15" s="19" t="n">
        <x:v>145616</x:v>
      </x:c>
      <x:c r="F15" s="19" t="n">
        <x:v>0</x:v>
      </x:c>
      <x:c r="G15" s="19" t="n">
        <x:f>E15-F15</x:f>
        <x:v>145616</x:v>
      </x:c>
      <x:c r="H15" s="19" t="n">
        <x:f>SUMIFS($G$7:$G$56,$B$7:$B$56,"&lt;="&amp;B15)</x:f>
        <x:v>107556</x:v>
      </x:c>
      <x:c r="I15" s="19" t="n">
        <x:v>384</x:v>
      </x:c>
      <x:c r="J15" s="19" t="n">
        <x:v>146000</x:v>
      </x:c>
      <x:c r="K15" s="2" t="n">
        <x:v>1</x:v>
      </x:c>
      <x:c r="L15" s="2" t="n">
        <x:v>5</x:v>
      </x:c>
      <x:c r="M15" s="2" t="n">
        <x:v>5</x:v>
      </x:c>
      <x:c r="N15" s="21" t="n">
        <x:v>86.55</x:v>
      </x:c>
      <x:c r="O15" s="21" t="n">
        <x:v>323.45</x:v>
      </x:c>
      <x:c r="P15" s="21" t="n">
        <x:v>323.45</x:v>
      </x:c>
      <x:c r="Q15" s="21" t="n">
        <x:v>420</x:v>
      </x:c>
      <x:c r="R15" s="22" t="n">
        <x:f>P15/Q15</x:f>
        <x:v>0.7701190476190476</x:v>
      </x:c>
      <x:c r="S15" s="23" t="n">
        <x:v>2.364404761904762</x:v>
      </x:c>
      <x:c r="T15" s="2" t="str">
        <x:v>既知開発50場</x:v>
      </x:c>
    </x:row>
    <x:row r="16" ht="22" customHeight="1">
      <x:c r="A16" s="2" t="str">
        <x:v>PG04</x:v>
      </x:c>
      <x:c r="B16" s="20" t="d">
        <x:v>2026-09-25T17:00:00.000Z</x:v>
      </x:c>
      <x:c r="C16" s="2" t="str">
        <x:v>ナイト</x:v>
      </x:c>
      <x:c r="D16" s="2" t="str">
        <x:v>上昇</x:v>
      </x:c>
      <x:c r="E16" s="19" t="n">
        <x:v>11616</x:v>
      </x:c>
      <x:c r="F16" s="19" t="n">
        <x:v>32154</x:v>
      </x:c>
      <x:c r="G16" s="19" t="n">
        <x:f>E16-F16</x:f>
        <x:v>-20538</x:v>
      </x:c>
      <x:c r="H16" s="19" t="n">
        <x:f>SUMIFS($G$7:$G$56,$B$7:$B$56,"&lt;="&amp;B16)</x:f>
        <x:v>87018</x:v>
      </x:c>
      <x:c r="I16" s="19" t="n">
        <x:v>538</x:v>
      </x:c>
      <x:c r="J16" s="19" t="n">
        <x:v>-20000</x:v>
      </x:c>
      <x:c r="K16" s="2" t="n">
        <x:v>2</x:v>
      </x:c>
      <x:c r="L16" s="2" t="n">
        <x:v>7</x:v>
      </x:c>
      <x:c r="M16" s="2" t="n">
        <x:v>5</x:v>
      </x:c>
      <x:c r="N16" s="21" t="n">
        <x:v>347.8333333333333</x:v>
      </x:c>
      <x:c r="O16" s="21" t="n">
        <x:v>102.33333333333333</x:v>
      </x:c>
      <x:c r="P16" s="21" t="n">
        <x:v>102.33333333333333</x:v>
      </x:c>
      <x:c r="Q16" s="21" t="n">
        <x:v>600</x:v>
      </x:c>
      <x:c r="R16" s="22" t="n">
        <x:f>P16/Q16</x:f>
        <x:v>0.17055555555555554</x:v>
      </x:c>
      <x:c r="S16" s="23" t="n">
        <x:v>0.22261111111111112</x:v>
      </x:c>
      <x:c r="T16" s="2" t="str">
        <x:v>既知開発50場</x:v>
      </x:c>
    </x:row>
    <x:row r="17" ht="22" customHeight="1">
      <x:c r="A17" s="2" t="str">
        <x:v>PG04</x:v>
      </x:c>
      <x:c r="B17" s="20" t="d">
        <x:v>2026-09-28T08:45:00.000Z</x:v>
      </x:c>
      <x:c r="C17" s="2" t="str">
        <x:v>デイ</x:v>
      </x:c>
      <x:c r="D17" s="2" t="str">
        <x:v>下落</x:v>
      </x:c>
      <x:c r="E17" s="19" t="n">
        <x:v>261616</x:v>
      </x:c>
      <x:c r="F17" s="19" t="n">
        <x:v>97843</x:v>
      </x:c>
      <x:c r="G17" s="19" t="n">
        <x:f>E17-F17</x:f>
        <x:v>163773</x:v>
      </x:c>
      <x:c r="H17" s="19" t="n">
        <x:f>SUMIFS($G$7:$G$56,$B$7:$B$56,"&lt;="&amp;B17)</x:f>
        <x:v>250791</x:v>
      </x:c>
      <x:c r="I17" s="19" t="n">
        <x:v>1227</x:v>
      </x:c>
      <x:c r="J17" s="19" t="n">
        <x:v>165000</x:v>
      </x:c>
      <x:c r="K17" s="2" t="n">
        <x:v>6</x:v>
      </x:c>
      <x:c r="L17" s="2" t="n">
        <x:v>16</x:v>
      </x:c>
      <x:c r="M17" s="2" t="n">
        <x:v>8</x:v>
      </x:c>
      <x:c r="N17" s="21" t="n">
        <x:v>66.3</x:v>
      </x:c>
      <x:c r="O17" s="21" t="n">
        <x:v>331.28333333333336</x:v>
      </x:c>
      <x:c r="P17" s="21" t="n">
        <x:v>331.28333333333336</x:v>
      </x:c>
      <x:c r="Q17" s="21" t="n">
        <x:v>420</x:v>
      </x:c>
      <x:c r="R17" s="22" t="n">
        <x:f>P17/Q17</x:f>
        <x:v>0.7887698412698413</x:v>
      </x:c>
      <x:c r="S17" s="23" t="n">
        <x:v>3.026190476190476</x:v>
      </x:c>
      <x:c r="T17" s="2" t="str">
        <x:v>既知開発50場</x:v>
      </x:c>
    </x:row>
    <x:row r="18" ht="22" customHeight="1">
      <x:c r="A18" s="2" t="str">
        <x:v>PG04</x:v>
      </x:c>
      <x:c r="B18" s="20" t="d">
        <x:v>2026-09-28T17:00:00.000Z</x:v>
      </x:c>
      <x:c r="C18" s="2" t="str">
        <x:v>ナイト</x:v>
      </x:c>
      <x:c r="D18" s="2" t="str">
        <x:v>下落</x:v>
      </x:c>
      <x:c r="E18" s="19" t="n">
        <x:v>39847</x:v>
      </x:c>
      <x:c r="F18" s="19" t="n">
        <x:v>84384</x:v>
      </x:c>
      <x:c r="G18" s="19" t="n">
        <x:f>E18-F18</x:f>
        <x:v>-44537</x:v>
      </x:c>
      <x:c r="H18" s="19" t="n">
        <x:f>SUMIFS($G$7:$G$56,$B$7:$B$56,"&lt;="&amp;B18)</x:f>
        <x:v>206254</x:v>
      </x:c>
      <x:c r="I18" s="19" t="n">
        <x:v>537</x:v>
      </x:c>
      <x:c r="J18" s="19" t="n">
        <x:v>-44000</x:v>
      </x:c>
      <x:c r="K18" s="2" t="n">
        <x:v>4</x:v>
      </x:c>
      <x:c r="L18" s="2" t="n">
        <x:v>7</x:v>
      </x:c>
      <x:c r="M18" s="2" t="n">
        <x:v>3</x:v>
      </x:c>
      <x:c r="N18" s="21" t="n">
        <x:v>135.46666666666667</x:v>
      </x:c>
      <x:c r="O18" s="21" t="n">
        <x:v>208.11666666666667</x:v>
      </x:c>
      <x:c r="P18" s="21" t="n">
        <x:v>208.11666666666667</x:v>
      </x:c>
      <x:c r="Q18" s="21" t="n">
        <x:v>600</x:v>
      </x:c>
      <x:c r="R18" s="22" t="n">
        <x:f>P18/Q18</x:f>
        <x:v>0.3468611111111111</x:v>
      </x:c>
      <x:c r="S18" s="23" t="n">
        <x:v>0.4925833333333333</x:v>
      </x:c>
      <x:c r="T18" s="2" t="str">
        <x:v>既知開発50場</x:v>
      </x:c>
    </x:row>
    <x:row r="19" ht="22" customHeight="1">
      <x:c r="A19" s="2" t="str">
        <x:v>PG04</x:v>
      </x:c>
      <x:c r="B19" s="20" t="d">
        <x:v>2026-09-29T08:45:00.000Z</x:v>
      </x:c>
      <x:c r="C19" s="2" t="str">
        <x:v>デイ</x:v>
      </x:c>
      <x:c r="D19" s="2" t="str">
        <x:v>下落</x:v>
      </x:c>
      <x:c r="E19" s="19" t="n">
        <x:v>128616</x:v>
      </x:c>
      <x:c r="F19" s="19" t="n">
        <x:v>229</x:v>
      </x:c>
      <x:c r="G19" s="19" t="n">
        <x:f>E19-F19</x:f>
        <x:v>128387</x:v>
      </x:c>
      <x:c r="H19" s="19" t="n">
        <x:f>SUMIFS($G$7:$G$56,$B$7:$B$56,"&lt;="&amp;B19)</x:f>
        <x:v>334641</x:v>
      </x:c>
      <x:c r="I19" s="19" t="n">
        <x:v>613</x:v>
      </x:c>
      <x:c r="J19" s="19" t="n">
        <x:v>129000</x:v>
      </x:c>
      <x:c r="K19" s="2" t="n">
        <x:v>3</x:v>
      </x:c>
      <x:c r="L19" s="2" t="n">
        <x:v>8</x:v>
      </x:c>
      <x:c r="M19" s="2" t="n">
        <x:v>5</x:v>
      </x:c>
      <x:c r="N19" s="21" t="n">
        <x:v>66.68333333333334</x:v>
      </x:c>
      <x:c r="O19" s="21" t="n">
        <x:v>337.9166666666667</x:v>
      </x:c>
      <x:c r="P19" s="21" t="n">
        <x:v>337.9166666666667</x:v>
      </x:c>
      <x:c r="Q19" s="21" t="n">
        <x:v>420</x:v>
      </x:c>
      <x:c r="R19" s="22" t="n">
        <x:f>P19/Q19</x:f>
        <x:v>0.8045634920634921</x:v>
      </x:c>
      <x:c r="S19" s="23" t="n">
        <x:v>2.8929761904761904</x:v>
      </x:c>
      <x:c r="T19" s="2" t="str">
        <x:v>既知開発50場</x:v>
      </x:c>
    </x:row>
    <x:row r="20" ht="22" customHeight="1">
      <x:c r="A20" s="2" t="str">
        <x:v>PG04</x:v>
      </x:c>
      <x:c r="B20" s="20" t="d">
        <x:v>2026-09-29T17:00:00.000Z</x:v>
      </x:c>
      <x:c r="C20" s="2" t="str">
        <x:v>ナイト</x:v>
      </x:c>
      <x:c r="D20" s="2" t="str">
        <x:v>上昇</x:v>
      </x:c>
      <x:c r="E20" s="19" t="n">
        <x:v>75003</x:v>
      </x:c>
      <x:c r="F20" s="19" t="n">
        <x:v>44308</x:v>
      </x:c>
      <x:c r="G20" s="19" t="n">
        <x:f>E20-F20</x:f>
        <x:v>30695</x:v>
      </x:c>
      <x:c r="H20" s="19" t="n">
        <x:f>SUMIFS($G$7:$G$56,$B$7:$B$56,"&lt;="&amp;B20)</x:f>
        <x:v>365336</x:v>
      </x:c>
      <x:c r="I20" s="19" t="n">
        <x:v>1305</x:v>
      </x:c>
      <x:c r="J20" s="19" t="n">
        <x:v>32000</x:v>
      </x:c>
      <x:c r="K20" s="2" t="n">
        <x:v>6</x:v>
      </x:c>
      <x:c r="L20" s="2" t="n">
        <x:v>17</x:v>
      </x:c>
      <x:c r="M20" s="2" t="n">
        <x:v>5</x:v>
      </x:c>
      <x:c r="N20" s="21" t="n">
        <x:v>359.71666666666664</x:v>
      </x:c>
      <x:c r="O20" s="21" t="n">
        <x:v>248.13333333333333</x:v>
      </x:c>
      <x:c r="P20" s="21" t="n">
        <x:v>207.38333333333333</x:v>
      </x:c>
      <x:c r="Q20" s="21" t="n">
        <x:v>600</x:v>
      </x:c>
      <x:c r="R20" s="22" t="n">
        <x:f>P20/Q20</x:f>
        <x:v>0.3456388888888889</x:v>
      </x:c>
      <x:c r="S20" s="23" t="n">
        <x:v>0.9991666666666666</x:v>
      </x:c>
      <x:c r="T20" s="2" t="str">
        <x:v>既知開発50場</x:v>
      </x:c>
    </x:row>
    <x:row r="21" ht="22" customHeight="1">
      <x:c r="A21" s="2" t="str">
        <x:v>PG04</x:v>
      </x:c>
      <x:c r="B21" s="20" t="d">
        <x:v>2026-09-30T08:45:00.000Z</x:v>
      </x:c>
      <x:c r="C21" s="2" t="str">
        <x:v>デイ</x:v>
      </x:c>
      <x:c r="D21" s="2" t="str">
        <x:v>上昇</x:v>
      </x:c>
      <x:c r="E21" s="19" t="n">
        <x:v>174616</x:v>
      </x:c>
      <x:c r="F21" s="19" t="n">
        <x:v>90843</x:v>
      </x:c>
      <x:c r="G21" s="19" t="n">
        <x:f>E21-F21</x:f>
        <x:v>83773</x:v>
      </x:c>
      <x:c r="H21" s="19" t="n">
        <x:f>SUMIFS($G$7:$G$56,$B$7:$B$56,"&lt;="&amp;B21)</x:f>
        <x:v>449109</x:v>
      </x:c>
      <x:c r="I21" s="19" t="n">
        <x:v>1227</x:v>
      </x:c>
      <x:c r="J21" s="19" t="n">
        <x:v>85000</x:v>
      </x:c>
      <x:c r="K21" s="2" t="n">
        <x:v>6</x:v>
      </x:c>
      <x:c r="L21" s="2" t="n">
        <x:v>16</x:v>
      </x:c>
      <x:c r="M21" s="2" t="n">
        <x:v>5</x:v>
      </x:c>
      <x:c r="N21" s="21" t="n">
        <x:v>119.66666666666667</x:v>
      </x:c>
      <x:c r="O21" s="21" t="n">
        <x:v>244.06666666666666</x:v>
      </x:c>
      <x:c r="P21" s="21" t="n">
        <x:v>244.06666666666666</x:v>
      </x:c>
      <x:c r="Q21" s="21" t="n">
        <x:v>420</x:v>
      </x:c>
      <x:c r="R21" s="22" t="n">
        <x:f>P21/Q21</x:f>
        <x:v>0.5811111111111111</x:v>
      </x:c>
      <x:c r="S21" s="23" t="n">
        <x:v>1.5128174603174602</x:v>
      </x:c>
      <x:c r="T21" s="2" t="str">
        <x:v>既知開発50場</x:v>
      </x:c>
    </x:row>
    <x:row r="22" ht="22" customHeight="1">
      <x:c r="A22" s="2" t="str">
        <x:v>PG04</x:v>
      </x:c>
      <x:c r="B22" s="20" t="d">
        <x:v>2026-09-30T17:00:00.000Z</x:v>
      </x:c>
      <x:c r="C22" s="2" t="str">
        <x:v>ナイト</x:v>
      </x:c>
      <x:c r="D22" s="2" t="str">
        <x:v>下落</x:v>
      </x:c>
      <x:c r="E22" s="19" t="n">
        <x:v>25235</x:v>
      </x:c>
      <x:c r="F22" s="19" t="n">
        <x:v>0</x:v>
      </x:c>
      <x:c r="G22" s="19" t="n">
        <x:f>E22-F22</x:f>
        <x:v>25235</x:v>
      </x:c>
      <x:c r="H22" s="19" t="n">
        <x:f>SUMIFS($G$7:$G$56,$B$7:$B$56,"&lt;="&amp;B22)</x:f>
        <x:v>474344</x:v>
      </x:c>
      <x:c r="I22" s="19" t="n">
        <x:v>765</x:v>
      </x:c>
      <x:c r="J22" s="19" t="n">
        <x:v>26000</x:v>
      </x:c>
      <x:c r="K22" s="2" t="n">
        <x:v>5</x:v>
      </x:c>
      <x:c r="L22" s="2" t="n">
        <x:v>10</x:v>
      </x:c>
      <x:c r="M22" s="2" t="n">
        <x:v>10</x:v>
      </x:c>
      <x:c r="N22" s="21" t="n">
        <x:v>349.46666666666664</x:v>
      </x:c>
      <x:c r="O22" s="21" t="n">
        <x:v>96.58333333333333</x:v>
      </x:c>
      <x:c r="P22" s="21" t="n">
        <x:v>96.58333333333333</x:v>
      </x:c>
      <x:c r="Q22" s="21" t="n">
        <x:v>600</x:v>
      </x:c>
      <x:c r="R22" s="22" t="n">
        <x:f>P22/Q22</x:f>
        <x:v>0.1609722222222222</x:v>
      </x:c>
      <x:c r="S22" s="23" t="n">
        <x:v>0.5165</x:v>
      </x:c>
      <x:c r="T22" s="2" t="str">
        <x:v>既知開発50場</x:v>
      </x:c>
    </x:row>
    <x:row r="23" ht="22" customHeight="1">
      <x:c r="A23" s="2" t="str">
        <x:v>PG04</x:v>
      </x:c>
      <x:c r="B23" s="20" t="d">
        <x:v>2026-10-01T08:45:00.000Z</x:v>
      </x:c>
      <x:c r="C23" s="2" t="str">
        <x:v>デイ</x:v>
      </x:c>
      <x:c r="D23" s="2" t="str">
        <x:v>上昇</x:v>
      </x:c>
      <x:c r="E23" s="19" t="n">
        <x:v>239617</x:v>
      </x:c>
      <x:c r="F23" s="19" t="n">
        <x:v>84538</x:v>
      </x:c>
      <x:c r="G23" s="19" t="n">
        <x:f>E23-F23</x:f>
        <x:v>155079</x:v>
      </x:c>
      <x:c r="H23" s="19" t="n">
        <x:f>SUMIFS($G$7:$G$56,$B$7:$B$56,"&lt;="&amp;B23)</x:f>
        <x:v>629423</x:v>
      </x:c>
      <x:c r="I23" s="19" t="n">
        <x:v>921</x:v>
      </x:c>
      <x:c r="J23" s="19" t="n">
        <x:v>156000</x:v>
      </x:c>
      <x:c r="K23" s="2" t="n">
        <x:v>3</x:v>
      </x:c>
      <x:c r="L23" s="2" t="n">
        <x:v>12</x:v>
      </x:c>
      <x:c r="M23" s="2" t="n">
        <x:v>5</x:v>
      </x:c>
      <x:c r="N23" s="21" t="n">
        <x:v>88.93333333333334</x:v>
      </x:c>
      <x:c r="O23" s="21" t="n">
        <x:v>312.15</x:v>
      </x:c>
      <x:c r="P23" s="21" t="n">
        <x:v>312.15</x:v>
      </x:c>
      <x:c r="Q23" s="21" t="n">
        <x:v>420</x:v>
      </x:c>
      <x:c r="R23" s="22" t="n">
        <x:f>P23/Q23</x:f>
        <x:v>0.7432142857142856</x:v>
      </x:c>
      <x:c r="S23" s="23" t="n">
        <x:v>1.4843253968253969</x:v>
      </x:c>
      <x:c r="T23" s="2" t="str">
        <x:v>既知開発50場</x:v>
      </x:c>
    </x:row>
    <x:row r="24" ht="22" customHeight="1">
      <x:c r="A24" s="2" t="str">
        <x:v>PG04</x:v>
      </x:c>
      <x:c r="B24" s="20" t="d">
        <x:v>2026-10-01T17:00:00.000Z</x:v>
      </x:c>
      <x:c r="C24" s="2" t="str">
        <x:v>ナイト</x:v>
      </x:c>
      <x:c r="D24" s="2" t="str">
        <x:v>上昇</x:v>
      </x:c>
      <x:c r="E24" s="19" t="n">
        <x:v>153007</x:v>
      </x:c>
      <x:c r="F24" s="19" t="n">
        <x:v>103538</x:v>
      </x:c>
      <x:c r="G24" s="19" t="n">
        <x:f>E24-F24</x:f>
        <x:v>49469</x:v>
      </x:c>
      <x:c r="H24" s="19" t="n">
        <x:f>SUMIFS($G$7:$G$56,$B$7:$B$56,"&lt;="&amp;B24)</x:f>
        <x:v>678892</x:v>
      </x:c>
      <x:c r="I24" s="19" t="n">
        <x:v>1531</x:v>
      </x:c>
      <x:c r="J24" s="19" t="n">
        <x:v>51000</x:v>
      </x:c>
      <x:c r="K24" s="2" t="n">
        <x:v>12</x:v>
      </x:c>
      <x:c r="L24" s="2" t="n">
        <x:v>20</x:v>
      </x:c>
      <x:c r="M24" s="2" t="n">
        <x:v>5</x:v>
      </x:c>
      <x:c r="N24" s="21" t="n">
        <x:v>109.66666666666667</x:v>
      </x:c>
      <x:c r="O24" s="21" t="n">
        <x:v>456.76666666666665</x:v>
      </x:c>
      <x:c r="P24" s="21" t="n">
        <x:v>286.28333333333336</x:v>
      </x:c>
      <x:c r="Q24" s="21" t="n">
        <x:v>600</x:v>
      </x:c>
      <x:c r="R24" s="22" t="n">
        <x:f>P24/Q24</x:f>
        <x:v>0.47713888888888895</x:v>
      </x:c>
      <x:c r="S24" s="23" t="n">
        <x:v>0.88025</x:v>
      </x:c>
      <x:c r="T24" s="2" t="str">
        <x:v>既知開発50場</x:v>
      </x:c>
    </x:row>
    <x:row r="25" ht="22" customHeight="1">
      <x:c r="A25" s="2" t="str">
        <x:v>PG04</x:v>
      </x:c>
      <x:c r="B25" s="20" t="d">
        <x:v>2026-10-02T08:45:00.000Z</x:v>
      </x:c>
      <x:c r="C25" s="2" t="str">
        <x:v>デイ</x:v>
      </x:c>
      <x:c r="D25" s="2" t="str">
        <x:v>上昇</x:v>
      </x:c>
      <x:c r="E25" s="19" t="n">
        <x:v>67543</x:v>
      </x:c>
      <x:c r="F25" s="19" t="n">
        <x:v>65384</x:v>
      </x:c>
      <x:c r="G25" s="19" t="n">
        <x:f>E25-F25</x:f>
        <x:v>2159</x:v>
      </x:c>
      <x:c r="H25" s="19" t="n">
        <x:f>SUMIFS($G$7:$G$56,$B$7:$B$56,"&lt;="&amp;B25)</x:f>
        <x:v>681051</x:v>
      </x:c>
      <x:c r="I25" s="19" t="n">
        <x:v>841</x:v>
      </x:c>
      <x:c r="J25" s="19" t="n">
        <x:v>3000</x:v>
      </x:c>
      <x:c r="K25" s="2" t="n">
        <x:v>6</x:v>
      </x:c>
      <x:c r="L25" s="2" t="n">
        <x:v>11</x:v>
      </x:c>
      <x:c r="M25" s="2" t="n">
        <x:v>5</x:v>
      </x:c>
      <x:c r="N25" s="21" t="n">
        <x:v>25.783333333333335</x:v>
      </x:c>
      <x:c r="O25" s="21" t="n">
        <x:v>384.25</x:v>
      </x:c>
      <x:c r="P25" s="21" t="n">
        <x:v>384.25</x:v>
      </x:c>
      <x:c r="Q25" s="21" t="n">
        <x:v>420</x:v>
      </x:c>
      <x:c r="R25" s="22" t="n">
        <x:f>P25/Q25</x:f>
        <x:v>0.9148809523809524</x:v>
      </x:c>
      <x:c r="S25" s="23" t="n">
        <x:v>1.4180555555555556</x:v>
      </x:c>
      <x:c r="T25" s="2" t="str">
        <x:v>既知開発50場</x:v>
      </x:c>
    </x:row>
    <x:row r="26" ht="22" customHeight="1">
      <x:c r="A26" s="2" t="str">
        <x:v>PG04</x:v>
      </x:c>
      <x:c r="B26" s="20" t="d">
        <x:v>2026-10-02T17:00:00.000Z</x:v>
      </x:c>
      <x:c r="C26" s="2" t="str">
        <x:v>ナイト</x:v>
      </x:c>
      <x:c r="D26" s="2" t="str">
        <x:v>上昇</x:v>
      </x:c>
      <x:c r="E26" s="19" t="n">
        <x:v>273548</x:v>
      </x:c>
      <x:c r="F26" s="19" t="n">
        <x:v>0</x:v>
      </x:c>
      <x:c r="G26" s="19" t="n">
        <x:f>E26-F26</x:f>
        <x:v>273548</x:v>
      </x:c>
      <x:c r="H26" s="19" t="n">
        <x:f>SUMIFS($G$7:$G$56,$B$7:$B$56,"&lt;="&amp;B26)</x:f>
        <x:v>954599</x:v>
      </x:c>
      <x:c r="I26" s="19" t="n">
        <x:v>1452</x:v>
      </x:c>
      <x:c r="J26" s="19" t="n">
        <x:v>275000</x:v>
      </x:c>
      <x:c r="K26" s="2" t="n">
        <x:v>12</x:v>
      </x:c>
      <x:c r="L26" s="2" t="n">
        <x:v>19</x:v>
      </x:c>
      <x:c r="M26" s="2" t="n">
        <x:v>5</x:v>
      </x:c>
      <x:c r="N26" s="21" t="n">
        <x:v>71.05</x:v>
      </x:c>
      <x:c r="O26" s="21" t="n">
        <x:v>587.8</x:v>
      </x:c>
      <x:c r="P26" s="21" t="n">
        <x:v>492.46666666666664</x:v>
      </x:c>
      <x:c r="Q26" s="21" t="n">
        <x:v>600</x:v>
      </x:c>
      <x:c r="R26" s="22" t="n">
        <x:f>P26/Q26</x:f>
        <x:v>0.8207777777777777</x:v>
      </x:c>
      <x:c r="S26" s="23" t="n">
        <x:v>1.3452777777777778</x:v>
      </x:c>
      <x:c r="T26" s="2" t="str">
        <x:v>既知開発50場</x:v>
      </x:c>
    </x:row>
    <x:row r="27" ht="22" customHeight="1">
      <x:c r="A27" s="2" t="str">
        <x:v>PG04</x:v>
      </x:c>
      <x:c r="B27" s="20" t="d">
        <x:v>2026-10-05T08:45:00.000Z</x:v>
      </x:c>
      <x:c r="C27" s="2" t="str">
        <x:v>デイ</x:v>
      </x:c>
      <x:c r="D27" s="2" t="str">
        <x:v>上昇</x:v>
      </x:c>
      <x:c r="E27" s="19" t="n">
        <x:v>9311</x:v>
      </x:c>
      <x:c r="F27" s="19" t="n">
        <x:v>130071</x:v>
      </x:c>
      <x:c r="G27" s="19" t="n">
        <x:f>E27-F27</x:f>
        <x:v>-120760</x:v>
      </x:c>
      <x:c r="H27" s="19" t="n">
        <x:f>SUMIFS($G$7:$G$56,$B$7:$B$56,"&lt;="&amp;B27)</x:f>
        <x:v>833839</x:v>
      </x:c>
      <x:c r="I27" s="19" t="n">
        <x:v>2760</x:v>
      </x:c>
      <x:c r="J27" s="19" t="n">
        <x:v>-118000</x:v>
      </x:c>
      <x:c r="K27" s="2" t="n">
        <x:v>13</x:v>
      </x:c>
      <x:c r="L27" s="2" t="n">
        <x:v>36</x:v>
      </x:c>
      <x:c r="M27" s="2" t="n">
        <x:v>5</x:v>
      </x:c>
      <x:c r="N27" s="21" t="n">
        <x:v>26.133333333333333</x:v>
      </x:c>
      <x:c r="O27" s="21" t="n">
        <x:v>151.6</x:v>
      </x:c>
      <x:c r="P27" s="21" t="n">
        <x:v>151.6</x:v>
      </x:c>
      <x:c r="Q27" s="21" t="n">
        <x:v>420</x:v>
      </x:c>
      <x:c r="R27" s="22" t="n">
        <x:f>P27/Q27</x:f>
        <x:v>0.3609523809523809</x:v>
      </x:c>
      <x:c r="S27" s="23" t="n">
        <x:v>1.5467063492063493</x:v>
      </x:c>
      <x:c r="T27" s="2" t="str">
        <x:v>既知開発50場</x:v>
      </x:c>
    </x:row>
    <x:row r="28" ht="22" customHeight="1">
      <x:c r="A28" s="2" t="str">
        <x:v>PG04</x:v>
      </x:c>
      <x:c r="B28" s="20" t="d">
        <x:v>2026-10-05T17:00:00.000Z</x:v>
      </x:c>
      <x:c r="C28" s="2" t="str">
        <x:v>ナイト</x:v>
      </x:c>
      <x:c r="D28" s="2" t="str">
        <x:v>下落</x:v>
      </x:c>
      <x:c r="E28" s="19" t="n">
        <x:v>82619</x:v>
      </x:c>
      <x:c r="F28" s="19" t="n">
        <x:v>20384</x:v>
      </x:c>
      <x:c r="G28" s="19" t="n">
        <x:f>E28-F28</x:f>
        <x:v>62235</x:v>
      </x:c>
      <x:c r="H28" s="19" t="n">
        <x:f>SUMIFS($G$7:$G$56,$B$7:$B$56,"&lt;="&amp;B28)</x:f>
        <x:v>896074</x:v>
      </x:c>
      <x:c r="I28" s="19" t="n">
        <x:v>765</x:v>
      </x:c>
      <x:c r="J28" s="19" t="n">
        <x:v>63000</x:v>
      </x:c>
      <x:c r="K28" s="2" t="n">
        <x:v>5</x:v>
      </x:c>
      <x:c r="L28" s="2" t="n">
        <x:v>10</x:v>
      </x:c>
      <x:c r="M28" s="2" t="n">
        <x:v>5</x:v>
      </x:c>
      <x:c r="N28" s="21" t="n">
        <x:v>356.01666666666665</x:v>
      </x:c>
      <x:c r="O28" s="21" t="n">
        <x:v>98.65</x:v>
      </x:c>
      <x:c r="P28" s="21" t="n">
        <x:v>70.75</x:v>
      </x:c>
      <x:c r="Q28" s="21" t="n">
        <x:v>600</x:v>
      </x:c>
      <x:c r="R28" s="22" t="n">
        <x:f>P28/Q28</x:f>
        <x:v>0.11791666666666667</x:v>
      </x:c>
      <x:c r="S28" s="23" t="n">
        <x:v>0.2510833333333333</x:v>
      </x:c>
      <x:c r="T28" s="2" t="str">
        <x:v>既知開発50場</x:v>
      </x:c>
    </x:row>
    <x:row r="29" ht="22" customHeight="1">
      <x:c r="A29" s="2" t="str">
        <x:v>PG04</x:v>
      </x:c>
      <x:c r="B29" s="20" t="d">
        <x:v>2026-10-06T08:45:00.000Z</x:v>
      </x:c>
      <x:c r="C29" s="2" t="str">
        <x:v>デイ</x:v>
      </x:c>
      <x:c r="D29" s="2" t="str">
        <x:v>上昇</x:v>
      </x:c>
      <x:c r="E29" s="19" t="n">
        <x:v>304159</x:v>
      </x:c>
      <x:c r="F29" s="19" t="n">
        <x:v>74767</x:v>
      </x:c>
      <x:c r="G29" s="19" t="n">
        <x:f>E29-F29</x:f>
        <x:v>229392</x:v>
      </x:c>
      <x:c r="H29" s="19" t="n">
        <x:f>SUMIFS($G$7:$G$56,$B$7:$B$56,"&lt;="&amp;B29)</x:f>
        <x:v>1125466</x:v>
      </x:c>
      <x:c r="I29" s="19" t="n">
        <x:v>1608</x:v>
      </x:c>
      <x:c r="J29" s="19" t="n">
        <x:v>231000</x:v>
      </x:c>
      <x:c r="K29" s="2" t="n">
        <x:v>10</x:v>
      </x:c>
      <x:c r="L29" s="2" t="n">
        <x:v>21</x:v>
      </x:c>
      <x:c r="M29" s="2" t="n">
        <x:v>7</x:v>
      </x:c>
      <x:c r="N29" s="21" t="n">
        <x:v>48.916666666666664</x:v>
      </x:c>
      <x:c r="O29" s="21" t="n">
        <x:v>325.23333333333335</x:v>
      </x:c>
      <x:c r="P29" s="21" t="n">
        <x:v>325.23333333333335</x:v>
      </x:c>
      <x:c r="Q29" s="21" t="n">
        <x:v>420</x:v>
      </x:c>
      <x:c r="R29" s="22" t="n">
        <x:f>P29/Q29</x:f>
        <x:v>0.7743650793650794</x:v>
      </x:c>
      <x:c r="S29" s="23" t="n">
        <x:v>3.1611507936507937</x:v>
      </x:c>
      <x:c r="T29" s="2" t="str">
        <x:v>既知開発50場</x:v>
      </x:c>
    </x:row>
    <x:row r="30" ht="22" customHeight="1">
      <x:c r="A30" s="2" t="str">
        <x:v>PG04</x:v>
      </x:c>
      <x:c r="B30" s="20" t="d">
        <x:v>2026-10-06T17:00:00.000Z</x:v>
      </x:c>
      <x:c r="C30" s="2" t="str">
        <x:v>ナイト</x:v>
      </x:c>
      <x:c r="D30" s="2" t="str">
        <x:v>下落</x:v>
      </x:c>
      <x:c r="E30" s="19" t="n">
        <x:v>43619</x:v>
      </x:c>
      <x:c r="F30" s="19" t="n">
        <x:v>51538</x:v>
      </x:c>
      <x:c r="G30" s="19" t="n">
        <x:f>E30-F30</x:f>
        <x:v>-7919</x:v>
      </x:c>
      <x:c r="H30" s="19" t="n">
        <x:f>SUMIFS($G$7:$G$56,$B$7:$B$56,"&lt;="&amp;B30)</x:f>
        <x:v>1117547</x:v>
      </x:c>
      <x:c r="I30" s="19" t="n">
        <x:v>919</x:v>
      </x:c>
      <x:c r="J30" s="19" t="n">
        <x:v>-7000</x:v>
      </x:c>
      <x:c r="K30" s="2" t="n">
        <x:v>6</x:v>
      </x:c>
      <x:c r="L30" s="2" t="n">
        <x:v>12</x:v>
      </x:c>
      <x:c r="M30" s="2" t="n">
        <x:v>8</x:v>
      </x:c>
      <x:c r="N30" s="21" t="n">
        <x:v>349.78333333333336</x:v>
      </x:c>
      <x:c r="O30" s="21" t="n">
        <x:v>329.01666666666665</x:v>
      </x:c>
      <x:c r="P30" s="21" t="n">
        <x:v>159</x:v>
      </x:c>
      <x:c r="Q30" s="21" t="n">
        <x:v>600</x:v>
      </x:c>
      <x:c r="R30" s="22" t="n">
        <x:f>P30/Q30</x:f>
        <x:v>0.265</x:v>
      </x:c>
      <x:c r="S30" s="23" t="n">
        <x:v>0.72275</x:v>
      </x:c>
      <x:c r="T30" s="2" t="str">
        <x:v>既知開発50場</x:v>
      </x:c>
    </x:row>
    <x:row r="31" ht="22" customHeight="1">
      <x:c r="A31" s="2" t="str">
        <x:v>PG04</x:v>
      </x:c>
      <x:c r="B31" s="20" t="d">
        <x:v>2026-10-07T08:45:00.000Z</x:v>
      </x:c>
      <x:c r="C31" s="2" t="str">
        <x:v>デイ</x:v>
      </x:c>
      <x:c r="D31" s="2" t="str">
        <x:v>下落</x:v>
      </x:c>
      <x:c r="E31" s="19" t="n">
        <x:v>38616</x:v>
      </x:c>
      <x:c r="F31" s="19" t="n">
        <x:v>42538</x:v>
      </x:c>
      <x:c r="G31" s="19" t="n">
        <x:f>E31-F31</x:f>
        <x:v>-3922</x:v>
      </x:c>
      <x:c r="H31" s="19" t="n">
        <x:f>SUMIFS($G$7:$G$56,$B$7:$B$56,"&lt;="&amp;B31)</x:f>
        <x:v>1113625</x:v>
      </x:c>
      <x:c r="I31" s="19" t="n">
        <x:v>922</x:v>
      </x:c>
      <x:c r="J31" s="19" t="n">
        <x:v>-3000</x:v>
      </x:c>
      <x:c r="K31" s="2" t="n">
        <x:v>3</x:v>
      </x:c>
      <x:c r="L31" s="2" t="n">
        <x:v>12</x:v>
      </x:c>
      <x:c r="M31" s="2" t="n">
        <x:v>5</x:v>
      </x:c>
      <x:c r="N31" s="21" t="n">
        <x:v>60.56666666666667</x:v>
      </x:c>
      <x:c r="O31" s="21" t="n">
        <x:v>24.266666666666666</x:v>
      </x:c>
      <x:c r="P31" s="21" t="n">
        <x:v>24.266666666666666</x:v>
      </x:c>
      <x:c r="Q31" s="21" t="n">
        <x:v>420</x:v>
      </x:c>
      <x:c r="R31" s="22" t="n">
        <x:f>P31/Q31</x:f>
        <x:v>0.057777777777777775</x:v>
      </x:c>
      <x:c r="S31" s="23" t="n">
        <x:v>0.21833333333333332</x:v>
      </x:c>
      <x:c r="T31" s="2" t="str">
        <x:v>既知開発50場</x:v>
      </x:c>
    </x:row>
    <x:row r="32" ht="22" customHeight="1">
      <x:c r="A32" s="2" t="str">
        <x:v>PG04</x:v>
      </x:c>
      <x:c r="B32" s="20" t="d">
        <x:v>2026-10-07T17:00:00.000Z</x:v>
      </x:c>
      <x:c r="C32" s="2" t="str">
        <x:v>ナイト</x:v>
      </x:c>
      <x:c r="D32" s="2" t="str">
        <x:v>下落</x:v>
      </x:c>
      <x:c r="E32" s="19" t="n">
        <x:v>0</x:v>
      </x:c>
      <x:c r="F32" s="19" t="n">
        <x:v>59460</x:v>
      </x:c>
      <x:c r="G32" s="19" t="n">
        <x:f>E32-F32</x:f>
        <x:v>-59460</x:v>
      </x:c>
      <x:c r="H32" s="19" t="n">
        <x:f>SUMIFS($G$7:$G$56,$B$7:$B$56,"&lt;="&amp;B32)</x:f>
        <x:v>1054165</x:v>
      </x:c>
      <x:c r="I32" s="19" t="n">
        <x:v>460</x:v>
      </x:c>
      <x:c r="J32" s="19" t="n">
        <x:v>-59000</x:v>
      </x:c>
      <x:c r="K32" s="2" t="n">
        <x:v>4</x:v>
      </x:c>
      <x:c r="L32" s="2" t="n">
        <x:v>6</x:v>
      </x:c>
      <x:c r="M32" s="2" t="n">
        <x:v>3</x:v>
      </x:c>
      <x:c r="N32" s="21" t="n">
        <x:v>235.05</x:v>
      </x:c>
      <x:c r="O32" s="21" t="n">
        <x:v>40.6</x:v>
      </x:c>
      <x:c r="P32" s="21" t="n">
        <x:v>40.6</x:v>
      </x:c>
      <x:c r="Q32" s="21" t="n">
        <x:v>600</x:v>
      </x:c>
      <x:c r="R32" s="22" t="n">
        <x:f>P32/Q32</x:f>
        <x:v>0.06766666666666667</x:v>
      </x:c>
      <x:c r="S32" s="23" t="n">
        <x:v>0.18911111111111112</x:v>
      </x:c>
      <x:c r="T32" s="2" t="str">
        <x:v>既知開発50場</x:v>
      </x:c>
    </x:row>
    <x:row r="33" ht="22" customHeight="1">
      <x:c r="A33" s="2" t="str">
        <x:v>PG04</x:v>
      </x:c>
      <x:c r="B33" s="20" t="d">
        <x:v>2026-10-08T08:45:00.000Z</x:v>
      </x:c>
      <x:c r="C33" s="2" t="str">
        <x:v>デイ</x:v>
      </x:c>
      <x:c r="D33" s="2" t="str">
        <x:v>下落</x:v>
      </x:c>
      <x:c r="E33" s="19" t="n">
        <x:v>116003</x:v>
      </x:c>
      <x:c r="F33" s="19" t="n">
        <x:v>133611</x:v>
      </x:c>
      <x:c r="G33" s="19" t="n">
        <x:f>E33-F33</x:f>
        <x:v>-17608</x:v>
      </x:c>
      <x:c r="H33" s="19" t="n">
        <x:f>SUMIFS($G$7:$G$56,$B$7:$B$56,"&lt;="&amp;B33)</x:f>
        <x:v>1036557</x:v>
      </x:c>
      <x:c r="I33" s="19" t="n">
        <x:v>2608</x:v>
      </x:c>
      <x:c r="J33" s="19" t="n">
        <x:v>-15000</x:v>
      </x:c>
      <x:c r="K33" s="2" t="n">
        <x:v>11</x:v>
      </x:c>
      <x:c r="L33" s="2" t="n">
        <x:v>34</x:v>
      </x:c>
      <x:c r="M33" s="2" t="n">
        <x:v>5</x:v>
      </x:c>
      <x:c r="N33" s="21" t="n">
        <x:v>33.6</x:v>
      </x:c>
      <x:c r="O33" s="21" t="n">
        <x:v>144.35</x:v>
      </x:c>
      <x:c r="P33" s="21" t="n">
        <x:v>144.35</x:v>
      </x:c>
      <x:c r="Q33" s="21" t="n">
        <x:v>420</x:v>
      </x:c>
      <x:c r="R33" s="22" t="n">
        <x:f>P33/Q33</x:f>
        <x:v>0.34369047619047616</x:v>
      </x:c>
      <x:c r="S33" s="23" t="n">
        <x:v>1.0451587301587302</x:v>
      </x:c>
      <x:c r="T33" s="2" t="str">
        <x:v>既知開発50場</x:v>
      </x:c>
    </x:row>
    <x:row r="34" ht="22" customHeight="1">
      <x:c r="A34" s="2" t="str">
        <x:v>PG04</x:v>
      </x:c>
      <x:c r="B34" s="20" t="d">
        <x:v>2026-10-08T17:00:00.000Z</x:v>
      </x:c>
      <x:c r="C34" s="2" t="str">
        <x:v>ナイト</x:v>
      </x:c>
      <x:c r="D34" s="2" t="str">
        <x:v>下落</x:v>
      </x:c>
      <x:c r="E34" s="19" t="n">
        <x:v>142470</x:v>
      </x:c>
      <x:c r="F34" s="19" t="n">
        <x:v>0</x:v>
      </x:c>
      <x:c r="G34" s="19" t="n">
        <x:f>E34-F34</x:f>
        <x:v>142470</x:v>
      </x:c>
      <x:c r="H34" s="19" t="n">
        <x:f>SUMIFS($G$7:$G$56,$B$7:$B$56,"&lt;="&amp;B34)</x:f>
        <x:v>1179027</x:v>
      </x:c>
      <x:c r="I34" s="19" t="n">
        <x:v>1530</x:v>
      </x:c>
      <x:c r="J34" s="19" t="n">
        <x:v>144000</x:v>
      </x:c>
      <x:c r="K34" s="2" t="n">
        <x:v>10</x:v>
      </x:c>
      <x:c r="L34" s="2" t="n">
        <x:v>20</x:v>
      </x:c>
      <x:c r="M34" s="2" t="n">
        <x:v>7</x:v>
      </x:c>
      <x:c r="N34" s="21" t="n">
        <x:v>103.98333333333333</x:v>
      </x:c>
      <x:c r="O34" s="21" t="n">
        <x:v>335.6666666666667</x:v>
      </x:c>
      <x:c r="P34" s="21" t="n">
        <x:v>335.6666666666667</x:v>
      </x:c>
      <x:c r="Q34" s="21" t="n">
        <x:v>600</x:v>
      </x:c>
      <x:c r="R34" s="22" t="n">
        <x:f>P34/Q34</x:f>
        <x:v>0.5594444444444445</x:v>
      </x:c>
      <x:c r="S34" s="23" t="n">
        <x:v>1.0455</x:v>
      </x:c>
      <x:c r="T34" s="2" t="str">
        <x:v>既知開発50場</x:v>
      </x:c>
    </x:row>
    <x:row r="35" ht="22" customHeight="1">
      <x:c r="A35" s="2" t="str">
        <x:v>PG04</x:v>
      </x:c>
      <x:c r="B35" s="20" t="d">
        <x:v>2026-10-09T08:45:00.000Z</x:v>
      </x:c>
      <x:c r="C35" s="2" t="str">
        <x:v>デイ</x:v>
      </x:c>
      <x:c r="D35" s="2" t="str">
        <x:v>上昇</x:v>
      </x:c>
      <x:c r="E35" s="19" t="n">
        <x:v>103616</x:v>
      </x:c>
      <x:c r="F35" s="19" t="n">
        <x:v>25383</x:v>
      </x:c>
      <x:c r="G35" s="19" t="n">
        <x:f>E35-F35</x:f>
        <x:v>78233</x:v>
      </x:c>
      <x:c r="H35" s="19" t="n">
        <x:f>SUMIFS($G$7:$G$56,$B$7:$B$56,"&lt;="&amp;B35)</x:f>
        <x:v>1257260</x:v>
      </x:c>
      <x:c r="I35" s="19" t="n">
        <x:v>767</x:v>
      </x:c>
      <x:c r="J35" s="19" t="n">
        <x:v>79000</x:v>
      </x:c>
      <x:c r="K35" s="2" t="n">
        <x:v>4</x:v>
      </x:c>
      <x:c r="L35" s="2" t="n">
        <x:v>10</x:v>
      </x:c>
      <x:c r="M35" s="2" t="n">
        <x:v>5</x:v>
      </x:c>
      <x:c r="N35" s="21" t="n">
        <x:v>25.95</x:v>
      </x:c>
      <x:c r="O35" s="21" t="n">
        <x:v>204.78333333333333</x:v>
      </x:c>
      <x:c r="P35" s="21" t="n">
        <x:v>204.78333333333333</x:v>
      </x:c>
      <x:c r="Q35" s="21" t="n">
        <x:v>420</x:v>
      </x:c>
      <x:c r="R35" s="22" t="n">
        <x:f>P35/Q35</x:f>
        <x:v>0.48757936507936506</x:v>
      </x:c>
      <x:c r="S35" s="23" t="n">
        <x:v>0.6878968253968254</x:v>
      </x:c>
      <x:c r="T35" s="2" t="str">
        <x:v>既知開発50場</x:v>
      </x:c>
    </x:row>
    <x:row r="36" ht="22" customHeight="1">
      <x:c r="A36" s="2" t="str">
        <x:v>PG04</x:v>
      </x:c>
      <x:c r="B36" s="20" t="d">
        <x:v>2026-10-09T17:00:00.000Z</x:v>
      </x:c>
      <x:c r="C36" s="2" t="str">
        <x:v>ナイト</x:v>
      </x:c>
      <x:c r="D36" s="2" t="str">
        <x:v>下落</x:v>
      </x:c>
      <x:c r="E36" s="19" t="n">
        <x:v>13616</x:v>
      </x:c>
      <x:c r="F36" s="19" t="n">
        <x:v>0</x:v>
      </x:c>
      <x:c r="G36" s="19" t="n">
        <x:f>E36-F36</x:f>
        <x:v>13616</x:v>
      </x:c>
      <x:c r="H36" s="19" t="n">
        <x:f>SUMIFS($G$7:$G$56,$B$7:$B$56,"&lt;="&amp;B36)</x:f>
        <x:v>1270876</x:v>
      </x:c>
      <x:c r="I36" s="19" t="n">
        <x:v>384</x:v>
      </x:c>
      <x:c r="J36" s="19" t="n">
        <x:v>14000</x:v>
      </x:c>
      <x:c r="K36" s="2" t="n">
        <x:v>1</x:v>
      </x:c>
      <x:c r="L36" s="2" t="n">
        <x:v>5</x:v>
      </x:c>
      <x:c r="M36" s="2" t="n">
        <x:v>5</x:v>
      </x:c>
      <x:c r="N36" s="21" t="n">
        <x:v>360.06666666666666</x:v>
      </x:c>
      <x:c r="O36" s="21" t="n">
        <x:v>412.53333333333336</x:v>
      </x:c>
      <x:c r="P36" s="21" t="n">
        <x:v>239.93333333333334</x:v>
      </x:c>
      <x:c r="Q36" s="21" t="n">
        <x:v>600</x:v>
      </x:c>
      <x:c r="R36" s="22" t="n">
        <x:f>P36/Q36</x:f>
        <x:v>0.3998888888888889</x:v>
      </x:c>
      <x:c r="S36" s="23" t="n">
        <x:v>0.47933333333333333</x:v>
      </x:c>
      <x:c r="T36" s="2" t="str">
        <x:v>既知開発50場</x:v>
      </x:c>
    </x:row>
    <x:row r="37" ht="22" customHeight="1">
      <x:c r="A37" s="2" t="str">
        <x:v>PG04</x:v>
      </x:c>
      <x:c r="B37" s="20" t="d">
        <x:v>2026-10-12T08:45:00.000Z</x:v>
      </x:c>
      <x:c r="C37" s="2" t="str">
        <x:v>デイ</x:v>
      </x:c>
      <x:c r="D37" s="2" t="str">
        <x:v>下落</x:v>
      </x:c>
      <x:c r="E37" s="19" t="n">
        <x:v>32616</x:v>
      </x:c>
      <x:c r="F37" s="19" t="n">
        <x:v>53538</x:v>
      </x:c>
      <x:c r="G37" s="19" t="n">
        <x:f>E37-F37</x:f>
        <x:v>-20922</x:v>
      </x:c>
      <x:c r="H37" s="19" t="n">
        <x:f>SUMIFS($G$7:$G$56,$B$7:$B$56,"&lt;="&amp;B37)</x:f>
        <x:v>1249954</x:v>
      </x:c>
      <x:c r="I37" s="19" t="n">
        <x:v>922</x:v>
      </x:c>
      <x:c r="J37" s="19" t="n">
        <x:v>-20000</x:v>
      </x:c>
      <x:c r="K37" s="2" t="n">
        <x:v>3</x:v>
      </x:c>
      <x:c r="L37" s="2" t="n">
        <x:v>12</x:v>
      </x:c>
      <x:c r="M37" s="2" t="n">
        <x:v>5</x:v>
      </x:c>
      <x:c r="N37" s="21" t="n">
        <x:v>76.48333333333333</x:v>
      </x:c>
      <x:c r="O37" s="21" t="n">
        <x:v>287.26666666666665</x:v>
      </x:c>
      <x:c r="P37" s="21" t="n">
        <x:v>287.26666666666665</x:v>
      </x:c>
      <x:c r="Q37" s="21" t="n">
        <x:v>420</x:v>
      </x:c>
      <x:c r="R37" s="22" t="n">
        <x:f>P37/Q37</x:f>
        <x:v>0.6839682539682539</x:v>
      </x:c>
      <x:c r="S37" s="23" t="n">
        <x:v>2.387777777777778</x:v>
      </x:c>
      <x:c r="T37" s="2" t="str">
        <x:v>既知開発50場</x:v>
      </x:c>
    </x:row>
    <x:row r="38" ht="22" customHeight="1">
      <x:c r="A38" s="2" t="str">
        <x:v>PG04</x:v>
      </x:c>
      <x:c r="B38" s="20" t="d">
        <x:v>2026-10-12T17:00:00.000Z</x:v>
      </x:c>
      <x:c r="C38" s="2" t="str">
        <x:v>ナイト</x:v>
      </x:c>
      <x:c r="D38" s="2" t="str">
        <x:v>下落</x:v>
      </x:c>
      <x:c r="E38" s="19" t="n">
        <x:v>106616</x:v>
      </x:c>
      <x:c r="F38" s="19" t="n">
        <x:v>0</x:v>
      </x:c>
      <x:c r="G38" s="19" t="n">
        <x:f>E38-F38</x:f>
        <x:v>106616</x:v>
      </x:c>
      <x:c r="H38" s="19" t="n">
        <x:f>SUMIFS($G$7:$G$56,$B$7:$B$56,"&lt;="&amp;B38)</x:f>
        <x:v>1356570</x:v>
      </x:c>
      <x:c r="I38" s="19" t="n">
        <x:v>384</x:v>
      </x:c>
      <x:c r="J38" s="19" t="n">
        <x:v>107000</x:v>
      </x:c>
      <x:c r="K38" s="2" t="n">
        <x:v>1</x:v>
      </x:c>
      <x:c r="L38" s="2" t="n">
        <x:v>5</x:v>
      </x:c>
      <x:c r="M38" s="2" t="n">
        <x:v>5</x:v>
      </x:c>
      <x:c r="N38" s="21" t="n">
        <x:v>360.21666666666664</x:v>
      </x:c>
      <x:c r="O38" s="21" t="n">
        <x:v>409.98333333333335</x:v>
      </x:c>
      <x:c r="P38" s="21" t="n">
        <x:v>239.78333333333333</x:v>
      </x:c>
      <x:c r="Q38" s="21" t="n">
        <x:v>600</x:v>
      </x:c>
      <x:c r="R38" s="22" t="n">
        <x:f>P38/Q38</x:f>
        <x:v>0.3996388888888889</x:v>
      </x:c>
      <x:c r="S38" s="23" t="n">
        <x:v>0.4706388888888889</x:v>
      </x:c>
      <x:c r="T38" s="2" t="str">
        <x:v>既知開発50場</x:v>
      </x:c>
    </x:row>
    <x:row r="39" ht="22" customHeight="1">
      <x:c r="A39" s="2" t="str">
        <x:v>PG04</x:v>
      </x:c>
      <x:c r="B39" s="20" t="d">
        <x:v>2026-10-13T08:45:00.000Z</x:v>
      </x:c>
      <x:c r="C39" s="2" t="str">
        <x:v>デイ</x:v>
      </x:c>
      <x:c r="D39" s="2" t="str">
        <x:v>下落</x:v>
      </x:c>
      <x:c r="E39" s="19" t="n">
        <x:v>67774</x:v>
      </x:c>
      <x:c r="F39" s="19" t="n">
        <x:v>91692</x:v>
      </x:c>
      <x:c r="G39" s="19" t="n">
        <x:f>E39-F39</x:f>
        <x:v>-23918</x:v>
      </x:c>
      <x:c r="H39" s="19" t="n">
        <x:f>SUMIFS($G$7:$G$56,$B$7:$B$56,"&lt;="&amp;B39)</x:f>
        <x:v>1332652</x:v>
      </x:c>
      <x:c r="I39" s="19" t="n">
        <x:v>1918</x:v>
      </x:c>
      <x:c r="J39" s="19" t="n">
        <x:v>-22000</x:v>
      </x:c>
      <x:c r="K39" s="2" t="n">
        <x:v>9</x:v>
      </x:c>
      <x:c r="L39" s="2" t="n">
        <x:v>25</x:v>
      </x:c>
      <x:c r="M39" s="2" t="n">
        <x:v>5</x:v>
      </x:c>
      <x:c r="N39" s="21" t="n">
        <x:v>28.466666666666665</x:v>
      </x:c>
      <x:c r="O39" s="21" t="n">
        <x:v>325.15</x:v>
      </x:c>
      <x:c r="P39" s="21" t="n">
        <x:v>325.15</x:v>
      </x:c>
      <x:c r="Q39" s="21" t="n">
        <x:v>420</x:v>
      </x:c>
      <x:c r="R39" s="22" t="n">
        <x:f>P39/Q39</x:f>
        <x:v>0.7741666666666666</x:v>
      </x:c>
      <x:c r="S39" s="23" t="n">
        <x:v>2.6552380952380954</x:v>
      </x:c>
      <x:c r="T39" s="2" t="str">
        <x:v>既知開発50場</x:v>
      </x:c>
    </x:row>
    <x:row r="40" ht="22" customHeight="1">
      <x:c r="A40" s="2" t="str">
        <x:v>PG04</x:v>
      </x:c>
      <x:c r="B40" s="20" t="d">
        <x:v>2026-10-13T17:00:00.000Z</x:v>
      </x:c>
      <x:c r="C40" s="2" t="str">
        <x:v>ナイト</x:v>
      </x:c>
      <x:c r="D40" s="2" t="str">
        <x:v>上昇</x:v>
      </x:c>
      <x:c r="E40" s="19" t="n">
        <x:v>0</x:v>
      </x:c>
      <x:c r="F40" s="19" t="n">
        <x:v>61538</x:v>
      </x:c>
      <x:c r="G40" s="19" t="n">
        <x:f>E40-F40</x:f>
        <x:v>-61538</x:v>
      </x:c>
      <x:c r="H40" s="19" t="n">
        <x:f>SUMIFS($G$7:$G$56,$B$7:$B$56,"&lt;="&amp;B40)</x:f>
        <x:v>1271114</x:v>
      </x:c>
      <x:c r="I40" s="19" t="n">
        <x:v>538</x:v>
      </x:c>
      <x:c r="J40" s="19" t="n">
        <x:v>-61000</x:v>
      </x:c>
      <x:c r="K40" s="2" t="n">
        <x:v>2</x:v>
      </x:c>
      <x:c r="L40" s="2" t="n">
        <x:v>7</x:v>
      </x:c>
      <x:c r="M40" s="2" t="n">
        <x:v>5</x:v>
      </x:c>
      <x:c r="N40" s="21" t="n">
        <x:v>360.23333333333335</x:v>
      </x:c>
      <x:c r="O40" s="21" t="n">
        <x:v>7.2</x:v>
      </x:c>
      <x:c r="P40" s="21" t="n">
        <x:v>7.2</x:v>
      </x:c>
      <x:c r="Q40" s="21" t="n">
        <x:v>600</x:v>
      </x:c>
      <x:c r="R40" s="22" t="n">
        <x:f>P40/Q40</x:f>
        <x:v>0.012</x:v>
      </x:c>
      <x:c r="S40" s="23" t="n">
        <x:v>0.04625</x:v>
      </x:c>
      <x:c r="T40" s="2" t="str">
        <x:v>既知開発50場</x:v>
      </x:c>
    </x:row>
    <x:row r="41" ht="22" customHeight="1">
      <x:c r="A41" s="2" t="str">
        <x:v>PG04</x:v>
      </x:c>
      <x:c r="B41" s="20" t="d">
        <x:v>2026-10-14T08:45:00.000Z</x:v>
      </x:c>
      <x:c r="C41" s="2" t="str">
        <x:v>デイ</x:v>
      </x:c>
      <x:c r="D41" s="2" t="str">
        <x:v>上昇</x:v>
      </x:c>
      <x:c r="E41" s="19" t="n">
        <x:v>148232</x:v>
      </x:c>
      <x:c r="F41" s="19" t="n">
        <x:v>5384</x:v>
      </x:c>
      <x:c r="G41" s="19" t="n">
        <x:f>E41-F41</x:f>
        <x:v>142848</x:v>
      </x:c>
      <x:c r="H41" s="19" t="n">
        <x:f>SUMIFS($G$7:$G$56,$B$7:$B$56,"&lt;="&amp;B41)</x:f>
        <x:v>1413962</x:v>
      </x:c>
      <x:c r="I41" s="19" t="n">
        <x:v>1152</x:v>
      </x:c>
      <x:c r="J41" s="19" t="n">
        <x:v>144000</x:v>
      </x:c>
      <x:c r="K41" s="2" t="n">
        <x:v>3</x:v>
      </x:c>
      <x:c r="L41" s="2" t="n">
        <x:v>15</x:v>
      </x:c>
      <x:c r="M41" s="2" t="n">
        <x:v>5</x:v>
      </x:c>
      <x:c r="N41" s="21" t="n">
        <x:v>225</x:v>
      </x:c>
      <x:c r="O41" s="21" t="n">
        <x:v>126.98333333333333</x:v>
      </x:c>
      <x:c r="P41" s="21" t="n">
        <x:v>126.98333333333333</x:v>
      </x:c>
      <x:c r="Q41" s="21" t="n">
        <x:v>420</x:v>
      </x:c>
      <x:c r="R41" s="22" t="n">
        <x:f>P41/Q41</x:f>
        <x:v>0.30234126984126986</x:v>
      </x:c>
      <x:c r="S41" s="23" t="n">
        <x:v>0.8426587301587302</x:v>
      </x:c>
      <x:c r="T41" s="2" t="str">
        <x:v>既知開発50場</x:v>
      </x:c>
    </x:row>
    <x:row r="42" ht="22" customHeight="1">
      <x:c r="A42" s="2" t="str">
        <x:v>PG04</x:v>
      </x:c>
      <x:c r="B42" s="20" t="d">
        <x:v>2026-10-14T17:00:00.000Z</x:v>
      </x:c>
      <x:c r="C42" s="2" t="str">
        <x:v>ナイト</x:v>
      </x:c>
      <x:c r="D42" s="2" t="str">
        <x:v>下落</x:v>
      </x:c>
      <x:c r="E42" s="19" t="n">
        <x:v>235616</x:v>
      </x:c>
      <x:c r="F42" s="19" t="n">
        <x:v>137538</x:v>
      </x:c>
      <x:c r="G42" s="19" t="n">
        <x:f>E42-F42</x:f>
        <x:v>98078</x:v>
      </x:c>
      <x:c r="H42" s="19" t="n">
        <x:f>SUMIFS($G$7:$G$56,$B$7:$B$56,"&lt;="&amp;B42)</x:f>
        <x:v>1512040</x:v>
      </x:c>
      <x:c r="I42" s="19" t="n">
        <x:v>922</x:v>
      </x:c>
      <x:c r="J42" s="19" t="n">
        <x:v>99000</x:v>
      </x:c>
      <x:c r="K42" s="2" t="n">
        <x:v>5</x:v>
      </x:c>
      <x:c r="L42" s="2" t="n">
        <x:v>12</x:v>
      </x:c>
      <x:c r="M42" s="2" t="n">
        <x:v>5</x:v>
      </x:c>
      <x:c r="N42" s="21" t="n">
        <x:v>360</x:v>
      </x:c>
      <x:c r="O42" s="21" t="n">
        <x:v>398.18333333333334</x:v>
      </x:c>
      <x:c r="P42" s="21" t="n">
        <x:v>227.95</x:v>
      </x:c>
      <x:c r="Q42" s="21" t="n">
        <x:v>600</x:v>
      </x:c>
      <x:c r="R42" s="22" t="n">
        <x:f>P42/Q42</x:f>
        <x:v>0.3799166666666666</x:v>
      </x:c>
      <x:c r="S42" s="23" t="n">
        <x:v>1.0969166666666668</x:v>
      </x:c>
      <x:c r="T42" s="2" t="str">
        <x:v>既知開発50場</x:v>
      </x:c>
    </x:row>
    <x:row r="43" ht="22" customHeight="1">
      <x:c r="A43" s="2" t="str">
        <x:v>PG04</x:v>
      </x:c>
      <x:c r="B43" s="20" t="d">
        <x:v>2026-10-15T08:45:00.000Z</x:v>
      </x:c>
      <x:c r="C43" s="2" t="str">
        <x:v>デイ</x:v>
      </x:c>
      <x:c r="D43" s="2" t="str">
        <x:v>下落</x:v>
      </x:c>
      <x:c r="E43" s="19" t="n">
        <x:v>439159</x:v>
      </x:c>
      <x:c r="F43" s="19" t="n">
        <x:v>0</x:v>
      </x:c>
      <x:c r="G43" s="19" t="n">
        <x:f>E43-F43</x:f>
        <x:v>439159</x:v>
      </x:c>
      <x:c r="H43" s="19" t="n">
        <x:f>SUMIFS($G$7:$G$56,$B$7:$B$56,"&lt;="&amp;B43)</x:f>
        <x:v>1951199</x:v>
      </x:c>
      <x:c r="I43" s="19" t="n">
        <x:v>841</x:v>
      </x:c>
      <x:c r="J43" s="19" t="n">
        <x:v>440000</x:v>
      </x:c>
      <x:c r="K43" s="2" t="n">
        <x:v>6</x:v>
      </x:c>
      <x:c r="L43" s="2" t="n">
        <x:v>11</x:v>
      </x:c>
      <x:c r="M43" s="2" t="n">
        <x:v>6</x:v>
      </x:c>
      <x:c r="N43" s="21" t="n">
        <x:v>22.5</x:v>
      </x:c>
      <x:c r="O43" s="21" t="n">
        <x:v>387.5</x:v>
      </x:c>
      <x:c r="P43" s="21" t="n">
        <x:v>387.5</x:v>
      </x:c>
      <x:c r="Q43" s="21" t="n">
        <x:v>420</x:v>
      </x:c>
      <x:c r="R43" s="22" t="n">
        <x:f>P43/Q43</x:f>
        <x:v>0.9226190476190477</x:v>
      </x:c>
      <x:c r="S43" s="23" t="n">
        <x:v>2.430833333333333</x:v>
      </x:c>
      <x:c r="T43" s="2" t="str">
        <x:v>既知開発50場</x:v>
      </x:c>
    </x:row>
    <x:row r="44" ht="22" customHeight="1">
      <x:c r="A44" s="2" t="str">
        <x:v>PG04</x:v>
      </x:c>
      <x:c r="B44" s="20" t="d">
        <x:v>2026-10-15T17:00:00.000Z</x:v>
      </x:c>
      <x:c r="C44" s="2" t="str">
        <x:v>ナイト</x:v>
      </x:c>
      <x:c r="D44" s="2" t="str">
        <x:v>上昇</x:v>
      </x:c>
      <x:c r="E44" s="19" t="n">
        <x:v>127237</x:v>
      </x:c>
      <x:c r="F44" s="19" t="n">
        <x:v>60154</x:v>
      </x:c>
      <x:c r="G44" s="19" t="n">
        <x:f>E44-F44</x:f>
        <x:v>67083</x:v>
      </x:c>
      <x:c r="H44" s="19" t="n">
        <x:f>SUMIFS($G$7:$G$56,$B$7:$B$56,"&lt;="&amp;B44)</x:f>
        <x:v>2018282</x:v>
      </x:c>
      <x:c r="I44" s="19" t="n">
        <x:v>917</x:v>
      </x:c>
      <x:c r="J44" s="19" t="n">
        <x:v>68000</x:v>
      </x:c>
      <x:c r="K44" s="2" t="n">
        <x:v>9</x:v>
      </x:c>
      <x:c r="L44" s="2" t="n">
        <x:v>12</x:v>
      </x:c>
      <x:c r="M44" s="2" t="n">
        <x:v>5</x:v>
      </x:c>
      <x:c r="N44" s="21" t="n">
        <x:v>361.31666666666666</x:v>
      </x:c>
      <x:c r="O44" s="21" t="n">
        <x:v>308.9166666666667</x:v>
      </x:c>
      <x:c r="P44" s="21" t="n">
        <x:v>138.51666666666668</x:v>
      </x:c>
      <x:c r="Q44" s="21" t="n">
        <x:v>600</x:v>
      </x:c>
      <x:c r="R44" s="22" t="n">
        <x:f>P44/Q44</x:f>
        <x:v>0.23086111111111113</x:v>
      </x:c>
      <x:c r="S44" s="23" t="n">
        <x:v>0.8014722222222223</x:v>
      </x:c>
      <x:c r="T44" s="2" t="str">
        <x:v>既知開発50場</x:v>
      </x:c>
    </x:row>
    <x:row r="45" ht="22" customHeight="1">
      <x:c r="A45" s="2" t="str">
        <x:v>PG04</x:v>
      </x:c>
      <x:c r="B45" s="20" t="d">
        <x:v>2026-10-16T08:45:00.000Z</x:v>
      </x:c>
      <x:c r="C45" s="2" t="str">
        <x:v>デイ</x:v>
      </x:c>
      <x:c r="D45" s="2" t="str">
        <x:v>上昇</x:v>
      </x:c>
      <x:c r="E45" s="19" t="n">
        <x:v>68003</x:v>
      </x:c>
      <x:c r="F45" s="19" t="n">
        <x:v>170300</x:v>
      </x:c>
      <x:c r="G45" s="19" t="n">
        <x:f>E45-F45</x:f>
        <x:v>-102297</x:v>
      </x:c>
      <x:c r="H45" s="19" t="n">
        <x:f>SUMIFS($G$7:$G$56,$B$7:$B$56,"&lt;="&amp;B45)</x:f>
        <x:v>1915985</x:v>
      </x:c>
      <x:c r="I45" s="19" t="n">
        <x:v>3297</x:v>
      </x:c>
      <x:c r="J45" s="19" t="n">
        <x:v>-99000</x:v>
      </x:c>
      <x:c r="K45" s="2" t="n">
        <x:v>15</x:v>
      </x:c>
      <x:c r="L45" s="2" t="n">
        <x:v>43</x:v>
      </x:c>
      <x:c r="M45" s="2" t="n">
        <x:v>10</x:v>
      </x:c>
      <x:c r="N45" s="21" t="n">
        <x:v>24.816666666666666</x:v>
      </x:c>
      <x:c r="O45" s="21" t="n">
        <x:v>214.81666666666666</x:v>
      </x:c>
      <x:c r="P45" s="21" t="n">
        <x:v>214.81666666666666</x:v>
      </x:c>
      <x:c r="Q45" s="21" t="n">
        <x:v>420</x:v>
      </x:c>
      <x:c r="R45" s="22" t="n">
        <x:f>P45/Q45</x:f>
        <x:v>0.5114682539682539</x:v>
      </x:c>
      <x:c r="S45" s="23" t="n">
        <x:v>1.6632936507936509</x:v>
      </x:c>
      <x:c r="T45" s="2" t="str">
        <x:v>既知開発50場</x:v>
      </x:c>
    </x:row>
    <x:row r="46" ht="22" customHeight="1">
      <x:c r="A46" s="2" t="str">
        <x:v>PG04</x:v>
      </x:c>
      <x:c r="B46" s="20" t="d">
        <x:v>2026-10-16T17:00:00.000Z</x:v>
      </x:c>
      <x:c r="C46" s="2" t="str">
        <x:v>ナイト</x:v>
      </x:c>
      <x:c r="D46" s="2" t="str">
        <x:v>下落</x:v>
      </x:c>
      <x:c r="E46" s="19" t="n">
        <x:v>153851</x:v>
      </x:c>
      <x:c r="F46" s="19" t="n">
        <x:v>136997</x:v>
      </x:c>
      <x:c r="G46" s="19" t="n">
        <x:f>E46-F46</x:f>
        <x:v>16854</x:v>
      </x:c>
      <x:c r="H46" s="19" t="n">
        <x:f>SUMIFS($G$7:$G$56,$B$7:$B$56,"&lt;="&amp;B46)</x:f>
        <x:v>1932839</x:v>
      </x:c>
      <x:c r="I46" s="19" t="n">
        <x:v>2146</x:v>
      </x:c>
      <x:c r="J46" s="19" t="n">
        <x:v>19000</x:v>
      </x:c>
      <x:c r="K46" s="2" t="n">
        <x:v>13</x:v>
      </x:c>
      <x:c r="L46" s="2" t="n">
        <x:v>28</x:v>
      </x:c>
      <x:c r="M46" s="2" t="n">
        <x:v>6</x:v>
      </x:c>
      <x:c r="N46" s="21" t="n">
        <x:v>45.46666666666667</x:v>
      </x:c>
      <x:c r="O46" s="21" t="n">
        <x:v>396.9166666666667</x:v>
      </x:c>
      <x:c r="P46" s="21" t="n">
        <x:v>241.21666666666667</x:v>
      </x:c>
      <x:c r="Q46" s="21" t="n">
        <x:v>600</x:v>
      </x:c>
      <x:c r="R46" s="22" t="n">
        <x:f>P46/Q46</x:f>
        <x:v>0.40202777777777776</x:v>
      </x:c>
      <x:c r="S46" s="23" t="n">
        <x:v>0.6838888888888889</x:v>
      </x:c>
      <x:c r="T46" s="2" t="str">
        <x:v>既知開発50場</x:v>
      </x:c>
    </x:row>
    <x:row r="47" ht="22" customHeight="1">
      <x:c r="A47" s="2" t="str">
        <x:v>PG04</x:v>
      </x:c>
      <x:c r="B47" s="20" t="d">
        <x:v>2026-10-19T08:45:00.000Z</x:v>
      </x:c>
      <x:c r="C47" s="2" t="str">
        <x:v>デイ</x:v>
      </x:c>
      <x:c r="D47" s="2" t="str">
        <x:v>上昇</x:v>
      </x:c>
      <x:c r="E47" s="19" t="n">
        <x:v>190235</x:v>
      </x:c>
      <x:c r="F47" s="19" t="n">
        <x:v>42308</x:v>
      </x:c>
      <x:c r="G47" s="19" t="n">
        <x:f>E47-F47</x:f>
        <x:v>147927</x:v>
      </x:c>
      <x:c r="H47" s="19" t="n">
        <x:f>SUMIFS($G$7:$G$56,$B$7:$B$56,"&lt;="&amp;B47)</x:f>
        <x:v>2080766</x:v>
      </x:c>
      <x:c r="I47" s="19" t="n">
        <x:v>1073</x:v>
      </x:c>
      <x:c r="J47" s="19" t="n">
        <x:v>149000</x:v>
      </x:c>
      <x:c r="K47" s="2" t="n">
        <x:v>7</x:v>
      </x:c>
      <x:c r="L47" s="2" t="n">
        <x:v>14</x:v>
      </x:c>
      <x:c r="M47" s="2" t="n">
        <x:v>5</x:v>
      </x:c>
      <x:c r="N47" s="21" t="n">
        <x:v>55.7</x:v>
      </x:c>
      <x:c r="O47" s="21" t="n">
        <x:v>338.6166666666667</x:v>
      </x:c>
      <x:c r="P47" s="21" t="n">
        <x:v>338.6166666666667</x:v>
      </x:c>
      <x:c r="Q47" s="21" t="n">
        <x:v>420</x:v>
      </x:c>
      <x:c r="R47" s="22" t="n">
        <x:f>P47/Q47</x:f>
        <x:v>0.8062301587301588</x:v>
      </x:c>
      <x:c r="S47" s="23" t="n">
        <x:v>3.6592460317460316</x:v>
      </x:c>
      <x:c r="T47" s="2" t="str">
        <x:v>既知開発50場</x:v>
      </x:c>
    </x:row>
    <x:row r="48" ht="22" customHeight="1">
      <x:c r="A48" s="2" t="str">
        <x:v>PG04</x:v>
      </x:c>
      <x:c r="B48" s="20" t="d">
        <x:v>2026-10-19T17:00:00.000Z</x:v>
      </x:c>
      <x:c r="C48" s="2" t="str">
        <x:v>ナイト</x:v>
      </x:c>
      <x:c r="D48" s="2" t="str">
        <x:v>上昇</x:v>
      </x:c>
      <x:c r="E48" s="19" t="n">
        <x:v>67235</x:v>
      </x:c>
      <x:c r="F48" s="19" t="n">
        <x:v>53384</x:v>
      </x:c>
      <x:c r="G48" s="19" t="n">
        <x:f>E48-F48</x:f>
        <x:v>13851</x:v>
      </x:c>
      <x:c r="H48" s="19" t="n">
        <x:f>SUMIFS($G$7:$G$56,$B$7:$B$56,"&lt;="&amp;B48)</x:f>
        <x:v>2094617</x:v>
      </x:c>
      <x:c r="I48" s="19" t="n">
        <x:v>1149</x:v>
      </x:c>
      <x:c r="J48" s="19" t="n">
        <x:v>15000</x:v>
      </x:c>
      <x:c r="K48" s="2" t="n">
        <x:v>8</x:v>
      </x:c>
      <x:c r="L48" s="2" t="n">
        <x:v>15</x:v>
      </x:c>
      <x:c r="M48" s="2" t="n">
        <x:v>5</x:v>
      </x:c>
      <x:c r="N48" s="21" t="n">
        <x:v>349.46666666666664</x:v>
      </x:c>
      <x:c r="O48" s="21" t="n">
        <x:v>290.3</x:v>
      </x:c>
      <x:c r="P48" s="21" t="n">
        <x:v>205.58333333333334</x:v>
      </x:c>
      <x:c r="Q48" s="21" t="n">
        <x:v>600</x:v>
      </x:c>
      <x:c r="R48" s="22" t="n">
        <x:f>P48/Q48</x:f>
        <x:v>0.3426388888888889</x:v>
      </x:c>
      <x:c r="S48" s="23" t="n">
        <x:v>0.6616388888888889</x:v>
      </x:c>
      <x:c r="T48" s="2" t="str">
        <x:v>既知開発50場</x:v>
      </x:c>
    </x:row>
    <x:row r="49" ht="22" customHeight="1">
      <x:c r="A49" s="2" t="str">
        <x:v>PG04</x:v>
      </x:c>
      <x:c r="B49" s="20" t="d">
        <x:v>2026-10-20T08:45:00.000Z</x:v>
      </x:c>
      <x:c r="C49" s="2" t="str">
        <x:v>デイ</x:v>
      </x:c>
      <x:c r="D49" s="2" t="str">
        <x:v>下落</x:v>
      </x:c>
      <x:c r="E49" s="19" t="n">
        <x:v>120622</x:v>
      </x:c>
      <x:c r="F49" s="19" t="n">
        <x:v>135076</x:v>
      </x:c>
      <x:c r="G49" s="19" t="n">
        <x:f>E49-F49</x:f>
        <x:v>-14454</x:v>
      </x:c>
      <x:c r="H49" s="19" t="n">
        <x:f>SUMIFS($G$7:$G$56,$B$7:$B$56,"&lt;="&amp;B49)</x:f>
        <x:v>2080163</x:v>
      </x:c>
      <x:c r="I49" s="19" t="n">
        <x:v>2454</x:v>
      </x:c>
      <x:c r="J49" s="19" t="n">
        <x:v>-12000</x:v>
      </x:c>
      <x:c r="K49" s="2" t="n">
        <x:v>12</x:v>
      </x:c>
      <x:c r="L49" s="2" t="n">
        <x:v>32</x:v>
      </x:c>
      <x:c r="M49" s="2" t="n">
        <x:v>5</x:v>
      </x:c>
      <x:c r="N49" s="21" t="n">
        <x:v>22.716666666666665</x:v>
      </x:c>
      <x:c r="O49" s="21" t="n">
        <x:v>191.83333333333334</x:v>
      </x:c>
      <x:c r="P49" s="21" t="n">
        <x:v>191.83333333333334</x:v>
      </x:c>
      <x:c r="Q49" s="21" t="n">
        <x:v>420</x:v>
      </x:c>
      <x:c r="R49" s="22" t="n">
        <x:f>P49/Q49</x:f>
        <x:v>0.4567460317460318</x:v>
      </x:c>
      <x:c r="S49" s="23" t="n">
        <x:v>1.3308730158730158</x:v>
      </x:c>
      <x:c r="T49" s="2" t="str">
        <x:v>既知開発50場</x:v>
      </x:c>
    </x:row>
    <x:row r="50" ht="22" customHeight="1">
      <x:c r="A50" s="2" t="str">
        <x:v>PG04</x:v>
      </x:c>
      <x:c r="B50" s="20" t="d">
        <x:v>2026-10-20T17:00:00.000Z</x:v>
      </x:c>
      <x:c r="C50" s="2" t="str">
        <x:v>ナイト</x:v>
      </x:c>
      <x:c r="D50" s="2" t="str">
        <x:v>上昇</x:v>
      </x:c>
      <x:c r="E50" s="19" t="n">
        <x:v>516855</x:v>
      </x:c>
      <x:c r="F50" s="19" t="n">
        <x:v>0</x:v>
      </x:c>
      <x:c r="G50" s="19" t="n">
        <x:f>E50-F50</x:f>
        <x:v>516855</x:v>
      </x:c>
      <x:c r="H50" s="19" t="n">
        <x:f>SUMIFS($G$7:$G$56,$B$7:$B$56,"&lt;="&amp;B50)</x:f>
        <x:v>2597018</x:v>
      </x:c>
      <x:c r="I50" s="19" t="n">
        <x:v>1145</x:v>
      </x:c>
      <x:c r="J50" s="19" t="n">
        <x:v>518000</x:v>
      </x:c>
      <x:c r="K50" s="2" t="n">
        <x:v>11</x:v>
      </x:c>
      <x:c r="L50" s="2" t="n">
        <x:v>15</x:v>
      </x:c>
      <x:c r="M50" s="2" t="n">
        <x:v>7</x:v>
      </x:c>
      <x:c r="N50" s="21" t="n">
        <x:v>272.3333333333333</x:v>
      </x:c>
      <x:c r="O50" s="21" t="n">
        <x:v>445.23333333333335</x:v>
      </x:c>
      <x:c r="P50" s="21" t="n">
        <x:v>274.9</x:v>
      </x:c>
      <x:c r="Q50" s="21" t="n">
        <x:v>600</x:v>
      </x:c>
      <x:c r="R50" s="22" t="n">
        <x:f>P50/Q50</x:f>
        <x:v>0.4581666666666666</x:v>
      </x:c>
      <x:c r="S50" s="23" t="n">
        <x:v>1.3680555555555556</x:v>
      </x:c>
      <x:c r="T50" s="2" t="str">
        <x:v>既知開発50場</x:v>
      </x:c>
    </x:row>
    <x:row r="51" ht="22" customHeight="1">
      <x:c r="A51" s="2" t="str">
        <x:v>PG04</x:v>
      </x:c>
      <x:c r="B51" s="20" t="d">
        <x:v>2026-10-21T08:45:00.000Z</x:v>
      </x:c>
      <x:c r="C51" s="2" t="str">
        <x:v>デイ</x:v>
      </x:c>
      <x:c r="D51" s="2" t="str">
        <x:v>下落</x:v>
      </x:c>
      <x:c r="E51" s="19" t="n">
        <x:v>146159</x:v>
      </x:c>
      <x:c r="F51" s="19" t="n">
        <x:v>201920</x:v>
      </x:c>
      <x:c r="G51" s="19" t="n">
        <x:f>E51-F51</x:f>
        <x:v>-55761</x:v>
      </x:c>
      <x:c r="H51" s="19" t="n">
        <x:f>SUMIFS($G$7:$G$56,$B$7:$B$56,"&lt;="&amp;B51)</x:f>
        <x:v>2541257</x:v>
      </x:c>
      <x:c r="I51" s="19" t="n">
        <x:v>2761</x:v>
      </x:c>
      <x:c r="J51" s="19" t="n">
        <x:v>-53000</x:v>
      </x:c>
      <x:c r="K51" s="2" t="n">
        <x:v>11</x:v>
      </x:c>
      <x:c r="L51" s="2" t="n">
        <x:v>36</x:v>
      </x:c>
      <x:c r="M51" s="2" t="n">
        <x:v>6</x:v>
      </x:c>
      <x:c r="N51" s="21" t="n">
        <x:v>50</x:v>
      </x:c>
      <x:c r="O51" s="21" t="n">
        <x:v>360</x:v>
      </x:c>
      <x:c r="P51" s="21" t="n">
        <x:v>360</x:v>
      </x:c>
      <x:c r="Q51" s="21" t="n">
        <x:v>420</x:v>
      </x:c>
      <x:c r="R51" s="22" t="n">
        <x:f>P51/Q51</x:f>
        <x:v>0.8571428571428571</x:v>
      </x:c>
      <x:c r="S51" s="23" t="n">
        <x:v>2.0131746031746034</x:v>
      </x:c>
      <x:c r="T51" s="2" t="str">
        <x:v>既知開発50場</x:v>
      </x:c>
    </x:row>
    <x:row r="52" ht="22" customHeight="1">
      <x:c r="A52" s="2" t="str">
        <x:v>PG04</x:v>
      </x:c>
      <x:c r="B52" s="20" t="d">
        <x:v>2026-10-21T17:00:00.000Z</x:v>
      </x:c>
      <x:c r="C52" s="2" t="str">
        <x:v>ナイト</x:v>
      </x:c>
      <x:c r="D52" s="2" t="str">
        <x:v>上昇</x:v>
      </x:c>
      <x:c r="E52" s="19" t="n">
        <x:v>48235</x:v>
      </x:c>
      <x:c r="F52" s="19" t="n">
        <x:v>85768</x:v>
      </x:c>
      <x:c r="G52" s="19" t="n">
        <x:f>E52-F52</x:f>
        <x:v>-37533</x:v>
      </x:c>
      <x:c r="H52" s="19" t="n">
        <x:f>SUMIFS($G$7:$G$56,$B$7:$B$56,"&lt;="&amp;B52)</x:f>
        <x:v>2503724</x:v>
      </x:c>
      <x:c r="I52" s="19" t="n">
        <x:v>1533</x:v>
      </x:c>
      <x:c r="J52" s="19" t="n">
        <x:v>-36000</x:v>
      </x:c>
      <x:c r="K52" s="2" t="n">
        <x:v>7</x:v>
      </x:c>
      <x:c r="L52" s="2" t="n">
        <x:v>20</x:v>
      </x:c>
      <x:c r="M52" s="2" t="n">
        <x:v>10</x:v>
      </x:c>
      <x:c r="N52" s="21" t="n">
        <x:v>360</x:v>
      </x:c>
      <x:c r="O52" s="21" t="n">
        <x:v>289.76666666666665</x:v>
      </x:c>
      <x:c r="P52" s="21" t="n">
        <x:v>240</x:v>
      </x:c>
      <x:c r="Q52" s="21" t="n">
        <x:v>600</x:v>
      </x:c>
      <x:c r="R52" s="22" t="n">
        <x:f>P52/Q52</x:f>
        <x:v>0.4</x:v>
      </x:c>
      <x:c r="S52" s="23" t="n">
        <x:v>1.7929166666666667</x:v>
      </x:c>
      <x:c r="T52" s="2" t="str">
        <x:v>既知開発50場</x:v>
      </x:c>
    </x:row>
    <x:row r="53" ht="22" customHeight="1">
      <x:c r="A53" s="2" t="str">
        <x:v>PG04</x:v>
      </x:c>
      <x:c r="B53" s="20" t="d">
        <x:v>2026-10-22T08:45:00.000Z</x:v>
      </x:c>
      <x:c r="C53" s="2" t="str">
        <x:v>デイ</x:v>
      </x:c>
      <x:c r="D53" s="2" t="str">
        <x:v>下落</x:v>
      </x:c>
      <x:c r="E53" s="19" t="n">
        <x:v>949159</x:v>
      </x:c>
      <x:c r="F53" s="19" t="n">
        <x:v>0</x:v>
      </x:c>
      <x:c r="G53" s="19" t="n">
        <x:f>E53-F53</x:f>
        <x:v>949159</x:v>
      </x:c>
      <x:c r="H53" s="19" t="n">
        <x:f>SUMIFS($G$7:$G$56,$B$7:$B$56,"&lt;="&amp;B53)</x:f>
        <x:v>3452883</x:v>
      </x:c>
      <x:c r="I53" s="19" t="n">
        <x:v>841</x:v>
      </x:c>
      <x:c r="J53" s="19" t="n">
        <x:v>950000</x:v>
      </x:c>
      <x:c r="K53" s="2" t="n">
        <x:v>6</x:v>
      </x:c>
      <x:c r="L53" s="2" t="n">
        <x:v>11</x:v>
      </x:c>
      <x:c r="M53" s="2" t="n">
        <x:v>10</x:v>
      </x:c>
      <x:c r="N53" s="21" t="n">
        <x:v>29</x:v>
      </x:c>
      <x:c r="O53" s="21" t="n">
        <x:v>381</x:v>
      </x:c>
      <x:c r="P53" s="21" t="n">
        <x:v>381</x:v>
      </x:c>
      <x:c r="Q53" s="21" t="n">
        <x:v>420</x:v>
      </x:c>
      <x:c r="R53" s="22" t="n">
        <x:f>P53/Q53</x:f>
        <x:v>0.9071428571428571</x:v>
      </x:c>
      <x:c r="S53" s="23" t="n">
        <x:v>6.07984126984127</x:v>
      </x:c>
      <x:c r="T53" s="2" t="str">
        <x:v>既知開発50場</x:v>
      </x:c>
    </x:row>
    <x:row r="54" ht="22" customHeight="1">
      <x:c r="A54" s="2" t="str">
        <x:v>PG04</x:v>
      </x:c>
      <x:c r="B54" s="20" t="d">
        <x:v>2026-10-22T17:00:00.000Z</x:v>
      </x:c>
      <x:c r="C54" s="2" t="str">
        <x:v>ナイト</x:v>
      </x:c>
      <x:c r="D54" s="2" t="str">
        <x:v>下落</x:v>
      </x:c>
      <x:c r="E54" s="19" t="n">
        <x:v>190235</x:v>
      </x:c>
      <x:c r="F54" s="19" t="n">
        <x:v>0</x:v>
      </x:c>
      <x:c r="G54" s="19" t="n">
        <x:f>E54-F54</x:f>
        <x:v>190235</x:v>
      </x:c>
      <x:c r="H54" s="19" t="n">
        <x:f>SUMIFS($G$7:$G$56,$B$7:$B$56,"&lt;="&amp;B54)</x:f>
        <x:v>3643118</x:v>
      </x:c>
      <x:c r="I54" s="19" t="n">
        <x:v>765</x:v>
      </x:c>
      <x:c r="J54" s="19" t="n">
        <x:v>191000</x:v>
      </x:c>
      <x:c r="K54" s="2" t="n">
        <x:v>5</x:v>
      </x:c>
      <x:c r="L54" s="2" t="n">
        <x:v>10</x:v>
      </x:c>
      <x:c r="M54" s="2" t="n">
        <x:v>6</x:v>
      </x:c>
      <x:c r="N54" s="21" t="n">
        <x:v>364.46666666666664</x:v>
      </x:c>
      <x:c r="O54" s="21" t="n">
        <x:v>219.35</x:v>
      </x:c>
      <x:c r="P54" s="21" t="n">
        <x:v>219.35</x:v>
      </x:c>
      <x:c r="Q54" s="21" t="n">
        <x:v>600</x:v>
      </x:c>
      <x:c r="R54" s="22" t="n">
        <x:f>P54/Q54</x:f>
        <x:v>0.3655833333333333</x:v>
      </x:c>
      <x:c r="S54" s="23" t="n">
        <x:v>0.6895555555555556</x:v>
      </x:c>
      <x:c r="T54" s="2" t="str">
        <x:v>既知開発50場</x:v>
      </x:c>
    </x:row>
    <x:row r="55" ht="22" customHeight="1">
      <x:c r="A55" s="2" t="str">
        <x:v>PG04</x:v>
      </x:c>
      <x:c r="B55" s="20" t="d">
        <x:v>2026-10-23T08:45:00.000Z</x:v>
      </x:c>
      <x:c r="C55" s="2" t="str">
        <x:v>デイ</x:v>
      </x:c>
      <x:c r="D55" s="2" t="str">
        <x:v>上昇</x:v>
      </x:c>
      <x:c r="E55" s="19" t="n">
        <x:v>118619</x:v>
      </x:c>
      <x:c r="F55" s="19" t="n">
        <x:v>45384</x:v>
      </x:c>
      <x:c r="G55" s="19" t="n">
        <x:f>E55-F55</x:f>
        <x:v>73235</x:v>
      </x:c>
      <x:c r="H55" s="19" t="n">
        <x:f>SUMIFS($G$7:$G$56,$B$7:$B$56,"&lt;="&amp;B55)</x:f>
        <x:v>3716353</x:v>
      </x:c>
      <x:c r="I55" s="19" t="n">
        <x:v>765</x:v>
      </x:c>
      <x:c r="J55" s="19" t="n">
        <x:v>74000</x:v>
      </x:c>
      <x:c r="K55" s="2" t="n">
        <x:v>5</x:v>
      </x:c>
      <x:c r="L55" s="2" t="n">
        <x:v>10</x:v>
      </x:c>
      <x:c r="M55" s="2" t="n">
        <x:v>5</x:v>
      </x:c>
      <x:c r="N55" s="21" t="n">
        <x:v>41.96666666666667</x:v>
      </x:c>
      <x:c r="O55" s="21" t="n">
        <x:v>368.03333333333336</x:v>
      </x:c>
      <x:c r="P55" s="21" t="n">
        <x:v>368.03333333333336</x:v>
      </x:c>
      <x:c r="Q55" s="21" t="n">
        <x:v>420</x:v>
      </x:c>
      <x:c r="R55" s="22" t="n">
        <x:f>P55/Q55</x:f>
        <x:v>0.8762698412698413</x:v>
      </x:c>
      <x:c r="S55" s="23" t="n">
        <x:v>1.026309523809524</x:v>
      </x:c>
      <x:c r="T55" s="2" t="str">
        <x:v>既知開発50場</x:v>
      </x:c>
    </x:row>
    <x:row r="56" ht="22" customHeight="1">
      <x:c r="A56" s="2" t="str">
        <x:v>PG04</x:v>
      </x:c>
      <x:c r="B56" s="20" t="d">
        <x:v>2026-10-23T17:00:00.000Z</x:v>
      </x:c>
      <x:c r="C56" s="2" t="str">
        <x:v>ナイト</x:v>
      </x:c>
      <x:c r="D56" s="2" t="str">
        <x:v>上昇</x:v>
      </x:c>
      <x:c r="E56" s="19" t="n">
        <x:v>21623</x:v>
      </x:c>
      <x:c r="F56" s="19" t="n">
        <x:v>43230</x:v>
      </x:c>
      <x:c r="G56" s="19" t="n">
        <x:f>E56-F56</x:f>
        <x:v>-21607</x:v>
      </x:c>
      <x:c r="H56" s="19" t="n">
        <x:f>SUMIFS($G$7:$G$56,$B$7:$B$56,"&lt;="&amp;B56)</x:f>
        <x:v>3694746</x:v>
      </x:c>
      <x:c r="I56" s="19" t="n">
        <x:v>1607</x:v>
      </x:c>
      <x:c r="J56" s="19" t="n">
        <x:v>-20000</x:v>
      </x:c>
      <x:c r="K56" s="2" t="n">
        <x:v>13</x:v>
      </x:c>
      <x:c r="L56" s="2" t="n">
        <x:v>21</x:v>
      </x:c>
      <x:c r="M56" s="2" t="n">
        <x:v>5</x:v>
      </x:c>
      <x:c r="N56" s="21" t="n">
        <x:v>103.51666666666667</x:v>
      </x:c>
      <x:c r="O56" s="21" t="n">
        <x:v>482.21666666666664</x:v>
      </x:c>
      <x:c r="P56" s="21" t="n">
        <x:v>311.96666666666664</x:v>
      </x:c>
      <x:c r="Q56" s="21" t="n">
        <x:v>600</x:v>
      </x:c>
      <x:c r="R56" s="22" t="n">
        <x:f>P56/Q56</x:f>
        <x:v>0.5199444444444444</x:v>
      </x:c>
      <x:c r="S56" s="23" t="n">
        <x:v>1.5647777777777778</x:v>
      </x:c>
      <x:c r="T56" s="2" t="str">
        <x:v>既知開発50場</x:v>
      </x:c>
    </x:row>
  </x:sheetData>
  <x:conditionalFormatting sqref="E7:J56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7fea495fd149b2"/>
  </x:tableParts>
</x:worksheet>
</file>

<file path=xl/worksheets/sheet8.xml><?xml version="1.0" encoding="utf-8"?>
<x:worksheet xmlns:x="http://schemas.openxmlformats.org/spreadsheetml/2006/main">
  <x:sheetPr>
    <x:tabColor rgb="FF25456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29" hidden="0" customWidth="1"/>
    <x:col min="4" max="4" width="17" hidden="0" customWidth="1"/>
    <x:col min="5" max="5" width="29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37" hidden="0" customWidth="1"/>
    <x:col min="13" max="13" width="72" hidden="0" customWidth="1"/>
    <x:col min="14" max="14" width="72" hidden="0" customWidth="1"/>
    <x:col min="15" max="15" width="7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始終値方向の根拠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</x:row>
    <x:row r="3" ht="22" customHeight="1">
      <x:c r="A3" s="6" t="str">
        <x:v>当場最初の有効Lastを始値、公式終了前6分以内の最終有効Lastを終値代理とします。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6" t="str">
        <x:v>公式終了時刻の観測0場／直前6分の代理50場。清算時点の中値変化とは区別します。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6" t="str">
        <x:v>原seqは0始まり。時計は原データの価格時計で、受信時計ではありません。価格差はExcel式で計算します。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8" customHeight="1">
      <x:c r="A6" s="15" t="str">
        <x:v>セッション</x:v>
      </x:c>
      <x:c r="B6" s="16" t="str">
        <x:v>最初のLast</x:v>
      </x:c>
      <x:c r="C6" s="16" t="str">
        <x:v>最初の価格時計</x:v>
      </x:c>
      <x:c r="D6" s="16" t="str">
        <x:v>最後のLast</x:v>
      </x:c>
      <x:c r="E6" s="16" t="str">
        <x:v>最後の価格時計</x:v>
      </x:c>
      <x:c r="F6" s="16" t="str">
        <x:v>価格差</x:v>
      </x:c>
      <x:c r="G6" s="16" t="str">
        <x:v>始終値方向</x:v>
      </x:c>
      <x:c r="H6" s="16" t="str">
        <x:v>開始後の秒数</x:v>
      </x:c>
      <x:c r="I6" s="16" t="str">
        <x:v>終了前の秒数</x:v>
      </x:c>
      <x:c r="J6" s="16" t="str">
        <x:v>最初の原seq</x:v>
      </x:c>
      <x:c r="K6" s="16" t="str">
        <x:v>最後の原seq</x:v>
      </x:c>
      <x:c r="L6" s="16" t="str">
        <x:v>終値の根拠</x:v>
      </x:c>
      <x:c r="M6" s="16" t="str">
        <x:v>原板SHA256</x:v>
      </x:c>
      <x:c r="N6" s="16" t="str">
        <x:v>最初の行SHA256</x:v>
      </x:c>
      <x:c r="O6" s="17" t="str">
        <x:v>最後の行SHA256</x:v>
      </x:c>
    </x:row>
    <x:row r="7" ht="22" customHeight="1">
      <x:c r="A7" s="2" t="str">
        <x:v>2026-09-21_Day</x:v>
      </x:c>
      <x:c r="B7" s="26" t="n">
        <x:v>65180</x:v>
      </x:c>
      <x:c r="C7" s="25" t="d">
        <x:v>2026-09-21T08:45:01.000Z</x:v>
      </x:c>
      <x:c r="D7" s="27" t="n">
        <x:v>65410</x:v>
      </x:c>
      <x:c r="E7" s="25" t="d">
        <x:v>2026-09-21T15:39:59.000Z</x:v>
      </x:c>
      <x:c r="F7" s="27" t="n">
        <x:f>D7-B7</x:f>
        <x:v>230</x:v>
      </x:c>
      <x:c r="G7" s="2" t="str">
        <x:v>上昇</x:v>
      </x:c>
      <x:c r="H7" s="2" t="n">
        <x:v>1</x:v>
      </x:c>
      <x:c r="I7" s="2" t="n">
        <x:v>301</x:v>
      </x:c>
      <x:c r="J7" s="2" t="n">
        <x:v>16</x:v>
      </x:c>
      <x:c r="K7" s="2" t="n">
        <x:v>56435</x:v>
      </x:c>
      <x:c r="L7" s="2" t="str">
        <x:v>直前6分以内の最終観測Last</x:v>
      </x:c>
      <x:c r="M7" s="2" t="str">
        <x:v>332b5885814a21de36ea002eb99ef9fde16487f8cfaccb438620089d304c4888</x:v>
      </x:c>
      <x:c r="N7" s="2" t="str">
        <x:v>9bb784ff0324f649c8f7d40bb57935ac19cbf26b7fb5a7f296840967982aca9e</x:v>
      </x:c>
      <x:c r="O7" s="2" t="str">
        <x:v>937327d0daf51ed38c8ddc2ce59e262c32b72d1f698266bd4cf251d214f9c7fc</x:v>
      </x:c>
    </x:row>
    <x:row r="8" ht="22" customHeight="1">
      <x:c r="A8" s="2" t="str">
        <x:v>2026-09-21_Night</x:v>
      </x:c>
      <x:c r="B8" s="26" t="n">
        <x:v>65500</x:v>
      </x:c>
      <x:c r="C8" s="25" t="d">
        <x:v>2026-09-21T17:00:01.000Z</x:v>
      </x:c>
      <x:c r="D8" s="27" t="n">
        <x:v>66330</x:v>
      </x:c>
      <x:c r="E8" s="25" t="d">
        <x:v>2026-09-22T05:54:30.000Z</x:v>
      </x:c>
      <x:c r="F8" s="27" t="n">
        <x:f>D8-B8</x:f>
        <x:v>830</x:v>
      </x:c>
      <x:c r="G8" s="2" t="str">
        <x:v>上昇</x:v>
      </x:c>
      <x:c r="H8" s="2" t="n">
        <x:v>1</x:v>
      </x:c>
      <x:c r="I8" s="2" t="n">
        <x:v>330</x:v>
      </x:c>
      <x:c r="J8" s="2" t="n">
        <x:v>291</x:v>
      </x:c>
      <x:c r="K8" s="2" t="n">
        <x:v>81630</x:v>
      </x:c>
      <x:c r="L8" s="2" t="str">
        <x:v>直前6分以内の最終観測Last</x:v>
      </x:c>
      <x:c r="M8" s="2" t="str">
        <x:v>887ce536c0416748da79533b20a8af499cefb106cebf1852966c09a3316e8b32</x:v>
      </x:c>
      <x:c r="N8" s="2" t="str">
        <x:v>9b2a14e0875ec5c000b75282038555bd29c1437842c88cd7209c5e2791d66b4d</x:v>
      </x:c>
      <x:c r="O8" s="2" t="str">
        <x:v>45a29d7565ff5f3b2a3ae400fb3d2a6f623eb015167778b5f75a2bfed9e7558f</x:v>
      </x:c>
    </x:row>
    <x:row r="9" ht="22" customHeight="1">
      <x:c r="A9" s="2" t="str">
        <x:v>2026-09-22_Day</x:v>
      </x:c>
      <x:c r="B9" s="26" t="n">
        <x:v>66390</x:v>
      </x:c>
      <x:c r="C9" s="25" t="d">
        <x:v>2026-09-22T08:45:01.000Z</x:v>
      </x:c>
      <x:c r="D9" s="27" t="n">
        <x:v>66210</x:v>
      </x:c>
      <x:c r="E9" s="25" t="d">
        <x:v>2026-09-22T15:39:54.999Z</x:v>
      </x:c>
      <x:c r="F9" s="27" t="n">
        <x:f>D9-B9</x:f>
        <x:v>-180</x:v>
      </x:c>
      <x:c r="G9" s="2" t="str">
        <x:v>下落</x:v>
      </x:c>
      <x:c r="H9" s="2" t="n">
        <x:v>1</x:v>
      </x:c>
      <x:c r="I9" s="2" t="n">
        <x:v>305</x:v>
      </x:c>
      <x:c r="J9" s="2" t="n">
        <x:v>574</x:v>
      </x:c>
      <x:c r="K9" s="2" t="n">
        <x:v>67574</x:v>
      </x:c>
      <x:c r="L9" s="2" t="str">
        <x:v>直前6分以内の最終観測Last</x:v>
      </x:c>
      <x:c r="M9" s="2" t="str">
        <x:v>1e0f54c99956b18bb92db9ba8d278c7e747115499305c8cba4e7b56f0dffdabd</x:v>
      </x:c>
      <x:c r="N9" s="2" t="str">
        <x:v>cc05c9ddd8f64dc30d526d618ef1893edc998cd4febb92271a049db8423c1116</x:v>
      </x:c>
      <x:c r="O9" s="2" t="str">
        <x:v>692f572f369eab8bcbe06167b7782d9d133a469056617601d0430ab89fb1dd17</x:v>
      </x:c>
    </x:row>
    <x:row r="10" ht="22" customHeight="1">
      <x:c r="A10" s="2" t="str">
        <x:v>2026-09-22_Night</x:v>
      </x:c>
      <x:c r="B10" s="26" t="n">
        <x:v>66180</x:v>
      </x:c>
      <x:c r="C10" s="25" t="d">
        <x:v>2026-09-22T17:00:01.000Z</x:v>
      </x:c>
      <x:c r="D10" s="27" t="n">
        <x:v>66890</x:v>
      </x:c>
      <x:c r="E10" s="25" t="d">
        <x:v>2026-09-23T05:54:59.000Z</x:v>
      </x:c>
      <x:c r="F10" s="27" t="n">
        <x:f>D10-B10</x:f>
        <x:v>710</x:v>
      </x:c>
      <x:c r="G10" s="2" t="str">
        <x:v>上昇</x:v>
      </x:c>
      <x:c r="H10" s="2" t="n">
        <x:v>1</x:v>
      </x:c>
      <x:c r="I10" s="2" t="n">
        <x:v>301</x:v>
      </x:c>
      <x:c r="J10" s="2" t="n">
        <x:v>443</x:v>
      </x:c>
      <x:c r="K10" s="2" t="n">
        <x:v>121168</x:v>
      </x:c>
      <x:c r="L10" s="2" t="str">
        <x:v>直前6分以内の最終観測Last</x:v>
      </x:c>
      <x:c r="M10" s="2" t="str">
        <x:v>ac5cb5721e1db13fa6d92ed27ab8d85ae8fd9c30e9185a1386bbb34ecf7f7cbb</x:v>
      </x:c>
      <x:c r="N10" s="2" t="str">
        <x:v>60ebcc0a089bc7d7bc92414462544d43d8c2439049d2764beacf7eb674bfc67d</x:v>
      </x:c>
      <x:c r="O10" s="2" t="str">
        <x:v>eafdfcc0bc33fe454a2770877627fb2e98371fdfb45e78f8f91ad86d0387a1bf</x:v>
      </x:c>
    </x:row>
    <x:row r="11" ht="22" customHeight="1">
      <x:c r="A11" s="2" t="str">
        <x:v>2026-09-23_Day</x:v>
      </x:c>
      <x:c r="B11" s="26" t="n">
        <x:v>66990</x:v>
      </x:c>
      <x:c r="C11" s="25" t="d">
        <x:v>2026-09-23T08:45:01.000Z</x:v>
      </x:c>
      <x:c r="D11" s="27" t="n">
        <x:v>66820</x:v>
      </x:c>
      <x:c r="E11" s="25" t="d">
        <x:v>2026-09-23T15:39:58.000Z</x:v>
      </x:c>
      <x:c r="F11" s="27" t="n">
        <x:f>D11-B11</x:f>
        <x:v>-170</x:v>
      </x:c>
      <x:c r="G11" s="2" t="str">
        <x:v>下落</x:v>
      </x:c>
      <x:c r="H11" s="2" t="n">
        <x:v>1</x:v>
      </x:c>
      <x:c r="I11" s="2" t="n">
        <x:v>302</x:v>
      </x:c>
      <x:c r="J11" s="2" t="n">
        <x:v>427</x:v>
      </x:c>
      <x:c r="K11" s="2" t="n">
        <x:v>54500</x:v>
      </x:c>
      <x:c r="L11" s="2" t="str">
        <x:v>直前6分以内の最終観測Last</x:v>
      </x:c>
      <x:c r="M11" s="2" t="str">
        <x:v>69d18625134c6fd441dc088be0c0718b6ee346be1a821e7091a3fa678c5ad455</x:v>
      </x:c>
      <x:c r="N11" s="2" t="str">
        <x:v>ecba6861ebc1d8f0117ca11ead18684e4ccf47b43b5a09304e603e1d954d0aec</x:v>
      </x:c>
      <x:c r="O11" s="2" t="str">
        <x:v>e48c3d94fd52406f35a1117c369604b6e53f53b0ab4c902cf9d8c6e47c286b49</x:v>
      </x:c>
    </x:row>
    <x:row r="12" ht="22" customHeight="1">
      <x:c r="A12" s="2" t="str">
        <x:v>2026-09-23_Night</x:v>
      </x:c>
      <x:c r="B12" s="26" t="n">
        <x:v>66730</x:v>
      </x:c>
      <x:c r="C12" s="25" t="d">
        <x:v>2026-09-23T17:00:01.000Z</x:v>
      </x:c>
      <x:c r="D12" s="27" t="n">
        <x:v>65940</x:v>
      </x:c>
      <x:c r="E12" s="25" t="d">
        <x:v>2026-09-24T05:54:30.000Z</x:v>
      </x:c>
      <x:c r="F12" s="27" t="n">
        <x:f>D12-B12</x:f>
        <x:v>-790</x:v>
      </x:c>
      <x:c r="G12" s="2" t="str">
        <x:v>下落</x:v>
      </x:c>
      <x:c r="H12" s="2" t="n">
        <x:v>1</x:v>
      </x:c>
      <x:c r="I12" s="2" t="n">
        <x:v>330</x:v>
      </x:c>
      <x:c r="J12" s="2" t="n">
        <x:v>267</x:v>
      </x:c>
      <x:c r="K12" s="2" t="n">
        <x:v>120739</x:v>
      </x:c>
      <x:c r="L12" s="2" t="str">
        <x:v>直前6分以内の最終観測Last</x:v>
      </x:c>
      <x:c r="M12" s="2" t="str">
        <x:v>22c49a4b4134efb4c09f293cc004ed9c815f5fdd6f91a7b050ebeef1dce37a6c</x:v>
      </x:c>
      <x:c r="N12" s="2" t="str">
        <x:v>30e66ff00003aee7d225c9e949201c7c25c6d46b03a118ff746e14a90ce0d10a</x:v>
      </x:c>
      <x:c r="O12" s="2" t="str">
        <x:v>e4bd2c33e93a120a21bc4b5fb003acfa438679b4bf735be57ad9ae7b863795f4</x:v>
      </x:c>
    </x:row>
    <x:row r="13" ht="22" customHeight="1">
      <x:c r="A13" s="2" t="str">
        <x:v>2026-09-24_Day</x:v>
      </x:c>
      <x:c r="B13" s="26" t="n">
        <x:v>65960</x:v>
      </x:c>
      <x:c r="C13" s="25" t="d">
        <x:v>2026-09-24T08:45:01.000Z</x:v>
      </x:c>
      <x:c r="D13" s="27" t="n">
        <x:v>65470</x:v>
      </x:c>
      <x:c r="E13" s="25" t="d">
        <x:v>2026-09-24T15:39:59.000Z</x:v>
      </x:c>
      <x:c r="F13" s="27" t="n">
        <x:f>D13-B13</x:f>
        <x:v>-490</x:v>
      </x:c>
      <x:c r="G13" s="2" t="str">
        <x:v>下落</x:v>
      </x:c>
      <x:c r="H13" s="2" t="n">
        <x:v>1</x:v>
      </x:c>
      <x:c r="I13" s="2" t="n">
        <x:v>301</x:v>
      </x:c>
      <x:c r="J13" s="2" t="n">
        <x:v>731</x:v>
      </x:c>
      <x:c r="K13" s="2" t="n">
        <x:v>124472</x:v>
      </x:c>
      <x:c r="L13" s="2" t="str">
        <x:v>直前6分以内の最終観測Last</x:v>
      </x:c>
      <x:c r="M13" s="2" t="str">
        <x:v>71f3b1c31c12a3739e1b78924abfee22b768b7638555ee298f1794232c54f411</x:v>
      </x:c>
      <x:c r="N13" s="2" t="str">
        <x:v>e6c7598975f9c8c5db997f21be46dd8327191bbd444a8e694e79b1eb03451c63</x:v>
      </x:c>
      <x:c r="O13" s="2" t="str">
        <x:v>694329378bc543c7d3039c682ac4b1818ab803ec60ffa3479aab758e384a18df</x:v>
      </x:c>
    </x:row>
    <x:row r="14" ht="22" customHeight="1">
      <x:c r="A14" s="2" t="str">
        <x:v>2026-09-24_Night</x:v>
      </x:c>
      <x:c r="B14" s="26" t="n">
        <x:v>65520</x:v>
      </x:c>
      <x:c r="C14" s="25" t="d">
        <x:v>2026-09-24T17:00:01.000Z</x:v>
      </x:c>
      <x:c r="D14" s="27" t="n">
        <x:v>65490</x:v>
      </x:c>
      <x:c r="E14" s="25" t="d">
        <x:v>2026-09-25T05:54:59.000Z</x:v>
      </x:c>
      <x:c r="F14" s="27" t="n">
        <x:f>D14-B14</x:f>
        <x:v>-30</x:v>
      </x:c>
      <x:c r="G14" s="2" t="str">
        <x:v>下落</x:v>
      </x:c>
      <x:c r="H14" s="2" t="n">
        <x:v>1</x:v>
      </x:c>
      <x:c r="I14" s="2" t="n">
        <x:v>301</x:v>
      </x:c>
      <x:c r="J14" s="2" t="n">
        <x:v>550</x:v>
      </x:c>
      <x:c r="K14" s="2" t="n">
        <x:v>177253</x:v>
      </x:c>
      <x:c r="L14" s="2" t="str">
        <x:v>直前6分以内の最終観測Last</x:v>
      </x:c>
      <x:c r="M14" s="2" t="str">
        <x:v>6e9886ecdd02a4d3c61dac1031848e0a33d7b05e236369a27958680bfdb69ce2</x:v>
      </x:c>
      <x:c r="N14" s="2" t="str">
        <x:v>3552aeb36336945ebc6928930a5816c5f0c51e1e6737ebd8e02a50e8271e2412</x:v>
      </x:c>
      <x:c r="O14" s="2" t="str">
        <x:v>eb34d7de5b233e62d97cf3b39d6094ce7a7ccb89d22247c6fa8d539919864d66</x:v>
      </x:c>
    </x:row>
    <x:row r="15" ht="22" customHeight="1">
      <x:c r="A15" s="2" t="str">
        <x:v>2026-09-25_Day</x:v>
      </x:c>
      <x:c r="B15" s="26" t="n">
        <x:v>65440</x:v>
      </x:c>
      <x:c r="C15" s="25" t="d">
        <x:v>2026-09-25T08:45:01.000Z</x:v>
      </x:c>
      <x:c r="D15" s="27" t="n">
        <x:v>66270</x:v>
      </x:c>
      <x:c r="E15" s="25" t="d">
        <x:v>2026-09-25T15:40:00.000Z</x:v>
      </x:c>
      <x:c r="F15" s="27" t="n">
        <x:f>D15-B15</x:f>
        <x:v>830</x:v>
      </x:c>
      <x:c r="G15" s="2" t="str">
        <x:v>上昇</x:v>
      </x:c>
      <x:c r="H15" s="2" t="n">
        <x:v>1</x:v>
      </x:c>
      <x:c r="I15" s="2" t="n">
        <x:v>300</x:v>
      </x:c>
      <x:c r="J15" s="2" t="n">
        <x:v>495</x:v>
      </x:c>
      <x:c r="K15" s="2" t="n">
        <x:v>107575</x:v>
      </x:c>
      <x:c r="L15" s="2" t="str">
        <x:v>直前6分以内の最終観測Last</x:v>
      </x:c>
      <x:c r="M15" s="2" t="str">
        <x:v>e7ddc57982263efcce12bb6fc80a1a20cd5d618c631e38dbf918b155bda14178</x:v>
      </x:c>
      <x:c r="N15" s="2" t="str">
        <x:v>e8969bb291dc469249ee888f9d1a6f34e292fab2751ebafecb717f74630cdeeb</x:v>
      </x:c>
      <x:c r="O15" s="2" t="str">
        <x:v>c44e5cb10cdf8b3d795fb79fe3628b40d4429c54259a9b85d563bbf39b50bb13</x:v>
      </x:c>
    </x:row>
    <x:row r="16" ht="22" customHeight="1">
      <x:c r="A16" s="2" t="str">
        <x:v>2026-09-25_Night</x:v>
      </x:c>
      <x:c r="B16" s="26" t="n">
        <x:v>66250</x:v>
      </x:c>
      <x:c r="C16" s="25" t="d">
        <x:v>2026-09-25T17:00:01.000Z</x:v>
      </x:c>
      <x:c r="D16" s="27" t="n">
        <x:v>66460</x:v>
      </x:c>
      <x:c r="E16" s="25" t="d">
        <x:v>2026-09-26T05:54:59.000Z</x:v>
      </x:c>
      <x:c r="F16" s="27" t="n">
        <x:f>D16-B16</x:f>
        <x:v>210</x:v>
      </x:c>
      <x:c r="G16" s="2" t="str">
        <x:v>上昇</x:v>
      </x:c>
      <x:c r="H16" s="2" t="n">
        <x:v>1</x:v>
      </x:c>
      <x:c r="I16" s="2" t="n">
        <x:v>301</x:v>
      </x:c>
      <x:c r="J16" s="2" t="n">
        <x:v>584</x:v>
      </x:c>
      <x:c r="K16" s="2" t="n">
        <x:v>146311</x:v>
      </x:c>
      <x:c r="L16" s="2" t="str">
        <x:v>直前6分以内の最終観測Last</x:v>
      </x:c>
      <x:c r="M16" s="2" t="str">
        <x:v>4d0e81142a95b5c88d9d4d51e9bcb608f1aeee04c7ee09ffcb0dde3ead2f1e2e</x:v>
      </x:c>
      <x:c r="N16" s="2" t="str">
        <x:v>13350665bb84e1cebc17210ebf750c064227d39918d10d51108d3570ebc1f6d8</x:v>
      </x:c>
      <x:c r="O16" s="2" t="str">
        <x:v>4853205a179adcd09f6d1514b3e7434ce106c0399968850ec6b402f18caa9cac</x:v>
      </x:c>
    </x:row>
    <x:row r="17" ht="22" customHeight="1">
      <x:c r="A17" s="2" t="str">
        <x:v>2026-09-28_Day</x:v>
      </x:c>
      <x:c r="B17" s="26" t="n">
        <x:v>66200</x:v>
      </x:c>
      <x:c r="C17" s="25" t="d">
        <x:v>2026-09-28T08:45:01.000Z</x:v>
      </x:c>
      <x:c r="D17" s="27" t="n">
        <x:v>65640</x:v>
      </x:c>
      <x:c r="E17" s="25" t="d">
        <x:v>2026-09-28T15:39:59.000Z</x:v>
      </x:c>
      <x:c r="F17" s="27" t="n">
        <x:f>D17-B17</x:f>
        <x:v>-560</x:v>
      </x:c>
      <x:c r="G17" s="2" t="str">
        <x:v>下落</x:v>
      </x:c>
      <x:c r="H17" s="2" t="n">
        <x:v>1</x:v>
      </x:c>
      <x:c r="I17" s="2" t="n">
        <x:v>301</x:v>
      </x:c>
      <x:c r="J17" s="2" t="n">
        <x:v>467</x:v>
      </x:c>
      <x:c r="K17" s="2" t="n">
        <x:v>136050</x:v>
      </x:c>
      <x:c r="L17" s="2" t="str">
        <x:v>直前6分以内の最終観測Last</x:v>
      </x:c>
      <x:c r="M17" s="2" t="str">
        <x:v>8ebf1151f12a624b5d60992824679b3ccc8ae93f0bcb2563000f1da2f4f1e45e</x:v>
      </x:c>
      <x:c r="N17" s="2" t="str">
        <x:v>fcffaad0a0f77318c2b96a92ad658103372289c40f441f068e8f96043817abb0</x:v>
      </x:c>
      <x:c r="O17" s="2" t="str">
        <x:v>52bb77e4d087748947d8fba0fc5719762433f062bc809476c8131e9645dada8d</x:v>
      </x:c>
    </x:row>
    <x:row r="18" ht="22" customHeight="1">
      <x:c r="A18" s="2" t="str">
        <x:v>2026-09-28_Night</x:v>
      </x:c>
      <x:c r="B18" s="26" t="n">
        <x:v>65680</x:v>
      </x:c>
      <x:c r="C18" s="25" t="d">
        <x:v>2026-09-28T17:00:01.000Z</x:v>
      </x:c>
      <x:c r="D18" s="27" t="n">
        <x:v>65650</x:v>
      </x:c>
      <x:c r="E18" s="25" t="d">
        <x:v>2026-09-29T05:54:59.000Z</x:v>
      </x:c>
      <x:c r="F18" s="27" t="n">
        <x:f>D18-B18</x:f>
        <x:v>-30</x:v>
      </x:c>
      <x:c r="G18" s="2" t="str">
        <x:v>下落</x:v>
      </x:c>
      <x:c r="H18" s="2" t="n">
        <x:v>1</x:v>
      </x:c>
      <x:c r="I18" s="2" t="n">
        <x:v>301</x:v>
      </x:c>
      <x:c r="J18" s="2" t="n">
        <x:v>557</x:v>
      </x:c>
      <x:c r="K18" s="2" t="n">
        <x:v>172289</x:v>
      </x:c>
      <x:c r="L18" s="2" t="str">
        <x:v>直前6分以内の最終観測Last</x:v>
      </x:c>
      <x:c r="M18" s="2" t="str">
        <x:v>b97c10131fdc046e70f04fe65f8deea99f4a9632e8a807c6423c1d5f85b90f3f</x:v>
      </x:c>
      <x:c r="N18" s="2" t="str">
        <x:v>f6957e9812ebfaa867ff156534b2b2ec27b167ace5d6c99517202ef38d8bba3e</x:v>
      </x:c>
      <x:c r="O18" s="2" t="str">
        <x:v>a4d73ce4cc5a408f6d566f27614e36a8cfd7787def48464cbaf9b0840eb9578f</x:v>
      </x:c>
    </x:row>
    <x:row r="19" ht="22" customHeight="1">
      <x:c r="A19" s="2" t="str">
        <x:v>2026-09-29_Day</x:v>
      </x:c>
      <x:c r="B19" s="26" t="n">
        <x:v>65770</x:v>
      </x:c>
      <x:c r="C19" s="25" t="d">
        <x:v>2026-09-29T08:45:01.000Z</x:v>
      </x:c>
      <x:c r="D19" s="27" t="n">
        <x:v>65740</x:v>
      </x:c>
      <x:c r="E19" s="25" t="d">
        <x:v>2026-09-29T15:39:59.000Z</x:v>
      </x:c>
      <x:c r="F19" s="27" t="n">
        <x:f>D19-B19</x:f>
        <x:v>-30</x:v>
      </x:c>
      <x:c r="G19" s="2" t="str">
        <x:v>下落</x:v>
      </x:c>
      <x:c r="H19" s="2" t="n">
        <x:v>1</x:v>
      </x:c>
      <x:c r="I19" s="2" t="n">
        <x:v>301</x:v>
      </x:c>
      <x:c r="J19" s="2" t="n">
        <x:v>464</x:v>
      </x:c>
      <x:c r="K19" s="2" t="n">
        <x:v>144860</x:v>
      </x:c>
      <x:c r="L19" s="2" t="str">
        <x:v>直前6分以内の最終観測Last</x:v>
      </x:c>
      <x:c r="M19" s="2" t="str">
        <x:v>e680198fe47d8baf4f7eec034375adb5481c9c663027ffb4faf74575d2e1272d</x:v>
      </x:c>
      <x:c r="N19" s="2" t="str">
        <x:v>e44e0f4543e6483b54cee3a2daaebf69e3ecaae399effd467909b222115e0228</x:v>
      </x:c>
      <x:c r="O19" s="2" t="str">
        <x:v>a0d2d3fdb47e8206a86c58e4ffde24108e2b1b3ae0ec3ba69cfbe1434e7a0b33</x:v>
      </x:c>
    </x:row>
    <x:row r="20" ht="22" customHeight="1">
      <x:c r="A20" s="2" t="str">
        <x:v>2026-09-29_Night</x:v>
      </x:c>
      <x:c r="B20" s="26" t="n">
        <x:v>65770</x:v>
      </x:c>
      <x:c r="C20" s="25" t="d">
        <x:v>2026-09-29T17:00:01.000Z</x:v>
      </x:c>
      <x:c r="D20" s="27" t="n">
        <x:v>66320</x:v>
      </x:c>
      <x:c r="E20" s="25" t="d">
        <x:v>2026-09-30T05:54:57.000Z</x:v>
      </x:c>
      <x:c r="F20" s="27" t="n">
        <x:f>D20-B20</x:f>
        <x:v>550</x:v>
      </x:c>
      <x:c r="G20" s="2" t="str">
        <x:v>上昇</x:v>
      </x:c>
      <x:c r="H20" s="2" t="n">
        <x:v>1</x:v>
      </x:c>
      <x:c r="I20" s="2" t="n">
        <x:v>303</x:v>
      </x:c>
      <x:c r="J20" s="2" t="n">
        <x:v>665</x:v>
      </x:c>
      <x:c r="K20" s="2" t="n">
        <x:v>163037</x:v>
      </x:c>
      <x:c r="L20" s="2" t="str">
        <x:v>直前6分以内の最終観測Last</x:v>
      </x:c>
      <x:c r="M20" s="2" t="str">
        <x:v>7bd8025ba489e082aa003f786938c1999e0ec6e6e20b54b46b9b6df909423d38</x:v>
      </x:c>
      <x:c r="N20" s="2" t="str">
        <x:v>c96d1d4e384d107bd5cccb4a3d23e423dcd6d8e9be6c99e99a5bd2def8a56830</x:v>
      </x:c>
      <x:c r="O20" s="2" t="str">
        <x:v>251be31eefb0f2515aeeaa66a4e3b34ca59e6ddeb40f3846505f214cf0cfc847</x:v>
      </x:c>
    </x:row>
    <x:row r="21" ht="22" customHeight="1">
      <x:c r="A21" s="2" t="str">
        <x:v>2026-09-30_Day</x:v>
      </x:c>
      <x:c r="B21" s="26" t="n">
        <x:v>66320</x:v>
      </x:c>
      <x:c r="C21" s="25" t="d">
        <x:v>2026-09-30T08:45:01.000Z</x:v>
      </x:c>
      <x:c r="D21" s="27" t="n">
        <x:v>67120</x:v>
      </x:c>
      <x:c r="E21" s="25" t="d">
        <x:v>2026-09-30T15:39:59.000Z</x:v>
      </x:c>
      <x:c r="F21" s="27" t="n">
        <x:f>D21-B21</x:f>
        <x:v>800</x:v>
      </x:c>
      <x:c r="G21" s="2" t="str">
        <x:v>上昇</x:v>
      </x:c>
      <x:c r="H21" s="2" t="n">
        <x:v>1</x:v>
      </x:c>
      <x:c r="I21" s="2" t="n">
        <x:v>301</x:v>
      </x:c>
      <x:c r="J21" s="2" t="n">
        <x:v>744</x:v>
      </x:c>
      <x:c r="K21" s="2" t="n">
        <x:v>132539</x:v>
      </x:c>
      <x:c r="L21" s="2" t="str">
        <x:v>直前6分以内の最終観測Last</x:v>
      </x:c>
      <x:c r="M21" s="2" t="str">
        <x:v>e90330b6d2d56e0b760dfa346fe345a062942f50d60fd5fa50bdb53bb43eb484</x:v>
      </x:c>
      <x:c r="N21" s="2" t="str">
        <x:v>ff247fd11bc4041fd45eb428dceba8c3f0ddf83d03ed860b6e96ff641074e27a</x:v>
      </x:c>
      <x:c r="O21" s="2" t="str">
        <x:v>6b957e914d818294231f452ad638451bdb3ecdfb180003bb2627a7f0b74ed20d</x:v>
      </x:c>
    </x:row>
    <x:row r="22" ht="22" customHeight="1">
      <x:c r="A22" s="2" t="str">
        <x:v>2026-09-30_Night</x:v>
      </x:c>
      <x:c r="B22" s="26" t="n">
        <x:v>67390</x:v>
      </x:c>
      <x:c r="C22" s="25" t="d">
        <x:v>2026-09-30T17:00:01.000Z</x:v>
      </x:c>
      <x:c r="D22" s="27" t="n">
        <x:v>67110</x:v>
      </x:c>
      <x:c r="E22" s="25" t="d">
        <x:v>2026-10-01T05:54:59.000Z</x:v>
      </x:c>
      <x:c r="F22" s="27" t="n">
        <x:f>D22-B22</x:f>
        <x:v>-280</x:v>
      </x:c>
      <x:c r="G22" s="2" t="str">
        <x:v>下落</x:v>
      </x:c>
      <x:c r="H22" s="2" t="n">
        <x:v>1</x:v>
      </x:c>
      <x:c r="I22" s="2" t="n">
        <x:v>301</x:v>
      </x:c>
      <x:c r="J22" s="2" t="n">
        <x:v>498</x:v>
      </x:c>
      <x:c r="K22" s="2" t="n">
        <x:v>172941</x:v>
      </x:c>
      <x:c r="L22" s="2" t="str">
        <x:v>直前6分以内の最終観測Last</x:v>
      </x:c>
      <x:c r="M22" s="2" t="str">
        <x:v>7c9e23e32470c6b2df0b2c761444160cacef2c6b6e8a50604a02a3a1487074cf</x:v>
      </x:c>
      <x:c r="N22" s="2" t="str">
        <x:v>a4887bd22f0a3f06785e419a5b2a51fbd7af7887aa23eff0b77776b806980749</x:v>
      </x:c>
      <x:c r="O22" s="2" t="str">
        <x:v>4d11364c83705ac2d8993cc2b6ccd7834583d14ec1af02b92b47b9d24a149548</x:v>
      </x:c>
    </x:row>
    <x:row r="23" ht="22" customHeight="1">
      <x:c r="A23" s="2" t="str">
        <x:v>2026-10-01_Day</x:v>
      </x:c>
      <x:c r="B23" s="26" t="n">
        <x:v>67340</x:v>
      </x:c>
      <x:c r="C23" s="25" t="d">
        <x:v>2026-10-01T08:45:01.000Z</x:v>
      </x:c>
      <x:c r="D23" s="27" t="n">
        <x:v>69050</x:v>
      </x:c>
      <x:c r="E23" s="25" t="d">
        <x:v>2026-10-01T15:40:00.000Z</x:v>
      </x:c>
      <x:c r="F23" s="27" t="n">
        <x:f>D23-B23</x:f>
        <x:v>1710</x:v>
      </x:c>
      <x:c r="G23" s="2" t="str">
        <x:v>上昇</x:v>
      </x:c>
      <x:c r="H23" s="2" t="n">
        <x:v>1</x:v>
      </x:c>
      <x:c r="I23" s="2" t="n">
        <x:v>300</x:v>
      </x:c>
      <x:c r="J23" s="2" t="n">
        <x:v>590</x:v>
      </x:c>
      <x:c r="K23" s="2" t="n">
        <x:v>139177</x:v>
      </x:c>
      <x:c r="L23" s="2" t="str">
        <x:v>直前6分以内の最終観測Last</x:v>
      </x:c>
      <x:c r="M23" s="2" t="str">
        <x:v>24614d8926cff580850e7d509a2475c19a28072622c37e3664fc5cc0a028e3fd</x:v>
      </x:c>
      <x:c r="N23" s="2" t="str">
        <x:v>abeaac0c72f0b8ebed62105379857a3268e55290b1cba7bce570c22851fa2f18</x:v>
      </x:c>
      <x:c r="O23" s="2" t="str">
        <x:v>f705e127729b66aedf5734aba454826ac32027818dcbcece4207f6d4912ca3e5</x:v>
      </x:c>
    </x:row>
    <x:row r="24" ht="22" customHeight="1">
      <x:c r="A24" s="2" t="str">
        <x:v>2026-10-01_Night</x:v>
      </x:c>
      <x:c r="B24" s="26" t="n">
        <x:v>68450</x:v>
      </x:c>
      <x:c r="C24" s="25" t="d">
        <x:v>2026-10-01T17:00:01.000Z</x:v>
      </x:c>
      <x:c r="D24" s="27" t="n">
        <x:v>68480</x:v>
      </x:c>
      <x:c r="E24" s="25" t="d">
        <x:v>2026-10-02T05:54:04.000Z</x:v>
      </x:c>
      <x:c r="F24" s="27" t="n">
        <x:f>D24-B24</x:f>
        <x:v>30</x:v>
      </x:c>
      <x:c r="G24" s="2" t="str">
        <x:v>上昇</x:v>
      </x:c>
      <x:c r="H24" s="2" t="n">
        <x:v>1</x:v>
      </x:c>
      <x:c r="I24" s="2" t="n">
        <x:v>356</x:v>
      </x:c>
      <x:c r="J24" s="2" t="n">
        <x:v>1207</x:v>
      </x:c>
      <x:c r="K24" s="2" t="n">
        <x:v>210037</x:v>
      </x:c>
      <x:c r="L24" s="2" t="str">
        <x:v>直前6分以内の最終観測Last</x:v>
      </x:c>
      <x:c r="M24" s="2" t="str">
        <x:v>0bdfe0f9d7b626d336bede4196564ccc8461ffaa4eebe6cda2dc8bed4787bd0e</x:v>
      </x:c>
      <x:c r="N24" s="2" t="str">
        <x:v>2361af75c14541c362b7f760dd4338c908c5c9487682908fd966db90250b2a6e</x:v>
      </x:c>
      <x:c r="O24" s="2" t="str">
        <x:v>9b9b2cb96a6743043b54f916f2277edcf0d2029c8dd1f4635770f0b7980dc550</x:v>
      </x:c>
    </x:row>
    <x:row r="25" ht="22" customHeight="1">
      <x:c r="A25" s="2" t="str">
        <x:v>2026-10-02_Day</x:v>
      </x:c>
      <x:c r="B25" s="26" t="n">
        <x:v>68330</x:v>
      </x:c>
      <x:c r="C25" s="25" t="d">
        <x:v>2026-10-02T08:45:01.000Z</x:v>
      </x:c>
      <x:c r="D25" s="27" t="n">
        <x:v>68610</x:v>
      </x:c>
      <x:c r="E25" s="25" t="d">
        <x:v>2026-10-02T15:40:00.000Z</x:v>
      </x:c>
      <x:c r="F25" s="27" t="n">
        <x:f>D25-B25</x:f>
        <x:v>280</x:v>
      </x:c>
      <x:c r="G25" s="2" t="str">
        <x:v>上昇</x:v>
      </x:c>
      <x:c r="H25" s="2" t="n">
        <x:v>1</x:v>
      </x:c>
      <x:c r="I25" s="2" t="n">
        <x:v>300</x:v>
      </x:c>
      <x:c r="J25" s="2" t="n">
        <x:v>972</x:v>
      </x:c>
      <x:c r="K25" s="2" t="n">
        <x:v>135249</x:v>
      </x:c>
      <x:c r="L25" s="2" t="str">
        <x:v>直前6分以内の最終観測Last</x:v>
      </x:c>
      <x:c r="M25" s="2" t="str">
        <x:v>2c0c1a18a788829e0fca6ebcfb33eea557941374a90fec88652d0d76a1b3e048</x:v>
      </x:c>
      <x:c r="N25" s="2" t="str">
        <x:v>a7e2f4906cd7b2913c9f9d9cf59b34e3d7a46c90ac6347d826b60675cb5756f5</x:v>
      </x:c>
      <x:c r="O25" s="2" t="str">
        <x:v>6fcf3fcc20be16503504eec65428d83542d811a29951eb048cb9fa02794ff279</x:v>
      </x:c>
    </x:row>
    <x:row r="26" ht="22" customHeight="1">
      <x:c r="A26" s="2" t="str">
        <x:v>2026-10-02_Night</x:v>
      </x:c>
      <x:c r="B26" s="26" t="n">
        <x:v>68990</x:v>
      </x:c>
      <x:c r="C26" s="25" t="d">
        <x:v>2026-10-02T17:00:01.000Z</x:v>
      </x:c>
      <x:c r="D26" s="27" t="n">
        <x:v>69830</x:v>
      </x:c>
      <x:c r="E26" s="25" t="d">
        <x:v>2026-10-03T05:54:03.000Z</x:v>
      </x:c>
      <x:c r="F26" s="27" t="n">
        <x:f>D26-B26</x:f>
        <x:v>840</x:v>
      </x:c>
      <x:c r="G26" s="2" t="str">
        <x:v>上昇</x:v>
      </x:c>
      <x:c r="H26" s="2" t="n">
        <x:v>1</x:v>
      </x:c>
      <x:c r="I26" s="2" t="n">
        <x:v>357</x:v>
      </x:c>
      <x:c r="J26" s="2" t="n">
        <x:v>792</x:v>
      </x:c>
      <x:c r="K26" s="2" t="n">
        <x:v>177121</x:v>
      </x:c>
      <x:c r="L26" s="2" t="str">
        <x:v>直前6分以内の最終観測Last</x:v>
      </x:c>
      <x:c r="M26" s="2" t="str">
        <x:v>be91ad2b9670c946fe7426f192709c1f963d5d823ea76c57235f5bc135819fce</x:v>
      </x:c>
      <x:c r="N26" s="2" t="str">
        <x:v>dfe6e5140edc991f45ffe006058d74f9fafae6a0ef95f768d16148b9479bb4b5</x:v>
      </x:c>
      <x:c r="O26" s="2" t="str">
        <x:v>aa81d12f3dfb3b4dfe9318c580fe5bcbb09f31a67d1d1e9e9fab687368b5234b</x:v>
      </x:c>
    </x:row>
    <x:row r="27" ht="22" customHeight="1">
      <x:c r="A27" s="2" t="str">
        <x:v>2026-10-05_Day</x:v>
      </x:c>
      <x:c r="B27" s="26" t="n">
        <x:v>69870</x:v>
      </x:c>
      <x:c r="C27" s="25" t="d">
        <x:v>2026-10-05T08:45:01.000Z</x:v>
      </x:c>
      <x:c r="D27" s="27" t="n">
        <x:v>70090</x:v>
      </x:c>
      <x:c r="E27" s="25" t="d">
        <x:v>2026-10-05T15:40:00.000Z</x:v>
      </x:c>
      <x:c r="F27" s="27" t="n">
        <x:f>D27-B27</x:f>
        <x:v>220</x:v>
      </x:c>
      <x:c r="G27" s="2" t="str">
        <x:v>上昇</x:v>
      </x:c>
      <x:c r="H27" s="2" t="n">
        <x:v>1</x:v>
      </x:c>
      <x:c r="I27" s="2" t="n">
        <x:v>300</x:v>
      </x:c>
      <x:c r="J27" s="2" t="n">
        <x:v>58</x:v>
      </x:c>
      <x:c r="K27" s="2" t="n">
        <x:v>123220</x:v>
      </x:c>
      <x:c r="L27" s="2" t="str">
        <x:v>直前6分以内の最終観測Last</x:v>
      </x:c>
      <x:c r="M27" s="2" t="str">
        <x:v>792367d51c24ffda6a2b221139c17336bbceaf3e5dd54dbe5d66d5835d692471</x:v>
      </x:c>
      <x:c r="N27" s="2" t="str">
        <x:v>d5386c5aa935f70658f43992b2cc2189aa1d6dcc4f20623d46f86156c6e6570d</x:v>
      </x:c>
      <x:c r="O27" s="2" t="str">
        <x:v>b7b1ab8e0539fa3e129a1f92f2dcdd2b4d792b01b07561506044798ca34b687e</x:v>
      </x:c>
    </x:row>
    <x:row r="28" ht="22" customHeight="1">
      <x:c r="A28" s="2" t="str">
        <x:v>2026-10-05_Night</x:v>
      </x:c>
      <x:c r="B28" s="26" t="n">
        <x:v>70210</x:v>
      </x:c>
      <x:c r="C28" s="25" t="d">
        <x:v>2026-10-05T17:00:01.000Z</x:v>
      </x:c>
      <x:c r="D28" s="27" t="n">
        <x:v>70180</x:v>
      </x:c>
      <x:c r="E28" s="25" t="d">
        <x:v>2026-10-06T05:54:59.000Z</x:v>
      </x:c>
      <x:c r="F28" s="27" t="n">
        <x:f>D28-B28</x:f>
        <x:v>-30</x:v>
      </x:c>
      <x:c r="G28" s="2" t="str">
        <x:v>下落</x:v>
      </x:c>
      <x:c r="H28" s="2" t="n">
        <x:v>1</x:v>
      </x:c>
      <x:c r="I28" s="2" t="n">
        <x:v>301</x:v>
      </x:c>
      <x:c r="J28" s="2" t="n">
        <x:v>595</x:v>
      </x:c>
      <x:c r="K28" s="2" t="n">
        <x:v>135283</x:v>
      </x:c>
      <x:c r="L28" s="2" t="str">
        <x:v>直前6分以内の最終観測Last</x:v>
      </x:c>
      <x:c r="M28" s="2" t="str">
        <x:v>02ec4f41b8cb778d64737185fa42d0a25bf6f610d5febf01212b0447a63e31a9</x:v>
      </x:c>
      <x:c r="N28" s="2" t="str">
        <x:v>7ed6c49e22ed7d15c112ee36a3de9464f4e12cc800169008ba2662fb402dfca4</x:v>
      </x:c>
      <x:c r="O28" s="2" t="str">
        <x:v>37acd47961bd13e1426dabe395a9b68f85eff18411a9dd9c4185906a226148c2</x:v>
      </x:c>
    </x:row>
    <x:row r="29" ht="22" customHeight="1">
      <x:c r="A29" s="2" t="str">
        <x:v>2026-10-06_Day</x:v>
      </x:c>
      <x:c r="B29" s="26" t="n">
        <x:v>70080</x:v>
      </x:c>
      <x:c r="C29" s="25" t="d">
        <x:v>2026-10-06T08:45:01.000Z</x:v>
      </x:c>
      <x:c r="D29" s="27" t="n">
        <x:v>70920</x:v>
      </x:c>
      <x:c r="E29" s="25" t="d">
        <x:v>2026-10-06T15:39:59.000Z</x:v>
      </x:c>
      <x:c r="F29" s="27" t="n">
        <x:f>D29-B29</x:f>
        <x:v>840</x:v>
      </x:c>
      <x:c r="G29" s="2" t="str">
        <x:v>上昇</x:v>
      </x:c>
      <x:c r="H29" s="2" t="n">
        <x:v>1</x:v>
      </x:c>
      <x:c r="I29" s="2" t="n">
        <x:v>301</x:v>
      </x:c>
      <x:c r="J29" s="2" t="n">
        <x:v>596</x:v>
      </x:c>
      <x:c r="K29" s="2" t="n">
        <x:v>119461</x:v>
      </x:c>
      <x:c r="L29" s="2" t="str">
        <x:v>直前6分以内の最終観測Last</x:v>
      </x:c>
      <x:c r="M29" s="2" t="str">
        <x:v>e5ca370716963aa44ed2cc2c165e2e142d080b72716c16fb2ffe90c7878c244b</x:v>
      </x:c>
      <x:c r="N29" s="2" t="str">
        <x:v>07b07148eef2037561d58959327cb2cb5104642c19d0f0d07825091c7826fa31</x:v>
      </x:c>
      <x:c r="O29" s="2" t="str">
        <x:v>c9eba66f8de426c7800c914760eff191578387f40b281cf621c7154611e16220</x:v>
      </x:c>
    </x:row>
    <x:row r="30" ht="22" customHeight="1">
      <x:c r="A30" s="2" t="str">
        <x:v>2026-10-06_Night</x:v>
      </x:c>
      <x:c r="B30" s="26" t="n">
        <x:v>70980</x:v>
      </x:c>
      <x:c r="C30" s="25" t="d">
        <x:v>2026-10-06T17:00:01.000Z</x:v>
      </x:c>
      <x:c r="D30" s="27" t="n">
        <x:v>70960</x:v>
      </x:c>
      <x:c r="E30" s="25" t="d">
        <x:v>2026-10-07T05:54:59.000Z</x:v>
      </x:c>
      <x:c r="F30" s="27" t="n">
        <x:f>D30-B30</x:f>
        <x:v>-20</x:v>
      </x:c>
      <x:c r="G30" s="2" t="str">
        <x:v>下落</x:v>
      </x:c>
      <x:c r="H30" s="2" t="n">
        <x:v>1</x:v>
      </x:c>
      <x:c r="I30" s="2" t="n">
        <x:v>301</x:v>
      </x:c>
      <x:c r="J30" s="2" t="n">
        <x:v>506</x:v>
      </x:c>
      <x:c r="K30" s="2" t="n">
        <x:v>114382</x:v>
      </x:c>
      <x:c r="L30" s="2" t="str">
        <x:v>直前6分以内の最終観測Last</x:v>
      </x:c>
      <x:c r="M30" s="2" t="str">
        <x:v>e2d9104c6d525527c3123982e87f4df0c8af55f6edb41daee45b6277b08eff74</x:v>
      </x:c>
      <x:c r="N30" s="2" t="str">
        <x:v>feff8e2d59db90a200089f0dac4c9ff3f242f3963bb5e09cdff3bfa77667989f</x:v>
      </x:c>
      <x:c r="O30" s="2" t="str">
        <x:v>b66ca90e93d7f38c78c9b033ab98db818cb01b95251ec6282e1244c0c1946ec8</x:v>
      </x:c>
    </x:row>
    <x:row r="31" ht="22" customHeight="1">
      <x:c r="A31" s="2" t="str">
        <x:v>2026-10-07_Day</x:v>
      </x:c>
      <x:c r="B31" s="26" t="n">
        <x:v>70900</x:v>
      </x:c>
      <x:c r="C31" s="25" t="d">
        <x:v>2026-10-07T08:45:01.000Z</x:v>
      </x:c>
      <x:c r="D31" s="27" t="n">
        <x:v>70260</x:v>
      </x:c>
      <x:c r="E31" s="25" t="d">
        <x:v>2026-10-07T15:39:58.000Z</x:v>
      </x:c>
      <x:c r="F31" s="27" t="n">
        <x:f>D31-B31</x:f>
        <x:v>-640</x:v>
      </x:c>
      <x:c r="G31" s="2" t="str">
        <x:v>下落</x:v>
      </x:c>
      <x:c r="H31" s="2" t="n">
        <x:v>1</x:v>
      </x:c>
      <x:c r="I31" s="2" t="n">
        <x:v>302</x:v>
      </x:c>
      <x:c r="J31" s="2" t="n">
        <x:v>583</x:v>
      </x:c>
      <x:c r="K31" s="2" t="n">
        <x:v>117965</x:v>
      </x:c>
      <x:c r="L31" s="2" t="str">
        <x:v>直前6分以内の最終観測Last</x:v>
      </x:c>
      <x:c r="M31" s="2" t="str">
        <x:v>81fa83eb7caf516cb17fc060aa98c4e2c839c3f4af9b9a0cb9a8b2bbc59643df</x:v>
      </x:c>
      <x:c r="N31" s="2" t="str">
        <x:v>06e48612327703736860d4e2338872fc41d5fa6a6308c5eed0b99a2fd621a426</x:v>
      </x:c>
      <x:c r="O31" s="2" t="str">
        <x:v>ec0e0cf9151a2cad8d9aa31737702ee2f0bd3358be41bdebc6029adf03ef15aa</x:v>
      </x:c>
    </x:row>
    <x:row r="32" ht="22" customHeight="1">
      <x:c r="A32" s="2" t="str">
        <x:v>2026-10-07_Night</x:v>
      </x:c>
      <x:c r="B32" s="26" t="n">
        <x:v>70280</x:v>
      </x:c>
      <x:c r="C32" s="25" t="d">
        <x:v>2026-10-07T17:00:01.000Z</x:v>
      </x:c>
      <x:c r="D32" s="27" t="n">
        <x:v>69820</x:v>
      </x:c>
      <x:c r="E32" s="25" t="d">
        <x:v>2026-10-08T05:54:04.000Z</x:v>
      </x:c>
      <x:c r="F32" s="27" t="n">
        <x:f>D32-B32</x:f>
        <x:v>-460</x:v>
      </x:c>
      <x:c r="G32" s="2" t="str">
        <x:v>下落</x:v>
      </x:c>
      <x:c r="H32" s="2" t="n">
        <x:v>1</x:v>
      </x:c>
      <x:c r="I32" s="2" t="n">
        <x:v>356</x:v>
      </x:c>
      <x:c r="J32" s="2" t="n">
        <x:v>19</x:v>
      </x:c>
      <x:c r="K32" s="2" t="n">
        <x:v>145560</x:v>
      </x:c>
      <x:c r="L32" s="2" t="str">
        <x:v>直前6分以内の最終観測Last</x:v>
      </x:c>
      <x:c r="M32" s="2" t="str">
        <x:v>a916ff168e643ffeb456dde4157f8a0ee81c32b55879f613e9f3ee80cb59eec1</x:v>
      </x:c>
      <x:c r="N32" s="2" t="str">
        <x:v>ebbcb437f1d68453868c5e717a8ba59610240df2f74faf5df1b93ba6e021fc8c</x:v>
      </x:c>
      <x:c r="O32" s="2" t="str">
        <x:v>d8f00b3dab35c1e66f35fd6efb9f7ec4ad16dc4d137f94ffb515e671e49b8a0e</x:v>
      </x:c>
    </x:row>
    <x:row r="33" ht="22" customHeight="1">
      <x:c r="A33" s="2" t="str">
        <x:v>2026-10-08_Day</x:v>
      </x:c>
      <x:c r="B33" s="26" t="n">
        <x:v>70000</x:v>
      </x:c>
      <x:c r="C33" s="25" t="d">
        <x:v>2026-10-08T08:45:01.000Z</x:v>
      </x:c>
      <x:c r="D33" s="27" t="n">
        <x:v>69190</x:v>
      </x:c>
      <x:c r="E33" s="25" t="d">
        <x:v>2026-10-08T15:39:59.000Z</x:v>
      </x:c>
      <x:c r="F33" s="27" t="n">
        <x:f>D33-B33</x:f>
        <x:v>-810</x:v>
      </x:c>
      <x:c r="G33" s="2" t="str">
        <x:v>下落</x:v>
      </x:c>
      <x:c r="H33" s="2" t="n">
        <x:v>1</x:v>
      </x:c>
      <x:c r="I33" s="2" t="n">
        <x:v>301</x:v>
      </x:c>
      <x:c r="J33" s="2" t="n">
        <x:v>48</x:v>
      </x:c>
      <x:c r="K33" s="2" t="n">
        <x:v>138391</x:v>
      </x:c>
      <x:c r="L33" s="2" t="str">
        <x:v>直前6分以内の最終観測Last</x:v>
      </x:c>
      <x:c r="M33" s="2" t="str">
        <x:v>471ab1894d0f15da7bcb5290728664df17271c19cdd789811c47c14763cf3dea</x:v>
      </x:c>
      <x:c r="N33" s="2" t="str">
        <x:v>1db008bc1f2a41069907cad00b61ba4a733f6c31d1236bb506b12715df0812ac</x:v>
      </x:c>
      <x:c r="O33" s="2" t="str">
        <x:v>f854c384b9bde98d96b43904ba0712303f56ec68245b3050517959371b553fb6</x:v>
      </x:c>
    </x:row>
    <x:row r="34" ht="22" customHeight="1">
      <x:c r="A34" s="2" t="str">
        <x:v>2026-10-08_Night</x:v>
      </x:c>
      <x:c r="B34" s="26" t="n">
        <x:v>68760</x:v>
      </x:c>
      <x:c r="C34" s="25" t="d">
        <x:v>2026-10-08T17:00:01.000Z</x:v>
      </x:c>
      <x:c r="D34" s="27" t="n">
        <x:v>68400</x:v>
      </x:c>
      <x:c r="E34" s="25" t="d">
        <x:v>2026-10-09T05:54:03.000Z</x:v>
      </x:c>
      <x:c r="F34" s="27" t="n">
        <x:f>D34-B34</x:f>
        <x:v>-360</x:v>
      </x:c>
      <x:c r="G34" s="2" t="str">
        <x:v>下落</x:v>
      </x:c>
      <x:c r="H34" s="2" t="n">
        <x:v>1</x:v>
      </x:c>
      <x:c r="I34" s="2" t="n">
        <x:v>357</x:v>
      </x:c>
      <x:c r="J34" s="2" t="n">
        <x:v>688</x:v>
      </x:c>
      <x:c r="K34" s="2" t="n">
        <x:v>186409</x:v>
      </x:c>
      <x:c r="L34" s="2" t="str">
        <x:v>直前6分以内の最終観測Last</x:v>
      </x:c>
      <x:c r="M34" s="2" t="str">
        <x:v>9f059d946527b64170ca10d4d2e10daa63950164e2e87b6300dda13f2bb94d18</x:v>
      </x:c>
      <x:c r="N34" s="2" t="str">
        <x:v>ed4cd01d53019c86407d642434927c49f1285e23a43b8c2170db2a68f8feb51e</x:v>
      </x:c>
      <x:c r="O34" s="2" t="str">
        <x:v>bca92c37af446275862aa096a005393b152f394aab17c5a8bd748eef7dcb8f34</x:v>
      </x:c>
    </x:row>
    <x:row r="35" ht="22" customHeight="1">
      <x:c r="A35" s="2" t="str">
        <x:v>2026-10-09_Day</x:v>
      </x:c>
      <x:c r="B35" s="26" t="n">
        <x:v>68370</x:v>
      </x:c>
      <x:c r="C35" s="25" t="d">
        <x:v>2026-10-09T08:45:01.000Z</x:v>
      </x:c>
      <x:c r="D35" s="27" t="n">
        <x:v>69370</x:v>
      </x:c>
      <x:c r="E35" s="25" t="d">
        <x:v>2026-10-09T15:39:54.999Z</x:v>
      </x:c>
      <x:c r="F35" s="27" t="n">
        <x:f>D35-B35</x:f>
        <x:v>1000</x:v>
      </x:c>
      <x:c r="G35" s="2" t="str">
        <x:v>上昇</x:v>
      </x:c>
      <x:c r="H35" s="2" t="n">
        <x:v>1</x:v>
      </x:c>
      <x:c r="I35" s="2" t="n">
        <x:v>305</x:v>
      </x:c>
      <x:c r="J35" s="2" t="n">
        <x:v>96</x:v>
      </x:c>
      <x:c r="K35" s="2" t="n">
        <x:v>123302</x:v>
      </x:c>
      <x:c r="L35" s="2" t="str">
        <x:v>直前6分以内の最終観測Last</x:v>
      </x:c>
      <x:c r="M35" s="2" t="str">
        <x:v>0bd5facc453e1456560594c79d109d53b39ed973e26302315d4c330ce7964b64</x:v>
      </x:c>
      <x:c r="N35" s="2" t="str">
        <x:v>0137e5f084b1708659c3b487f00c0ee8dfed059af20885506b0b02a64b324693</x:v>
      </x:c>
      <x:c r="O35" s="2" t="str">
        <x:v>ae37841788e35e0a029c3e4d19d8f0e5b3fae5f58ed5715c874792bbea6e405f</x:v>
      </x:c>
    </x:row>
    <x:row r="36" ht="22" customHeight="1">
      <x:c r="A36" s="2" t="str">
        <x:v>2026-10-09_Night</x:v>
      </x:c>
      <x:c r="B36" s="26" t="n">
        <x:v>69500</x:v>
      </x:c>
      <x:c r="C36" s="25" t="d">
        <x:v>2026-10-09T17:00:01.000Z</x:v>
      </x:c>
      <x:c r="D36" s="27" t="n">
        <x:v>69070</x:v>
      </x:c>
      <x:c r="E36" s="25" t="d">
        <x:v>2026-10-10T05:54:54.000Z</x:v>
      </x:c>
      <x:c r="F36" s="27" t="n">
        <x:f>D36-B36</x:f>
        <x:v>-430</x:v>
      </x:c>
      <x:c r="G36" s="2" t="str">
        <x:v>下落</x:v>
      </x:c>
      <x:c r="H36" s="2" t="n">
        <x:v>1</x:v>
      </x:c>
      <x:c r="I36" s="2" t="n">
        <x:v>306</x:v>
      </x:c>
      <x:c r="J36" s="2" t="n">
        <x:v>366</x:v>
      </x:c>
      <x:c r="K36" s="2" t="n">
        <x:v>121037</x:v>
      </x:c>
      <x:c r="L36" s="2" t="str">
        <x:v>直前6分以内の最終観測Last</x:v>
      </x:c>
      <x:c r="M36" s="2" t="str">
        <x:v>fe0cee32fe35860d3862356b81838a7cc1bd17f7a8f1461bf7bf21af16227dc9</x:v>
      </x:c>
      <x:c r="N36" s="2" t="str">
        <x:v>fda4a7e52d9e3892f5a3288fe12b34272fbdd730d9c90bb9a40a3666013396f4</x:v>
      </x:c>
      <x:c r="O36" s="2" t="str">
        <x:v>46b4de118bb83cb3378d5265eb11219c234448937f0affbaa196b3451b745136</x:v>
      </x:c>
    </x:row>
    <x:row r="37" ht="22" customHeight="1">
      <x:c r="A37" s="2" t="str">
        <x:v>2026-10-12_Day</x:v>
      </x:c>
      <x:c r="B37" s="26" t="n">
        <x:v>69310</x:v>
      </x:c>
      <x:c r="C37" s="25" t="d">
        <x:v>2026-10-12T08:45:01.000Z</x:v>
      </x:c>
      <x:c r="D37" s="27" t="n">
        <x:v>69150</x:v>
      </x:c>
      <x:c r="E37" s="25" t="d">
        <x:v>2026-10-12T15:39:58.000Z</x:v>
      </x:c>
      <x:c r="F37" s="27" t="n">
        <x:f>D37-B37</x:f>
        <x:v>-160</x:v>
      </x:c>
      <x:c r="G37" s="2" t="str">
        <x:v>下落</x:v>
      </x:c>
      <x:c r="H37" s="2" t="n">
        <x:v>1</x:v>
      </x:c>
      <x:c r="I37" s="2" t="n">
        <x:v>302</x:v>
      </x:c>
      <x:c r="J37" s="2" t="n">
        <x:v>953</x:v>
      </x:c>
      <x:c r="K37" s="2" t="n">
        <x:v>82682</x:v>
      </x:c>
      <x:c r="L37" s="2" t="str">
        <x:v>直前6分以内の最終観測Last</x:v>
      </x:c>
      <x:c r="M37" s="2" t="str">
        <x:v>120fdaff2e5cc78eef03ee4f2d9b0d69c64197d0d50bcc499188d9b99d0af3b0</x:v>
      </x:c>
      <x:c r="N37" s="2" t="str">
        <x:v>4dc1276683138997d9beba41eabfdf9d773411a02b3cb0844540b77186602f1c</x:v>
      </x:c>
      <x:c r="O37" s="2" t="str">
        <x:v>cf30fc12649c5a19b97e94cb96c9310ff0740917b4ad10869ed2fbe58f62fea5</x:v>
      </x:c>
    </x:row>
    <x:row r="38" ht="22" customHeight="1">
      <x:c r="A38" s="2" t="str">
        <x:v>2026-10-12_Night</x:v>
      </x:c>
      <x:c r="B38" s="26" t="n">
        <x:v>69210</x:v>
      </x:c>
      <x:c r="C38" s="25" t="d">
        <x:v>2026-10-12T17:00:01.000Z</x:v>
      </x:c>
      <x:c r="D38" s="27" t="n">
        <x:v>68380</x:v>
      </x:c>
      <x:c r="E38" s="25" t="d">
        <x:v>2026-10-13T05:54:59.000Z</x:v>
      </x:c>
      <x:c r="F38" s="27" t="n">
        <x:f>D38-B38</x:f>
        <x:v>-830</x:v>
      </x:c>
      <x:c r="G38" s="2" t="str">
        <x:v>下落</x:v>
      </x:c>
      <x:c r="H38" s="2" t="n">
        <x:v>1</x:v>
      </x:c>
      <x:c r="I38" s="2" t="n">
        <x:v>301</x:v>
      </x:c>
      <x:c r="J38" s="2" t="n">
        <x:v>409</x:v>
      </x:c>
      <x:c r="K38" s="2" t="n">
        <x:v>113072</x:v>
      </x:c>
      <x:c r="L38" s="2" t="str">
        <x:v>直前6分以内の最終観測Last</x:v>
      </x:c>
      <x:c r="M38" s="2" t="str">
        <x:v>f7eeaf0824c4ae87e99f37500044868f94165fa89fe04dc96fe92358cccee664</x:v>
      </x:c>
      <x:c r="N38" s="2" t="str">
        <x:v>7d97f072fbb4326f078e7f8f4884a3420720cd02e039408a444113398af23655</x:v>
      </x:c>
      <x:c r="O38" s="2" t="str">
        <x:v>238868064a338c641627a65a99a93c7f44cf23b48aed5a95c338c2cdfcfe22ff</x:v>
      </x:c>
    </x:row>
    <x:row r="39" ht="22" customHeight="1">
      <x:c r="A39" s="2" t="str">
        <x:v>2026-10-13_Day</x:v>
      </x:c>
      <x:c r="B39" s="26" t="n">
        <x:v>68200</x:v>
      </x:c>
      <x:c r="C39" s="25" t="d">
        <x:v>2026-10-13T08:45:01.000Z</x:v>
      </x:c>
      <x:c r="D39" s="27" t="n">
        <x:v>67870</x:v>
      </x:c>
      <x:c r="E39" s="25" t="d">
        <x:v>2026-10-13T15:39:59.000Z</x:v>
      </x:c>
      <x:c r="F39" s="27" t="n">
        <x:f>D39-B39</x:f>
        <x:v>-330</x:v>
      </x:c>
      <x:c r="G39" s="2" t="str">
        <x:v>下落</x:v>
      </x:c>
      <x:c r="H39" s="2" t="n">
        <x:v>1</x:v>
      </x:c>
      <x:c r="I39" s="2" t="n">
        <x:v>301</x:v>
      </x:c>
      <x:c r="J39" s="2" t="n">
        <x:v>733</x:v>
      </x:c>
      <x:c r="K39" s="2" t="n">
        <x:v>157284</x:v>
      </x:c>
      <x:c r="L39" s="2" t="str">
        <x:v>直前6分以内の最終観測Last</x:v>
      </x:c>
      <x:c r="M39" s="2" t="str">
        <x:v>5300a2ef7f8fa30f39bbc0ff898a45c42956c15db26ba8d7d2c288c6a90f905d</x:v>
      </x:c>
      <x:c r="N39" s="2" t="str">
        <x:v>01debc820242a4a7527ff1491ed0c31a144440cb52c2a7532f7e6272e8e72f3c</x:v>
      </x:c>
      <x:c r="O39" s="2" t="str">
        <x:v>ada2a81b24a502bfa7718f2244cf96a1504c3737a8acdced979324706bfb15b2</x:v>
      </x:c>
    </x:row>
    <x:row r="40" ht="22" customHeight="1">
      <x:c r="A40" s="2" t="str">
        <x:v>2026-10-13_Night</x:v>
      </x:c>
      <x:c r="B40" s="26" t="n">
        <x:v>68070</x:v>
      </x:c>
      <x:c r="C40" s="25" t="d">
        <x:v>2026-10-13T17:00:01.000Z</x:v>
      </x:c>
      <x:c r="D40" s="27" t="n">
        <x:v>68130</x:v>
      </x:c>
      <x:c r="E40" s="25" t="d">
        <x:v>2026-10-14T05:54:05.000Z</x:v>
      </x:c>
      <x:c r="F40" s="27" t="n">
        <x:f>D40-B40</x:f>
        <x:v>60</x:v>
      </x:c>
      <x:c r="G40" s="2" t="str">
        <x:v>上昇</x:v>
      </x:c>
      <x:c r="H40" s="2" t="n">
        <x:v>1</x:v>
      </x:c>
      <x:c r="I40" s="2" t="n">
        <x:v>355</x:v>
      </x:c>
      <x:c r="J40" s="2" t="n">
        <x:v>458</x:v>
      </x:c>
      <x:c r="K40" s="2" t="n">
        <x:v>134093</x:v>
      </x:c>
      <x:c r="L40" s="2" t="str">
        <x:v>直前6分以内の最終観測Last</x:v>
      </x:c>
      <x:c r="M40" s="2" t="str">
        <x:v>52da84b4c22669b82704838b2010757971922110a837d9fb220e010d68a49f56</x:v>
      </x:c>
      <x:c r="N40" s="2" t="str">
        <x:v>819fa6dad6a5235b0a32e24b3632397a7900356cab1c23fa5963d97a27ba3c93</x:v>
      </x:c>
      <x:c r="O40" s="2" t="str">
        <x:v>adaca53df4b362991e6e094ad33e46e7d1fd1403d34b2a71e2b7a061e9d991d5</x:v>
      </x:c>
    </x:row>
    <x:row r="41" ht="22" customHeight="1">
      <x:c r="A41" s="2" t="str">
        <x:v>2026-10-14_Day</x:v>
      </x:c>
      <x:c r="B41" s="26" t="n">
        <x:v>68050</x:v>
      </x:c>
      <x:c r="C41" s="25" t="d">
        <x:v>2026-10-14T08:45:01.000Z</x:v>
      </x:c>
      <x:c r="D41" s="27" t="n">
        <x:v>68120</x:v>
      </x:c>
      <x:c r="E41" s="25" t="d">
        <x:v>2026-10-14T15:39:59.000Z</x:v>
      </x:c>
      <x:c r="F41" s="27" t="n">
        <x:f>D41-B41</x:f>
        <x:v>70</x:v>
      </x:c>
      <x:c r="G41" s="2" t="str">
        <x:v>上昇</x:v>
      </x:c>
      <x:c r="H41" s="2" t="n">
        <x:v>1</x:v>
      </x:c>
      <x:c r="I41" s="2" t="n">
        <x:v>301</x:v>
      </x:c>
      <x:c r="J41" s="2" t="n">
        <x:v>853</x:v>
      </x:c>
      <x:c r="K41" s="2" t="n">
        <x:v>138137</x:v>
      </x:c>
      <x:c r="L41" s="2" t="str">
        <x:v>直前6分以内の最終観測Last</x:v>
      </x:c>
      <x:c r="M41" s="2" t="str">
        <x:v>18bf3c51bd49defeb609faa2e039a86f8011bf8977571c6dff045d0b84e442e2</x:v>
      </x:c>
      <x:c r="N41" s="2" t="str">
        <x:v>83ea7c81d5c9b45e1716e66d3d532af9eafff084a27d3a85d8d0291f1c29990c</x:v>
      </x:c>
      <x:c r="O41" s="2" t="str">
        <x:v>e8d44e89184230fdf774f54c56abd9913b7f566dd7c9dede6cfc93d1132d40f9</x:v>
      </x:c>
    </x:row>
    <x:row r="42" ht="22" customHeight="1">
      <x:c r="A42" s="2" t="str">
        <x:v>2026-10-14_Night</x:v>
      </x:c>
      <x:c r="B42" s="26" t="n">
        <x:v>68250</x:v>
      </x:c>
      <x:c r="C42" s="25" t="d">
        <x:v>2026-10-14T17:00:01.000Z</x:v>
      </x:c>
      <x:c r="D42" s="27" t="n">
        <x:v>66540</x:v>
      </x:c>
      <x:c r="E42" s="25" t="d">
        <x:v>2026-10-15T05:54:59.000Z</x:v>
      </x:c>
      <x:c r="F42" s="27" t="n">
        <x:f>D42-B42</x:f>
        <x:v>-1710</x:v>
      </x:c>
      <x:c r="G42" s="2" t="str">
        <x:v>下落</x:v>
      </x:c>
      <x:c r="H42" s="2" t="n">
        <x:v>1</x:v>
      </x:c>
      <x:c r="I42" s="2" t="n">
        <x:v>301</x:v>
      </x:c>
      <x:c r="J42" s="2" t="n">
        <x:v>484</x:v>
      </x:c>
      <x:c r="K42" s="2" t="n">
        <x:v>187952</x:v>
      </x:c>
      <x:c r="L42" s="2" t="str">
        <x:v>直前6分以内の最終観測Last</x:v>
      </x:c>
      <x:c r="M42" s="2" t="str">
        <x:v>6e27f4436e53ccee958bb2a14d1ec298a8a82efc9da7a264a9912c11369e56df</x:v>
      </x:c>
      <x:c r="N42" s="2" t="str">
        <x:v>72ac109653b865ddf66c64947db89574dd2f08207be31a30a8031c78442536e4</x:v>
      </x:c>
      <x:c r="O42" s="2" t="str">
        <x:v>ea1c62132b980154ed0fdab87f8dc5a8588a70a27bf84f2b998064e4dd7bf6b6</x:v>
      </x:c>
    </x:row>
    <x:row r="43" ht="22" customHeight="1">
      <x:c r="A43" s="2" t="str">
        <x:v>2026-10-15_Day</x:v>
      </x:c>
      <x:c r="B43" s="26" t="n">
        <x:v>66200</x:v>
      </x:c>
      <x:c r="C43" s="25" t="d">
        <x:v>2026-10-15T08:45:01.000Z</x:v>
      </x:c>
      <x:c r="D43" s="27" t="n">
        <x:v>64690</x:v>
      </x:c>
      <x:c r="E43" s="25" t="d">
        <x:v>2026-10-15T15:39:59.000Z</x:v>
      </x:c>
      <x:c r="F43" s="27" t="n">
        <x:f>D43-B43</x:f>
        <x:v>-1510</x:v>
      </x:c>
      <x:c r="G43" s="2" t="str">
        <x:v>下落</x:v>
      </x:c>
      <x:c r="H43" s="2" t="n">
        <x:v>1</x:v>
      </x:c>
      <x:c r="I43" s="2" t="n">
        <x:v>301</x:v>
      </x:c>
      <x:c r="J43" s="2" t="n">
        <x:v>1197</x:v>
      </x:c>
      <x:c r="K43" s="2" t="n">
        <x:v>181066</x:v>
      </x:c>
      <x:c r="L43" s="2" t="str">
        <x:v>直前6分以内の最終観測Last</x:v>
      </x:c>
      <x:c r="M43" s="2" t="str">
        <x:v>99214ba4a4e06ce98297dc8ba937a1af6621f24798d6da4ab01469b11c7d32c0</x:v>
      </x:c>
      <x:c r="N43" s="2" t="str">
        <x:v>9ce953cafc840d3b3b217a044af433a195ede9e8449742f223cbf15741b1fde7</x:v>
      </x:c>
      <x:c r="O43" s="2" t="str">
        <x:v>5b8d8602770bbbe9c31ff4c8b777db379721c7771169b39523f2fc0dc9371eda</x:v>
      </x:c>
    </x:row>
    <x:row r="44" ht="22" customHeight="1">
      <x:c r="A44" s="2" t="str">
        <x:v>2026-10-15_Night</x:v>
      </x:c>
      <x:c r="B44" s="26" t="n">
        <x:v>64800</x:v>
      </x:c>
      <x:c r="C44" s="25" t="d">
        <x:v>2026-10-15T17:00:01.000Z</x:v>
      </x:c>
      <x:c r="D44" s="27" t="n">
        <x:v>65790</x:v>
      </x:c>
      <x:c r="E44" s="25" t="d">
        <x:v>2026-10-16T05:54:58.000Z</x:v>
      </x:c>
      <x:c r="F44" s="27" t="n">
        <x:f>D44-B44</x:f>
        <x:v>990</x:v>
      </x:c>
      <x:c r="G44" s="2" t="str">
        <x:v>上昇</x:v>
      </x:c>
      <x:c r="H44" s="2" t="n">
        <x:v>1</x:v>
      </x:c>
      <x:c r="I44" s="2" t="n">
        <x:v>302</x:v>
      </x:c>
      <x:c r="J44" s="2" t="n">
        <x:v>772</x:v>
      </x:c>
      <x:c r="K44" s="2" t="n">
        <x:v>208754</x:v>
      </x:c>
      <x:c r="L44" s="2" t="str">
        <x:v>直前6分以内の最終観測Last</x:v>
      </x:c>
      <x:c r="M44" s="2" t="str">
        <x:v>7357dcfa367710bda67150abd2316e8ab71ec42db563f388ce0aba6311f742cd</x:v>
      </x:c>
      <x:c r="N44" s="2" t="str">
        <x:v>7127f881a3020bae61c37db263c4817f73c58e3c7effe98e4c12afb8d188f61e</x:v>
      </x:c>
      <x:c r="O44" s="2" t="str">
        <x:v>9a5e6d6dd5066622eef4c9e0a3f550a2a0492735b7c0aca4a2aff4df6be0be5c</x:v>
      </x:c>
    </x:row>
    <x:row r="45" ht="22" customHeight="1">
      <x:c r="A45" s="2" t="str">
        <x:v>2026-10-16_Day</x:v>
      </x:c>
      <x:c r="B45" s="26" t="n">
        <x:v>65460</x:v>
      </x:c>
      <x:c r="C45" s="25" t="d">
        <x:v>2026-10-16T08:45:01.000Z</x:v>
      </x:c>
      <x:c r="D45" s="27" t="n">
        <x:v>65630</x:v>
      </x:c>
      <x:c r="E45" s="25" t="d">
        <x:v>2026-10-16T15:39:59.000Z</x:v>
      </x:c>
      <x:c r="F45" s="27" t="n">
        <x:f>D45-B45</x:f>
        <x:v>170</x:v>
      </x:c>
      <x:c r="G45" s="2" t="str">
        <x:v>上昇</x:v>
      </x:c>
      <x:c r="H45" s="2" t="n">
        <x:v>1</x:v>
      </x:c>
      <x:c r="I45" s="2" t="n">
        <x:v>301</x:v>
      </x:c>
      <x:c r="J45" s="2" t="n">
        <x:v>941</x:v>
      </x:c>
      <x:c r="K45" s="2" t="n">
        <x:v>154956</x:v>
      </x:c>
      <x:c r="L45" s="2" t="str">
        <x:v>直前6分以内の最終観測Last</x:v>
      </x:c>
      <x:c r="M45" s="2" t="str">
        <x:v>a16b28cd886125e9c3faa7093d0949013cec09a94d687b909c9e13b742c09709</x:v>
      </x:c>
      <x:c r="N45" s="2" t="str">
        <x:v>752c5a6d3c3d8190c5f19e9e1381115ae18c2b9a1701d0478d5a21e1fdeb277f</x:v>
      </x:c>
      <x:c r="O45" s="2" t="str">
        <x:v>a7df026bdb8bbb46b380b657771b5dc44aa54e85bffd8b50cb714eede618d065</x:v>
      </x:c>
    </x:row>
    <x:row r="46" ht="22" customHeight="1">
      <x:c r="A46" s="2" t="str">
        <x:v>2026-10-16_Night</x:v>
      </x:c>
      <x:c r="B46" s="26" t="n">
        <x:v>65600</x:v>
      </x:c>
      <x:c r="C46" s="25" t="d">
        <x:v>2026-10-16T17:00:01.000Z</x:v>
      </x:c>
      <x:c r="D46" s="27" t="n">
        <x:v>63590</x:v>
      </x:c>
      <x:c r="E46" s="25" t="d">
        <x:v>2026-10-17T05:54:46.999Z</x:v>
      </x:c>
      <x:c r="F46" s="27" t="n">
        <x:f>D46-B46</x:f>
        <x:v>-2010</x:v>
      </x:c>
      <x:c r="G46" s="2" t="str">
        <x:v>下落</x:v>
      </x:c>
      <x:c r="H46" s="2" t="n">
        <x:v>1</x:v>
      </x:c>
      <x:c r="I46" s="2" t="n">
        <x:v>313</x:v>
      </x:c>
      <x:c r="J46" s="2" t="n">
        <x:v>724</x:v>
      </x:c>
      <x:c r="K46" s="2" t="n">
        <x:v>211312</x:v>
      </x:c>
      <x:c r="L46" s="2" t="str">
        <x:v>直前6分以内の最終観測Last</x:v>
      </x:c>
      <x:c r="M46" s="2" t="str">
        <x:v>855285a1a656fd96d7f914c44f6652fc46e455127ce01bbd79dcc3e4b1399e02</x:v>
      </x:c>
      <x:c r="N46" s="2" t="str">
        <x:v>d14a6bd1149ff0f63cedf1a88f47fa817fa022dbb174916cc2da831a827a4a8a</x:v>
      </x:c>
      <x:c r="O46" s="2" t="str">
        <x:v>2a079562033d596c660bebb6325835f10807f46cd7b00dc3e525170cd34205b1</x:v>
      </x:c>
    </x:row>
    <x:row r="47" ht="22" customHeight="1">
      <x:c r="A47" s="2" t="str">
        <x:v>2026-10-19_Day</x:v>
      </x:c>
      <x:c r="B47" s="26" t="n">
        <x:v>63870</x:v>
      </x:c>
      <x:c r="C47" s="25" t="d">
        <x:v>2026-10-19T08:45:01.000Z</x:v>
      </x:c>
      <x:c r="D47" s="27" t="n">
        <x:v>64950</x:v>
      </x:c>
      <x:c r="E47" s="25" t="d">
        <x:v>2026-10-19T15:40:00.000Z</x:v>
      </x:c>
      <x:c r="F47" s="27" t="n">
        <x:f>D47-B47</x:f>
        <x:v>1080</x:v>
      </x:c>
      <x:c r="G47" s="2" t="str">
        <x:v>上昇</x:v>
      </x:c>
      <x:c r="H47" s="2" t="n">
        <x:v>1</x:v>
      </x:c>
      <x:c r="I47" s="2" t="n">
        <x:v>300</x:v>
      </x:c>
      <x:c r="J47" s="2" t="n">
        <x:v>793</x:v>
      </x:c>
      <x:c r="K47" s="2" t="n">
        <x:v>157541</x:v>
      </x:c>
      <x:c r="L47" s="2" t="str">
        <x:v>直前6分以内の最終観測Last</x:v>
      </x:c>
      <x:c r="M47" s="2" t="str">
        <x:v>33098b09a06b28631fb9a51943f762889d5a49aee530b09b6f8b7d641d1cb3e0</x:v>
      </x:c>
      <x:c r="N47" s="2" t="str">
        <x:v>1524b7ffd0d749a977c919035ecd65cbd752988266d23a5e5527ea5ab1e4e49c</x:v>
      </x:c>
      <x:c r="O47" s="2" t="str">
        <x:v>6631b4614ea083ca725dfbcf3825477274a94657e48dde6e36614e54de415d44</x:v>
      </x:c>
    </x:row>
    <x:row r="48" ht="22" customHeight="1">
      <x:c r="A48" s="2" t="str">
        <x:v>2026-10-19_Night</x:v>
      </x:c>
      <x:c r="B48" s="26" t="n">
        <x:v>64720</x:v>
      </x:c>
      <x:c r="C48" s="25" t="d">
        <x:v>2026-10-19T17:00:01.000Z</x:v>
      </x:c>
      <x:c r="D48" s="27" t="n">
        <x:v>64840</x:v>
      </x:c>
      <x:c r="E48" s="25" t="d">
        <x:v>2026-10-20T05:54:52.000Z</x:v>
      </x:c>
      <x:c r="F48" s="27" t="n">
        <x:f>D48-B48</x:f>
        <x:v>120</x:v>
      </x:c>
      <x:c r="G48" s="2" t="str">
        <x:v>上昇</x:v>
      </x:c>
      <x:c r="H48" s="2" t="n">
        <x:v>1</x:v>
      </x:c>
      <x:c r="I48" s="2" t="n">
        <x:v>308</x:v>
      </x:c>
      <x:c r="J48" s="2" t="n">
        <x:v>582</x:v>
      </x:c>
      <x:c r="K48" s="2" t="n">
        <x:v>189350</x:v>
      </x:c>
      <x:c r="L48" s="2" t="str">
        <x:v>直前6分以内の最終観測Last</x:v>
      </x:c>
      <x:c r="M48" s="2" t="str">
        <x:v>349e3af54c15e2ab3cb115b4f8700a114313c420cf33b194b397affd435d1e71</x:v>
      </x:c>
      <x:c r="N48" s="2" t="str">
        <x:v>05ec73083064381f02c0c58d811242ee0c107d2bda2712a7ab5dad102bccd236</x:v>
      </x:c>
      <x:c r="O48" s="2" t="str">
        <x:v>d27a75a90a013ad5180ca4e7e6442bbb9c5c9ee6f1c5a638237d72627882c7fc</x:v>
      </x:c>
    </x:row>
    <x:row r="49" ht="22" customHeight="1">
      <x:c r="A49" s="2" t="str">
        <x:v>2026-10-20_Day</x:v>
      </x:c>
      <x:c r="B49" s="26" t="n">
        <x:v>64850</x:v>
      </x:c>
      <x:c r="C49" s="25" t="d">
        <x:v>2026-10-20T08:45:01.000Z</x:v>
      </x:c>
      <x:c r="D49" s="27" t="n">
        <x:v>64350</x:v>
      </x:c>
      <x:c r="E49" s="25" t="d">
        <x:v>2026-10-20T15:40:00.000Z</x:v>
      </x:c>
      <x:c r="F49" s="27" t="n">
        <x:f>D49-B49</x:f>
        <x:v>-500</x:v>
      </x:c>
      <x:c r="G49" s="2" t="str">
        <x:v>下落</x:v>
      </x:c>
      <x:c r="H49" s="2" t="n">
        <x:v>1</x:v>
      </x:c>
      <x:c r="I49" s="2" t="n">
        <x:v>300</x:v>
      </x:c>
      <x:c r="J49" s="2" t="n">
        <x:v>918</x:v>
      </x:c>
      <x:c r="K49" s="2" t="n">
        <x:v>167976</x:v>
      </x:c>
      <x:c r="L49" s="2" t="str">
        <x:v>直前6分以内の最終観測Last</x:v>
      </x:c>
      <x:c r="M49" s="2" t="str">
        <x:v>02941004474e66c33be74185822528d62fce9bdea1c98a0b5495949839a3799e</x:v>
      </x:c>
      <x:c r="N49" s="2" t="str">
        <x:v>57dc729fb591615ceed327cbbd824edfeeb7f3f2806eb39cf934af7258effdb9</x:v>
      </x:c>
      <x:c r="O49" s="2" t="str">
        <x:v>c58b962501866d763ff33ccd2e794368fc88e6185533db390c8729b693b4b374</x:v>
      </x:c>
    </x:row>
    <x:row r="50" ht="22" customHeight="1">
      <x:c r="A50" s="2" t="str">
        <x:v>2026-10-20_Night</x:v>
      </x:c>
      <x:c r="B50" s="26" t="n">
        <x:v>64090</x:v>
      </x:c>
      <x:c r="C50" s="25" t="d">
        <x:v>2026-10-20T17:00:01.000Z</x:v>
      </x:c>
      <x:c r="D50" s="27" t="n">
        <x:v>65160</x:v>
      </x:c>
      <x:c r="E50" s="25" t="d">
        <x:v>2026-10-21T05:54:03.000Z</x:v>
      </x:c>
      <x:c r="F50" s="27" t="n">
        <x:f>D50-B50</x:f>
        <x:v>1070</x:v>
      </x:c>
      <x:c r="G50" s="2" t="str">
        <x:v>上昇</x:v>
      </x:c>
      <x:c r="H50" s="2" t="n">
        <x:v>1</x:v>
      </x:c>
      <x:c r="I50" s="2" t="n">
        <x:v>357</x:v>
      </x:c>
      <x:c r="J50" s="2" t="n">
        <x:v>569</x:v>
      </x:c>
      <x:c r="K50" s="2" t="n">
        <x:v>205785</x:v>
      </x:c>
      <x:c r="L50" s="2" t="str">
        <x:v>直前6分以内の最終観測Last</x:v>
      </x:c>
      <x:c r="M50" s="2" t="str">
        <x:v>e5f70cf2c7d1a782c84ca0e6df808d78d28fb489e01eb0f185a4d6a411eaa330</x:v>
      </x:c>
      <x:c r="N50" s="2" t="str">
        <x:v>776c66a0592c24b322067b97aa74cf567dd50d7a5bd0b796a4911866a45f4aed</x:v>
      </x:c>
      <x:c r="O50" s="2" t="str">
        <x:v>14c5eb7ba8b696e0e6976bca1da8987649673e10d50535225aaf9bd4118053ba</x:v>
      </x:c>
    </x:row>
    <x:row r="51" ht="22" customHeight="1">
      <x:c r="A51" s="2" t="str">
        <x:v>2026-10-21_Day</x:v>
      </x:c>
      <x:c r="B51" s="26" t="n">
        <x:v>65380</x:v>
      </x:c>
      <x:c r="C51" s="25" t="d">
        <x:v>2026-10-21T08:45:01.000Z</x:v>
      </x:c>
      <x:c r="D51" s="27" t="n">
        <x:v>64760</x:v>
      </x:c>
      <x:c r="E51" s="25" t="d">
        <x:v>2026-10-21T15:40:00.000Z</x:v>
      </x:c>
      <x:c r="F51" s="27" t="n">
        <x:f>D51-B51</x:f>
        <x:v>-620</x:v>
      </x:c>
      <x:c r="G51" s="2" t="str">
        <x:v>下落</x:v>
      </x:c>
      <x:c r="H51" s="2" t="n">
        <x:v>1</x:v>
      </x:c>
      <x:c r="I51" s="2" t="n">
        <x:v>300</x:v>
      </x:c>
      <x:c r="J51" s="2" t="n">
        <x:v>869</x:v>
      </x:c>
      <x:c r="K51" s="2" t="n">
        <x:v>156383</x:v>
      </x:c>
      <x:c r="L51" s="2" t="str">
        <x:v>直前6分以内の最終観測Last</x:v>
      </x:c>
      <x:c r="M51" s="2" t="str">
        <x:v>6378214b4a9e1aa512292020e9648253fef91bac3dd30870d2faa8e3ce827849</x:v>
      </x:c>
      <x:c r="N51" s="2" t="str">
        <x:v>c30ca0a858d80034c1889a2cc886a1b00247e8692ec2ab38dcc4c54755d0fc2c</x:v>
      </x:c>
      <x:c r="O51" s="2" t="str">
        <x:v>d314a992c199935c10ee1c1ce9da062e4198a0ae49594e45ffa17d5525f5787a</x:v>
      </x:c>
    </x:row>
    <x:row r="52" ht="22" customHeight="1">
      <x:c r="A52" s="2" t="str">
        <x:v>2026-10-21_Night</x:v>
      </x:c>
      <x:c r="B52" s="26" t="n">
        <x:v>64970</x:v>
      </x:c>
      <x:c r="C52" s="25" t="d">
        <x:v>2026-10-21T17:00:01.000Z</x:v>
      </x:c>
      <x:c r="D52" s="27" t="n">
        <x:v>65000</x:v>
      </x:c>
      <x:c r="E52" s="25" t="d">
        <x:v>2026-10-22T05:54:43.000Z</x:v>
      </x:c>
      <x:c r="F52" s="27" t="n">
        <x:f>D52-B52</x:f>
        <x:v>30</x:v>
      </x:c>
      <x:c r="G52" s="2" t="str">
        <x:v>上昇</x:v>
      </x:c>
      <x:c r="H52" s="2" t="n">
        <x:v>1</x:v>
      </x:c>
      <x:c r="I52" s="2" t="n">
        <x:v>317</x:v>
      </x:c>
      <x:c r="J52" s="2" t="n">
        <x:v>371</x:v>
      </x:c>
      <x:c r="K52" s="2" t="n">
        <x:v>181378</x:v>
      </x:c>
      <x:c r="L52" s="2" t="str">
        <x:v>直前6分以内の最終観測Last</x:v>
      </x:c>
      <x:c r="M52" s="2" t="str">
        <x:v>b6f1951b161fac9929f33609bc10706196e11b32c49fdc399a6a7258c7702b05</x:v>
      </x:c>
      <x:c r="N52" s="2" t="str">
        <x:v>5f6bb71e8265ea5317afa29ca133a474d418745f1211f0424da040c54725cd10</x:v>
      </x:c>
      <x:c r="O52" s="2" t="str">
        <x:v>2be0e8d2c51fef5a7a0d307f0381afd0ce6da8fae6be670aa9c0c3c5c6b4f9e2</x:v>
      </x:c>
    </x:row>
    <x:row r="53" ht="22" customHeight="1">
      <x:c r="A53" s="2" t="str">
        <x:v>2026-10-22_Day</x:v>
      </x:c>
      <x:c r="B53" s="26" t="n">
        <x:v>64580</x:v>
      </x:c>
      <x:c r="C53" s="25" t="d">
        <x:v>2026-10-22T08:45:01.000Z</x:v>
      </x:c>
      <x:c r="D53" s="27" t="n">
        <x:v>63240</x:v>
      </x:c>
      <x:c r="E53" s="25" t="d">
        <x:v>2026-10-22T15:39:59.000Z</x:v>
      </x:c>
      <x:c r="F53" s="27" t="n">
        <x:f>D53-B53</x:f>
        <x:v>-1340</x:v>
      </x:c>
      <x:c r="G53" s="2" t="str">
        <x:v>下落</x:v>
      </x:c>
      <x:c r="H53" s="2" t="n">
        <x:v>1</x:v>
      </x:c>
      <x:c r="I53" s="2" t="n">
        <x:v>301</x:v>
      </x:c>
      <x:c r="J53" s="2" t="n">
        <x:v>803</x:v>
      </x:c>
      <x:c r="K53" s="2" t="n">
        <x:v>169424</x:v>
      </x:c>
      <x:c r="L53" s="2" t="str">
        <x:v>直前6分以内の最終観測Last</x:v>
      </x:c>
      <x:c r="M53" s="2" t="str">
        <x:v>183456a217c9ff146502e8d980b62dd5b40c59f7f5feb27e9ba3c150951d514a</x:v>
      </x:c>
      <x:c r="N53" s="2" t="str">
        <x:v>b4cebc78a971c1df2fab22793738f8e2afb03037cb2ef5d51bd47925db0ed7c7</x:v>
      </x:c>
      <x:c r="O53" s="2" t="str">
        <x:v>36fea63705775b9fed598c9a0286a0fbdd39b325d28aa04d9fc3e22f72795d94</x:v>
      </x:c>
    </x:row>
    <x:row r="54" ht="22" customHeight="1">
      <x:c r="A54" s="2" t="str">
        <x:v>2026-10-22_Night</x:v>
      </x:c>
      <x:c r="B54" s="26" t="n">
        <x:v>63000</x:v>
      </x:c>
      <x:c r="C54" s="25" t="d">
        <x:v>2026-10-22T17:00:01.000Z</x:v>
      </x:c>
      <x:c r="D54" s="27" t="n">
        <x:v>62360</x:v>
      </x:c>
      <x:c r="E54" s="25" t="d">
        <x:v>2026-10-23T05:54:56.000Z</x:v>
      </x:c>
      <x:c r="F54" s="27" t="n">
        <x:f>D54-B54</x:f>
        <x:v>-640</x:v>
      </x:c>
      <x:c r="G54" s="2" t="str">
        <x:v>下落</x:v>
      </x:c>
      <x:c r="H54" s="2" t="n">
        <x:v>1</x:v>
      </x:c>
      <x:c r="I54" s="2" t="n">
        <x:v>304</x:v>
      </x:c>
      <x:c r="J54" s="2" t="n">
        <x:v>665</x:v>
      </x:c>
      <x:c r="K54" s="2" t="n">
        <x:v>228091</x:v>
      </x:c>
      <x:c r="L54" s="2" t="str">
        <x:v>直前6分以内の最終観測Last</x:v>
      </x:c>
      <x:c r="M54" s="2" t="str">
        <x:v>75a0b6c5d3dc52ad1ede210b135ab23a30caffe06b097ee372ebf96c7fa98e25</x:v>
      </x:c>
      <x:c r="N54" s="2" t="str">
        <x:v>510de0fac700e4775dd705bb7c100bce6d69919ed1cef2bd2c2f4de76d96425a</x:v>
      </x:c>
      <x:c r="O54" s="2" t="str">
        <x:v>00055551401a86b13128e025dfbef93b5f35c6fc08a1e7fad4d331eaf0f91aad</x:v>
      </x:c>
    </x:row>
    <x:row r="55" ht="22" customHeight="1">
      <x:c r="A55" s="2" t="str">
        <x:v>2026-10-23_Day</x:v>
      </x:c>
      <x:c r="B55" s="26" t="n">
        <x:v>62200</x:v>
      </x:c>
      <x:c r="C55" s="25" t="d">
        <x:v>2026-10-23T08:45:01.000Z</x:v>
      </x:c>
      <x:c r="D55" s="27" t="n">
        <x:v>62850</x:v>
      </x:c>
      <x:c r="E55" s="25" t="d">
        <x:v>2026-10-23T15:39:59.000Z</x:v>
      </x:c>
      <x:c r="F55" s="27" t="n">
        <x:f>D55-B55</x:f>
        <x:v>650</x:v>
      </x:c>
      <x:c r="G55" s="2" t="str">
        <x:v>上昇</x:v>
      </x:c>
      <x:c r="H55" s="2" t="n">
        <x:v>1</x:v>
      </x:c>
      <x:c r="I55" s="2" t="n">
        <x:v>301</x:v>
      </x:c>
      <x:c r="J55" s="2" t="n">
        <x:v>1482</x:v>
      </x:c>
      <x:c r="K55" s="2" t="n">
        <x:v>192814</x:v>
      </x:c>
      <x:c r="L55" s="2" t="str">
        <x:v>直前6分以内の最終観測Last</x:v>
      </x:c>
      <x:c r="M55" s="2" t="str">
        <x:v>e0f457e8ffe1f3009eaf186adffaa63cd094f48d49c218a23fc2ad6c04de1dca</x:v>
      </x:c>
      <x:c r="N55" s="2" t="str">
        <x:v>f30d209b66fdfa50c47f7bcf1a17e81bd4e72ee75166db6872dd3cf654dbc599</x:v>
      </x:c>
      <x:c r="O55" s="2" t="str">
        <x:v>535b75e8e0babbfe7394ebe130c8a115cf8ea439052579075b0c994a556a7602</x:v>
      </x:c>
    </x:row>
    <x:row r="56" ht="22" customHeight="1">
      <x:c r="A56" s="2" t="str">
        <x:v>2026-10-23_Night</x:v>
      </x:c>
      <x:c r="B56" s="26" t="n">
        <x:v>62600</x:v>
      </x:c>
      <x:c r="C56" s="25" t="d">
        <x:v>2026-10-23T17:00:01.000Z</x:v>
      </x:c>
      <x:c r="D56" s="27" t="n">
        <x:v>62640</x:v>
      </x:c>
      <x:c r="E56" s="25" t="d">
        <x:v>2026-10-24T05:54:59.000Z</x:v>
      </x:c>
      <x:c r="F56" s="27" t="n">
        <x:f>D56-B56</x:f>
        <x:v>40</x:v>
      </x:c>
      <x:c r="G56" s="2" t="str">
        <x:v>上昇</x:v>
      </x:c>
      <x:c r="H56" s="2" t="n">
        <x:v>1</x:v>
      </x:c>
      <x:c r="I56" s="2" t="n">
        <x:v>301</x:v>
      </x:c>
      <x:c r="J56" s="2" t="n">
        <x:v>677</x:v>
      </x:c>
      <x:c r="K56" s="2" t="n">
        <x:v>215558</x:v>
      </x:c>
      <x:c r="L56" s="2" t="str">
        <x:v>直前6分以内の最終観測Last</x:v>
      </x:c>
      <x:c r="M56" s="2" t="str">
        <x:v>ec422ed8473e03e7fb948425367de9086e259f4805ea599433a1639c7dd468d8</x:v>
      </x:c>
      <x:c r="N56" s="2" t="str">
        <x:v>ed91a115b4f3ab07e308f3ddfe72b0b7eae4ff336886449402cb7fce57255b39</x:v>
      </x:c>
      <x:c r="O56" s="2" t="str">
        <x:v>8dad93aeb702c3bb220175b2b3d1f40699c31381e0cc7d7bce5d71ad442f8c2e</x:v>
      </x:c>
    </x:row>
  </x:sheetData>
  <x:pageMargins left="0.7" right="0.7" top="0.75" bottom="0.75" header="0.3" footer="0.3"/>
  <x:tableParts count="1">
    <x:tablePart xmlns:r="http://schemas.openxmlformats.org/officeDocument/2006/relationships" r:id="Rbb3b9315c5944e12"/>
  </x:tableParts>
</x:worksheet>
</file>