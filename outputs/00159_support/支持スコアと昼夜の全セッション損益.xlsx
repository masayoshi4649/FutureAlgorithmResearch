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worksheets/sheet2.xml" ContentType="application/vnd.openxmlformats-officedocument.spreadsheetml.worksheet+xml"/>
  <Override PartName="/xl/tables/table3.xml" ContentType="application/vnd.openxmlformats-officedocument.spreadsheetml.table+xml"/>
  <Override PartName="/xl/worksheets/sheet3.xml" ContentType="application/vnd.openxmlformats-officedocument.spreadsheetml.worksheet+xml"/>
  <Override PartName="/xl/tables/table4.xml" ContentType="application/vnd.openxmlformats-officedocument.spreadsheetml.table+xml"/>
  <Override PartName="/xl/worksheets/sheet4.xml" ContentType="application/vnd.openxmlformats-officedocument.spreadsheetml.worksheet+xml"/>
  <Override PartName="/xl/tables/table5.xml" ContentType="application/vnd.openxmlformats-officedocument.spreadsheetml.table+xml"/>
  <Override PartName="/xl/worksheets/sheet5.xml" ContentType="application/vnd.openxmlformats-officedocument.spreadsheetml.worksheet+xml"/>
  <Override PartName="/xl/tables/table6.xml" ContentType="application/vnd.openxmlformats-officedocument.spreadsheetml.table+xml"/>
  <Override PartName="/xl/worksheets/sheet6.xml" ContentType="application/vnd.openxmlformats-officedocument.spreadsheetml.worksheet+xml"/>
  <Override PartName="/xl/tables/table7.xml" ContentType="application/vnd.openxmlformats-officedocument.spreadsheetml.table+xml"/>
  <Override PartName="/xl/worksheets/sheet7.xml" ContentType="application/vnd.openxmlformats-officedocument.spreadsheetml.worksheet+xml"/>
  <Override PartName="/xl/tables/table8.xml" ContentType="application/vnd.openxmlformats-officedocument.spreadsheetml.table+xml"/>
  <Override PartName="/xl/worksheets/sheet8.xml" ContentType="application/vnd.openxmlformats-officedocument.spreadsheetml.worksheet+xml"/>
  <Override PartName="/xl/tables/table9.xml" ContentType="application/vnd.openxmlformats-officedocument.spreadsheetml.table+xml"/>
  <Override PartName="/xl/worksheets/sheet9.xml" ContentType="application/vnd.openxmlformats-officedocument.spreadsheetml.worksheet+xml"/>
  <Override PartName="/xl/tables/table10.xml" ContentType="application/vnd.openxmlformats-officedocument.spreadsheetml.table+xml"/>
  <Override PartName="/xl/worksheets/sheet10.xml" ContentType="application/vnd.openxmlformats-officedocument.spreadsheetml.worksheet+xml"/>
  <Override PartName="/xl/tables/table11.xml" ContentType="application/vnd.openxmlformats-officedocument.spreadsheetml.table+xml"/>
  <Override PartName="/xl/worksheets/sheet11.xml" ContentType="application/vnd.openxmlformats-officedocument.spreadsheetml.worksheet+xml"/>
  <Override PartName="/xl/tables/table12.xml" ContentType="application/vnd.openxmlformats-officedocument.spreadsheetml.table+xml"/>
  <Override PartName="/xl/worksheets/sheet12.xml" ContentType="application/vnd.openxmlformats-officedocument.spreadsheetml.worksheet+xml"/>
  <Override PartName="/xl/tables/table13.xml" ContentType="application/vnd.openxmlformats-officedocument.spreadsheetml.table+xml"/>
  <Override PartName="/xl/worksheets/sheet13.xml" ContentType="application/vnd.openxmlformats-officedocument.spreadsheetml.worksheet+xml"/>
  <Override PartName="/xl/tables/table14.xml" ContentType="application/vnd.openxmlformats-officedocument.spreadsheetml.table+xml"/>
  <Override PartName="/xl/worksheets/sheet14.xml" ContentType="application/vnd.openxmlformats-officedocument.spreadsheetml.worksheet+xml"/>
  <Override PartName="/xl/tables/table15.xml" ContentType="application/vnd.openxmlformats-officedocument.spreadsheetml.table+xml"/>
  <Override PartName="/xl/worksheets/sheet15.xml" ContentType="application/vnd.openxmlformats-officedocument.spreadsheetml.worksheet+xml"/>
  <Override PartName="/xl/tables/table16.xml" ContentType="application/vnd.openxmlformats-officedocument.spreadsheetml.table+xml"/>
  <Override PartName="/xl/worksheets/sheet16.xml" ContentType="application/vnd.openxmlformats-officedocument.spreadsheetml.worksheet+xml"/>
  <Override PartName="/xl/tables/table17.xml" ContentType="application/vnd.openxmlformats-officedocument.spreadsheetml.table+xml"/>
  <Override PartName="/xl/worksheets/sheet17.xml" ContentType="application/vnd.openxmlformats-officedocument.spreadsheetml.worksheet+xml"/>
  <Override PartName="/xl/tables/table18.xml" ContentType="application/vnd.openxmlformats-officedocument.spreadsheetml.table+xml"/>
  <Override PartName="/xl/worksheets/sheet18.xml" ContentType="application/vnd.openxmlformats-officedocument.spreadsheetml.worksheet+xml"/>
  <Override PartName="/xl/tables/table19.xml" ContentType="application/vnd.openxmlformats-officedocument.spreadsheetml.table+xml"/>
  <Override PartName="/xl/worksheets/sheet19.xml" ContentType="application/vnd.openxmlformats-officedocument.spreadsheetml.worksheet+xml"/>
  <Override PartName="/xl/tables/table20.xml" ContentType="application/vnd.openxmlformats-officedocument.spreadsheetml.table+xml"/>
  <Override PartName="/xl/worksheets/sheet20.xml" ContentType="application/vnd.openxmlformats-officedocument.spreadsheetml.worksheet+xml"/>
  <Override PartName="/xl/tables/table21.xml" ContentType="application/vnd.openxmlformats-officedocument.spreadsheetml.table+xml"/>
  <Override PartName="/xl/worksheets/sheet21.xml" ContentType="application/vnd.openxmlformats-officedocument.spreadsheetml.worksheet+xml"/>
  <Override PartName="/xl/tables/table22.xml" ContentType="application/vnd.openxmlformats-officedocument.spreadsheetml.table+xml"/>
  <Override PartName="/xl/worksheets/sheet22.xml" ContentType="application/vnd.openxmlformats-officedocument.spreadsheetml.worksheet+xml"/>
  <Override PartName="/xl/tables/table23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d9495edff0e4e1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比較" sheetId="1" r:id="R5d615e78a8c9477e"/>
    <x:sheet xmlns:r="http://schemas.openxmlformats.org/officeDocument/2006/relationships" name="支持の確度" sheetId="2" r:id="R0bda597f4f0d478d"/>
    <x:sheet xmlns:r="http://schemas.openxmlformats.org/officeDocument/2006/relationships" name="日経_N00" sheetId="3" r:id="Rdac80dd3a91a4ecc"/>
    <x:sheet xmlns:r="http://schemas.openxmlformats.org/officeDocument/2006/relationships" name="日経_N01" sheetId="4" r:id="Re5f501b153ee45dc"/>
    <x:sheet xmlns:r="http://schemas.openxmlformats.org/officeDocument/2006/relationships" name="日経_N02" sheetId="5" r:id="R4c005a550a4b498f"/>
    <x:sheet xmlns:r="http://schemas.openxmlformats.org/officeDocument/2006/relationships" name="日経_N03" sheetId="6" r:id="R79297247a4494c70"/>
    <x:sheet xmlns:r="http://schemas.openxmlformats.org/officeDocument/2006/relationships" name="日経_N04" sheetId="7" r:id="Ra29f6485ba9a4cdd"/>
    <x:sheet xmlns:r="http://schemas.openxmlformats.org/officeDocument/2006/relationships" name="日経_N05" sheetId="8" r:id="R7e6579f980c74aab"/>
    <x:sheet xmlns:r="http://schemas.openxmlformats.org/officeDocument/2006/relationships" name="日経_N06" sheetId="9" r:id="Rdc89c696904e439d"/>
    <x:sheet xmlns:r="http://schemas.openxmlformats.org/officeDocument/2006/relationships" name="日経_N07" sheetId="10" r:id="R98a060a50d3c4f46"/>
    <x:sheet xmlns:r="http://schemas.openxmlformats.org/officeDocument/2006/relationships" name="日経_N08" sheetId="11" r:id="Rf46f0bec1c6f4a1d"/>
    <x:sheet xmlns:r="http://schemas.openxmlformats.org/officeDocument/2006/relationships" name="日経_N09" sheetId="12" r:id="R7f8d6ac2f3e04516"/>
    <x:sheet xmlns:r="http://schemas.openxmlformats.org/officeDocument/2006/relationships" name="日経_N10" sheetId="13" r:id="Rd5571f4d6be64456"/>
    <x:sheet xmlns:r="http://schemas.openxmlformats.org/officeDocument/2006/relationships" name="日経_N11" sheetId="14" r:id="R4df9adb7947449c6"/>
    <x:sheet xmlns:r="http://schemas.openxmlformats.org/officeDocument/2006/relationships" name="日経_S01" sheetId="15" r:id="Ra0a75909a96e4eae"/>
    <x:sheet xmlns:r="http://schemas.openxmlformats.org/officeDocument/2006/relationships" name="日経_S01完了確認" sheetId="16" r:id="R35ccb8555acf4a27"/>
    <x:sheet xmlns:r="http://schemas.openxmlformats.org/officeDocument/2006/relationships" name="日経_J02" sheetId="17" r:id="R11c7b2cac7cd407b"/>
    <x:sheet xmlns:r="http://schemas.openxmlformats.org/officeDocument/2006/relationships" name="日経_J02型完了確認" sheetId="18" r:id="R1d560ba05c984af0"/>
    <x:sheet xmlns:r="http://schemas.openxmlformats.org/officeDocument/2006/relationships" name="日経_R00" sheetId="19" r:id="R8eebcf5eff844ee9"/>
    <x:sheet xmlns:r="http://schemas.openxmlformats.org/officeDocument/2006/relationships" name="日経_R01" sheetId="20" r:id="Rae9b2c5c14c54802"/>
    <x:sheet xmlns:r="http://schemas.openxmlformats.org/officeDocument/2006/relationships" name="日経_R02" sheetId="21" r:id="R13881a20befc4bf6"/>
    <x:sheet xmlns:r="http://schemas.openxmlformats.org/officeDocument/2006/relationships" name="日経_R03" sheetId="22" r:id="Rc5aee517018a488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#,##0;[Red](#,##0);&quot;—&quot;"/>
    <x:numFmt numFmtId="201" formatCode="0.0%"/>
    <x:numFmt numFmtId="202" formatCode="0.0;[Red](0.0);&quot;—&quot;"/>
  </x:numFmts>
  <x:fonts count="6">
    <x:font>
      <x:sz val="11"/>
      <x:name val="Carlito"/>
    </x:font>
    <x:font>
      <x:sz val="10"/>
      <x:color rgb="FF21384D"/>
      <x:name val="Yu Gothic"/>
    </x:font>
    <x:font>
      <x:b/>
      <x:sz val="14"/>
      <x:color rgb="FF21384D"/>
      <x:name val="Yu Gothic"/>
    </x:font>
    <x:font>
      <x:sz val="10"/>
      <x:color rgb="FF536B80"/>
      <x:name val="Yu Gothic"/>
    </x:font>
    <x:font>
      <x:b/>
      <x:sz val="10"/>
      <x:color rgb="FFFFFFFF"/>
      <x:name val="Yu Gothic"/>
    </x:font>
    <x:font>
      <x:b/>
      <x:sz val="10"/>
      <x:color rgb="FF21384D"/>
      <x:name val="Yu Gothic"/>
    </x:font>
  </x:fonts>
  <x:fills count="3">
    <x:fill>
      <x:patternFill patternType="none"/>
    </x:fill>
    <x:fill>
      <x:patternFill patternType="gray125"/>
    </x:fill>
    <x:fill>
      <x:patternFill patternType="solid">
        <x:fgColor rgb="FF264D70"/>
      </x:patternFill>
    </x:fill>
  </x:fills>
  <x:borders count="2">
    <x:border>
      <x:left/>
      <x:right/>
      <x:top/>
      <x:bottom/>
      <x:diagonal/>
    </x:border>
    <x:border>
      <x:left/>
      <x:right/>
      <x:top style="thin">
        <x:color rgb="FF93AABD"/>
      </x:top>
      <x:bottom/>
      <x:diagonal/>
    </x:border>
  </x:borders>
  <x:cellStyleXfs count="1">
    <x:xf numFmtId="0" fontId="0" fillId="0" borderId="0"/>
  </x:cellStyleXfs>
  <x:cellXfs count="22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horizontal="right" vertical="center"/>
    </x:xf>
    <x:xf numFmtId="200" fontId="1" fillId="0" borderId="0" xfId="0" applyNumberFormat="1" applyFont="1" applyFill="1" applyBorder="1" applyAlignment="1">
      <x:alignment horizontal="right" vertical="center"/>
    </x:xf>
    <x:xf numFmtId="200" fontId="1" fillId="0" borderId="0" xfId="0" applyNumberFormat="1" applyFont="1" applyFill="1" applyBorder="1" applyAlignment="1">
      <x:alignment horizontal="left" vertical="center"/>
    </x:xf>
    <x:xf numFmtId="0" fontId="1" fillId="2" borderId="0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vertical="center" wrapText="1"/>
    </x:xf>
    <x:xf numFmtId="0" fontId="4" fillId="2" borderId="0" xfId="0" applyNumberFormat="1" applyFont="1" applyFill="1" applyBorder="1" applyAlignment="1">
      <x:alignment horizontal="center" vertical="center" wrapText="1"/>
    </x:xf>
    <x:xf numFmtId="0" fontId="5" fillId="0" borderId="0" xfId="0" applyNumberFormat="1" applyFont="1" applyFill="1" applyBorder="1" applyAlignment="1">
      <x:alignment vertical="center"/>
    </x:xf>
    <x:xf numFmtId="200" fontId="5" fillId="0" borderId="0" xfId="0" applyNumberFormat="1" applyFont="1" applyFill="1" applyBorder="1" applyAlignment="1">
      <x:alignment horizontal="right" vertical="center"/>
    </x:xf>
    <x:xf numFmtId="0" fontId="5" fillId="0" borderId="1" xfId="0" applyNumberFormat="1" applyFont="1" applyFill="1" applyBorder="1" applyAlignment="1">
      <x:alignment vertical="center"/>
    </x:xf>
    <x:xf numFmtId="200" fontId="5" fillId="0" borderId="1" xfId="0" applyNumberFormat="1" applyFont="1" applyFill="1" applyBorder="1" applyAlignment="1">
      <x:alignment horizontal="right" vertical="center"/>
    </x:xf>
    <x:xf numFmtId="200" fontId="1" fillId="2" borderId="0" xfId="0" applyNumberFormat="1" applyFont="1" applyFill="1" applyBorder="1" applyAlignment="1">
      <x:alignment horizontal="right" vertical="center"/>
    </x:xf>
    <x:xf numFmtId="200" fontId="4" fillId="2" borderId="0" xfId="0" applyNumberFormat="1" applyFont="1" applyFill="1" applyBorder="1" applyAlignment="1">
      <x:alignment horizontal="right" vertical="center"/>
    </x:xf>
    <x:xf numFmtId="200" fontId="4" fillId="2" borderId="0" xfId="0" applyNumberFormat="1" applyFont="1" applyFill="1" applyBorder="1" applyAlignment="1">
      <x:alignment horizontal="right" vertical="center" wrapText="1"/>
    </x:xf>
    <x:xf numFmtId="200" fontId="4" fillId="2" borderId="0" xfId="0" applyNumberFormat="1" applyFont="1" applyFill="1" applyBorder="1" applyAlignment="1">
      <x:alignment horizontal="center" vertical="center" wrapText="1"/>
    </x:xf>
    <x:xf numFmtId="201" fontId="1" fillId="0" borderId="0" xfId="0" applyNumberFormat="1" applyFont="1" applyFill="1" applyBorder="1" applyAlignment="1">
      <x:alignment horizontal="right" vertical="center"/>
    </x:xf>
    <x:xf numFmtId="202" fontId="1" fillId="0" borderId="0" xfId="0" applyNumberFormat="1" applyFont="1" applyFill="1" applyBorder="1" applyAlignment="1">
      <x:alignment horizontal="right" vertical="center"/>
    </x:xf>
  </x:cellXfs>
  <x:cellStyles count="1">
    <x:cellStyle name="Normal" xfId="0"/>
  </x:cellStyles>
  <x:dxfs count="41">
    <x:dxf>
      <x:font>
        <x:color rgb="FF9C2632"/>
      </x:font>
      <x:fill>
        <x:patternFill patternType="solid">
          <x:bgColor rgb="FFFBE9EB"/>
        </x:patternFill>
      </x:fill>
    </x:dxf>
    <x:dxf>
      <x:font>
        <x:color rgb="FF9C2632"/>
      </x:font>
      <x:fill>
        <x:patternFill patternType="solid">
          <x:bgColor rgb="FFFBE9EB"/>
        </x:patternFill>
      </x:fill>
    </x:dxf>
    <x:dxf>
      <x:font>
        <x:color rgb="FF9C2632"/>
      </x:font>
      <x:fill>
        <x:patternFill patternType="solid">
          <x:bgColor rgb="FFFBE9EB"/>
        </x:patternFill>
      </x:fill>
    </x:dxf>
    <x:dxf>
      <x:font>
        <x:color rgb="FF9C2632"/>
      </x:font>
      <x:fill>
        <x:patternFill patternType="solid">
          <x:bgColor rgb="FFFBE9EB"/>
        </x:patternFill>
      </x:fill>
    </x:dxf>
    <x:dxf>
      <x:font>
        <x:color rgb="FF9C2632"/>
      </x:font>
      <x:fill>
        <x:patternFill patternType="solid">
          <x:bgColor rgb="FFFBE9EB"/>
        </x:patternFill>
      </x:fill>
    </x:dxf>
    <x:dxf>
      <x:font>
        <x:color rgb="FF9C2632"/>
      </x:font>
      <x:fill>
        <x:patternFill patternType="solid">
          <x:bgColor rgb="FFFBE9EB"/>
        </x:patternFill>
      </x:fill>
    </x:dxf>
    <x:dxf>
      <x:font>
        <x:color rgb="FF9C2632"/>
      </x:font>
      <x:fill>
        <x:patternFill patternType="solid">
          <x:bgColor rgb="FFFBE9EB"/>
        </x:patternFill>
      </x:fill>
    </x:dxf>
    <x:dxf>
      <x:font>
        <x:color rgb="FF9C2632"/>
      </x:font>
      <x:fill>
        <x:patternFill patternType="solid">
          <x:bgColor rgb="FFFBE9EB"/>
        </x:patternFill>
      </x:fill>
    </x:dxf>
    <x:dxf>
      <x:font>
        <x:color rgb="FF9C2632"/>
      </x:font>
      <x:fill>
        <x:patternFill patternType="solid">
          <x:bgColor rgb="FFFBE9EB"/>
        </x:patternFill>
      </x:fill>
    </x:dxf>
    <x:dxf>
      <x:font>
        <x:color rgb="FF9C2632"/>
      </x:font>
      <x:fill>
        <x:patternFill patternType="solid">
          <x:bgColor rgb="FFFBE9EB"/>
        </x:patternFill>
      </x:fill>
    </x:dxf>
    <x:dxf>
      <x:font>
        <x:color rgb="FF9C2632"/>
      </x:font>
      <x:fill>
        <x:patternFill patternType="solid">
          <x:bgColor rgb="FFFBE9EB"/>
        </x:patternFill>
      </x:fill>
    </x:dxf>
    <x:dxf>
      <x:font>
        <x:color rgb="FF9C2632"/>
      </x:font>
      <x:fill>
        <x:patternFill patternType="solid">
          <x:bgColor rgb="FFFBE9EB"/>
        </x:patternFill>
      </x:fill>
    </x:dxf>
    <x:dxf>
      <x:font>
        <x:color rgb="FF9C2632"/>
      </x:font>
      <x:fill>
        <x:patternFill patternType="solid">
          <x:bgColor rgb="FFFBE9EB"/>
        </x:patternFill>
      </x:fill>
    </x:dxf>
    <x:dxf>
      <x:font>
        <x:color rgb="FF9C2632"/>
      </x:font>
      <x:fill>
        <x:patternFill patternType="solid">
          <x:bgColor rgb="FFFBE9EB"/>
        </x:patternFill>
      </x:fill>
    </x:dxf>
    <x:dxf>
      <x:font>
        <x:color rgb="FF9C2632"/>
      </x:font>
      <x:fill>
        <x:patternFill patternType="solid">
          <x:bgColor rgb="FFFBE9EB"/>
        </x:patternFill>
      </x:fill>
    </x:dxf>
    <x:dxf>
      <x:font>
        <x:color rgb="FF9C2632"/>
      </x:font>
      <x:fill>
        <x:patternFill patternType="solid">
          <x:bgColor rgb="FFFBE9EB"/>
        </x:patternFill>
      </x:fill>
    </x:dxf>
    <x:dxf>
      <x:font>
        <x:color rgb="FF9C2632"/>
      </x:font>
      <x:fill>
        <x:patternFill patternType="solid">
          <x:bgColor rgb="FFFBE9EB"/>
        </x:patternFill>
      </x:fill>
    </x:dxf>
    <x:dxf>
      <x:font>
        <x:color rgb="FF9C2632"/>
      </x:font>
      <x:fill>
        <x:patternFill patternType="solid">
          <x:bgColor rgb="FFFBE9EB"/>
        </x:patternFill>
      </x:fill>
    </x:dxf>
    <x:dxf>
      <x:font>
        <x:color rgb="FF9C2632"/>
      </x:font>
      <x:fill>
        <x:patternFill patternType="solid">
          <x:bgColor rgb="FFFBE9EB"/>
        </x:patternFill>
      </x:fill>
    </x:dxf>
    <x:dxf>
      <x:font>
        <x:color rgb="FF9C2632"/>
      </x:font>
      <x:fill>
        <x:patternFill patternType="solid">
          <x:bgColor rgb="FFFBE9EB"/>
        </x:patternFill>
      </x:fill>
    </x:dxf>
    <x:dxf>
      <x:font>
        <x:color rgb="FF9C2632"/>
      </x:font>
      <x:fill>
        <x:patternFill patternType="solid">
          <x:bgColor rgb="FFFBE9EB"/>
        </x:patternFill>
      </x:fill>
    </x:dxf>
    <x:dxf>
      <x:font>
        <x:color rgb="FF9C2632"/>
      </x:font>
      <x:fill>
        <x:patternFill patternType="solid">
          <x:bgColor rgb="FFFBE9EB"/>
        </x:patternFill>
      </x:fill>
    </x:dxf>
    <x:dxf>
      <x:font>
        <x:color rgb="FF9C2632"/>
      </x:font>
      <x:fill>
        <x:patternFill patternType="solid">
          <x:bgColor rgb="FFFBE9EB"/>
        </x:patternFill>
      </x:fill>
    </x:dxf>
    <x:dxf>
      <x:font>
        <x:color rgb="FF9C2632"/>
      </x:font>
      <x:fill>
        <x:patternFill patternType="solid">
          <x:bgColor rgb="FFFBE9EB"/>
        </x:patternFill>
      </x:fill>
    </x:dxf>
    <x:dxf>
      <x:font>
        <x:color rgb="FF9C2632"/>
      </x:font>
      <x:fill>
        <x:patternFill patternType="solid">
          <x:bgColor rgb="FFFBE9EB"/>
        </x:patternFill>
      </x:fill>
    </x:dxf>
    <x:dxf>
      <x:font>
        <x:color rgb="FF9C2632"/>
      </x:font>
      <x:fill>
        <x:patternFill patternType="solid">
          <x:bgColor rgb="FFFBE9EB"/>
        </x:patternFill>
      </x:fill>
    </x:dxf>
    <x:dxf>
      <x:font>
        <x:color rgb="FF9C2632"/>
      </x:font>
      <x:fill>
        <x:patternFill patternType="solid">
          <x:bgColor rgb="FFFBE9EB"/>
        </x:patternFill>
      </x:fill>
    </x:dxf>
    <x:dxf>
      <x:font>
        <x:color rgb="FF9C2632"/>
      </x:font>
      <x:fill>
        <x:patternFill patternType="solid">
          <x:bgColor rgb="FFFBE9EB"/>
        </x:patternFill>
      </x:fill>
    </x:dxf>
    <x:dxf>
      <x:font>
        <x:color rgb="FF9C2632"/>
      </x:font>
      <x:fill>
        <x:patternFill patternType="solid">
          <x:bgColor rgb="FFFBE9EB"/>
        </x:patternFill>
      </x:fill>
    </x:dxf>
    <x:dxf>
      <x:font>
        <x:color rgb="FF9C2632"/>
      </x:font>
      <x:fill>
        <x:patternFill patternType="solid">
          <x:bgColor rgb="FFFBE9EB"/>
        </x:patternFill>
      </x:fill>
    </x:dxf>
    <x:dxf>
      <x:font>
        <x:color rgb="FF9C2632"/>
      </x:font>
      <x:fill>
        <x:patternFill patternType="solid">
          <x:bgColor rgb="FFFBE9EB"/>
        </x:patternFill>
      </x:fill>
    </x:dxf>
    <x:dxf>
      <x:font>
        <x:color rgb="FF9C2632"/>
      </x:font>
      <x:fill>
        <x:patternFill patternType="solid">
          <x:bgColor rgb="FFFBE9EB"/>
        </x:patternFill>
      </x:fill>
    </x:dxf>
    <x:dxf>
      <x:font>
        <x:color rgb="FF9C2632"/>
      </x:font>
      <x:fill>
        <x:patternFill patternType="solid">
          <x:bgColor rgb="FFFBE9EB"/>
        </x:patternFill>
      </x:fill>
    </x:dxf>
    <x:dxf>
      <x:font>
        <x:color rgb="FF9C2632"/>
      </x:font>
      <x:fill>
        <x:patternFill patternType="solid">
          <x:bgColor rgb="FFFBE9EB"/>
        </x:patternFill>
      </x:fill>
    </x:dxf>
    <x:dxf>
      <x:font>
        <x:color rgb="FF9C2632"/>
      </x:font>
      <x:fill>
        <x:patternFill patternType="solid">
          <x:bgColor rgb="FFFBE9EB"/>
        </x:patternFill>
      </x:fill>
    </x:dxf>
    <x:dxf>
      <x:font>
        <x:color rgb="FF9C2632"/>
      </x:font>
      <x:fill>
        <x:patternFill patternType="solid">
          <x:bgColor rgb="FFFBE9EB"/>
        </x:patternFill>
      </x:fill>
    </x:dxf>
    <x:dxf>
      <x:font>
        <x:color rgb="FF9C2632"/>
      </x:font>
      <x:fill>
        <x:patternFill patternType="solid">
          <x:bgColor rgb="FFFBE9EB"/>
        </x:patternFill>
      </x:fill>
    </x:dxf>
    <x:dxf>
      <x:font>
        <x:color rgb="FF9C2632"/>
      </x:font>
      <x:fill>
        <x:patternFill patternType="solid">
          <x:bgColor rgb="FFFBE9EB"/>
        </x:patternFill>
      </x:fill>
    </x:dxf>
    <x:dxf>
      <x:font>
        <x:color rgb="FF9C2632"/>
      </x:font>
      <x:fill>
        <x:patternFill patternType="solid">
          <x:bgColor rgb="FFFBE9EB"/>
        </x:patternFill>
      </x:fill>
    </x:dxf>
    <x:dxf>
      <x:font>
        <x:color rgb="FF9C2632"/>
      </x:font>
      <x:fill>
        <x:patternFill patternType="solid">
          <x:bgColor rgb="FFFBE9EB"/>
        </x:patternFill>
      </x:fill>
    </x:dxf>
    <x:dxf>
      <x:font>
        <x:color rgb="FF9C2632"/>
      </x:font>
      <x:fill>
        <x:patternFill patternType="solid">
          <x:bgColor rgb="FFFBE9EB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f97a3aa08324e0e" /><Relationship Type="http://schemas.openxmlformats.org/officeDocument/2006/relationships/theme" Target="/xl/theme/theme1.xml" Id="R8bf144783eaa4778" /><Relationship Type="http://schemas.openxmlformats.org/officeDocument/2006/relationships/sharedStrings" Target="/xl/sharedStrings.xml" Id="R7ed73f5905074fa4" /><Relationship Type="http://schemas.openxmlformats.org/officeDocument/2006/relationships/worksheet" Target="/xl/worksheets/sheet1.xml" Id="R5d615e78a8c9477e" /><Relationship Type="http://schemas.openxmlformats.org/officeDocument/2006/relationships/worksheet" Target="/xl/worksheets/sheet2.xml" Id="R0bda597f4f0d478d" /><Relationship Type="http://schemas.openxmlformats.org/officeDocument/2006/relationships/worksheet" Target="/xl/worksheets/sheet3.xml" Id="Rdac80dd3a91a4ecc" /><Relationship Type="http://schemas.openxmlformats.org/officeDocument/2006/relationships/worksheet" Target="/xl/worksheets/sheet4.xml" Id="Re5f501b153ee45dc" /><Relationship Type="http://schemas.openxmlformats.org/officeDocument/2006/relationships/worksheet" Target="/xl/worksheets/sheet5.xml" Id="R4c005a550a4b498f" /><Relationship Type="http://schemas.openxmlformats.org/officeDocument/2006/relationships/worksheet" Target="/xl/worksheets/sheet6.xml" Id="R79297247a4494c70" /><Relationship Type="http://schemas.openxmlformats.org/officeDocument/2006/relationships/worksheet" Target="/xl/worksheets/sheet7.xml" Id="Ra29f6485ba9a4cdd" /><Relationship Type="http://schemas.openxmlformats.org/officeDocument/2006/relationships/worksheet" Target="/xl/worksheets/sheet8.xml" Id="R7e6579f980c74aab" /><Relationship Type="http://schemas.openxmlformats.org/officeDocument/2006/relationships/worksheet" Target="/xl/worksheets/sheet9.xml" Id="Rdc89c696904e439d" /><Relationship Type="http://schemas.openxmlformats.org/officeDocument/2006/relationships/worksheet" Target="/xl/worksheets/sheet10.xml" Id="R98a060a50d3c4f46" /><Relationship Type="http://schemas.openxmlformats.org/officeDocument/2006/relationships/worksheet" Target="/xl/worksheets/sheet11.xml" Id="Rf46f0bec1c6f4a1d" /><Relationship Type="http://schemas.openxmlformats.org/officeDocument/2006/relationships/worksheet" Target="/xl/worksheets/sheet12.xml" Id="R7f8d6ac2f3e04516" /><Relationship Type="http://schemas.openxmlformats.org/officeDocument/2006/relationships/worksheet" Target="/xl/worksheets/sheet13.xml" Id="Rd5571f4d6be64456" /><Relationship Type="http://schemas.openxmlformats.org/officeDocument/2006/relationships/worksheet" Target="/xl/worksheets/sheet14.xml" Id="R4df9adb7947449c6" /><Relationship Type="http://schemas.openxmlformats.org/officeDocument/2006/relationships/worksheet" Target="/xl/worksheets/sheet15.xml" Id="Ra0a75909a96e4eae" /><Relationship Type="http://schemas.openxmlformats.org/officeDocument/2006/relationships/worksheet" Target="/xl/worksheets/sheet16.xml" Id="R35ccb8555acf4a27" /><Relationship Type="http://schemas.openxmlformats.org/officeDocument/2006/relationships/worksheet" Target="/xl/worksheets/sheet17.xml" Id="R11c7b2cac7cd407b" /><Relationship Type="http://schemas.openxmlformats.org/officeDocument/2006/relationships/worksheet" Target="/xl/worksheets/sheet18.xml" Id="R1d560ba05c984af0" /><Relationship Type="http://schemas.openxmlformats.org/officeDocument/2006/relationships/worksheet" Target="/xl/worksheets/sheet19.xml" Id="R8eebcf5eff844ee9" /><Relationship Type="http://schemas.openxmlformats.org/officeDocument/2006/relationships/worksheet" Target="/xl/worksheets/sheet20.xml" Id="Rae9b2c5c14c54802" /><Relationship Type="http://schemas.openxmlformats.org/officeDocument/2006/relationships/worksheet" Target="/xl/worksheets/sheet21.xml" Id="R13881a20befc4bf6" /><Relationship Type="http://schemas.openxmlformats.org/officeDocument/2006/relationships/worksheet" Target="/xl/worksheets/sheet22.xml" Id="Rc5aee517018a4884" /></Relationships>
</file>

<file path=xl/tables/table1.xml><?xml version="1.0" encoding="utf-8"?>
<x:table xmlns:x="http://schemas.openxmlformats.org/spreadsheetml/2006/main" id="21" name="R159_comparison" displayName="R159_comparison" ref="A5:P25" headerRowCount="1" totalsRowCount="0" totalsRowShown="0">
  <x:autoFilter ref="A5:P25"/>
  <x:tableColumns count="16">
    <x:tableColumn id="1" name="手法"/>
    <x:tableColumn id="2" name="時間帯"/>
    <x:tableColumn id="3" name="場数"/>
    <x:tableColumn id="4" name="利益（円）"/>
    <x:tableColumn id="5" name="損失（円）"/>
    <x:tableColumn id="6" name="収支（円）"/>
    <x:tableColumn id="7" name="赤字場数"/>
    <x:tableColumn id="8" name="平均赤字（円）"/>
    <x:tableColumn id="9" name="最大赤字（円）"/>
    <x:tableColumn id="10" name="上位3黒字除外（円）"/>
    <x:tableColumn id="11" name="途中最悪収支（円）"/>
    <x:tableColumn id="12" name="最大下落額（円）"/>
    <x:tableColumn id="13" name="新規回数"/>
    <x:tableColumn id="14" name="無取引場数"/>
    <x:tableColumn id="15" name="旧完了場数"/>
    <x:tableColumn id="16" name="追加完了場数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2" name="R159_direction" displayName="R159_direction" ref="A29:K49" headerRowCount="1" totalsRowCount="0" totalsRowShown="0">
  <x:autoFilter ref="A29:K49"/>
  <x:tableColumns count="11">
    <x:tableColumn id="1" name="手法"/>
    <x:tableColumn id="2" name="時間帯"/>
    <x:tableColumn id="3" name="上昇場数"/>
    <x:tableColumn id="4" name="上昇収支（円）"/>
    <x:tableColumn id="5" name="上昇赤字場数"/>
    <x:tableColumn id="6" name="下落場数"/>
    <x:tableColumn id="7" name="下落収支（円）"/>
    <x:tableColumn id="8" name="下落赤字場数"/>
    <x:tableColumn id="9" name="横ばい場数"/>
    <x:tableColumn id="10" name="横ばい収支（円）"/>
    <x:tableColumn id="11" name="横ばい赤字場数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23" name="R159_support" displayName="R159_support" ref="A5:M23" headerRowCount="1" totalsRowCount="0" totalsRowShown="0">
  <x:autoFilter ref="A5:M23"/>
  <x:tableColumns count="13">
    <x:tableColumn id="1" name="時間帯と資料"/>
    <x:tableColumn id="2" name="支持帯"/>
    <x:tableColumn id="3" name="親数"/>
    <x:tableColumn id="4" name="場数"/>
    <x:tableColumn id="5" name="勝ち親数"/>
    <x:tableColumn id="6" name="負け親数"/>
    <x:tableColumn id="7" name="初回玉勝率"/>
    <x:tableColumn id="8" name="平均損益（pt）"/>
    <x:tableColumn id="9" name="平均の95%下限"/>
    <x:tableColumn id="10" name="平均の95%上限"/>
    <x:tableColumn id="11" name="平均最大順行（pt）"/>
    <x:tableColumn id="12" name="平均最大逆行（pt）"/>
    <x:tableColumn id="13" name="引分親数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1" name="R159_N00_0" displayName="R159_N00_0" ref="A5:L31" headerRowCount="1" totalsRowCount="0" totalsRowShown="0">
  <x:autoFilter ref="A5:L31"/>
  <x:tableColumns count="12">
    <x:tableColumn id="1" name="セッション"/>
    <x:tableColumn id="2" name="資料区分"/>
    <x:tableColumn id="3" name="場の方向"/>
    <x:tableColumn id="4" name="利益（円）"/>
    <x:tableColumn id="5" name="損失（円）"/>
    <x:tableColumn id="6" name="収支（円）"/>
    <x:tableColumn id="7" name="累計（円）"/>
    <x:tableColumn id="8" name="途中最悪収支（円）"/>
    <x:tableColumn id="9" name="最大下落額（円）"/>
    <x:tableColumn id="10" name="新規回数"/>
    <x:tableColumn id="11" name="米国前収支（円）"/>
    <x:tableColumn id="12" name="米国後収支（円）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2" name="R159_N01_1" displayName="R159_N01_1" ref="A5:L31" headerRowCount="1" totalsRowCount="0" totalsRowShown="0">
  <x:autoFilter ref="A5:L31"/>
  <x:tableColumns count="12">
    <x:tableColumn id="1" name="セッション"/>
    <x:tableColumn id="2" name="資料区分"/>
    <x:tableColumn id="3" name="場の方向"/>
    <x:tableColumn id="4" name="利益（円）"/>
    <x:tableColumn id="5" name="損失（円）"/>
    <x:tableColumn id="6" name="収支（円）"/>
    <x:tableColumn id="7" name="累計（円）"/>
    <x:tableColumn id="8" name="途中最悪収支（円）"/>
    <x:tableColumn id="9" name="最大下落額（円）"/>
    <x:tableColumn id="10" name="新規回数"/>
    <x:tableColumn id="11" name="米国前収支（円）"/>
    <x:tableColumn id="12" name="米国後収支（円）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3" name="R159_N02_2" displayName="R159_N02_2" ref="A5:L31" headerRowCount="1" totalsRowCount="0" totalsRowShown="0">
  <x:autoFilter ref="A5:L31"/>
  <x:tableColumns count="12">
    <x:tableColumn id="1" name="セッション"/>
    <x:tableColumn id="2" name="資料区分"/>
    <x:tableColumn id="3" name="場の方向"/>
    <x:tableColumn id="4" name="利益（円）"/>
    <x:tableColumn id="5" name="損失（円）"/>
    <x:tableColumn id="6" name="収支（円）"/>
    <x:tableColumn id="7" name="累計（円）"/>
    <x:tableColumn id="8" name="途中最悪収支（円）"/>
    <x:tableColumn id="9" name="最大下落額（円）"/>
    <x:tableColumn id="10" name="新規回数"/>
    <x:tableColumn id="11" name="米国前収支（円）"/>
    <x:tableColumn id="12" name="米国後収支（円）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4" name="R159_N03_3" displayName="R159_N03_3" ref="A5:L31" headerRowCount="1" totalsRowCount="0" totalsRowShown="0">
  <x:autoFilter ref="A5:L31"/>
  <x:tableColumns count="12">
    <x:tableColumn id="1" name="セッション"/>
    <x:tableColumn id="2" name="資料区分"/>
    <x:tableColumn id="3" name="場の方向"/>
    <x:tableColumn id="4" name="利益（円）"/>
    <x:tableColumn id="5" name="損失（円）"/>
    <x:tableColumn id="6" name="収支（円）"/>
    <x:tableColumn id="7" name="累計（円）"/>
    <x:tableColumn id="8" name="途中最悪収支（円）"/>
    <x:tableColumn id="9" name="最大下落額（円）"/>
    <x:tableColumn id="10" name="新規回数"/>
    <x:tableColumn id="11" name="米国前収支（円）"/>
    <x:tableColumn id="12" name="米国後収支（円）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5" name="R159_N04_4" displayName="R159_N04_4" ref="A5:L31" headerRowCount="1" totalsRowCount="0" totalsRowShown="0">
  <x:autoFilter ref="A5:L31"/>
  <x:tableColumns count="12">
    <x:tableColumn id="1" name="セッション"/>
    <x:tableColumn id="2" name="資料区分"/>
    <x:tableColumn id="3" name="場の方向"/>
    <x:tableColumn id="4" name="利益（円）"/>
    <x:tableColumn id="5" name="損失（円）"/>
    <x:tableColumn id="6" name="収支（円）"/>
    <x:tableColumn id="7" name="累計（円）"/>
    <x:tableColumn id="8" name="途中最悪収支（円）"/>
    <x:tableColumn id="9" name="最大下落額（円）"/>
    <x:tableColumn id="10" name="新規回数"/>
    <x:tableColumn id="11" name="米国前収支（円）"/>
    <x:tableColumn id="12" name="米国後収支（円）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6" name="R159_N05_5" displayName="R159_N05_5" ref="A5:L31" headerRowCount="1" totalsRowCount="0" totalsRowShown="0">
  <x:autoFilter ref="A5:L31"/>
  <x:tableColumns count="12">
    <x:tableColumn id="1" name="セッション"/>
    <x:tableColumn id="2" name="資料区分"/>
    <x:tableColumn id="3" name="場の方向"/>
    <x:tableColumn id="4" name="利益（円）"/>
    <x:tableColumn id="5" name="損失（円）"/>
    <x:tableColumn id="6" name="収支（円）"/>
    <x:tableColumn id="7" name="累計（円）"/>
    <x:tableColumn id="8" name="途中最悪収支（円）"/>
    <x:tableColumn id="9" name="最大下落額（円）"/>
    <x:tableColumn id="10" name="新規回数"/>
    <x:tableColumn id="11" name="米国前収支（円）"/>
    <x:tableColumn id="12" name="米国後収支（円）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7" name="R159_N06_6" displayName="R159_N06_6" ref="A5:L31" headerRowCount="1" totalsRowCount="0" totalsRowShown="0">
  <x:autoFilter ref="A5:L31"/>
  <x:tableColumns count="12">
    <x:tableColumn id="1" name="セッション"/>
    <x:tableColumn id="2" name="資料区分"/>
    <x:tableColumn id="3" name="場の方向"/>
    <x:tableColumn id="4" name="利益（円）"/>
    <x:tableColumn id="5" name="損失（円）"/>
    <x:tableColumn id="6" name="収支（円）"/>
    <x:tableColumn id="7" name="累計（円）"/>
    <x:tableColumn id="8" name="途中最悪収支（円）"/>
    <x:tableColumn id="9" name="最大下落額（円）"/>
    <x:tableColumn id="10" name="新規回数"/>
    <x:tableColumn id="11" name="米国前収支（円）"/>
    <x:tableColumn id="12" name="米国後収支（円）"/>
  </x:tableColumns>
  <x:tableStyleInfo name="TableStyleMedium2" showFirstColumn="0" showLastColumn="0" showRowStripes="1" showColumnStripes="0"/>
</x:table>
</file>

<file path=xl/tables/table11.xml><?xml version="1.0" encoding="utf-8"?>
<x:table xmlns:x="http://schemas.openxmlformats.org/spreadsheetml/2006/main" id="8" name="R159_N07_7" displayName="R159_N07_7" ref="A5:L31" headerRowCount="1" totalsRowCount="0" totalsRowShown="0">
  <x:autoFilter ref="A5:L31"/>
  <x:tableColumns count="12">
    <x:tableColumn id="1" name="セッション"/>
    <x:tableColumn id="2" name="資料区分"/>
    <x:tableColumn id="3" name="場の方向"/>
    <x:tableColumn id="4" name="利益（円）"/>
    <x:tableColumn id="5" name="損失（円）"/>
    <x:tableColumn id="6" name="収支（円）"/>
    <x:tableColumn id="7" name="累計（円）"/>
    <x:tableColumn id="8" name="途中最悪収支（円）"/>
    <x:tableColumn id="9" name="最大下落額（円）"/>
    <x:tableColumn id="10" name="新規回数"/>
    <x:tableColumn id="11" name="米国前収支（円）"/>
    <x:tableColumn id="12" name="米国後収支（円）"/>
  </x:tableColumns>
  <x:tableStyleInfo name="TableStyleMedium2" showFirstColumn="0" showLastColumn="0" showRowStripes="1" showColumnStripes="0"/>
</x:table>
</file>

<file path=xl/tables/table12.xml><?xml version="1.0" encoding="utf-8"?>
<x:table xmlns:x="http://schemas.openxmlformats.org/spreadsheetml/2006/main" id="9" name="R159_N08_8" displayName="R159_N08_8" ref="A5:L31" headerRowCount="1" totalsRowCount="0" totalsRowShown="0">
  <x:autoFilter ref="A5:L31"/>
  <x:tableColumns count="12">
    <x:tableColumn id="1" name="セッション"/>
    <x:tableColumn id="2" name="資料区分"/>
    <x:tableColumn id="3" name="場の方向"/>
    <x:tableColumn id="4" name="利益（円）"/>
    <x:tableColumn id="5" name="損失（円）"/>
    <x:tableColumn id="6" name="収支（円）"/>
    <x:tableColumn id="7" name="累計（円）"/>
    <x:tableColumn id="8" name="途中最悪収支（円）"/>
    <x:tableColumn id="9" name="最大下落額（円）"/>
    <x:tableColumn id="10" name="新規回数"/>
    <x:tableColumn id="11" name="米国前収支（円）"/>
    <x:tableColumn id="12" name="米国後収支（円）"/>
  </x:tableColumns>
  <x:tableStyleInfo name="TableStyleMedium2" showFirstColumn="0" showLastColumn="0" showRowStripes="1" showColumnStripes="0"/>
</x:table>
</file>

<file path=xl/tables/table13.xml><?xml version="1.0" encoding="utf-8"?>
<x:table xmlns:x="http://schemas.openxmlformats.org/spreadsheetml/2006/main" id="10" name="R159_N09_9" displayName="R159_N09_9" ref="A5:L31" headerRowCount="1" totalsRowCount="0" totalsRowShown="0">
  <x:autoFilter ref="A5:L31"/>
  <x:tableColumns count="12">
    <x:tableColumn id="1" name="セッション"/>
    <x:tableColumn id="2" name="資料区分"/>
    <x:tableColumn id="3" name="場の方向"/>
    <x:tableColumn id="4" name="利益（円）"/>
    <x:tableColumn id="5" name="損失（円）"/>
    <x:tableColumn id="6" name="収支（円）"/>
    <x:tableColumn id="7" name="累計（円）"/>
    <x:tableColumn id="8" name="途中最悪収支（円）"/>
    <x:tableColumn id="9" name="最大下落額（円）"/>
    <x:tableColumn id="10" name="新規回数"/>
    <x:tableColumn id="11" name="米国前収支（円）"/>
    <x:tableColumn id="12" name="米国後収支（円）"/>
  </x:tableColumns>
  <x:tableStyleInfo name="TableStyleMedium2" showFirstColumn="0" showLastColumn="0" showRowStripes="1" showColumnStripes="0"/>
</x:table>
</file>

<file path=xl/tables/table14.xml><?xml version="1.0" encoding="utf-8"?>
<x:table xmlns:x="http://schemas.openxmlformats.org/spreadsheetml/2006/main" id="11" name="R159_N10_10" displayName="R159_N10_10" ref="A5:L31" headerRowCount="1" totalsRowCount="0" totalsRowShown="0">
  <x:autoFilter ref="A5:L31"/>
  <x:tableColumns count="12">
    <x:tableColumn id="1" name="セッション"/>
    <x:tableColumn id="2" name="資料区分"/>
    <x:tableColumn id="3" name="場の方向"/>
    <x:tableColumn id="4" name="利益（円）"/>
    <x:tableColumn id="5" name="損失（円）"/>
    <x:tableColumn id="6" name="収支（円）"/>
    <x:tableColumn id="7" name="累計（円）"/>
    <x:tableColumn id="8" name="途中最悪収支（円）"/>
    <x:tableColumn id="9" name="最大下落額（円）"/>
    <x:tableColumn id="10" name="新規回数"/>
    <x:tableColumn id="11" name="米国前収支（円）"/>
    <x:tableColumn id="12" name="米国後収支（円）"/>
  </x:tableColumns>
  <x:tableStyleInfo name="TableStyleMedium2" showFirstColumn="0" showLastColumn="0" showRowStripes="1" showColumnStripes="0"/>
</x:table>
</file>

<file path=xl/tables/table15.xml><?xml version="1.0" encoding="utf-8"?>
<x:table xmlns:x="http://schemas.openxmlformats.org/spreadsheetml/2006/main" id="12" name="R159_N11_11" displayName="R159_N11_11" ref="A5:L31" headerRowCount="1" totalsRowCount="0" totalsRowShown="0">
  <x:autoFilter ref="A5:L31"/>
  <x:tableColumns count="12">
    <x:tableColumn id="1" name="セッション"/>
    <x:tableColumn id="2" name="資料区分"/>
    <x:tableColumn id="3" name="場の方向"/>
    <x:tableColumn id="4" name="利益（円）"/>
    <x:tableColumn id="5" name="損失（円）"/>
    <x:tableColumn id="6" name="収支（円）"/>
    <x:tableColumn id="7" name="累計（円）"/>
    <x:tableColumn id="8" name="途中最悪収支（円）"/>
    <x:tableColumn id="9" name="最大下落額（円）"/>
    <x:tableColumn id="10" name="新規回数"/>
    <x:tableColumn id="11" name="米国前収支（円）"/>
    <x:tableColumn id="12" name="米国後収支（円）"/>
  </x:tableColumns>
  <x:tableStyleInfo name="TableStyleMedium2" showFirstColumn="0" showLastColumn="0" showRowStripes="1" showColumnStripes="0"/>
</x:table>
</file>

<file path=xl/tables/table16.xml><?xml version="1.0" encoding="utf-8"?>
<x:table xmlns:x="http://schemas.openxmlformats.org/spreadsheetml/2006/main" id="13" name="R159_S01_12" displayName="R159_S01_12" ref="A5:J31" headerRowCount="1" totalsRowCount="0" totalsRowShown="0">
  <x:autoFilter ref="A5:J31"/>
  <x:tableColumns count="10">
    <x:tableColumn id="1" name="セッション"/>
    <x:tableColumn id="2" name="資料区分"/>
    <x:tableColumn id="3" name="場の方向"/>
    <x:tableColumn id="4" name="利益（円）"/>
    <x:tableColumn id="5" name="損失（円）"/>
    <x:tableColumn id="6" name="収支（円）"/>
    <x:tableColumn id="7" name="累計（円）"/>
    <x:tableColumn id="8" name="途中最悪収支（円）"/>
    <x:tableColumn id="9" name="最大下落額（円）"/>
    <x:tableColumn id="10" name="新規回数"/>
  </x:tableColumns>
  <x:tableStyleInfo name="TableStyleMedium2" showFirstColumn="0" showLastColumn="0" showRowStripes="1" showColumnStripes="0"/>
</x:table>
</file>

<file path=xl/tables/table17.xml><?xml version="1.0" encoding="utf-8"?>
<x:table xmlns:x="http://schemas.openxmlformats.org/spreadsheetml/2006/main" id="14" name="R159_S01_____13" displayName="R159_S01_____13" ref="A5:J6" headerRowCount="1" totalsRowCount="0" totalsRowShown="0">
  <x:autoFilter ref="A5:J6"/>
  <x:tableColumns count="10">
    <x:tableColumn id="1" name="セッション"/>
    <x:tableColumn id="2" name="資料区分"/>
    <x:tableColumn id="3" name="場の方向"/>
    <x:tableColumn id="4" name="利益（円）"/>
    <x:tableColumn id="5" name="損失（円）"/>
    <x:tableColumn id="6" name="収支（円）"/>
    <x:tableColumn id="7" name="累計（円）"/>
    <x:tableColumn id="8" name="途中最悪収支（円）"/>
    <x:tableColumn id="9" name="最大下落額（円）"/>
    <x:tableColumn id="10" name="新規回数"/>
  </x:tableColumns>
  <x:tableStyleInfo name="TableStyleMedium2" showFirstColumn="0" showLastColumn="0" showRowStripes="1" showColumnStripes="0"/>
</x:table>
</file>

<file path=xl/tables/table18.xml><?xml version="1.0" encoding="utf-8"?>
<x:table xmlns:x="http://schemas.openxmlformats.org/spreadsheetml/2006/main" id="15" name="R159_J02_14" displayName="R159_J02_14" ref="A5:J31" headerRowCount="1" totalsRowCount="0" totalsRowShown="0">
  <x:autoFilter ref="A5:J31"/>
  <x:tableColumns count="10">
    <x:tableColumn id="1" name="セッション"/>
    <x:tableColumn id="2" name="資料区分"/>
    <x:tableColumn id="3" name="場の方向"/>
    <x:tableColumn id="4" name="利益（円）"/>
    <x:tableColumn id="5" name="損失（円）"/>
    <x:tableColumn id="6" name="収支（円）"/>
    <x:tableColumn id="7" name="累計（円）"/>
    <x:tableColumn id="8" name="途中最悪収支（円）"/>
    <x:tableColumn id="9" name="最大下落額（円）"/>
    <x:tableColumn id="10" name="新規回数"/>
  </x:tableColumns>
  <x:tableStyleInfo name="TableStyleMedium2" showFirstColumn="0" showLastColumn="0" showRowStripes="1" showColumnStripes="0"/>
</x:table>
</file>

<file path=xl/tables/table19.xml><?xml version="1.0" encoding="utf-8"?>
<x:table xmlns:x="http://schemas.openxmlformats.org/spreadsheetml/2006/main" id="16" name="R159_J02______15" displayName="R159_J02______15" ref="A5:J6" headerRowCount="1" totalsRowCount="0" totalsRowShown="0">
  <x:autoFilter ref="A5:J6"/>
  <x:tableColumns count="10">
    <x:tableColumn id="1" name="セッション"/>
    <x:tableColumn id="2" name="資料区分"/>
    <x:tableColumn id="3" name="場の方向"/>
    <x:tableColumn id="4" name="利益（円）"/>
    <x:tableColumn id="5" name="損失（円）"/>
    <x:tableColumn id="6" name="収支（円）"/>
    <x:tableColumn id="7" name="累計（円）"/>
    <x:tableColumn id="8" name="途中最悪収支（円）"/>
    <x:tableColumn id="9" name="最大下落額（円）"/>
    <x:tableColumn id="10" name="新規回数"/>
  </x:tableColumns>
  <x:tableStyleInfo name="TableStyleMedium2" showFirstColumn="0" showLastColumn="0" showRowStripes="1" showColumnStripes="0"/>
</x:table>
</file>

<file path=xl/tables/table20.xml><?xml version="1.0" encoding="utf-8"?>
<x:table xmlns:x="http://schemas.openxmlformats.org/spreadsheetml/2006/main" id="17" name="R159_R00_16" displayName="R159_R00_16" ref="A5:L31" headerRowCount="1" totalsRowCount="0" totalsRowShown="0">
  <x:autoFilter ref="A5:L31"/>
  <x:tableColumns count="12">
    <x:tableColumn id="1" name="セッション"/>
    <x:tableColumn id="2" name="資料区分"/>
    <x:tableColumn id="3" name="場の方向"/>
    <x:tableColumn id="4" name="利益（円）"/>
    <x:tableColumn id="5" name="損失（円）"/>
    <x:tableColumn id="6" name="収支（円）"/>
    <x:tableColumn id="7" name="累計（円）"/>
    <x:tableColumn id="8" name="途中最悪収支（円）"/>
    <x:tableColumn id="9" name="最大下落額（円）"/>
    <x:tableColumn id="10" name="新規回数"/>
    <x:tableColumn id="11" name="米国前収支（円）"/>
    <x:tableColumn id="12" name="米国後収支（円）"/>
  </x:tableColumns>
  <x:tableStyleInfo name="TableStyleMedium2" showFirstColumn="0" showLastColumn="0" showRowStripes="1" showColumnStripes="0"/>
</x:table>
</file>

<file path=xl/tables/table21.xml><?xml version="1.0" encoding="utf-8"?>
<x:table xmlns:x="http://schemas.openxmlformats.org/spreadsheetml/2006/main" id="18" name="R159_R01_17" displayName="R159_R01_17" ref="A5:L31" headerRowCount="1" totalsRowCount="0" totalsRowShown="0">
  <x:autoFilter ref="A5:L31"/>
  <x:tableColumns count="12">
    <x:tableColumn id="1" name="セッション"/>
    <x:tableColumn id="2" name="資料区分"/>
    <x:tableColumn id="3" name="場の方向"/>
    <x:tableColumn id="4" name="利益（円）"/>
    <x:tableColumn id="5" name="損失（円）"/>
    <x:tableColumn id="6" name="収支（円）"/>
    <x:tableColumn id="7" name="累計（円）"/>
    <x:tableColumn id="8" name="途中最悪収支（円）"/>
    <x:tableColumn id="9" name="最大下落額（円）"/>
    <x:tableColumn id="10" name="新規回数"/>
    <x:tableColumn id="11" name="米国前収支（円）"/>
    <x:tableColumn id="12" name="米国後収支（円）"/>
  </x:tableColumns>
  <x:tableStyleInfo name="TableStyleMedium2" showFirstColumn="0" showLastColumn="0" showRowStripes="1" showColumnStripes="0"/>
</x:table>
</file>

<file path=xl/tables/table22.xml><?xml version="1.0" encoding="utf-8"?>
<x:table xmlns:x="http://schemas.openxmlformats.org/spreadsheetml/2006/main" id="19" name="R159_R02_18" displayName="R159_R02_18" ref="A5:L31" headerRowCount="1" totalsRowCount="0" totalsRowShown="0">
  <x:autoFilter ref="A5:L31"/>
  <x:tableColumns count="12">
    <x:tableColumn id="1" name="セッション"/>
    <x:tableColumn id="2" name="資料区分"/>
    <x:tableColumn id="3" name="場の方向"/>
    <x:tableColumn id="4" name="利益（円）"/>
    <x:tableColumn id="5" name="損失（円）"/>
    <x:tableColumn id="6" name="収支（円）"/>
    <x:tableColumn id="7" name="累計（円）"/>
    <x:tableColumn id="8" name="途中最悪収支（円）"/>
    <x:tableColumn id="9" name="最大下落額（円）"/>
    <x:tableColumn id="10" name="新規回数"/>
    <x:tableColumn id="11" name="米国前収支（円）"/>
    <x:tableColumn id="12" name="米国後収支（円）"/>
  </x:tableColumns>
  <x:tableStyleInfo name="TableStyleMedium2" showFirstColumn="0" showLastColumn="0" showRowStripes="1" showColumnStripes="0"/>
</x:table>
</file>

<file path=xl/tables/table23.xml><?xml version="1.0" encoding="utf-8"?>
<x:table xmlns:x="http://schemas.openxmlformats.org/spreadsheetml/2006/main" id="20" name="R159_R03_19" displayName="R159_R03_19" ref="A5:L31" headerRowCount="1" totalsRowCount="0" totalsRowShown="0">
  <x:autoFilter ref="A5:L31"/>
  <x:tableColumns count="12">
    <x:tableColumn id="1" name="セッション"/>
    <x:tableColumn id="2" name="資料区分"/>
    <x:tableColumn id="3" name="場の方向"/>
    <x:tableColumn id="4" name="利益（円）"/>
    <x:tableColumn id="5" name="損失（円）"/>
    <x:tableColumn id="6" name="収支（円）"/>
    <x:tableColumn id="7" name="累計（円）"/>
    <x:tableColumn id="8" name="途中最悪収支（円）"/>
    <x:tableColumn id="9" name="最大下落額（円）"/>
    <x:tableColumn id="10" name="新規回数"/>
    <x:tableColumn id="11" name="米国前収支（円）"/>
    <x:tableColumn id="12" name="米国後収支（円）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45e311e78a2f4e75" /><Relationship Type="http://schemas.openxmlformats.org/officeDocument/2006/relationships/table" Target="/xl/tables/table2.xml" Id="R5419fad8ea80468d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3.xml" Id="R709ed3a7e2ec4b78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4.xml" Id="Rd87644543fbd4978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5.xml" Id="Rb210356c708b4a3a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6.xml" Id="R9174bba9e0c14c9c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7.xml" Id="R6845de20b3fb467c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8.xml" Id="R66bf618c06374043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9.xml" Id="R51a8a6d5fcac4b2c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10.xml" Id="R0d03669b78c74d8b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11.xml" Id="R5bfa1a0773244cc4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12.xml" Id="Rb1700e6eb0b84911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3.xml" Id="R2b986b9305d043ed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4.xml" Id="R219103a49daa4339" /></Relationships>
</file>

<file path=xl/worksheets/_rels/sheet14.xml.rels>&#65279;<?xml version="1.0" encoding="utf-8"?><Relationships xmlns="http://schemas.openxmlformats.org/package/2006/relationships"><Relationship Type="http://schemas.openxmlformats.org/officeDocument/2006/relationships/table" Target="/xl/tables/table15.xml" Id="Re81f2363101a44b5" /></Relationships>
</file>

<file path=xl/worksheets/_rels/sheet15.xml.rels>&#65279;<?xml version="1.0" encoding="utf-8"?><Relationships xmlns="http://schemas.openxmlformats.org/package/2006/relationships"><Relationship Type="http://schemas.openxmlformats.org/officeDocument/2006/relationships/table" Target="/xl/tables/table16.xml" Id="Re9ab3fc7f60a4111" /></Relationships>
</file>

<file path=xl/worksheets/_rels/sheet16.xml.rels>&#65279;<?xml version="1.0" encoding="utf-8"?><Relationships xmlns="http://schemas.openxmlformats.org/package/2006/relationships"><Relationship Type="http://schemas.openxmlformats.org/officeDocument/2006/relationships/table" Target="/xl/tables/table17.xml" Id="Rb46669bb7da14353" /></Relationships>
</file>

<file path=xl/worksheets/_rels/sheet17.xml.rels>&#65279;<?xml version="1.0" encoding="utf-8"?><Relationships xmlns="http://schemas.openxmlformats.org/package/2006/relationships"><Relationship Type="http://schemas.openxmlformats.org/officeDocument/2006/relationships/table" Target="/xl/tables/table18.xml" Id="R28d762219a524872" /></Relationships>
</file>

<file path=xl/worksheets/_rels/sheet18.xml.rels>&#65279;<?xml version="1.0" encoding="utf-8"?><Relationships xmlns="http://schemas.openxmlformats.org/package/2006/relationships"><Relationship Type="http://schemas.openxmlformats.org/officeDocument/2006/relationships/table" Target="/xl/tables/table19.xml" Id="Rf893af402a094e00" /></Relationships>
</file>

<file path=xl/worksheets/_rels/sheet19.xml.rels>&#65279;<?xml version="1.0" encoding="utf-8"?><Relationships xmlns="http://schemas.openxmlformats.org/package/2006/relationships"><Relationship Type="http://schemas.openxmlformats.org/officeDocument/2006/relationships/table" Target="/xl/tables/table20.xml" Id="R43fa0978b6384172" /></Relationships>
</file>

<file path=xl/worksheets/_rels/sheet20.xml.rels>&#65279;<?xml version="1.0" encoding="utf-8"?><Relationships xmlns="http://schemas.openxmlformats.org/package/2006/relationships"><Relationship Type="http://schemas.openxmlformats.org/officeDocument/2006/relationships/table" Target="/xl/tables/table21.xml" Id="Re716ea5e3ebc47e0" /></Relationships>
</file>

<file path=xl/worksheets/_rels/sheet21.xml.rels>&#65279;<?xml version="1.0" encoding="utf-8"?><Relationships xmlns="http://schemas.openxmlformats.org/package/2006/relationships"><Relationship Type="http://schemas.openxmlformats.org/officeDocument/2006/relationships/table" Target="/xl/tables/table22.xml" Id="Rc048eb11b27c4055" /></Relationships>
</file>

<file path=xl/worksheets/_rels/sheet22.xml.rels>&#65279;<?xml version="1.0" encoding="utf-8"?><Relationships xmlns="http://schemas.openxmlformats.org/package/2006/relationships"><Relationship Type="http://schemas.openxmlformats.org/officeDocument/2006/relationships/table" Target="/xl/tables/table23.xml" Id="R3c414ac04063455b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24" hidden="0" customWidth="1"/>
    <x:col min="2" max="2" width="12" hidden="0" customWidth="1"/>
    <x:col min="3" max="3" width="12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  <x:col min="12" max="12" width="16" hidden="0" customWidth="1"/>
    <x:col min="13" max="13" width="16" hidden="0" customWidth="1"/>
    <x:col min="14" max="14" width="16" hidden="0" customWidth="1"/>
    <x:col min="15" max="15" width="16" hidden="0" customWidth="1"/>
    <x:col min="16" max="16" width="16" hidden="0" customWidth="1"/>
  </x:cols>
  <x:sheetData>
    <x:row r="1" ht="10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</x:row>
    <x:row r="2" ht="25" customHeight="1">
      <x:c r="A2" s="3" t="str">
        <x:v>支持スコアと昼夜の比較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  <x:c r="P2" s="2"/>
    </x:row>
    <x:row r="3" ht="25" customHeight="1">
      <x:c r="A3" s="4" t="str">
        <x:v>日中の旧26場と追加完了版は別集計。夜間は旧25場＋追加完了1場。利益・損失は完結した親ごとの合算。</x:v>
      </x:c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  <x:c r="O3" s="2"/>
      <x:c r="P3" s="2"/>
    </x:row>
    <x:row r="4" ht="25" customHeight="1">
      <x:c r="A4" s="4" t="str">
        <x:v>夜N00の旧25場は00151の保存経路を再現した比較元。追加完了版も途中を既に見た資料で、未見の予測成績ではない。</x:v>
      </x:c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  <x:c r="M4" s="2"/>
      <x:c r="N4" s="2"/>
      <x:c r="O4" s="2"/>
      <x:c r="P4" s="2"/>
    </x:row>
    <x:row r="5" ht="45" customHeight="1">
      <x:c r="A5" s="11" t="str">
        <x:v>手法</x:v>
      </x:c>
      <x:c r="B5" s="11" t="str">
        <x:v>時間帯</x:v>
      </x:c>
      <x:c r="C5" s="11" t="str">
        <x:v>場数</x:v>
      </x:c>
      <x:c r="D5" s="11" t="str">
        <x:v>利益（円）</x:v>
      </x:c>
      <x:c r="E5" s="11" t="str">
        <x:v>損失（円）</x:v>
      </x:c>
      <x:c r="F5" s="11" t="str">
        <x:v>収支（円）</x:v>
      </x:c>
      <x:c r="G5" s="11" t="str">
        <x:v>赤字場数</x:v>
      </x:c>
      <x:c r="H5" s="11" t="str">
        <x:v>平均赤字（円）</x:v>
      </x:c>
      <x:c r="I5" s="11" t="str">
        <x:v>最大赤字（円）</x:v>
      </x:c>
      <x:c r="J5" s="11" t="str">
        <x:v>上位3黒字除外（円）</x:v>
      </x:c>
      <x:c r="K5" s="11" t="str">
        <x:v>途中最悪収支（円）</x:v>
      </x:c>
      <x:c r="L5" s="11" t="str">
        <x:v>最大下落額（円）</x:v>
      </x:c>
      <x:c r="M5" s="11" t="str">
        <x:v>新規回数</x:v>
      </x:c>
      <x:c r="N5" s="11" t="str">
        <x:v>無取引場数</x:v>
      </x:c>
      <x:c r="O5" s="11" t="str">
        <x:v>旧完了場数</x:v>
      </x:c>
      <x:c r="P5" s="11" t="str">
        <x:v>追加完了場数</x:v>
      </x:c>
    </x:row>
    <x:row r="6" ht="25" customHeight="1">
      <x:c r="A6" s="2" t="str">
        <x:v>N00</x:v>
      </x:c>
      <x:c r="B6" s="6" t="str">
        <x:v>夜間</x:v>
      </x:c>
      <x:c r="C6" s="6" t="n">
        <x:v>26</x:v>
      </x:c>
      <x:c r="D6" s="6" t="n">
        <x:f>'日経_N00'!D32</x:f>
        <x:v>2596000</x:v>
      </x:c>
      <x:c r="E6" s="6" t="n">
        <x:f>'日経_N00'!E32</x:f>
        <x:v>1135000</x:v>
      </x:c>
      <x:c r="F6" s="6" t="n">
        <x:f>'日経_N00'!F32</x:f>
        <x:v>1461000</x:v>
      </x:c>
      <x:c r="G6" s="6" t="n">
        <x:f>COUNTIFS('日経_N00'!F6:F31,"&lt;0")</x:f>
        <x:v>8</x:v>
      </x:c>
      <x:c r="H6" s="6" t="n">
        <x:f>IF(G6=0,0,-SUMIFS('日経_N00'!F6:F31,'日経_N00'!F6:F31,"&lt;0")/G6)</x:f>
        <x:v>27875</x:v>
      </x:c>
      <x:c r="I6" s="6" t="n">
        <x:f>MAX(0,-MIN('日経_N00'!F6:F31))</x:f>
        <x:v>45000</x:v>
      </x:c>
      <x:c r="J6" s="6" t="n">
        <x:f>F6-MAX(0,LARGE('日経_N00'!F6:F31,1))-MAX(0,LARGE('日経_N00'!F6:F31,2))-MAX(0,LARGE('日経_N00'!F6:F31,3))</x:f>
        <x:v>720000</x:v>
      </x:c>
      <x:c r="K6" s="6" t="n">
        <x:f>'日経_N00'!H32</x:f>
        <x:v>-105000</x:v>
      </x:c>
      <x:c r="L6" s="6" t="n">
        <x:f>'日経_N00'!I32</x:f>
        <x:v>162000</x:v>
      </x:c>
      <x:c r="M6" s="6" t="n">
        <x:f>'日経_N00'!J32</x:f>
        <x:v>184</x:v>
      </x:c>
      <x:c r="N6" s="6" t="n">
        <x:f>COUNTIFS('日経_N00'!J6:J31,"=0")</x:f>
        <x:v>0</x:v>
      </x:c>
      <x:c r="O6" s="6" t="n">
        <x:f>COUNTIFS('日経_N00'!B6:B31,"旧完了場")</x:f>
        <x:v>25</x:v>
      </x:c>
      <x:c r="P6" s="6" t="n">
        <x:f>COUNTIFS('日経_N00'!B6:B31,"追加完了版")</x:f>
        <x:v>1</x:v>
      </x:c>
    </x:row>
    <x:row r="7" ht="25" customHeight="1">
      <x:c r="A7" s="2" t="str">
        <x:v>N01</x:v>
      </x:c>
      <x:c r="B7" s="6" t="str">
        <x:v>夜間</x:v>
      </x:c>
      <x:c r="C7" s="6" t="n">
        <x:v>26</x:v>
      </x:c>
      <x:c r="D7" s="6" t="n">
        <x:f>'日経_N01'!D32</x:f>
        <x:v>1136700</x:v>
      </x:c>
      <x:c r="E7" s="6" t="n">
        <x:f>'日経_N01'!E32</x:f>
        <x:v>663500</x:v>
      </x:c>
      <x:c r="F7" s="6" t="n">
        <x:f>'日経_N01'!F32</x:f>
        <x:v>473200</x:v>
      </x:c>
      <x:c r="G7" s="6" t="n">
        <x:f>COUNTIFS('日経_N01'!F6:F31,"&lt;0")</x:f>
        <x:v>12</x:v>
      </x:c>
      <x:c r="H7" s="6" t="n">
        <x:f>IF(G7=0,0,-SUMIFS('日経_N01'!F6:F31,'日経_N01'!F6:F31,"&lt;0")/G7)</x:f>
        <x:v>16108.333333333334</x:v>
      </x:c>
      <x:c r="I7" s="6" t="n">
        <x:f>MAX(0,-MIN('日経_N01'!F6:F31))</x:f>
        <x:v>40000</x:v>
      </x:c>
      <x:c r="J7" s="6" t="n">
        <x:f>F7-MAX(0,LARGE('日経_N01'!F6:F31,1))-MAX(0,LARGE('日経_N01'!F6:F31,2))-MAX(0,LARGE('日経_N01'!F6:F31,3))</x:f>
        <x:v>144800</x:v>
      </x:c>
      <x:c r="K7" s="6" t="n">
        <x:f>'日経_N01'!H32</x:f>
        <x:v>-93200</x:v>
      </x:c>
      <x:c r="L7" s="6" t="n">
        <x:f>'日経_N01'!I32</x:f>
        <x:v>110700</x:v>
      </x:c>
      <x:c r="M7" s="6" t="n">
        <x:f>'日経_N01'!J32</x:f>
        <x:v>184</x:v>
      </x:c>
      <x:c r="N7" s="6" t="n">
        <x:f>COUNTIFS('日経_N01'!J6:J31,"=0")</x:f>
        <x:v>0</x:v>
      </x:c>
      <x:c r="O7" s="6" t="n">
        <x:f>COUNTIFS('日経_N01'!B6:B31,"旧完了場")</x:f>
        <x:v>25</x:v>
      </x:c>
      <x:c r="P7" s="6" t="n">
        <x:f>COUNTIFS('日経_N01'!B6:B31,"追加完了版")</x:f>
        <x:v>1</x:v>
      </x:c>
    </x:row>
    <x:row r="8" ht="25" customHeight="1">
      <x:c r="A8" s="2" t="str">
        <x:v>N02</x:v>
      </x:c>
      <x:c r="B8" s="6" t="str">
        <x:v>夜間</x:v>
      </x:c>
      <x:c r="C8" s="6" t="n">
        <x:v>26</x:v>
      </x:c>
      <x:c r="D8" s="6" t="n">
        <x:f>'日経_N02'!D32</x:f>
        <x:v>2505500</x:v>
      </x:c>
      <x:c r="E8" s="6" t="n">
        <x:f>'日経_N02'!E32</x:f>
        <x:v>1175400</x:v>
      </x:c>
      <x:c r="F8" s="6" t="n">
        <x:f>'日経_N02'!F32</x:f>
        <x:v>1330100</x:v>
      </x:c>
      <x:c r="G8" s="6" t="n">
        <x:f>COUNTIFS('日経_N02'!F6:F31,"&lt;0")</x:f>
        <x:v>9</x:v>
      </x:c>
      <x:c r="H8" s="6" t="n">
        <x:f>IF(G8=0,0,-SUMIFS('日経_N02'!F6:F31,'日経_N02'!F6:F31,"&lt;0")/G8)</x:f>
        <x:v>38122.22222222222</x:v>
      </x:c>
      <x:c r="I8" s="6" t="n">
        <x:f>MAX(0,-MIN('日経_N02'!F6:F31))</x:f>
        <x:v>93100</x:v>
      </x:c>
      <x:c r="J8" s="6" t="n">
        <x:f>F8-MAX(0,LARGE('日経_N02'!F6:F31,1))-MAX(0,LARGE('日経_N02'!F6:F31,2))-MAX(0,LARGE('日経_N02'!F6:F31,3))</x:f>
        <x:v>245900</x:v>
      </x:c>
      <x:c r="K8" s="6" t="n">
        <x:f>'日経_N02'!H32</x:f>
        <x:v>-207900</x:v>
      </x:c>
      <x:c r="L8" s="6" t="n">
        <x:f>'日経_N02'!I32</x:f>
        <x:v>287700</x:v>
      </x:c>
      <x:c r="M8" s="6" t="n">
        <x:f>'日経_N02'!J32</x:f>
        <x:v>182</x:v>
      </x:c>
      <x:c r="N8" s="6" t="n">
        <x:f>COUNTIFS('日経_N02'!J6:J31,"=0")</x:f>
        <x:v>0</x:v>
      </x:c>
      <x:c r="O8" s="6" t="n">
        <x:f>COUNTIFS('日経_N02'!B6:B31,"旧完了場")</x:f>
        <x:v>25</x:v>
      </x:c>
      <x:c r="P8" s="6" t="n">
        <x:f>COUNTIFS('日経_N02'!B6:B31,"追加完了版")</x:f>
        <x:v>1</x:v>
      </x:c>
    </x:row>
    <x:row r="9" ht="25" customHeight="1">
      <x:c r="A9" s="2" t="str">
        <x:v>N03</x:v>
      </x:c>
      <x:c r="B9" s="6" t="str">
        <x:v>夜間</x:v>
      </x:c>
      <x:c r="C9" s="6" t="n">
        <x:v>26</x:v>
      </x:c>
      <x:c r="D9" s="6" t="n">
        <x:f>'日経_N03'!D32</x:f>
        <x:v>2293600</x:v>
      </x:c>
      <x:c r="E9" s="6" t="n">
        <x:f>'日経_N03'!E32</x:f>
        <x:v>1132200</x:v>
      </x:c>
      <x:c r="F9" s="6" t="n">
        <x:f>'日経_N03'!F32</x:f>
        <x:v>1161400</x:v>
      </x:c>
      <x:c r="G9" s="6" t="n">
        <x:f>COUNTIFS('日経_N03'!F6:F31,"&lt;0")</x:f>
        <x:v>9</x:v>
      </x:c>
      <x:c r="H9" s="6" t="n">
        <x:f>IF(G9=0,0,-SUMIFS('日経_N03'!F6:F31,'日経_N03'!F6:F31,"&lt;0")/G9)</x:f>
        <x:v>31911.11111111111</x:v>
      </x:c>
      <x:c r="I9" s="6" t="n">
        <x:f>MAX(0,-MIN('日経_N03'!F6:F31))</x:f>
        <x:v>53200</x:v>
      </x:c>
      <x:c r="J9" s="6" t="n">
        <x:f>F9-MAX(0,LARGE('日経_N03'!F6:F31,1))-MAX(0,LARGE('日経_N03'!F6:F31,2))-MAX(0,LARGE('日経_N03'!F6:F31,3))</x:f>
        <x:v>435400</x:v>
      </x:c>
      <x:c r="K9" s="6" t="n">
        <x:f>'日経_N03'!H32</x:f>
        <x:v>-89000</x:v>
      </x:c>
      <x:c r="L9" s="6" t="n">
        <x:f>'日経_N03'!I32</x:f>
        <x:v>162000</x:v>
      </x:c>
      <x:c r="M9" s="6" t="n">
        <x:f>'日経_N03'!J32</x:f>
        <x:v>184</x:v>
      </x:c>
      <x:c r="N9" s="6" t="n">
        <x:f>COUNTIFS('日経_N03'!J6:J31,"=0")</x:f>
        <x:v>0</x:v>
      </x:c>
      <x:c r="O9" s="6" t="n">
        <x:f>COUNTIFS('日経_N03'!B6:B31,"旧完了場")</x:f>
        <x:v>25</x:v>
      </x:c>
      <x:c r="P9" s="6" t="n">
        <x:f>COUNTIFS('日経_N03'!B6:B31,"追加完了版")</x:f>
        <x:v>1</x:v>
      </x:c>
    </x:row>
    <x:row r="10" ht="25" customHeight="1">
      <x:c r="A10" s="2" t="str">
        <x:v>N04</x:v>
      </x:c>
      <x:c r="B10" s="6" t="str">
        <x:v>夜間</x:v>
      </x:c>
      <x:c r="C10" s="6" t="n">
        <x:v>26</x:v>
      </x:c>
      <x:c r="D10" s="6" t="n">
        <x:f>'日経_N04'!D32</x:f>
        <x:v>2807900</x:v>
      </x:c>
      <x:c r="E10" s="6" t="n">
        <x:f>'日経_N04'!E32</x:f>
        <x:v>1178200</x:v>
      </x:c>
      <x:c r="F10" s="6" t="n">
        <x:f>'日経_N04'!F32</x:f>
        <x:v>1629700</x:v>
      </x:c>
      <x:c r="G10" s="6" t="n">
        <x:f>COUNTIFS('日経_N04'!F6:F31,"&lt;0")</x:f>
        <x:v>9</x:v>
      </x:c>
      <x:c r="H10" s="6" t="n">
        <x:f>IF(G10=0,0,-SUMIFS('日経_N04'!F6:F31,'日経_N04'!F6:F31,"&lt;0")/G10)</x:f>
        <x:v>29766.666666666668</x:v>
      </x:c>
      <x:c r="I10" s="6" t="n">
        <x:f>MAX(0,-MIN('日経_N04'!F6:F31))</x:f>
        <x:v>65100</x:v>
      </x:c>
      <x:c r="J10" s="6" t="n">
        <x:f>F10-MAX(0,LARGE('日経_N04'!F6:F31,1))-MAX(0,LARGE('日経_N04'!F6:F31,2))-MAX(0,LARGE('日経_N04'!F6:F31,3))</x:f>
        <x:v>545500</x:v>
      </x:c>
      <x:c r="K10" s="6" t="n">
        <x:f>'日経_N04'!H32</x:f>
        <x:v>-223900</x:v>
      </x:c>
      <x:c r="L10" s="6" t="n">
        <x:f>'日経_N04'!I32</x:f>
        <x:v>287700</x:v>
      </x:c>
      <x:c r="M10" s="6" t="n">
        <x:f>'日経_N04'!J32</x:f>
        <x:v>182</x:v>
      </x:c>
      <x:c r="N10" s="6" t="n">
        <x:f>COUNTIFS('日経_N04'!J6:J31,"=0")</x:f>
        <x:v>0</x:v>
      </x:c>
      <x:c r="O10" s="6" t="n">
        <x:f>COUNTIFS('日経_N04'!B6:B31,"旧完了場")</x:f>
        <x:v>25</x:v>
      </x:c>
      <x:c r="P10" s="6" t="n">
        <x:f>COUNTIFS('日経_N04'!B6:B31,"追加完了版")</x:f>
        <x:v>1</x:v>
      </x:c>
    </x:row>
    <x:row r="11" ht="25" customHeight="1">
      <x:c r="A11" s="2" t="str">
        <x:v>N05</x:v>
      </x:c>
      <x:c r="B11" s="6" t="str">
        <x:v>夜間</x:v>
      </x:c>
      <x:c r="C11" s="6" t="n">
        <x:v>26</x:v>
      </x:c>
      <x:c r="D11" s="6" t="n">
        <x:f>'日経_N05'!D32</x:f>
        <x:v>1783300</x:v>
      </x:c>
      <x:c r="E11" s="6" t="n">
        <x:f>'日経_N05'!E32</x:f>
        <x:v>873200</x:v>
      </x:c>
      <x:c r="F11" s="6" t="n">
        <x:f>'日経_N05'!F32</x:f>
        <x:v>910100</x:v>
      </x:c>
      <x:c r="G11" s="6" t="n">
        <x:f>COUNTIFS('日経_N05'!F6:F31,"&lt;0")</x:f>
        <x:v>11</x:v>
      </x:c>
      <x:c r="H11" s="6" t="n">
        <x:f>IF(G11=0,0,-SUMIFS('日経_N05'!F6:F31,'日経_N05'!F6:F31,"&lt;0")/G11)</x:f>
        <x:v>24981.81818181818</x:v>
      </x:c>
      <x:c r="I11" s="6" t="n">
        <x:f>MAX(0,-MIN('日経_N05'!F6:F31))</x:f>
        <x:v>68300</x:v>
      </x:c>
      <x:c r="J11" s="6" t="n">
        <x:f>F11-MAX(0,LARGE('日経_N05'!F6:F31,1))-MAX(0,LARGE('日経_N05'!F6:F31,2))-MAX(0,LARGE('日経_N05'!F6:F31,3))</x:f>
        <x:v>111500</x:v>
      </x:c>
      <x:c r="K11" s="6" t="n">
        <x:f>'日経_N05'!H32</x:f>
        <x:v>-139900</x:v>
      </x:c>
      <x:c r="L11" s="6" t="n">
        <x:f>'日経_N05'!I32</x:f>
        <x:v>170700</x:v>
      </x:c>
      <x:c r="M11" s="6" t="n">
        <x:f>'日経_N05'!J32</x:f>
        <x:v>184</x:v>
      </x:c>
      <x:c r="N11" s="6" t="n">
        <x:f>COUNTIFS('日経_N05'!J6:J31,"=0")</x:f>
        <x:v>0</x:v>
      </x:c>
      <x:c r="O11" s="6" t="n">
        <x:f>COUNTIFS('日経_N05'!B6:B31,"旧完了場")</x:f>
        <x:v>25</x:v>
      </x:c>
      <x:c r="P11" s="6" t="n">
        <x:f>COUNTIFS('日経_N05'!B6:B31,"追加完了版")</x:f>
        <x:v>1</x:v>
      </x:c>
    </x:row>
    <x:row r="12" ht="25" customHeight="1">
      <x:c r="A12" s="2" t="str">
        <x:v>N06</x:v>
      </x:c>
      <x:c r="B12" s="6" t="str">
        <x:v>夜間</x:v>
      </x:c>
      <x:c r="C12" s="6" t="n">
        <x:v>26</x:v>
      </x:c>
      <x:c r="D12" s="6" t="n">
        <x:f>'日経_N06'!D32</x:f>
        <x:v>5192200</x:v>
      </x:c>
      <x:c r="E12" s="6" t="n">
        <x:f>'日経_N06'!E32</x:f>
        <x:v>3139200</x:v>
      </x:c>
      <x:c r="F12" s="6" t="n">
        <x:f>'日経_N06'!F32</x:f>
        <x:v>2053000</x:v>
      </x:c>
      <x:c r="G12" s="6" t="n">
        <x:f>COUNTIFS('日経_N06'!F6:F31,"&lt;0")</x:f>
        <x:v>11</x:v>
      </x:c>
      <x:c r="H12" s="6" t="n">
        <x:f>IF(G12=0,0,-SUMIFS('日経_N06'!F6:F31,'日経_N06'!F6:F31,"&lt;0")/G12)</x:f>
        <x:v>98900</x:v>
      </x:c>
      <x:c r="I12" s="6" t="n">
        <x:f>MAX(0,-MIN('日経_N06'!F6:F31))</x:f>
        <x:v>422500</x:v>
      </x:c>
      <x:c r="J12" s="6" t="n">
        <x:f>F12-MAX(0,LARGE('日経_N06'!F6:F31,1))-MAX(0,LARGE('日経_N06'!F6:F31,2))-MAX(0,LARGE('日経_N06'!F6:F31,3))</x:f>
        <x:v>550000</x:v>
      </x:c>
      <x:c r="K12" s="6" t="n">
        <x:f>'日経_N06'!H32</x:f>
        <x:v>-452000</x:v>
      </x:c>
      <x:c r="L12" s="6" t="n">
        <x:f>'日経_N06'!I32</x:f>
        <x:v>605000</x:v>
      </x:c>
      <x:c r="M12" s="6" t="n">
        <x:f>'日経_N06'!J32</x:f>
        <x:v>146</x:v>
      </x:c>
      <x:c r="N12" s="6" t="n">
        <x:f>COUNTIFS('日経_N06'!J6:J31,"=0")</x:f>
        <x:v>0</x:v>
      </x:c>
      <x:c r="O12" s="6" t="n">
        <x:f>COUNTIFS('日経_N06'!B6:B31,"旧完了場")</x:f>
        <x:v>25</x:v>
      </x:c>
      <x:c r="P12" s="6" t="n">
        <x:f>COUNTIFS('日経_N06'!B6:B31,"追加完了版")</x:f>
        <x:v>1</x:v>
      </x:c>
    </x:row>
    <x:row r="13" ht="25" customHeight="1">
      <x:c r="A13" s="2" t="str">
        <x:v>N07</x:v>
      </x:c>
      <x:c r="B13" s="6" t="str">
        <x:v>夜間</x:v>
      </x:c>
      <x:c r="C13" s="6" t="n">
        <x:v>26</x:v>
      </x:c>
      <x:c r="D13" s="6" t="n">
        <x:f>'日経_N07'!D32</x:f>
        <x:v>2327500</x:v>
      </x:c>
      <x:c r="E13" s="6" t="n">
        <x:f>'日経_N07'!E32</x:f>
        <x:v>1140100</x:v>
      </x:c>
      <x:c r="F13" s="6" t="n">
        <x:f>'日経_N07'!F32</x:f>
        <x:v>1187400</x:v>
      </x:c>
      <x:c r="G13" s="6" t="n">
        <x:f>COUNTIFS('日経_N07'!F6:F31,"&lt;0")</x:f>
        <x:v>9</x:v>
      </x:c>
      <x:c r="H13" s="6" t="n">
        <x:f>IF(G13=0,0,-SUMIFS('日経_N07'!F6:F31,'日経_N07'!F6:F31,"&lt;0")/G13)</x:f>
        <x:v>35322.22222222222</x:v>
      </x:c>
      <x:c r="I13" s="6" t="n">
        <x:f>MAX(0,-MIN('日経_N07'!F6:F31))</x:f>
        <x:v>89600</x:v>
      </x:c>
      <x:c r="J13" s="6" t="n">
        <x:f>F13-MAX(0,LARGE('日経_N07'!F6:F31,1))-MAX(0,LARGE('日経_N07'!F6:F31,2))-MAX(0,LARGE('日経_N07'!F6:F31,3))</x:f>
        <x:v>219100</x:v>
      </x:c>
      <x:c r="K13" s="6" t="n">
        <x:f>'日経_N07'!H32</x:f>
        <x:v>-207900</x:v>
      </x:c>
      <x:c r="L13" s="6" t="n">
        <x:f>'日経_N07'!I32</x:f>
        <x:v>287700</x:v>
      </x:c>
      <x:c r="M13" s="6" t="n">
        <x:f>'日経_N07'!J32</x:f>
        <x:v>168</x:v>
      </x:c>
      <x:c r="N13" s="6" t="n">
        <x:f>COUNTIFS('日経_N07'!J6:J31,"=0")</x:f>
        <x:v>0</x:v>
      </x:c>
      <x:c r="O13" s="6" t="n">
        <x:f>COUNTIFS('日経_N07'!B6:B31,"旧完了場")</x:f>
        <x:v>25</x:v>
      </x:c>
      <x:c r="P13" s="6" t="n">
        <x:f>COUNTIFS('日経_N07'!B6:B31,"追加完了版")</x:f>
        <x:v>1</x:v>
      </x:c>
    </x:row>
    <x:row r="14" ht="25" customHeight="1">
      <x:c r="A14" s="2" t="str">
        <x:v>N08</x:v>
      </x:c>
      <x:c r="B14" s="6" t="str">
        <x:v>夜間</x:v>
      </x:c>
      <x:c r="C14" s="6" t="n">
        <x:v>26</x:v>
      </x:c>
      <x:c r="D14" s="6" t="n">
        <x:f>'日経_N08'!D32</x:f>
        <x:v>1664700</x:v>
      </x:c>
      <x:c r="E14" s="6" t="n">
        <x:f>'日経_N08'!E32</x:f>
        <x:v>788200</x:v>
      </x:c>
      <x:c r="F14" s="6" t="n">
        <x:f>'日経_N08'!F32</x:f>
        <x:v>876500</x:v>
      </x:c>
      <x:c r="G14" s="6" t="n">
        <x:f>COUNTIFS('日経_N08'!F6:F31,"&lt;0")</x:f>
        <x:v>9</x:v>
      </x:c>
      <x:c r="H14" s="6" t="n">
        <x:f>IF(G14=0,0,-SUMIFS('日経_N08'!F6:F31,'日経_N08'!F6:F31,"&lt;0")/G14)</x:f>
        <x:v>25188.88888888889</x:v>
      </x:c>
      <x:c r="I14" s="6" t="n">
        <x:f>MAX(0,-MIN('日経_N08'!F6:F31))</x:f>
        <x:v>70600</x:v>
      </x:c>
      <x:c r="J14" s="6" t="n">
        <x:f>F14-MAX(0,LARGE('日経_N08'!F6:F31,1))-MAX(0,LARGE('日経_N08'!F6:F31,2))-MAX(0,LARGE('日経_N08'!F6:F31,3))</x:f>
        <x:v>155500</x:v>
      </x:c>
      <x:c r="K14" s="6" t="n">
        <x:f>'日経_N08'!H32</x:f>
        <x:v>-95000</x:v>
      </x:c>
      <x:c r="L14" s="6" t="n">
        <x:f>'日経_N08'!I32</x:f>
        <x:v>188600</x:v>
      </x:c>
      <x:c r="M14" s="6" t="n">
        <x:f>'日経_N08'!J32</x:f>
        <x:v>183</x:v>
      </x:c>
      <x:c r="N14" s="6" t="n">
        <x:f>COUNTIFS('日経_N08'!J6:J31,"=0")</x:f>
        <x:v>0</x:v>
      </x:c>
      <x:c r="O14" s="6" t="n">
        <x:f>COUNTIFS('日経_N08'!B6:B31,"旧完了場")</x:f>
        <x:v>25</x:v>
      </x:c>
      <x:c r="P14" s="6" t="n">
        <x:f>COUNTIFS('日経_N08'!B6:B31,"追加完了版")</x:f>
        <x:v>1</x:v>
      </x:c>
    </x:row>
    <x:row r="15" ht="25" customHeight="1">
      <x:c r="A15" s="2" t="str">
        <x:v>N09</x:v>
      </x:c>
      <x:c r="B15" s="6" t="str">
        <x:v>夜間</x:v>
      </x:c>
      <x:c r="C15" s="6" t="n">
        <x:v>26</x:v>
      </x:c>
      <x:c r="D15" s="6" t="n">
        <x:f>'日経_N09'!D32</x:f>
        <x:v>972700</x:v>
      </x:c>
      <x:c r="E15" s="6" t="n">
        <x:f>'日経_N09'!E32</x:f>
        <x:v>618100</x:v>
      </x:c>
      <x:c r="F15" s="6" t="n">
        <x:f>'日経_N09'!F32</x:f>
        <x:v>354600</x:v>
      </x:c>
      <x:c r="G15" s="6" t="n">
        <x:f>COUNTIFS('日経_N09'!F6:F31,"&lt;0")</x:f>
        <x:v>8</x:v>
      </x:c>
      <x:c r="H15" s="6" t="n">
        <x:f>IF(G15=0,0,-SUMIFS('日経_N09'!F6:F31,'日経_N09'!F6:F31,"&lt;0")/G15)</x:f>
        <x:v>30487.5</x:v>
      </x:c>
      <x:c r="I15" s="6" t="n">
        <x:f>MAX(0,-MIN('日経_N09'!F6:F31))</x:f>
        <x:v>66900</x:v>
      </x:c>
      <x:c r="J15" s="6" t="n">
        <x:f>F15-MAX(0,LARGE('日経_N09'!F6:F31,1))-MAX(0,LARGE('日経_N09'!F6:F31,2))-MAX(0,LARGE('日経_N09'!F6:F31,3))</x:f>
        <x:v>89000</x:v>
      </x:c>
      <x:c r="K15" s="6" t="n">
        <x:f>'日経_N09'!H32</x:f>
        <x:v>-99700</x:v>
      </x:c>
      <x:c r="L15" s="6" t="n">
        <x:f>'日経_N09'!I32</x:f>
        <x:v>101700</x:v>
      </x:c>
      <x:c r="M15" s="6" t="n">
        <x:f>'日経_N09'!J32</x:f>
        <x:v>184</x:v>
      </x:c>
      <x:c r="N15" s="6" t="n">
        <x:f>COUNTIFS('日経_N09'!J6:J31,"=0")</x:f>
        <x:v>0</x:v>
      </x:c>
      <x:c r="O15" s="6" t="n">
        <x:f>COUNTIFS('日経_N09'!B6:B31,"旧完了場")</x:f>
        <x:v>25</x:v>
      </x:c>
      <x:c r="P15" s="6" t="n">
        <x:f>COUNTIFS('日経_N09'!B6:B31,"追加完了版")</x:f>
        <x:v>1</x:v>
      </x:c>
    </x:row>
    <x:row r="16" ht="25" customHeight="1">
      <x:c r="A16" s="2" t="str">
        <x:v>N10</x:v>
      </x:c>
      <x:c r="B16" s="6" t="str">
        <x:v>夜間</x:v>
      </x:c>
      <x:c r="C16" s="6" t="n">
        <x:v>26</x:v>
      </x:c>
      <x:c r="D16" s="6" t="n">
        <x:f>'日経_N10'!D32</x:f>
        <x:v>602300</x:v>
      </x:c>
      <x:c r="E16" s="6" t="n">
        <x:f>'日経_N10'!E32</x:f>
        <x:v>450100</x:v>
      </x:c>
      <x:c r="F16" s="6" t="n">
        <x:f>'日経_N10'!F32</x:f>
        <x:v>152200</x:v>
      </x:c>
      <x:c r="G16" s="6" t="n">
        <x:f>COUNTIFS('日経_N10'!F6:F31,"&lt;0")</x:f>
        <x:v>9</x:v>
      </x:c>
      <x:c r="H16" s="6" t="n">
        <x:f>IF(G16=0,0,-SUMIFS('日経_N10'!F6:F31,'日経_N10'!F6:F31,"&lt;0")/G16)</x:f>
        <x:v>26411.11111111111</x:v>
      </x:c>
      <x:c r="I16" s="6" t="n">
        <x:f>MAX(0,-MIN('日経_N10'!F6:F31))</x:f>
        <x:v>67200</x:v>
      </x:c>
      <x:c r="J16" s="6" t="n">
        <x:f>F16-MAX(0,LARGE('日経_N10'!F6:F31,1))-MAX(0,LARGE('日経_N10'!F6:F31,2))-MAX(0,LARGE('日経_N10'!F6:F31,3))</x:f>
        <x:v>-28600</x:v>
      </x:c>
      <x:c r="K16" s="6" t="n">
        <x:f>'日経_N10'!H32</x:f>
        <x:v>-93200</x:v>
      </x:c>
      <x:c r="L16" s="6" t="n">
        <x:f>'日経_N10'!I32</x:f>
        <x:v>101200</x:v>
      </x:c>
      <x:c r="M16" s="6" t="n">
        <x:f>'日経_N10'!J32</x:f>
        <x:v>184</x:v>
      </x:c>
      <x:c r="N16" s="6" t="n">
        <x:f>COUNTIFS('日経_N10'!J6:J31,"=0")</x:f>
        <x:v>0</x:v>
      </x:c>
      <x:c r="O16" s="6" t="n">
        <x:f>COUNTIFS('日経_N10'!B6:B31,"旧完了場")</x:f>
        <x:v>25</x:v>
      </x:c>
      <x:c r="P16" s="6" t="n">
        <x:f>COUNTIFS('日経_N10'!B6:B31,"追加完了版")</x:f>
        <x:v>1</x:v>
      </x:c>
    </x:row>
    <x:row r="17" ht="25" customHeight="1">
      <x:c r="A17" s="2" t="str">
        <x:v>N11</x:v>
      </x:c>
      <x:c r="B17" s="6" t="str">
        <x:v>夜間</x:v>
      </x:c>
      <x:c r="C17" s="6" t="n">
        <x:v>26</x:v>
      </x:c>
      <x:c r="D17" s="6" t="n">
        <x:f>'日経_N11'!D32</x:f>
        <x:v>2501500</x:v>
      </x:c>
      <x:c r="E17" s="6" t="n">
        <x:f>'日経_N11'!E32</x:f>
        <x:v>1188400</x:v>
      </x:c>
      <x:c r="F17" s="6" t="n">
        <x:f>'日経_N11'!F32</x:f>
        <x:v>1313100</x:v>
      </x:c>
      <x:c r="G17" s="6" t="n">
        <x:f>COUNTIFS('日経_N11'!F6:F31,"&lt;0")</x:f>
        <x:v>9</x:v>
      </x:c>
      <x:c r="H17" s="6" t="n">
        <x:f>IF(G17=0,0,-SUMIFS('日経_N11'!F6:F31,'日経_N11'!F6:F31,"&lt;0")/G17)</x:f>
        <x:v>38122.22222222222</x:v>
      </x:c>
      <x:c r="I17" s="6" t="n">
        <x:f>MAX(0,-MIN('日経_N11'!F6:F31))</x:f>
        <x:v>93100</x:v>
      </x:c>
      <x:c r="J17" s="6" t="n">
        <x:f>F17-MAX(0,LARGE('日経_N11'!F6:F31,1))-MAX(0,LARGE('日経_N11'!F6:F31,2))-MAX(0,LARGE('日経_N11'!F6:F31,3))</x:f>
        <x:v>228900</x:v>
      </x:c>
      <x:c r="K17" s="6" t="n">
        <x:f>'日経_N11'!H32</x:f>
        <x:v>-207900</x:v>
      </x:c>
      <x:c r="L17" s="6" t="n">
        <x:f>'日経_N11'!I32</x:f>
        <x:v>287700</x:v>
      </x:c>
      <x:c r="M17" s="6" t="n">
        <x:f>'日経_N11'!J32</x:f>
        <x:v>182</x:v>
      </x:c>
      <x:c r="N17" s="6" t="n">
        <x:f>COUNTIFS('日経_N11'!J6:J31,"=0")</x:f>
        <x:v>0</x:v>
      </x:c>
      <x:c r="O17" s="6" t="n">
        <x:f>COUNTIFS('日経_N11'!B6:B31,"旧完了場")</x:f>
        <x:v>25</x:v>
      </x:c>
      <x:c r="P17" s="6" t="n">
        <x:f>COUNTIFS('日経_N11'!B6:B31,"追加完了版")</x:f>
        <x:v>1</x:v>
      </x:c>
    </x:row>
    <x:row r="18" ht="25" customHeight="1">
      <x:c r="A18" s="2" t="str">
        <x:v>S01</x:v>
      </x:c>
      <x:c r="B18" s="6" t="str">
        <x:v>日中</x:v>
      </x:c>
      <x:c r="C18" s="6" t="n">
        <x:v>26</x:v>
      </x:c>
      <x:c r="D18" s="6" t="n">
        <x:f>'日経_S01'!D32</x:f>
        <x:v>4231000</x:v>
      </x:c>
      <x:c r="E18" s="6" t="n">
        <x:f>'日経_S01'!E32</x:f>
        <x:v>2296000</x:v>
      </x:c>
      <x:c r="F18" s="6" t="n">
        <x:f>'日経_S01'!F32</x:f>
        <x:v>1935000</x:v>
      </x:c>
      <x:c r="G18" s="6" t="n">
        <x:f>COUNTIFS('日経_S01'!F6:F31,"&lt;0")</x:f>
        <x:v>8</x:v>
      </x:c>
      <x:c r="H18" s="6" t="n">
        <x:f>IF(G18=0,0,-SUMIFS('日経_S01'!F6:F31,'日経_S01'!F6:F31,"&lt;0")/G18)</x:f>
        <x:v>53500</x:v>
      </x:c>
      <x:c r="I18" s="6" t="n">
        <x:f>MAX(0,-MIN('日経_S01'!F6:F31))</x:f>
        <x:v>113000</x:v>
      </x:c>
      <x:c r="J18" s="6" t="n">
        <x:f>F18-MAX(0,LARGE('日経_S01'!F6:F31,1))-MAX(0,LARGE('日経_S01'!F6:F31,2))-MAX(0,LARGE('日経_S01'!F6:F31,3))</x:f>
        <x:v>919000</x:v>
      </x:c>
      <x:c r="K18" s="6" t="n">
        <x:f>'日経_S01'!H32</x:f>
        <x:v>-203000</x:v>
      </x:c>
      <x:c r="L18" s="6" t="n">
        <x:f>'日経_S01'!I32</x:f>
        <x:v>294000</x:v>
      </x:c>
      <x:c r="M18" s="6" t="n">
        <x:f>'日経_S01'!J32</x:f>
        <x:v>204</x:v>
      </x:c>
      <x:c r="N18" s="6" t="n">
        <x:f>COUNTIFS('日経_S01'!J6:J31,"=0")</x:f>
        <x:v>0</x:v>
      </x:c>
      <x:c r="O18" s="6" t="n">
        <x:f>COUNTIFS('日経_S01'!B6:B31,"旧完了場")</x:f>
        <x:v>26</x:v>
      </x:c>
      <x:c r="P18" s="6" t="n">
        <x:f>COUNTIFS('日経_S01'!B6:B31,"追加完了版")</x:f>
        <x:v>0</x:v>
      </x:c>
    </x:row>
    <x:row r="19" ht="25" customHeight="1">
      <x:c r="A19" s="2" t="str">
        <x:v>S01完了確認</x:v>
      </x:c>
      <x:c r="B19" s="6" t="str">
        <x:v>日中</x:v>
      </x:c>
      <x:c r="C19" s="6" t="n">
        <x:v>1</x:v>
      </x:c>
      <x:c r="D19" s="6" t="n">
        <x:f>'日経_S01完了確認'!D7</x:f>
        <x:v>121000</x:v>
      </x:c>
      <x:c r="E19" s="6" t="n">
        <x:f>'日経_S01完了確認'!E7</x:f>
        <x:v>236000</x:v>
      </x:c>
      <x:c r="F19" s="6" t="n">
        <x:f>'日経_S01完了確認'!F7</x:f>
        <x:v>-115000</x:v>
      </x:c>
      <x:c r="G19" s="6" t="n">
        <x:f>COUNTIFS('日経_S01完了確認'!F6:F6,"&lt;0")</x:f>
        <x:v>1</x:v>
      </x:c>
      <x:c r="H19" s="6" t="n">
        <x:f>IF(G19=0,0,-SUMIFS('日経_S01完了確認'!F6:F6,'日経_S01完了確認'!F6:F6,"&lt;0")/G19)</x:f>
        <x:v>115000</x:v>
      </x:c>
      <x:c r="I19" s="6" t="n">
        <x:f>MAX(0,-MIN('日経_S01完了確認'!F6:F6))</x:f>
        <x:v>115000</x:v>
      </x:c>
      <x:c r="J19" s="6" t="n">
        <x:f>F19-MAX(0,'日経_S01完了確認'!F6)</x:f>
        <x:v>-115000</x:v>
      </x:c>
      <x:c r="K19" s="6" t="n">
        <x:f>'日経_S01完了確認'!H7</x:f>
        <x:v>-133000</x:v>
      </x:c>
      <x:c r="L19" s="6" t="n">
        <x:f>'日経_S01完了確認'!I7</x:f>
        <x:v>193000</x:v>
      </x:c>
      <x:c r="M19" s="6" t="n">
        <x:f>'日経_S01完了確認'!J7</x:f>
        <x:v>15</x:v>
      </x:c>
      <x:c r="N19" s="6" t="n">
        <x:f>COUNTIFS('日経_S01完了確認'!J6:J6,"=0")</x:f>
        <x:v>0</x:v>
      </x:c>
      <x:c r="O19" s="6" t="n">
        <x:f>COUNTIFS('日経_S01完了確認'!B6:B6,"旧完了場")</x:f>
        <x:v>0</x:v>
      </x:c>
      <x:c r="P19" s="6" t="n">
        <x:f>COUNTIFS('日経_S01完了確認'!B6:B6,"追加完了版")</x:f>
        <x:v>1</x:v>
      </x:c>
    </x:row>
    <x:row r="20" ht="25" customHeight="1">
      <x:c r="A20" s="2" t="str">
        <x:v>J02</x:v>
      </x:c>
      <x:c r="B20" s="6" t="str">
        <x:v>日中</x:v>
      </x:c>
      <x:c r="C20" s="6" t="n">
        <x:v>26</x:v>
      </x:c>
      <x:c r="D20" s="6" t="n">
        <x:f>'日経_J02'!D32</x:f>
        <x:v>3459400</x:v>
      </x:c>
      <x:c r="E20" s="6" t="n">
        <x:f>'日経_J02'!E32</x:f>
        <x:v>1699400</x:v>
      </x:c>
      <x:c r="F20" s="6" t="n">
        <x:f>'日経_J02'!F32</x:f>
        <x:v>1760000</x:v>
      </x:c>
      <x:c r="G20" s="6" t="n">
        <x:f>COUNTIFS('日経_J02'!F6:F31,"&lt;0")</x:f>
        <x:v>9</x:v>
      </x:c>
      <x:c r="H20" s="6" t="n">
        <x:f>IF(G20=0,0,-SUMIFS('日経_J02'!F6:F31,'日経_J02'!F6:F31,"&lt;0")/G20)</x:f>
        <x:v>72144.44444444444</x:v>
      </x:c>
      <x:c r="I20" s="6" t="n">
        <x:f>MAX(0,-MIN('日経_J02'!F6:F31))</x:f>
        <x:v>130600</x:v>
      </x:c>
      <x:c r="J20" s="6" t="n">
        <x:f>F20-MAX(0,LARGE('日経_J02'!F6:F31,1))-MAX(0,LARGE('日経_J02'!F6:F31,2))-MAX(0,LARGE('日経_J02'!F6:F31,3))</x:f>
        <x:v>586200</x:v>
      </x:c>
      <x:c r="K20" s="6" t="n">
        <x:f>'日経_J02'!H32</x:f>
        <x:v>-189200</x:v>
      </x:c>
      <x:c r="L20" s="6" t="n">
        <x:f>'日経_J02'!I32</x:f>
        <x:v>263800</x:v>
      </x:c>
      <x:c r="M20" s="6" t="n">
        <x:f>'日経_J02'!J32</x:f>
        <x:v>204</x:v>
      </x:c>
      <x:c r="N20" s="6" t="n">
        <x:f>COUNTIFS('日経_J02'!J6:J31,"=0")</x:f>
        <x:v>0</x:v>
      </x:c>
      <x:c r="O20" s="6" t="n">
        <x:f>COUNTIFS('日経_J02'!B6:B31,"旧完了場")</x:f>
        <x:v>26</x:v>
      </x:c>
      <x:c r="P20" s="6" t="n">
        <x:f>COUNTIFS('日経_J02'!B6:B31,"追加完了版")</x:f>
        <x:v>0</x:v>
      </x:c>
    </x:row>
    <x:row r="21" ht="25" customHeight="1">
      <x:c r="A21" s="2" t="str">
        <x:v>J02型完了確認</x:v>
      </x:c>
      <x:c r="B21" s="6" t="str">
        <x:v>日中</x:v>
      </x:c>
      <x:c r="C21" s="6" t="n">
        <x:v>1</x:v>
      </x:c>
      <x:c r="D21" s="6" t="n">
        <x:f>'日経_J02型完了確認'!D7</x:f>
        <x:v>91300</x:v>
      </x:c>
      <x:c r="E21" s="6" t="n">
        <x:f>'日経_J02型完了確認'!E7</x:f>
        <x:v>179700</x:v>
      </x:c>
      <x:c r="F21" s="6" t="n">
        <x:f>'日経_J02型完了確認'!F7</x:f>
        <x:v>-88400</x:v>
      </x:c>
      <x:c r="G21" s="6" t="n">
        <x:f>COUNTIFS('日経_J02型完了確認'!F6:F6,"&lt;0")</x:f>
        <x:v>1</x:v>
      </x:c>
      <x:c r="H21" s="6" t="n">
        <x:f>IF(G21=0,0,-SUMIFS('日経_J02型完了確認'!F6:F6,'日経_J02型完了確認'!F6:F6,"&lt;0")/G21)</x:f>
        <x:v>88400</x:v>
      </x:c>
      <x:c r="I21" s="6" t="n">
        <x:f>MAX(0,-MIN('日経_J02型完了確認'!F6:F6))</x:f>
        <x:v>88400</x:v>
      </x:c>
      <x:c r="J21" s="6" t="n">
        <x:f>F21-MAX(0,'日経_J02型完了確認'!F6)</x:f>
        <x:v>-88400</x:v>
      </x:c>
      <x:c r="K21" s="6" t="n">
        <x:f>'日経_J02型完了確認'!H7</x:f>
        <x:v>-106100</x:v>
      </x:c>
      <x:c r="L21" s="6" t="n">
        <x:f>'日経_J02型完了確認'!I7</x:f>
        <x:v>143600</x:v>
      </x:c>
      <x:c r="M21" s="6" t="n">
        <x:f>'日経_J02型完了確認'!J7</x:f>
        <x:v>15</x:v>
      </x:c>
      <x:c r="N21" s="6" t="n">
        <x:f>COUNTIFS('日経_J02型完了確認'!J6:J6,"=0")</x:f>
        <x:v>0</x:v>
      </x:c>
      <x:c r="O21" s="6" t="n">
        <x:f>COUNTIFS('日経_J02型完了確認'!B6:B6,"旧完了場")</x:f>
        <x:v>0</x:v>
      </x:c>
      <x:c r="P21" s="6" t="n">
        <x:f>COUNTIFS('日経_J02型完了確認'!B6:B6,"追加完了版")</x:f>
        <x:v>1</x:v>
      </x:c>
    </x:row>
    <x:row r="22" ht="25" customHeight="1">
      <x:c r="A22" s="2" t="str">
        <x:v>R00</x:v>
      </x:c>
      <x:c r="B22" s="6" t="str">
        <x:v>夜間</x:v>
      </x:c>
      <x:c r="C22" s="6" t="n">
        <x:v>26</x:v>
      </x:c>
      <x:c r="D22" s="6" t="n">
        <x:f>'日経_R00'!D32</x:f>
        <x:v>3329600</x:v>
      </x:c>
      <x:c r="E22" s="6" t="n">
        <x:f>'日経_R00'!E32</x:f>
        <x:v>1440700</x:v>
      </x:c>
      <x:c r="F22" s="6" t="n">
        <x:f>'日経_R00'!F32</x:f>
        <x:v>1888900</x:v>
      </x:c>
      <x:c r="G22" s="6" t="n">
        <x:f>COUNTIFS('日経_R00'!F6:F31,"&lt;0")</x:f>
        <x:v>10</x:v>
      </x:c>
      <x:c r="H22" s="6" t="n">
        <x:f>IF(G22=0,0,-SUMIFS('日経_R00'!F6:F31,'日経_R00'!F6:F31,"&lt;0")/G22)</x:f>
        <x:v>32820</x:v>
      </x:c>
      <x:c r="I22" s="6" t="n">
        <x:f>MAX(0,-MIN('日経_R00'!F6:F31))</x:f>
        <x:v>61400</x:v>
      </x:c>
      <x:c r="J22" s="6" t="n">
        <x:f>F22-MAX(0,LARGE('日経_R00'!F6:F31,1))-MAX(0,LARGE('日経_R00'!F6:F31,2))-MAX(0,LARGE('日経_R00'!F6:F31,3))</x:f>
        <x:v>633500</x:v>
      </x:c>
      <x:c r="K22" s="6" t="n">
        <x:f>'日経_R00'!H32</x:f>
        <x:v>-247000</x:v>
      </x:c>
      <x:c r="L22" s="6" t="n">
        <x:f>'日経_R00'!I32</x:f>
        <x:v>310800</x:v>
      </x:c>
      <x:c r="M22" s="6" t="n">
        <x:f>'日経_R00'!J32</x:f>
        <x:v>182</x:v>
      </x:c>
      <x:c r="N22" s="6" t="n">
        <x:f>COUNTIFS('日経_R00'!J6:J31,"=0")</x:f>
        <x:v>0</x:v>
      </x:c>
      <x:c r="O22" s="6" t="n">
        <x:f>COUNTIFS('日経_R00'!B6:B31,"旧完了場")</x:f>
        <x:v>25</x:v>
      </x:c>
      <x:c r="P22" s="6" t="n">
        <x:f>COUNTIFS('日経_R00'!B6:B31,"追加完了版")</x:f>
        <x:v>1</x:v>
      </x:c>
    </x:row>
    <x:row r="23" ht="25" customHeight="1">
      <x:c r="A23" s="2" t="str">
        <x:v>R01</x:v>
      </x:c>
      <x:c r="B23" s="6" t="str">
        <x:v>夜間</x:v>
      </x:c>
      <x:c r="C23" s="6" t="n">
        <x:v>26</x:v>
      </x:c>
      <x:c r="D23" s="6" t="n">
        <x:f>'日経_R01'!D32</x:f>
        <x:v>2659400</x:v>
      </x:c>
      <x:c r="E23" s="6" t="n">
        <x:f>'日経_R01'!E32</x:f>
        <x:v>1152500</x:v>
      </x:c>
      <x:c r="F23" s="6" t="n">
        <x:f>'日経_R01'!F32</x:f>
        <x:v>1506900</x:v>
      </x:c>
      <x:c r="G23" s="6" t="n">
        <x:f>COUNTIFS('日経_R01'!F6:F31,"&lt;0")</x:f>
        <x:v>9</x:v>
      </x:c>
      <x:c r="H23" s="6" t="n">
        <x:f>IF(G23=0,0,-SUMIFS('日経_R01'!F6:F31,'日経_R01'!F6:F31,"&lt;0")/G23)</x:f>
        <x:v>28966.666666666668</x:v>
      </x:c>
      <x:c r="I23" s="6" t="n">
        <x:f>MAX(0,-MIN('日経_R01'!F6:F31))</x:f>
        <x:v>54400</x:v>
      </x:c>
      <x:c r="J23" s="6" t="n">
        <x:f>F23-MAX(0,LARGE('日経_R01'!F6:F31,1))-MAX(0,LARGE('日経_R01'!F6:F31,2))-MAX(0,LARGE('日経_R01'!F6:F31,3))</x:f>
        <x:v>755100</x:v>
      </x:c>
      <x:c r="K23" s="6" t="n">
        <x:f>'日経_R01'!H32</x:f>
        <x:v>-142000</x:v>
      </x:c>
      <x:c r="L23" s="6" t="n">
        <x:f>'日経_R01'!I32</x:f>
        <x:v>156100</x:v>
      </x:c>
      <x:c r="M23" s="6" t="n">
        <x:f>'日経_R01'!J32</x:f>
        <x:v>184</x:v>
      </x:c>
      <x:c r="N23" s="6" t="n">
        <x:f>COUNTIFS('日経_R01'!J6:J31,"=0")</x:f>
        <x:v>0</x:v>
      </x:c>
      <x:c r="O23" s="6" t="n">
        <x:f>COUNTIFS('日経_R01'!B6:B31,"旧完了場")</x:f>
        <x:v>25</x:v>
      </x:c>
      <x:c r="P23" s="6" t="n">
        <x:f>COUNTIFS('日経_R01'!B6:B31,"追加完了版")</x:f>
        <x:v>1</x:v>
      </x:c>
    </x:row>
    <x:row r="24" ht="25" customHeight="1">
      <x:c r="A24" s="2" t="str">
        <x:v>R02</x:v>
      </x:c>
      <x:c r="B24" s="6" t="str">
        <x:v>夜間</x:v>
      </x:c>
      <x:c r="C24" s="6" t="n">
        <x:v>26</x:v>
      </x:c>
      <x:c r="D24" s="6" t="n">
        <x:f>'日経_R02'!D32</x:f>
        <x:v>2771000</x:v>
      </x:c>
      <x:c r="E24" s="6" t="n">
        <x:f>'日経_R02'!E32</x:f>
        <x:v>1156800</x:v>
      </x:c>
      <x:c r="F24" s="6" t="n">
        <x:f>'日経_R02'!F32</x:f>
        <x:v>1614200</x:v>
      </x:c>
      <x:c r="G24" s="6" t="n">
        <x:f>COUNTIFS('日経_R02'!F6:F31,"&lt;0")</x:f>
        <x:v>8</x:v>
      </x:c>
      <x:c r="H24" s="6" t="n">
        <x:f>IF(G24=0,0,-SUMIFS('日経_R02'!F6:F31,'日経_R02'!F6:F31,"&lt;0")/G24)</x:f>
        <x:v>34275</x:v>
      </x:c>
      <x:c r="I24" s="6" t="n">
        <x:f>MAX(0,-MIN('日経_R02'!F6:F31))</x:f>
        <x:v>61400</x:v>
      </x:c>
      <x:c r="J24" s="6" t="n">
        <x:f>F24-MAX(0,LARGE('日経_R02'!F6:F31,1))-MAX(0,LARGE('日経_R02'!F6:F31,2))-MAX(0,LARGE('日経_R02'!F6:F31,3))</x:f>
        <x:v>770400</x:v>
      </x:c>
      <x:c r="K24" s="6" t="n">
        <x:f>'日経_R02'!H32</x:f>
        <x:v>-128600</x:v>
      </x:c>
      <x:c r="L24" s="6" t="n">
        <x:f>'日経_R02'!I32</x:f>
        <x:v>191900</x:v>
      </x:c>
      <x:c r="M24" s="6" t="n">
        <x:f>'日経_R02'!J32</x:f>
        <x:v>183</x:v>
      </x:c>
      <x:c r="N24" s="6" t="n">
        <x:f>COUNTIFS('日経_R02'!J6:J31,"=0")</x:f>
        <x:v>0</x:v>
      </x:c>
      <x:c r="O24" s="6" t="n">
        <x:f>COUNTIFS('日経_R02'!B6:B31,"旧完了場")</x:f>
        <x:v>25</x:v>
      </x:c>
      <x:c r="P24" s="6" t="n">
        <x:f>COUNTIFS('日経_R02'!B6:B31,"追加完了版")</x:f>
        <x:v>1</x:v>
      </x:c>
    </x:row>
    <x:row r="25" ht="25" customHeight="1">
      <x:c r="A25" s="2" t="str">
        <x:v>R03</x:v>
      </x:c>
      <x:c r="B25" s="6" t="str">
        <x:v>夜間</x:v>
      </x:c>
      <x:c r="C25" s="6" t="n">
        <x:v>26</x:v>
      </x:c>
      <x:c r="D25" s="6" t="n">
        <x:f>'日経_R03'!D32</x:f>
        <x:v>2682800</x:v>
      </x:c>
      <x:c r="E25" s="6" t="n">
        <x:f>'日経_R03'!E32</x:f>
        <x:v>1253700</x:v>
      </x:c>
      <x:c r="F25" s="6" t="n">
        <x:f>'日経_R03'!F32</x:f>
        <x:v>1429100</x:v>
      </x:c>
      <x:c r="G25" s="6" t="n">
        <x:f>COUNTIFS('日経_R03'!F6:F31,"&lt;0")</x:f>
        <x:v>9</x:v>
      </x:c>
      <x:c r="H25" s="6" t="n">
        <x:f>IF(G25=0,0,-SUMIFS('日経_R03'!F6:F31,'日経_R03'!F6:F31,"&lt;0")/G25)</x:f>
        <x:v>35522.22222222222</x:v>
      </x:c>
      <x:c r="I25" s="6" t="n">
        <x:f>MAX(0,-MIN('日経_R03'!F6:F31))</x:f>
        <x:v>61400</x:v>
      </x:c>
      <x:c r="J25" s="6" t="n">
        <x:f>F25-MAX(0,LARGE('日経_R03'!F6:F31,1))-MAX(0,LARGE('日経_R03'!F6:F31,2))-MAX(0,LARGE('日経_R03'!F6:F31,3))</x:f>
        <x:v>659200</x:v>
      </x:c>
      <x:c r="K25" s="6" t="n">
        <x:f>'日経_R03'!H32</x:f>
        <x:v>-209200</x:v>
      </x:c>
      <x:c r="L25" s="6" t="n">
        <x:f>'日経_R03'!I32</x:f>
        <x:v>219200</x:v>
      </x:c>
      <x:c r="M25" s="6" t="n">
        <x:f>'日経_R03'!J32</x:f>
        <x:v>184</x:v>
      </x:c>
      <x:c r="N25" s="6" t="n">
        <x:f>COUNTIFS('日経_R03'!J6:J31,"=0")</x:f>
        <x:v>0</x:v>
      </x:c>
      <x:c r="O25" s="6" t="n">
        <x:f>COUNTIFS('日経_R03'!B6:B31,"旧完了場")</x:f>
        <x:v>25</x:v>
      </x:c>
      <x:c r="P25" s="6" t="n">
        <x:f>COUNTIFS('日経_R03'!B6:B31,"追加完了版")</x:f>
        <x:v>1</x:v>
      </x:c>
    </x:row>
    <x:row r="26" ht="25" customHeight="1">
      <x:c r="A26" s="2"/>
      <x:c r="B26" s="6"/>
      <x:c r="C26" s="6"/>
      <x:c r="D26" s="6"/>
      <x:c r="E26" s="6"/>
      <x:c r="F26" s="6"/>
      <x:c r="G26" s="6"/>
      <x:c r="H26" s="6"/>
      <x:c r="I26" s="6"/>
      <x:c r="J26" s="6"/>
      <x:c r="K26" s="6"/>
      <x:c r="L26" s="6"/>
      <x:c r="M26" s="6"/>
      <x:c r="N26" s="6"/>
      <x:c r="O26" s="6"/>
      <x:c r="P26" s="6"/>
    </x:row>
    <x:row r="27" ht="25" customHeight="1">
      <x:c r="A27" s="2" t="str">
        <x:v>当場の上昇・下落別（始終のLast代理で事後分類。売買判断には未使用）</x:v>
      </x:c>
      <x:c r="B27" s="6"/>
      <x:c r="C27" s="6"/>
      <x:c r="D27" s="6"/>
      <x:c r="E27" s="6"/>
      <x:c r="F27" s="6"/>
      <x:c r="G27" s="6"/>
      <x:c r="H27" s="6"/>
      <x:c r="I27" s="6"/>
      <x:c r="J27" s="6"/>
      <x:c r="K27" s="6"/>
      <x:c r="L27" s="6"/>
      <x:c r="M27" s="6"/>
      <x:c r="N27" s="6"/>
      <x:c r="O27" s="6"/>
      <x:c r="P27" s="6"/>
    </x:row>
    <x:row r="28" ht="25" customHeight="1">
      <x:c r="A28" s="2"/>
      <x:c r="B28" s="6"/>
      <x:c r="C28" s="6"/>
      <x:c r="D28" s="6"/>
      <x:c r="E28" s="6"/>
      <x:c r="F28" s="6"/>
      <x:c r="G28" s="6"/>
      <x:c r="H28" s="6"/>
      <x:c r="I28" s="6"/>
      <x:c r="J28" s="6"/>
      <x:c r="K28" s="6"/>
      <x:c r="L28" s="6"/>
      <x:c r="M28" s="6"/>
      <x:c r="N28" s="6"/>
      <x:c r="O28" s="6"/>
      <x:c r="P28" s="6"/>
    </x:row>
    <x:row r="29" ht="45" customHeight="1">
      <x:c r="A29" s="11" t="str">
        <x:v>手法</x:v>
      </x:c>
      <x:c r="B29" s="19" t="str">
        <x:v>時間帯</x:v>
      </x:c>
      <x:c r="C29" s="19" t="str">
        <x:v>上昇場数</x:v>
      </x:c>
      <x:c r="D29" s="19" t="str">
        <x:v>上昇収支（円）</x:v>
      </x:c>
      <x:c r="E29" s="19" t="str">
        <x:v>上昇赤字場数</x:v>
      </x:c>
      <x:c r="F29" s="19" t="str">
        <x:v>下落場数</x:v>
      </x:c>
      <x:c r="G29" s="19" t="str">
        <x:v>下落収支（円）</x:v>
      </x:c>
      <x:c r="H29" s="19" t="str">
        <x:v>下落赤字場数</x:v>
      </x:c>
      <x:c r="I29" s="19" t="str">
        <x:v>横ばい場数</x:v>
      </x:c>
      <x:c r="J29" s="19" t="str">
        <x:v>横ばい収支（円）</x:v>
      </x:c>
      <x:c r="K29" s="19" t="str">
        <x:v>横ばい赤字場数</x:v>
      </x:c>
      <x:c r="L29" s="6"/>
      <x:c r="M29" s="6"/>
      <x:c r="N29" s="6"/>
      <x:c r="O29" s="6"/>
      <x:c r="P29" s="6"/>
    </x:row>
    <x:row r="30" ht="25" customHeight="1">
      <x:c r="A30" s="2" t="str">
        <x:v>N00</x:v>
      </x:c>
      <x:c r="B30" s="6" t="str">
        <x:v>夜間</x:v>
      </x:c>
      <x:c r="C30" s="6" t="n">
        <x:f>COUNTIFS('日経_N00'!C6:C31,"上昇")</x:f>
        <x:v>14</x:v>
      </x:c>
      <x:c r="D30" s="6" t="n">
        <x:f>SUMIFS('日経_N00'!F6:F31,'日経_N00'!C6:C31,"上昇")</x:f>
        <x:v>635000</x:v>
      </x:c>
      <x:c r="E30" s="6" t="n">
        <x:f>COUNTIFS('日経_N00'!C6:C31,"上昇",'日経_N00'!F6:F31,"&lt;0")</x:f>
        <x:v>4</x:v>
      </x:c>
      <x:c r="F30" s="6" t="n">
        <x:f>COUNTIFS('日経_N00'!C6:C31,"下落")</x:f>
        <x:v>10</x:v>
      </x:c>
      <x:c r="G30" s="6" t="n">
        <x:f>SUMIFS('日経_N00'!F6:F31,'日経_N00'!C6:C31,"下落")</x:f>
        <x:v>861000</x:v>
      </x:c>
      <x:c r="H30" s="6" t="n">
        <x:f>COUNTIFS('日経_N00'!C6:C31,"下落",'日経_N00'!F6:F31,"&lt;0")</x:f>
        <x:v>2</x:v>
      </x:c>
      <x:c r="I30" s="6" t="n">
        <x:f>COUNTIFS('日経_N00'!C6:C31,"横ばい")</x:f>
        <x:v>2</x:v>
      </x:c>
      <x:c r="J30" s="6" t="n">
        <x:f>SUMIFS('日経_N00'!F6:F31,'日経_N00'!C6:C31,"横ばい")</x:f>
        <x:v>-35000</x:v>
      </x:c>
      <x:c r="K30" s="6" t="n">
        <x:f>COUNTIFS('日経_N00'!C6:C31,"横ばい",'日経_N00'!F6:F31,"&lt;0")</x:f>
        <x:v>2</x:v>
      </x:c>
      <x:c r="L30" s="6"/>
      <x:c r="M30" s="6"/>
      <x:c r="N30" s="6"/>
      <x:c r="O30" s="6"/>
      <x:c r="P30" s="6"/>
    </x:row>
    <x:row r="31" ht="25" customHeight="1">
      <x:c r="A31" s="2" t="str">
        <x:v>N01</x:v>
      </x:c>
      <x:c r="B31" s="6" t="str">
        <x:v>夜間</x:v>
      </x:c>
      <x:c r="C31" s="6" t="n">
        <x:f>COUNTIFS('日経_N01'!C6:C31,"上昇")</x:f>
        <x:v>14</x:v>
      </x:c>
      <x:c r="D31" s="6" t="n">
        <x:f>SUMIFS('日経_N01'!F6:F31,'日経_N01'!C6:C31,"上昇")</x:f>
        <x:v>224900</x:v>
      </x:c>
      <x:c r="E31" s="6" t="n">
        <x:f>COUNTIFS('日経_N01'!C6:C31,"上昇",'日経_N01'!F6:F31,"&lt;0")</x:f>
        <x:v>7</x:v>
      </x:c>
      <x:c r="F31" s="6" t="n">
        <x:f>COUNTIFS('日経_N01'!C6:C31,"下落")</x:f>
        <x:v>10</x:v>
      </x:c>
      <x:c r="G31" s="6" t="n">
        <x:f>SUMIFS('日経_N01'!F6:F31,'日経_N01'!C6:C31,"下落")</x:f>
        <x:v>245800</x:v>
      </x:c>
      <x:c r="H31" s="6" t="n">
        <x:f>COUNTIFS('日経_N01'!C6:C31,"下落",'日経_N01'!F6:F31,"&lt;0")</x:f>
        <x:v>4</x:v>
      </x:c>
      <x:c r="I31" s="6" t="n">
        <x:f>COUNTIFS('日経_N01'!C6:C31,"横ばい")</x:f>
        <x:v>2</x:v>
      </x:c>
      <x:c r="J31" s="6" t="n">
        <x:f>SUMIFS('日経_N01'!F6:F31,'日経_N01'!C6:C31,"横ばい")</x:f>
        <x:v>2500</x:v>
      </x:c>
      <x:c r="K31" s="6" t="n">
        <x:f>COUNTIFS('日経_N01'!C6:C31,"横ばい",'日経_N01'!F6:F31,"&lt;0")</x:f>
        <x:v>1</x:v>
      </x:c>
      <x:c r="L31" s="6"/>
      <x:c r="M31" s="6"/>
      <x:c r="N31" s="6"/>
      <x:c r="O31" s="6"/>
      <x:c r="P31" s="6"/>
    </x:row>
    <x:row r="32" ht="25" customHeight="1">
      <x:c r="A32" s="2" t="str">
        <x:v>N02</x:v>
      </x:c>
      <x:c r="B32" s="6" t="str">
        <x:v>夜間</x:v>
      </x:c>
      <x:c r="C32" s="6" t="n">
        <x:f>COUNTIFS('日経_N02'!C6:C31,"上昇")</x:f>
        <x:v>14</x:v>
      </x:c>
      <x:c r="D32" s="6" t="n">
        <x:f>SUMIFS('日経_N02'!F6:F31,'日経_N02'!C6:C31,"上昇")</x:f>
        <x:v>382300</x:v>
      </x:c>
      <x:c r="E32" s="6" t="n">
        <x:f>COUNTIFS('日経_N02'!C6:C31,"上昇",'日経_N02'!F6:F31,"&lt;0")</x:f>
        <x:v>5</x:v>
      </x:c>
      <x:c r="F32" s="6" t="n">
        <x:f>COUNTIFS('日経_N02'!C6:C31,"下落")</x:f>
        <x:v>10</x:v>
      </x:c>
      <x:c r="G32" s="6" t="n">
        <x:f>SUMIFS('日経_N02'!F6:F31,'日経_N02'!C6:C31,"下落")</x:f>
        <x:v>943300</x:v>
      </x:c>
      <x:c r="H32" s="6" t="n">
        <x:f>COUNTIFS('日経_N02'!C6:C31,"下落",'日経_N02'!F6:F31,"&lt;0")</x:f>
        <x:v>3</x:v>
      </x:c>
      <x:c r="I32" s="6" t="n">
        <x:f>COUNTIFS('日経_N02'!C6:C31,"横ばい")</x:f>
        <x:v>2</x:v>
      </x:c>
      <x:c r="J32" s="6" t="n">
        <x:f>SUMIFS('日経_N02'!F6:F31,'日経_N02'!C6:C31,"横ばい")</x:f>
        <x:v>4500</x:v>
      </x:c>
      <x:c r="K32" s="6" t="n">
        <x:f>COUNTIFS('日経_N02'!C6:C31,"横ばい",'日経_N02'!F6:F31,"&lt;0")</x:f>
        <x:v>1</x:v>
      </x:c>
      <x:c r="L32" s="6"/>
      <x:c r="M32" s="6"/>
      <x:c r="N32" s="6"/>
      <x:c r="O32" s="6"/>
      <x:c r="P32" s="6"/>
    </x:row>
    <x:row r="33" ht="25" customHeight="1">
      <x:c r="A33" s="2" t="str">
        <x:v>N03</x:v>
      </x:c>
      <x:c r="B33" s="6" t="str">
        <x:v>夜間</x:v>
      </x:c>
      <x:c r="C33" s="6" t="n">
        <x:f>COUNTIFS('日経_N03'!C6:C31,"上昇")</x:f>
        <x:v>14</x:v>
      </x:c>
      <x:c r="D33" s="6" t="n">
        <x:f>SUMIFS('日経_N03'!F6:F31,'日経_N03'!C6:C31,"上昇")</x:f>
        <x:v>449700</x:v>
      </x:c>
      <x:c r="E33" s="6" t="n">
        <x:f>COUNTIFS('日経_N03'!C6:C31,"上昇",'日経_N03'!F6:F31,"&lt;0")</x:f>
        <x:v>5</x:v>
      </x:c>
      <x:c r="F33" s="6" t="n">
        <x:f>COUNTIFS('日経_N03'!C6:C31,"下落")</x:f>
        <x:v>10</x:v>
      </x:c>
      <x:c r="G33" s="6" t="n">
        <x:f>SUMIFS('日経_N03'!F6:F31,'日経_N03'!C6:C31,"下落")</x:f>
        <x:v>744700</x:v>
      </x:c>
      <x:c r="H33" s="6" t="n">
        <x:f>COUNTIFS('日経_N03'!C6:C31,"下落",'日経_N03'!F6:F31,"&lt;0")</x:f>
        <x:v>2</x:v>
      </x:c>
      <x:c r="I33" s="6" t="n">
        <x:f>COUNTIFS('日経_N03'!C6:C31,"横ばい")</x:f>
        <x:v>2</x:v>
      </x:c>
      <x:c r="J33" s="6" t="n">
        <x:f>SUMIFS('日経_N03'!F6:F31,'日経_N03'!C6:C31,"横ばい")</x:f>
        <x:v>-33000</x:v>
      </x:c>
      <x:c r="K33" s="6" t="n">
        <x:f>COUNTIFS('日経_N03'!C6:C31,"横ばい",'日経_N03'!F6:F31,"&lt;0")</x:f>
        <x:v>2</x:v>
      </x:c>
      <x:c r="L33" s="6"/>
      <x:c r="M33" s="6"/>
      <x:c r="N33" s="6"/>
      <x:c r="O33" s="6"/>
      <x:c r="P33" s="6"/>
    </x:row>
    <x:row r="34" ht="25" customHeight="1">
      <x:c r="A34" s="2" t="str">
        <x:v>N04</x:v>
      </x:c>
      <x:c r="B34" s="6" t="str">
        <x:v>夜間</x:v>
      </x:c>
      <x:c r="C34" s="6" t="n">
        <x:f>COUNTIFS('日経_N04'!C6:C31,"上昇")</x:f>
        <x:v>14</x:v>
      </x:c>
      <x:c r="D34" s="6" t="n">
        <x:f>SUMIFS('日経_N04'!F6:F31,'日経_N04'!C6:C31,"上昇")</x:f>
        <x:v>567600</x:v>
      </x:c>
      <x:c r="E34" s="6" t="n">
        <x:f>COUNTIFS('日経_N04'!C6:C31,"上昇",'日経_N04'!F6:F31,"&lt;0")</x:f>
        <x:v>5</x:v>
      </x:c>
      <x:c r="F34" s="6" t="n">
        <x:f>COUNTIFS('日経_N04'!C6:C31,"下落")</x:f>
        <x:v>10</x:v>
      </x:c>
      <x:c r="G34" s="6" t="n">
        <x:f>SUMIFS('日経_N04'!F6:F31,'日経_N04'!C6:C31,"下落")</x:f>
        <x:v>1059600</x:v>
      </x:c>
      <x:c r="H34" s="6" t="n">
        <x:f>COUNTIFS('日経_N04'!C6:C31,"下落",'日経_N04'!F6:F31,"&lt;0")</x:f>
        <x:v>3</x:v>
      </x:c>
      <x:c r="I34" s="6" t="n">
        <x:f>COUNTIFS('日経_N04'!C6:C31,"横ばい")</x:f>
        <x:v>2</x:v>
      </x:c>
      <x:c r="J34" s="6" t="n">
        <x:f>SUMIFS('日経_N04'!F6:F31,'日経_N04'!C6:C31,"横ばい")</x:f>
        <x:v>2500</x:v>
      </x:c>
      <x:c r="K34" s="6" t="n">
        <x:f>COUNTIFS('日経_N04'!C6:C31,"横ばい",'日経_N04'!F6:F31,"&lt;0")</x:f>
        <x:v>1</x:v>
      </x:c>
      <x:c r="L34" s="6"/>
      <x:c r="M34" s="6"/>
      <x:c r="N34" s="6"/>
      <x:c r="O34" s="6"/>
      <x:c r="P34" s="6"/>
    </x:row>
    <x:row r="35" ht="25" customHeight="1">
      <x:c r="A35" s="2" t="str">
        <x:v>N05</x:v>
      </x:c>
      <x:c r="B35" s="6" t="str">
        <x:v>夜間</x:v>
      </x:c>
      <x:c r="C35" s="6" t="n">
        <x:f>COUNTIFS('日経_N05'!C6:C31,"上昇")</x:f>
        <x:v>14</x:v>
      </x:c>
      <x:c r="D35" s="6" t="n">
        <x:f>SUMIFS('日経_N05'!F6:F31,'日経_N05'!C6:C31,"上昇")</x:f>
        <x:v>222700</x:v>
      </x:c>
      <x:c r="E35" s="6" t="n">
        <x:f>COUNTIFS('日経_N05'!C6:C31,"上昇",'日経_N05'!F6:F31,"&lt;0")</x:f>
        <x:v>7</x:v>
      </x:c>
      <x:c r="F35" s="6" t="n">
        <x:f>COUNTIFS('日経_N05'!C6:C31,"下落")</x:f>
        <x:v>10</x:v>
      </x:c>
      <x:c r="G35" s="6" t="n">
        <x:f>SUMIFS('日経_N05'!F6:F31,'日経_N05'!C6:C31,"下落")</x:f>
        <x:v>684900</x:v>
      </x:c>
      <x:c r="H35" s="6" t="n">
        <x:f>COUNTIFS('日経_N05'!C6:C31,"下落",'日経_N05'!F6:F31,"&lt;0")</x:f>
        <x:v>3</x:v>
      </x:c>
      <x:c r="I35" s="6" t="n">
        <x:f>COUNTIFS('日経_N05'!C6:C31,"横ばい")</x:f>
        <x:v>2</x:v>
      </x:c>
      <x:c r="J35" s="6" t="n">
        <x:f>SUMIFS('日経_N05'!F6:F31,'日経_N05'!C6:C31,"横ばい")</x:f>
        <x:v>2500</x:v>
      </x:c>
      <x:c r="K35" s="6" t="n">
        <x:f>COUNTIFS('日経_N05'!C6:C31,"横ばい",'日経_N05'!F6:F31,"&lt;0")</x:f>
        <x:v>1</x:v>
      </x:c>
      <x:c r="L35" s="6"/>
      <x:c r="M35" s="6"/>
      <x:c r="N35" s="6"/>
      <x:c r="O35" s="6"/>
      <x:c r="P35" s="6"/>
    </x:row>
    <x:row r="36" ht="25" customHeight="1">
      <x:c r="A36" s="2" t="str">
        <x:v>N06</x:v>
      </x:c>
      <x:c r="B36" s="6" t="str">
        <x:v>夜間</x:v>
      </x:c>
      <x:c r="C36" s="6" t="n">
        <x:f>COUNTIFS('日経_N06'!C6:C31,"上昇")</x:f>
        <x:v>14</x:v>
      </x:c>
      <x:c r="D36" s="6" t="n">
        <x:f>SUMIFS('日経_N06'!F6:F31,'日経_N06'!C6:C31,"上昇")</x:f>
        <x:v>1484300</x:v>
      </x:c>
      <x:c r="E36" s="6" t="n">
        <x:f>COUNTIFS('日経_N06'!C6:C31,"上昇",'日経_N06'!F6:F31,"&lt;0")</x:f>
        <x:v>6</x:v>
      </x:c>
      <x:c r="F36" s="6" t="n">
        <x:f>COUNTIFS('日経_N06'!C6:C31,"下落")</x:f>
        <x:v>10</x:v>
      </x:c>
      <x:c r="G36" s="6" t="n">
        <x:f>SUMIFS('日経_N06'!F6:F31,'日経_N06'!C6:C31,"下落")</x:f>
        <x:v>555100</x:v>
      </x:c>
      <x:c r="H36" s="6" t="n">
        <x:f>COUNTIFS('日経_N06'!C6:C31,"下落",'日経_N06'!F6:F31,"&lt;0")</x:f>
        <x:v>4</x:v>
      </x:c>
      <x:c r="I36" s="6" t="n">
        <x:f>COUNTIFS('日経_N06'!C6:C31,"横ばい")</x:f>
        <x:v>2</x:v>
      </x:c>
      <x:c r="J36" s="6" t="n">
        <x:f>SUMIFS('日経_N06'!F6:F31,'日経_N06'!C6:C31,"横ばい")</x:f>
        <x:v>13600</x:v>
      </x:c>
      <x:c r="K36" s="6" t="n">
        <x:f>COUNTIFS('日経_N06'!C6:C31,"横ばい",'日経_N06'!F6:F31,"&lt;0")</x:f>
        <x:v>1</x:v>
      </x:c>
      <x:c r="L36" s="6"/>
      <x:c r="M36" s="6"/>
      <x:c r="N36" s="6"/>
      <x:c r="O36" s="6"/>
      <x:c r="P36" s="6"/>
    </x:row>
    <x:row r="37" ht="25" customHeight="1">
      <x:c r="A37" s="2" t="str">
        <x:v>N07</x:v>
      </x:c>
      <x:c r="B37" s="6" t="str">
        <x:v>夜間</x:v>
      </x:c>
      <x:c r="C37" s="6" t="n">
        <x:f>COUNTIFS('日経_N07'!C6:C31,"上昇")</x:f>
        <x:v>14</x:v>
      </x:c>
      <x:c r="D37" s="6" t="n">
        <x:f>SUMIFS('日経_N07'!F6:F31,'日経_N07'!C6:C31,"上昇")</x:f>
        <x:v>368000</x:v>
      </x:c>
      <x:c r="E37" s="6" t="n">
        <x:f>COUNTIFS('日経_N07'!C6:C31,"上昇",'日経_N07'!F6:F31,"&lt;0")</x:f>
        <x:v>5</x:v>
      </x:c>
      <x:c r="F37" s="6" t="n">
        <x:f>COUNTIFS('日経_N07'!C6:C31,"下落")</x:f>
        <x:v>10</x:v>
      </x:c>
      <x:c r="G37" s="6" t="n">
        <x:f>SUMIFS('日経_N07'!F6:F31,'日経_N07'!C6:C31,"下落")</x:f>
        <x:v>820900</x:v>
      </x:c>
      <x:c r="H37" s="6" t="n">
        <x:f>COUNTIFS('日経_N07'!C6:C31,"下落",'日経_N07'!F6:F31,"&lt;0")</x:f>
        <x:v>3</x:v>
      </x:c>
      <x:c r="I37" s="6" t="n">
        <x:f>COUNTIFS('日経_N07'!C6:C31,"横ばい")</x:f>
        <x:v>2</x:v>
      </x:c>
      <x:c r="J37" s="6" t="n">
        <x:f>SUMIFS('日経_N07'!F6:F31,'日経_N07'!C6:C31,"横ばい")</x:f>
        <x:v>-1500</x:v>
      </x:c>
      <x:c r="K37" s="6" t="n">
        <x:f>COUNTIFS('日経_N07'!C6:C31,"横ばい",'日経_N07'!F6:F31,"&lt;0")</x:f>
        <x:v>1</x:v>
      </x:c>
      <x:c r="L37" s="6"/>
      <x:c r="M37" s="6"/>
      <x:c r="N37" s="6"/>
      <x:c r="O37" s="6"/>
      <x:c r="P37" s="6"/>
    </x:row>
    <x:row r="38" ht="25" customHeight="1">
      <x:c r="A38" s="2" t="str">
        <x:v>N08</x:v>
      </x:c>
      <x:c r="B38" s="6" t="str">
        <x:v>夜間</x:v>
      </x:c>
      <x:c r="C38" s="6" t="n">
        <x:f>COUNTIFS('日経_N08'!C6:C31,"上昇")</x:f>
        <x:v>14</x:v>
      </x:c>
      <x:c r="D38" s="6" t="n">
        <x:f>SUMIFS('日経_N08'!F6:F31,'日経_N08'!C6:C31,"上昇")</x:f>
        <x:v>119500</x:v>
      </x:c>
      <x:c r="E38" s="6" t="n">
        <x:f>COUNTIFS('日経_N08'!C6:C31,"上昇",'日経_N08'!F6:F31,"&lt;0")</x:f>
        <x:v>6</x:v>
      </x:c>
      <x:c r="F38" s="6" t="n">
        <x:f>COUNTIFS('日経_N08'!C6:C31,"下落")</x:f>
        <x:v>10</x:v>
      </x:c>
      <x:c r="G38" s="6" t="n">
        <x:f>SUMIFS('日経_N08'!F6:F31,'日経_N08'!C6:C31,"下落")</x:f>
        <x:v>752500</x:v>
      </x:c>
      <x:c r="H38" s="6" t="n">
        <x:f>COUNTIFS('日経_N08'!C6:C31,"下落",'日経_N08'!F6:F31,"&lt;0")</x:f>
        <x:v>2</x:v>
      </x:c>
      <x:c r="I38" s="6" t="n">
        <x:f>COUNTIFS('日経_N08'!C6:C31,"横ばい")</x:f>
        <x:v>2</x:v>
      </x:c>
      <x:c r="J38" s="6" t="n">
        <x:f>SUMIFS('日経_N08'!F6:F31,'日経_N08'!C6:C31,"横ばい")</x:f>
        <x:v>4500</x:v>
      </x:c>
      <x:c r="K38" s="6" t="n">
        <x:f>COUNTIFS('日経_N08'!C6:C31,"横ばい",'日経_N08'!F6:F31,"&lt;0")</x:f>
        <x:v>1</x:v>
      </x:c>
      <x:c r="L38" s="6"/>
      <x:c r="M38" s="6"/>
      <x:c r="N38" s="6"/>
      <x:c r="O38" s="6"/>
      <x:c r="P38" s="6"/>
    </x:row>
    <x:row r="39" ht="25" customHeight="1">
      <x:c r="A39" s="2" t="str">
        <x:v>N09</x:v>
      </x:c>
      <x:c r="B39" s="6" t="str">
        <x:v>夜間</x:v>
      </x:c>
      <x:c r="C39" s="6" t="n">
        <x:f>COUNTIFS('日経_N09'!C6:C31,"上昇")</x:f>
        <x:v>14</x:v>
      </x:c>
      <x:c r="D39" s="6" t="n">
        <x:f>SUMIFS('日経_N09'!F6:F31,'日経_N09'!C6:C31,"上昇")</x:f>
        <x:v>210800</x:v>
      </x:c>
      <x:c r="E39" s="6" t="n">
        <x:f>COUNTIFS('日経_N09'!C6:C31,"上昇",'日経_N09'!F6:F31,"&lt;0")</x:f>
        <x:v>3</x:v>
      </x:c>
      <x:c r="F39" s="6" t="n">
        <x:f>COUNTIFS('日経_N09'!C6:C31,"下落")</x:f>
        <x:v>10</x:v>
      </x:c>
      <x:c r="G39" s="6" t="n">
        <x:f>SUMIFS('日経_N09'!F6:F31,'日経_N09'!C6:C31,"下落")</x:f>
        <x:v>176300</x:v>
      </x:c>
      <x:c r="H39" s="6" t="n">
        <x:f>COUNTIFS('日経_N09'!C6:C31,"下落",'日経_N09'!F6:F31,"&lt;0")</x:f>
        <x:v>3</x:v>
      </x:c>
      <x:c r="I39" s="6" t="n">
        <x:f>COUNTIFS('日経_N09'!C6:C31,"横ばい")</x:f>
        <x:v>2</x:v>
      </x:c>
      <x:c r="J39" s="6" t="n">
        <x:f>SUMIFS('日経_N09'!F6:F31,'日経_N09'!C6:C31,"横ばい")</x:f>
        <x:v>-32500</x:v>
      </x:c>
      <x:c r="K39" s="6" t="n">
        <x:f>COUNTIFS('日経_N09'!C6:C31,"横ばい",'日経_N09'!F6:F31,"&lt;0")</x:f>
        <x:v>2</x:v>
      </x:c>
      <x:c r="L39" s="6"/>
      <x:c r="M39" s="6"/>
      <x:c r="N39" s="6"/>
      <x:c r="O39" s="6"/>
      <x:c r="P39" s="6"/>
    </x:row>
    <x:row r="40" ht="25" customHeight="1">
      <x:c r="A40" s="2" t="str">
        <x:v>N10</x:v>
      </x:c>
      <x:c r="B40" s="6" t="str">
        <x:v>夜間</x:v>
      </x:c>
      <x:c r="C40" s="6" t="n">
        <x:f>COUNTIFS('日経_N10'!C6:C31,"上昇")</x:f>
        <x:v>14</x:v>
      </x:c>
      <x:c r="D40" s="6" t="n">
        <x:f>SUMIFS('日経_N10'!F6:F31,'日経_N10'!C6:C31,"上昇")</x:f>
        <x:v>11900</x:v>
      </x:c>
      <x:c r="E40" s="6" t="n">
        <x:f>COUNTIFS('日経_N10'!C6:C31,"上昇",'日経_N10'!F6:F31,"&lt;0")</x:f>
        <x:v>5</x:v>
      </x:c>
      <x:c r="F40" s="6" t="n">
        <x:f>COUNTIFS('日経_N10'!C6:C31,"下落")</x:f>
        <x:v>10</x:v>
      </x:c>
      <x:c r="G40" s="6" t="n">
        <x:f>SUMIFS('日経_N10'!F6:F31,'日経_N10'!C6:C31,"下落")</x:f>
        <x:v>170800</x:v>
      </x:c>
      <x:c r="H40" s="6" t="n">
        <x:f>COUNTIFS('日経_N10'!C6:C31,"下落",'日経_N10'!F6:F31,"&lt;0")</x:f>
        <x:v>2</x:v>
      </x:c>
      <x:c r="I40" s="6" t="n">
        <x:f>COUNTIFS('日経_N10'!C6:C31,"横ばい")</x:f>
        <x:v>2</x:v>
      </x:c>
      <x:c r="J40" s="6" t="n">
        <x:f>SUMIFS('日経_N10'!F6:F31,'日経_N10'!C6:C31,"横ばい")</x:f>
        <x:v>-30500</x:v>
      </x:c>
      <x:c r="K40" s="6" t="n">
        <x:f>COUNTIFS('日経_N10'!C6:C31,"横ばい",'日経_N10'!F6:F31,"&lt;0")</x:f>
        <x:v>2</x:v>
      </x:c>
      <x:c r="L40" s="6"/>
      <x:c r="M40" s="6"/>
      <x:c r="N40" s="6"/>
      <x:c r="O40" s="6"/>
      <x:c r="P40" s="6"/>
    </x:row>
    <x:row r="41" ht="25" customHeight="1">
      <x:c r="A41" s="2" t="str">
        <x:v>N11</x:v>
      </x:c>
      <x:c r="B41" s="6" t="str">
        <x:v>夜間</x:v>
      </x:c>
      <x:c r="C41" s="6" t="n">
        <x:f>COUNTIFS('日経_N11'!C6:C31,"上昇")</x:f>
        <x:v>14</x:v>
      </x:c>
      <x:c r="D41" s="6" t="n">
        <x:f>SUMIFS('日経_N11'!F6:F31,'日経_N11'!C6:C31,"上昇")</x:f>
        <x:v>382300</x:v>
      </x:c>
      <x:c r="E41" s="6" t="n">
        <x:f>COUNTIFS('日経_N11'!C6:C31,"上昇",'日経_N11'!F6:F31,"&lt;0")</x:f>
        <x:v>5</x:v>
      </x:c>
      <x:c r="F41" s="6" t="n">
        <x:f>COUNTIFS('日経_N11'!C6:C31,"下落")</x:f>
        <x:v>10</x:v>
      </x:c>
      <x:c r="G41" s="6" t="n">
        <x:f>SUMIFS('日経_N11'!F6:F31,'日経_N11'!C6:C31,"下落")</x:f>
        <x:v>926300</x:v>
      </x:c>
      <x:c r="H41" s="6" t="n">
        <x:f>COUNTIFS('日経_N11'!C6:C31,"下落",'日経_N11'!F6:F31,"&lt;0")</x:f>
        <x:v>3</x:v>
      </x:c>
      <x:c r="I41" s="6" t="n">
        <x:f>COUNTIFS('日経_N11'!C6:C31,"横ばい")</x:f>
        <x:v>2</x:v>
      </x:c>
      <x:c r="J41" s="6" t="n">
        <x:f>SUMIFS('日経_N11'!F6:F31,'日経_N11'!C6:C31,"横ばい")</x:f>
        <x:v>4500</x:v>
      </x:c>
      <x:c r="K41" s="6" t="n">
        <x:f>COUNTIFS('日経_N11'!C6:C31,"横ばい",'日経_N11'!F6:F31,"&lt;0")</x:f>
        <x:v>1</x:v>
      </x:c>
      <x:c r="L41" s="6"/>
      <x:c r="M41" s="6"/>
      <x:c r="N41" s="6"/>
      <x:c r="O41" s="6"/>
      <x:c r="P41" s="6"/>
    </x:row>
    <x:row r="42" ht="25" customHeight="1">
      <x:c r="A42" s="2" t="str">
        <x:v>S01</x:v>
      </x:c>
      <x:c r="B42" s="6" t="str">
        <x:v>日中</x:v>
      </x:c>
      <x:c r="C42" s="6" t="n">
        <x:f>COUNTIFS('日経_S01'!C6:C31,"上昇")</x:f>
        <x:v>12</x:v>
      </x:c>
      <x:c r="D42" s="6" t="n">
        <x:f>SUMIFS('日経_S01'!F6:F31,'日経_S01'!C6:C31,"上昇")</x:f>
        <x:v>1000000</x:v>
      </x:c>
      <x:c r="E42" s="6" t="n">
        <x:f>COUNTIFS('日経_S01'!C6:C31,"上昇",'日経_S01'!F6:F31,"&lt;0")</x:f>
        <x:v>4</x:v>
      </x:c>
      <x:c r="F42" s="6" t="n">
        <x:f>COUNTIFS('日経_S01'!C6:C31,"下落")</x:f>
        <x:v>14</x:v>
      </x:c>
      <x:c r="G42" s="6" t="n">
        <x:f>SUMIFS('日経_S01'!F6:F31,'日経_S01'!C6:C31,"下落")</x:f>
        <x:v>935000</x:v>
      </x:c>
      <x:c r="H42" s="6" t="n">
        <x:f>COUNTIFS('日経_S01'!C6:C31,"下落",'日経_S01'!F6:F31,"&lt;0")</x:f>
        <x:v>4</x:v>
      </x:c>
      <x:c r="I42" s="6" t="n">
        <x:f>COUNTIFS('日経_S01'!C6:C31,"横ばい")</x:f>
        <x:v>0</x:v>
      </x:c>
      <x:c r="J42" s="6" t="n">
        <x:f>SUMIFS('日経_S01'!F6:F31,'日経_S01'!C6:C31,"横ばい")</x:f>
        <x:v>0</x:v>
      </x:c>
      <x:c r="K42" s="6" t="n">
        <x:f>COUNTIFS('日経_S01'!C6:C31,"横ばい",'日経_S01'!F6:F31,"&lt;0")</x:f>
        <x:v>0</x:v>
      </x:c>
      <x:c r="L42" s="6"/>
      <x:c r="M42" s="6"/>
      <x:c r="N42" s="6"/>
      <x:c r="O42" s="6"/>
      <x:c r="P42" s="6"/>
    </x:row>
    <x:row r="43" ht="25" customHeight="1">
      <x:c r="A43" s="2" t="str">
        <x:v>S01完了確認</x:v>
      </x:c>
      <x:c r="B43" s="6" t="str">
        <x:v>日中</x:v>
      </x:c>
      <x:c r="C43" s="6" t="n">
        <x:f>COUNTIFS('日経_S01完了確認'!C6:C6,"上昇")</x:f>
        <x:v>1</x:v>
      </x:c>
      <x:c r="D43" s="6" t="n">
        <x:f>SUMIFS('日経_S01完了確認'!F6:F6,'日経_S01完了確認'!C6:C6,"上昇")</x:f>
        <x:v>-115000</x:v>
      </x:c>
      <x:c r="E43" s="6" t="n">
        <x:f>COUNTIFS('日経_S01完了確認'!C6:C6,"上昇",'日経_S01完了確認'!F6:F6,"&lt;0")</x:f>
        <x:v>1</x:v>
      </x:c>
      <x:c r="F43" s="6" t="n">
        <x:f>COUNTIFS('日経_S01完了確認'!C6:C6,"下落")</x:f>
        <x:v>0</x:v>
      </x:c>
      <x:c r="G43" s="6" t="n">
        <x:f>SUMIFS('日経_S01完了確認'!F6:F6,'日経_S01完了確認'!C6:C6,"下落")</x:f>
        <x:v>0</x:v>
      </x:c>
      <x:c r="H43" s="6" t="n">
        <x:f>COUNTIFS('日経_S01完了確認'!C6:C6,"下落",'日経_S01完了確認'!F6:F6,"&lt;0")</x:f>
        <x:v>0</x:v>
      </x:c>
      <x:c r="I43" s="6" t="n">
        <x:f>COUNTIFS('日経_S01完了確認'!C6:C6,"横ばい")</x:f>
        <x:v>0</x:v>
      </x:c>
      <x:c r="J43" s="6" t="n">
        <x:f>SUMIFS('日経_S01完了確認'!F6:F6,'日経_S01完了確認'!C6:C6,"横ばい")</x:f>
        <x:v>0</x:v>
      </x:c>
      <x:c r="K43" s="6" t="n">
        <x:f>COUNTIFS('日経_S01完了確認'!C6:C6,"横ばい",'日経_S01完了確認'!F6:F6,"&lt;0")</x:f>
        <x:v>0</x:v>
      </x:c>
      <x:c r="L43" s="6"/>
      <x:c r="M43" s="6"/>
      <x:c r="N43" s="6"/>
      <x:c r="O43" s="6"/>
      <x:c r="P43" s="6"/>
    </x:row>
    <x:row r="44" ht="25" customHeight="1">
      <x:c r="A44" s="2" t="str">
        <x:v>J02</x:v>
      </x:c>
      <x:c r="B44" s="6" t="str">
        <x:v>日中</x:v>
      </x:c>
      <x:c r="C44" s="6" t="n">
        <x:f>COUNTIFS('日経_J02'!C6:C31,"上昇")</x:f>
        <x:v>12</x:v>
      </x:c>
      <x:c r="D44" s="6" t="n">
        <x:f>SUMIFS('日経_J02'!F6:F31,'日経_J02'!C6:C31,"上昇")</x:f>
        <x:v>688100</x:v>
      </x:c>
      <x:c r="E44" s="6" t="n">
        <x:f>COUNTIFS('日経_J02'!C6:C31,"上昇",'日経_J02'!F6:F31,"&lt;0")</x:f>
        <x:v>5</x:v>
      </x:c>
      <x:c r="F44" s="6" t="n">
        <x:f>COUNTIFS('日経_J02'!C6:C31,"下落")</x:f>
        <x:v>14</x:v>
      </x:c>
      <x:c r="G44" s="6" t="n">
        <x:f>SUMIFS('日経_J02'!F6:F31,'日経_J02'!C6:C31,"下落")</x:f>
        <x:v>1071900</x:v>
      </x:c>
      <x:c r="H44" s="6" t="n">
        <x:f>COUNTIFS('日経_J02'!C6:C31,"下落",'日経_J02'!F6:F31,"&lt;0")</x:f>
        <x:v>4</x:v>
      </x:c>
      <x:c r="I44" s="6" t="n">
        <x:f>COUNTIFS('日経_J02'!C6:C31,"横ばい")</x:f>
        <x:v>0</x:v>
      </x:c>
      <x:c r="J44" s="6" t="n">
        <x:f>SUMIFS('日経_J02'!F6:F31,'日経_J02'!C6:C31,"横ばい")</x:f>
        <x:v>0</x:v>
      </x:c>
      <x:c r="K44" s="6" t="n">
        <x:f>COUNTIFS('日経_J02'!C6:C31,"横ばい",'日経_J02'!F6:F31,"&lt;0")</x:f>
        <x:v>0</x:v>
      </x:c>
      <x:c r="L44" s="6"/>
      <x:c r="M44" s="6"/>
      <x:c r="N44" s="6"/>
      <x:c r="O44" s="6"/>
      <x:c r="P44" s="6"/>
    </x:row>
    <x:row r="45" ht="25" customHeight="1">
      <x:c r="A45" s="2" t="str">
        <x:v>J02型完了確認</x:v>
      </x:c>
      <x:c r="B45" s="6" t="str">
        <x:v>日中</x:v>
      </x:c>
      <x:c r="C45" s="6" t="n">
        <x:f>COUNTIFS('日経_J02型完了確認'!C6:C6,"上昇")</x:f>
        <x:v>1</x:v>
      </x:c>
      <x:c r="D45" s="6" t="n">
        <x:f>SUMIFS('日経_J02型完了確認'!F6:F6,'日経_J02型完了確認'!C6:C6,"上昇")</x:f>
        <x:v>-88400</x:v>
      </x:c>
      <x:c r="E45" s="6" t="n">
        <x:f>COUNTIFS('日経_J02型完了確認'!C6:C6,"上昇",'日経_J02型完了確認'!F6:F6,"&lt;0")</x:f>
        <x:v>1</x:v>
      </x:c>
      <x:c r="F45" s="6" t="n">
        <x:f>COUNTIFS('日経_J02型完了確認'!C6:C6,"下落")</x:f>
        <x:v>0</x:v>
      </x:c>
      <x:c r="G45" s="6" t="n">
        <x:f>SUMIFS('日経_J02型完了確認'!F6:F6,'日経_J02型完了確認'!C6:C6,"下落")</x:f>
        <x:v>0</x:v>
      </x:c>
      <x:c r="H45" s="6" t="n">
        <x:f>COUNTIFS('日経_J02型完了確認'!C6:C6,"下落",'日経_J02型完了確認'!F6:F6,"&lt;0")</x:f>
        <x:v>0</x:v>
      </x:c>
      <x:c r="I45" s="6" t="n">
        <x:f>COUNTIFS('日経_J02型完了確認'!C6:C6,"横ばい")</x:f>
        <x:v>0</x:v>
      </x:c>
      <x:c r="J45" s="6" t="n">
        <x:f>SUMIFS('日経_J02型完了確認'!F6:F6,'日経_J02型完了確認'!C6:C6,"横ばい")</x:f>
        <x:v>0</x:v>
      </x:c>
      <x:c r="K45" s="6" t="n">
        <x:f>COUNTIFS('日経_J02型完了確認'!C6:C6,"横ばい",'日経_J02型完了確認'!F6:F6,"&lt;0")</x:f>
        <x:v>0</x:v>
      </x:c>
      <x:c r="L45" s="6"/>
      <x:c r="M45" s="6"/>
      <x:c r="N45" s="6"/>
      <x:c r="O45" s="6"/>
      <x:c r="P45" s="6"/>
    </x:row>
    <x:row r="46" ht="25" customHeight="1">
      <x:c r="A46" s="2" t="str">
        <x:v>R00</x:v>
      </x:c>
      <x:c r="B46" s="6" t="str">
        <x:v>夜間</x:v>
      </x:c>
      <x:c r="C46" s="6" t="n">
        <x:f>COUNTIFS('日経_R00'!C6:C31,"上昇")</x:f>
        <x:v>14</x:v>
      </x:c>
      <x:c r="D46" s="6" t="n">
        <x:f>SUMIFS('日経_R00'!F6:F31,'日経_R00'!C6:C31,"上昇")</x:f>
        <x:v>605200</x:v>
      </x:c>
      <x:c r="E46" s="6" t="n">
        <x:f>COUNTIFS('日経_R00'!C6:C31,"上昇",'日経_R00'!F6:F31,"&lt;0")</x:f>
        <x:v>5</x:v>
      </x:c>
      <x:c r="F46" s="6" t="n">
        <x:f>COUNTIFS('日経_R00'!C6:C31,"下落")</x:f>
        <x:v>10</x:v>
      </x:c>
      <x:c r="G46" s="6" t="n">
        <x:f>SUMIFS('日経_R00'!F6:F31,'日経_R00'!C6:C31,"下落")</x:f>
        <x:v>1319200</x:v>
      </x:c>
      <x:c r="H46" s="6" t="n">
        <x:f>COUNTIFS('日経_R00'!C6:C31,"下落",'日経_R00'!F6:F31,"&lt;0")</x:f>
        <x:v>3</x:v>
      </x:c>
      <x:c r="I46" s="6" t="n">
        <x:f>COUNTIFS('日経_R00'!C6:C31,"横ばい")</x:f>
        <x:v>2</x:v>
      </x:c>
      <x:c r="J46" s="6" t="n">
        <x:f>SUMIFS('日経_R00'!F6:F31,'日経_R00'!C6:C31,"横ばい")</x:f>
        <x:v>-35500</x:v>
      </x:c>
      <x:c r="K46" s="6" t="n">
        <x:f>COUNTIFS('日経_R00'!C6:C31,"横ばい",'日経_R00'!F6:F31,"&lt;0")</x:f>
        <x:v>2</x:v>
      </x:c>
      <x:c r="L46" s="6"/>
      <x:c r="M46" s="6"/>
      <x:c r="N46" s="6"/>
      <x:c r="O46" s="6"/>
      <x:c r="P46" s="6"/>
    </x:row>
    <x:row r="47" ht="25" customHeight="1">
      <x:c r="A47" s="2" t="str">
        <x:v>R01</x:v>
      </x:c>
      <x:c r="B47" s="6" t="str">
        <x:v>夜間</x:v>
      </x:c>
      <x:c r="C47" s="6" t="n">
        <x:f>COUNTIFS('日経_R01'!C6:C31,"上昇")</x:f>
        <x:v>14</x:v>
      </x:c>
      <x:c r="D47" s="6" t="n">
        <x:f>SUMIFS('日経_R01'!F6:F31,'日経_R01'!C6:C31,"上昇")</x:f>
        <x:v>637600</x:v>
      </x:c>
      <x:c r="E47" s="6" t="n">
        <x:f>COUNTIFS('日経_R01'!C6:C31,"上昇",'日経_R01'!F6:F31,"&lt;0")</x:f>
        <x:v>5</x:v>
      </x:c>
      <x:c r="F47" s="6" t="n">
        <x:f>COUNTIFS('日経_R01'!C6:C31,"下落")</x:f>
        <x:v>10</x:v>
      </x:c>
      <x:c r="G47" s="6" t="n">
        <x:f>SUMIFS('日経_R01'!F6:F31,'日経_R01'!C6:C31,"下落")</x:f>
        <x:v>904800</x:v>
      </x:c>
      <x:c r="H47" s="6" t="n">
        <x:f>COUNTIFS('日経_R01'!C6:C31,"下落",'日経_R01'!F6:F31,"&lt;0")</x:f>
        <x:v>2</x:v>
      </x:c>
      <x:c r="I47" s="6" t="n">
        <x:f>COUNTIFS('日経_R01'!C6:C31,"横ばい")</x:f>
        <x:v>2</x:v>
      </x:c>
      <x:c r="J47" s="6" t="n">
        <x:f>SUMIFS('日経_R01'!F6:F31,'日経_R01'!C6:C31,"横ばい")</x:f>
        <x:v>-35500</x:v>
      </x:c>
      <x:c r="K47" s="6" t="n">
        <x:f>COUNTIFS('日経_R01'!C6:C31,"横ばい",'日経_R01'!F6:F31,"&lt;0")</x:f>
        <x:v>2</x:v>
      </x:c>
      <x:c r="L47" s="6"/>
      <x:c r="M47" s="6"/>
      <x:c r="N47" s="6"/>
      <x:c r="O47" s="6"/>
      <x:c r="P47" s="6"/>
    </x:row>
    <x:row r="48" ht="25" customHeight="1">
      <x:c r="A48" s="2" t="str">
        <x:v>R02</x:v>
      </x:c>
      <x:c r="B48" s="6" t="str">
        <x:v>夜間</x:v>
      </x:c>
      <x:c r="C48" s="6" t="n">
        <x:f>COUNTIFS('日経_R02'!C6:C31,"上昇")</x:f>
        <x:v>14</x:v>
      </x:c>
      <x:c r="D48" s="6" t="n">
        <x:f>SUMIFS('日経_R02'!F6:F31,'日経_R02'!C6:C31,"上昇")</x:f>
        <x:v>610800</x:v>
      </x:c>
      <x:c r="E48" s="6" t="n">
        <x:f>COUNTIFS('日経_R02'!C6:C31,"上昇",'日経_R02'!F6:F31,"&lt;0")</x:f>
        <x:v>4</x:v>
      </x:c>
      <x:c r="F48" s="6" t="n">
        <x:f>COUNTIFS('日経_R02'!C6:C31,"下落")</x:f>
        <x:v>10</x:v>
      </x:c>
      <x:c r="G48" s="6" t="n">
        <x:f>SUMIFS('日経_R02'!F6:F31,'日経_R02'!C6:C31,"下落")</x:f>
        <x:v>1038900</x:v>
      </x:c>
      <x:c r="H48" s="6" t="n">
        <x:f>COUNTIFS('日経_R02'!C6:C31,"下落",'日経_R02'!F6:F31,"&lt;0")</x:f>
        <x:v>2</x:v>
      </x:c>
      <x:c r="I48" s="6" t="n">
        <x:f>COUNTIFS('日経_R02'!C6:C31,"横ばい")</x:f>
        <x:v>2</x:v>
      </x:c>
      <x:c r="J48" s="6" t="n">
        <x:f>SUMIFS('日経_R02'!F6:F31,'日経_R02'!C6:C31,"横ばい")</x:f>
        <x:v>-35500</x:v>
      </x:c>
      <x:c r="K48" s="6" t="n">
        <x:f>COUNTIFS('日経_R02'!C6:C31,"横ばい",'日経_R02'!F6:F31,"&lt;0")</x:f>
        <x:v>2</x:v>
      </x:c>
      <x:c r="L48" s="6"/>
      <x:c r="M48" s="6"/>
      <x:c r="N48" s="6"/>
      <x:c r="O48" s="6"/>
      <x:c r="P48" s="6"/>
    </x:row>
    <x:row r="49" ht="25" customHeight="1">
      <x:c r="A49" s="2" t="str">
        <x:v>R03</x:v>
      </x:c>
      <x:c r="B49" s="6" t="str">
        <x:v>夜間</x:v>
      </x:c>
      <x:c r="C49" s="6" t="n">
        <x:f>COUNTIFS('日経_R03'!C6:C31,"上昇")</x:f>
        <x:v>14</x:v>
      </x:c>
      <x:c r="D49" s="6" t="n">
        <x:f>SUMIFS('日経_R03'!F6:F31,'日経_R03'!C6:C31,"上昇")</x:f>
        <x:v>608500</x:v>
      </x:c>
      <x:c r="E49" s="6" t="n">
        <x:f>COUNTIFS('日経_R03'!C6:C31,"上昇",'日経_R03'!F6:F31,"&lt;0")</x:f>
        <x:v>4</x:v>
      </x:c>
      <x:c r="F49" s="6" t="n">
        <x:f>COUNTIFS('日経_R03'!C6:C31,"下落")</x:f>
        <x:v>10</x:v>
      </x:c>
      <x:c r="G49" s="6" t="n">
        <x:f>SUMIFS('日経_R03'!F6:F31,'日経_R03'!C6:C31,"下落")</x:f>
        <x:v>856100</x:v>
      </x:c>
      <x:c r="H49" s="6" t="n">
        <x:f>COUNTIFS('日経_R03'!C6:C31,"下落",'日経_R03'!F6:F31,"&lt;0")</x:f>
        <x:v>3</x:v>
      </x:c>
      <x:c r="I49" s="6" t="n">
        <x:f>COUNTIFS('日経_R03'!C6:C31,"横ばい")</x:f>
        <x:v>2</x:v>
      </x:c>
      <x:c r="J49" s="6" t="n">
        <x:f>SUMIFS('日経_R03'!F6:F31,'日経_R03'!C6:C31,"横ばい")</x:f>
        <x:v>-35500</x:v>
      </x:c>
      <x:c r="K49" s="6" t="n">
        <x:f>COUNTIFS('日経_R03'!C6:C31,"横ばい",'日経_R03'!F6:F31,"&lt;0")</x:f>
        <x:v>2</x:v>
      </x:c>
      <x:c r="L49" s="6"/>
      <x:c r="M49" s="6"/>
      <x:c r="N49" s="6"/>
      <x:c r="O49" s="6"/>
      <x:c r="P49" s="6"/>
    </x:row>
  </x:sheetData>
  <x:conditionalFormatting sqref="F6:F25">
    <x:cfRule type="cellIs" dxfId="36" priority="1" operator="lessThan">
      <x:formula>0</x:formula>
    </x:cfRule>
  </x:conditionalFormatting>
  <x:conditionalFormatting sqref="J6:K25">
    <x:cfRule type="cellIs" dxfId="37" priority="2" operator="lessThan">
      <x:formula>0</x:formula>
    </x:cfRule>
  </x:conditionalFormatting>
  <x:conditionalFormatting sqref="D30:D49">
    <x:cfRule type="cellIs" dxfId="38" priority="3" operator="lessThan">
      <x:formula>0</x:formula>
    </x:cfRule>
  </x:conditionalFormatting>
  <x:conditionalFormatting sqref="G30:G49">
    <x:cfRule type="cellIs" dxfId="39" priority="4" operator="lessThan">
      <x:formula>0</x:formula>
    </x:cfRule>
  </x:conditionalFormatting>
  <x:conditionalFormatting sqref="J30:J49">
    <x:cfRule type="cellIs" dxfId="40" priority="5" operator="lessThan">
      <x:formula>0</x:formula>
    </x:cfRule>
  </x:conditionalFormatting>
  <x:pageMargins left="0.7" right="0.7" top="0.75" bottom="0.75" header="0.3" footer="0.3"/>
  <x:tableParts count="2">
    <x:tablePart xmlns:r="http://schemas.openxmlformats.org/officeDocument/2006/relationships" r:id="R45e311e78a2f4e75"/>
    <x:tablePart xmlns:r="http://schemas.openxmlformats.org/officeDocument/2006/relationships" r:id="R5419fad8ea80468d"/>
  </x:tableParts>
</x:worksheet>
</file>

<file path=xl/worksheets/sheet2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25" hidden="0" customWidth="1"/>
    <x:col min="2" max="2" width="22" hidden="0" customWidth="1"/>
    <x:col min="3" max="3" width="11" hidden="0" customWidth="1"/>
    <x:col min="4" max="4" width="11" hidden="0" customWidth="1"/>
    <x:col min="5" max="5" width="11" hidden="0" customWidth="1"/>
    <x:col min="6" max="6" width="11" hidden="0" customWidth="1"/>
    <x:col min="7" max="7" width="11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  <x:col min="12" max="12" width="16" hidden="0" customWidth="1"/>
    <x:col min="13" max="13" width="16" hidden="0" customWidth="1"/>
  </x:cols>
  <x:sheetData>
    <x:row r="1" ht="10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</x:row>
    <x:row r="2" ht="25" customHeight="1">
      <x:c r="A2" s="3" t="str">
        <x:v>支持スコアは勝率を示すか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</x:row>
    <x:row r="3" ht="25" customHeight="1">
      <x:c r="A3" s="4" t="str">
        <x:v>初回玉の全返済を1枚当たり値幅へ換算。支持は発注時点の値、未来損益は採点だけに使用。</x:v>
      </x:c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</x:row>
    <x:row r="4" ht="25" customHeight="1">
      <x:c r="A4" s="4" t="str">
        <x:v>支持スコアは勝率ではない。95%区間は場単位再抽出の平均値幅区間。少数の帯と未知を別表示する。</x:v>
      </x:c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  <x:c r="M4" s="2"/>
    </x:row>
    <x:row r="5" ht="45" customHeight="1">
      <x:c r="A5" s="11" t="str">
        <x:v>時間帯と資料</x:v>
      </x:c>
      <x:c r="B5" s="11" t="str">
        <x:v>支持帯</x:v>
      </x:c>
      <x:c r="C5" s="11" t="str">
        <x:v>親数</x:v>
      </x:c>
      <x:c r="D5" s="11" t="str">
        <x:v>場数</x:v>
      </x:c>
      <x:c r="E5" s="11" t="str">
        <x:v>勝ち親数</x:v>
      </x:c>
      <x:c r="F5" s="11" t="str">
        <x:v>負け親数</x:v>
      </x:c>
      <x:c r="G5" s="11" t="str">
        <x:v>初回玉勝率</x:v>
      </x:c>
      <x:c r="H5" s="11" t="str">
        <x:v>平均損益（pt）</x:v>
      </x:c>
      <x:c r="I5" s="11" t="str">
        <x:v>平均の95%下限</x:v>
      </x:c>
      <x:c r="J5" s="11" t="str">
        <x:v>平均の95%上限</x:v>
      </x:c>
      <x:c r="K5" s="11" t="str">
        <x:v>平均最大順行（pt）</x:v>
      </x:c>
      <x:c r="L5" s="11" t="str">
        <x:v>平均最大逆行（pt）</x:v>
      </x:c>
      <x:c r="M5" s="11" t="str">
        <x:v>引分親数</x:v>
      </x:c>
    </x:row>
    <x:row r="6" ht="25" customHeight="1">
      <x:c r="A6" s="2" t="str">
        <x:v>日中・旧26場</x:v>
      </x:c>
      <x:c r="B6" s="7" t="str">
        <x:v>0～0.1</x:v>
      </x:c>
      <x:c r="C6" s="6" t="n">
        <x:v>75</x:v>
      </x:c>
      <x:c r="D6" s="6" t="n">
        <x:v>21</x:v>
      </x:c>
      <x:c r="E6" s="6" t="n">
        <x:v>37</x:v>
      </x:c>
      <x:c r="F6" s="6" t="n">
        <x:v>37</x:v>
      </x:c>
      <x:c r="G6" s="20" t="n">
        <x:f>IF(C6=0,"",E6/C6)</x:f>
        <x:v>0.49333333333333335</x:v>
      </x:c>
      <x:c r="H6" s="21" t="n">
        <x:v>19.773333333333333</x:v>
      </x:c>
      <x:c r="I6" s="21" t="n">
        <x:v>-11.25492360945333</x:v>
      </x:c>
      <x:c r="J6" s="21" t="n">
        <x:v>55.728376623376604</x:v>
      </x:c>
      <x:c r="K6" s="21" t="n">
        <x:v>150.93333333333334</x:v>
      </x:c>
      <x:c r="L6" s="21" t="n">
        <x:v>-81.46666666666667</x:v>
      </x:c>
      <x:c r="M6" s="6" t="n">
        <x:v>1</x:v>
      </x:c>
    </x:row>
    <x:row r="7" ht="25" customHeight="1">
      <x:c r="A7" s="2" t="str">
        <x:v>日中・旧26場</x:v>
      </x:c>
      <x:c r="B7" s="7" t="str">
        <x:v>0.1～0.25</x:v>
      </x:c>
      <x:c r="C7" s="6" t="n">
        <x:v>28</x:v>
      </x:c>
      <x:c r="D7" s="6" t="n">
        <x:v>15</x:v>
      </x:c>
      <x:c r="E7" s="6" t="n">
        <x:v>14</x:v>
      </x:c>
      <x:c r="F7" s="6" t="n">
        <x:v>14</x:v>
      </x:c>
      <x:c r="G7" s="20" t="n">
        <x:f>IF(C7=0,"",E7/C7)</x:f>
        <x:v>0.5</x:v>
      </x:c>
      <x:c r="H7" s="21" t="n">
        <x:v>-4.142857142857143</x:v>
      </x:c>
      <x:c r="I7" s="21" t="n">
        <x:v>-54.00535714285714</x:v>
      </x:c>
      <x:c r="J7" s="21" t="n">
        <x:v>39.113768115941994</x:v>
      </x:c>
      <x:c r="K7" s="21" t="n">
        <x:v>125.71428571428571</x:v>
      </x:c>
      <x:c r="L7" s="21" t="n">
        <x:v>-84.64285714285714</x:v>
      </x:c>
      <x:c r="M7" s="6" t="n">
        <x:v>0</x:v>
      </x:c>
    </x:row>
    <x:row r="8" ht="25" customHeight="1">
      <x:c r="A8" s="2" t="str">
        <x:v>日中・旧26場</x:v>
      </x:c>
      <x:c r="B8" s="7" t="str">
        <x:v>0.25～0.5</x:v>
      </x:c>
      <x:c r="C8" s="6" t="n">
        <x:v>19</x:v>
      </x:c>
      <x:c r="D8" s="6" t="n">
        <x:v>15</x:v>
      </x:c>
      <x:c r="E8" s="6" t="n">
        <x:v>12</x:v>
      </x:c>
      <x:c r="F8" s="6" t="n">
        <x:v>7</x:v>
      </x:c>
      <x:c r="G8" s="20" t="n">
        <x:f>IF(C8=0,"",E8/C8)</x:f>
        <x:v>0.631578947368421</x:v>
      </x:c>
      <x:c r="H8" s="21" t="n">
        <x:v>111.6842105263158</x:v>
      </x:c>
      <x:c r="I8" s="21" t="n">
        <x:v>0.8300000000000012</x:v>
      </x:c>
      <x:c r="J8" s="21" t="n">
        <x:v>238.0991071428571</x:v>
      </x:c>
      <x:c r="K8" s="21" t="n">
        <x:v>313.6842105263158</x:v>
      </x:c>
      <x:c r="L8" s="21" t="n">
        <x:v>-84.21052631578948</x:v>
      </x:c>
      <x:c r="M8" s="6" t="n">
        <x:v>0</x:v>
      </x:c>
    </x:row>
    <x:row r="9" ht="25" customHeight="1">
      <x:c r="A9" s="2" t="str">
        <x:v>日中・旧26場</x:v>
      </x:c>
      <x:c r="B9" s="7" t="str">
        <x:v>0.5～0.75</x:v>
      </x:c>
      <x:c r="C9" s="6" t="n">
        <x:v>13</x:v>
      </x:c>
      <x:c r="D9" s="6" t="n">
        <x:v>10</x:v>
      </x:c>
      <x:c r="E9" s="6" t="n">
        <x:v>8</x:v>
      </x:c>
      <x:c r="F9" s="6" t="n">
        <x:v>5</x:v>
      </x:c>
      <x:c r="G9" s="20" t="n">
        <x:f>IF(C9=0,"",E9/C9)</x:f>
        <x:v>0.6153846153846154</x:v>
      </x:c>
      <x:c r="H9" s="21" t="n">
        <x:v>102.76923076923077</x:v>
      </x:c>
      <x:c r="I9" s="21" t="n">
        <x:v>-50.63020833333333</x:v>
      </x:c>
      <x:c r="J9" s="21" t="n">
        <x:v>257.7758928571425</x:v>
      </x:c>
      <x:c r="K9" s="21" t="n">
        <x:v>277.6923076923077</x:v>
      </x:c>
      <x:c r="L9" s="21" t="n">
        <x:v>-100.76923076923077</x:v>
      </x:c>
      <x:c r="M9" s="6" t="n">
        <x:v>0</x:v>
      </x:c>
    </x:row>
    <x:row r="10" ht="25" customHeight="1">
      <x:c r="A10" s="2" t="str">
        <x:v>日中・旧26場</x:v>
      </x:c>
      <x:c r="B10" s="7" t="str">
        <x:v>0.75～1</x:v>
      </x:c>
      <x:c r="C10" s="6" t="n">
        <x:v>2</x:v>
      </x:c>
      <x:c r="D10" s="6" t="n">
        <x:v>2</x:v>
      </x:c>
      <x:c r="E10" s="6" t="n">
        <x:v>1</x:v>
      </x:c>
      <x:c r="F10" s="6" t="n">
        <x:v>1</x:v>
      </x:c>
      <x:c r="G10" s="20" t="n">
        <x:f>IF(C10=0,"",E10/C10)</x:f>
        <x:v>0.5</x:v>
      </x:c>
      <x:c r="H10" s="21" t="n">
        <x:v>5</x:v>
      </x:c>
      <x:c r="I10" s="21" t="n">
        <x:v>-120</x:v>
      </x:c>
      <x:c r="J10" s="21" t="n">
        <x:v>130</x:v>
      </x:c>
      <x:c r="K10" s="21" t="n">
        <x:v>140</x:v>
      </x:c>
      <x:c r="L10" s="21" t="n">
        <x:v>-110</x:v>
      </x:c>
      <x:c r="M10" s="6" t="n">
        <x:v>0</x:v>
      </x:c>
    </x:row>
    <x:row r="11" ht="25" customHeight="1">
      <x:c r="A11" s="2" t="str">
        <x:v>日中・旧26場</x:v>
      </x:c>
      <x:c r="B11" s="7" t="str">
        <x:v>未知（計算不可）</x:v>
      </x:c>
      <x:c r="C11" s="6" t="n">
        <x:v>18</x:v>
      </x:c>
      <x:c r="D11" s="6" t="n">
        <x:v>14</x:v>
      </x:c>
      <x:c r="E11" s="6" t="n">
        <x:v>9</x:v>
      </x:c>
      <x:c r="F11" s="6" t="n">
        <x:v>9</x:v>
      </x:c>
      <x:c r="G11" s="20" t="n">
        <x:f>IF(C11=0,"",E11/C11)</x:f>
        <x:v>0.5</x:v>
      </x:c>
      <x:c r="H11" s="21" t="n">
        <x:v>11.666666666666666</x:v>
      </x:c>
      <x:c r="I11" s="21" t="n">
        <x:v>-31.539285714285715</x:v>
      </x:c>
      <x:c r="J11" s="21" t="n">
        <x:v>58.55666666666665</x:v>
      </x:c>
      <x:c r="K11" s="21" t="n">
        <x:v>117.22222222222223</x:v>
      </x:c>
      <x:c r="L11" s="21" t="n">
        <x:v>-64.44444444444444</x:v>
      </x:c>
      <x:c r="M11" s="6" t="n">
        <x:v>0</x:v>
      </x:c>
    </x:row>
    <x:row r="12" ht="25" customHeight="1">
      <x:c r="A12" s="2" t="str">
        <x:v>夜・米国前・旧25場</x:v>
      </x:c>
      <x:c r="B12" s="7" t="str">
        <x:v>0～0.1</x:v>
      </x:c>
      <x:c r="C12" s="6" t="n">
        <x:v>7</x:v>
      </x:c>
      <x:c r="D12" s="6" t="n">
        <x:v>6</x:v>
      </x:c>
      <x:c r="E12" s="6" t="n">
        <x:v>7</x:v>
      </x:c>
      <x:c r="F12" s="6" t="n">
        <x:v>0</x:v>
      </x:c>
      <x:c r="G12" s="20" t="n">
        <x:f>IF(C12=0,"",E12/C12)</x:f>
        <x:v>1</x:v>
      </x:c>
      <x:c r="H12" s="21" t="n">
        <x:v>34.285714285714285</x:v>
      </x:c>
      <x:c r="I12" s="21" t="n">
        <x:v>30</x:v>
      </x:c>
      <x:c r="J12" s="21" t="n">
        <x:v>38</x:v>
      </x:c>
      <x:c r="K12" s="21" t="n">
        <x:v>42.857142857142854</x:v>
      </x:c>
      <x:c r="L12" s="21" t="n">
        <x:v>-64.28571428571429</x:v>
      </x:c>
      <x:c r="M12" s="6" t="n">
        <x:v>0</x:v>
      </x:c>
    </x:row>
    <x:row r="13" ht="25" customHeight="1">
      <x:c r="A13" s="2" t="str">
        <x:v>夜・米国前・旧25場</x:v>
      </x:c>
      <x:c r="B13" s="7" t="str">
        <x:v>0.1～0.25</x:v>
      </x:c>
      <x:c r="C13" s="6" t="n">
        <x:v>2</x:v>
      </x:c>
      <x:c r="D13" s="6" t="n">
        <x:v>2</x:v>
      </x:c>
      <x:c r="E13" s="6" t="n">
        <x:v>2</x:v>
      </x:c>
      <x:c r="F13" s="6" t="n">
        <x:v>0</x:v>
      </x:c>
      <x:c r="G13" s="20" t="n">
        <x:f>IF(C13=0,"",E13/C13)</x:f>
        <x:v>1</x:v>
      </x:c>
      <x:c r="H13" s="21" t="n">
        <x:v>55</x:v>
      </x:c>
      <x:c r="I13" s="21" t="n">
        <x:v>40</x:v>
      </x:c>
      <x:c r="J13" s="21" t="n">
        <x:v>70</x:v>
      </x:c>
      <x:c r="K13" s="21" t="n">
        <x:v>55</x:v>
      </x:c>
      <x:c r="L13" s="21" t="n">
        <x:v>-30</x:v>
      </x:c>
      <x:c r="M13" s="6" t="n">
        <x:v>0</x:v>
      </x:c>
    </x:row>
    <x:row r="14" ht="25" customHeight="1">
      <x:c r="A14" s="2" t="str">
        <x:v>夜・米国前・旧25場</x:v>
      </x:c>
      <x:c r="B14" s="7" t="str">
        <x:v>0.25～0.5</x:v>
      </x:c>
      <x:c r="C14" s="6" t="n">
        <x:v>0</x:v>
      </x:c>
      <x:c r="D14" s="6" t="n">
        <x:v>0</x:v>
      </x:c>
      <x:c r="E14" s="6" t="n">
        <x:v>0</x:v>
      </x:c>
      <x:c r="F14" s="6" t="n">
        <x:v>0</x:v>
      </x:c>
      <x:c r="G14" s="20" t="str">
        <x:f>IF(C14=0,"",E14/C14)</x:f>
      </x:c>
      <x:c r="H14" s="21"/>
      <x:c r="I14" s="21"/>
      <x:c r="J14" s="21"/>
      <x:c r="K14" s="21"/>
      <x:c r="L14" s="21"/>
      <x:c r="M14" s="6" t="n">
        <x:v>0</x:v>
      </x:c>
    </x:row>
    <x:row r="15" ht="25" customHeight="1">
      <x:c r="A15" s="2" t="str">
        <x:v>夜・米国前・旧25場</x:v>
      </x:c>
      <x:c r="B15" s="7" t="str">
        <x:v>0.5～0.75</x:v>
      </x:c>
      <x:c r="C15" s="6" t="n">
        <x:v>0</x:v>
      </x:c>
      <x:c r="D15" s="6" t="n">
        <x:v>0</x:v>
      </x:c>
      <x:c r="E15" s="6" t="n">
        <x:v>0</x:v>
      </x:c>
      <x:c r="F15" s="6" t="n">
        <x:v>0</x:v>
      </x:c>
      <x:c r="G15" s="20" t="str">
        <x:f>IF(C15=0,"",E15/C15)</x:f>
      </x:c>
      <x:c r="H15" s="21"/>
      <x:c r="I15" s="21"/>
      <x:c r="J15" s="21"/>
      <x:c r="K15" s="21"/>
      <x:c r="L15" s="21"/>
      <x:c r="M15" s="6" t="n">
        <x:v>0</x:v>
      </x:c>
    </x:row>
    <x:row r="16" ht="25" customHeight="1">
      <x:c r="A16" s="2" t="str">
        <x:v>夜・米国前・旧25場</x:v>
      </x:c>
      <x:c r="B16" s="7" t="str">
        <x:v>0.75～1</x:v>
      </x:c>
      <x:c r="C16" s="6" t="n">
        <x:v>0</x:v>
      </x:c>
      <x:c r="D16" s="6" t="n">
        <x:v>0</x:v>
      </x:c>
      <x:c r="E16" s="6" t="n">
        <x:v>0</x:v>
      </x:c>
      <x:c r="F16" s="6" t="n">
        <x:v>0</x:v>
      </x:c>
      <x:c r="G16" s="20" t="str">
        <x:f>IF(C16=0,"",E16/C16)</x:f>
      </x:c>
      <x:c r="H16" s="21"/>
      <x:c r="I16" s="21"/>
      <x:c r="J16" s="21"/>
      <x:c r="K16" s="21"/>
      <x:c r="L16" s="21"/>
      <x:c r="M16" s="6" t="n">
        <x:v>0</x:v>
      </x:c>
    </x:row>
    <x:row r="17" ht="25" customHeight="1">
      <x:c r="A17" s="2" t="str">
        <x:v>夜・米国前・旧25場</x:v>
      </x:c>
      <x:c r="B17" s="7" t="str">
        <x:v>未知（計算不可）</x:v>
      </x:c>
      <x:c r="C17" s="6" t="n">
        <x:v>22</x:v>
      </x:c>
      <x:c r="D17" s="6" t="n">
        <x:v>14</x:v>
      </x:c>
      <x:c r="E17" s="6" t="n">
        <x:v>21</x:v>
      </x:c>
      <x:c r="F17" s="6" t="n">
        <x:v>1</x:v>
      </x:c>
      <x:c r="G17" s="20" t="n">
        <x:f>IF(C17=0,"",E17/C17)</x:f>
        <x:v>0.9545454545454546</x:v>
      </x:c>
      <x:c r="H17" s="21" t="n">
        <x:v>30.454545454545453</x:v>
      </x:c>
      <x:c r="I17" s="21" t="n">
        <x:v>20.76666666666667</x:v>
      </x:c>
      <x:c r="J17" s="21" t="n">
        <x:v>35.76923076923077</x:v>
      </x:c>
      <x:c r="K17" s="21" t="n">
        <x:v>41.36363636363637</x:v>
      </x:c>
      <x:c r="L17" s="21" t="n">
        <x:v>-56.81818181818182</x:v>
      </x:c>
      <x:c r="M17" s="6" t="n">
        <x:v>0</x:v>
      </x:c>
    </x:row>
    <x:row r="18" ht="25" customHeight="1">
      <x:c r="A18" s="2" t="str">
        <x:v>夜・米国後・旧25場</x:v>
      </x:c>
      <x:c r="B18" s="7" t="str">
        <x:v>0～0.1</x:v>
      </x:c>
      <x:c r="C18" s="6" t="n">
        <x:v>38</x:v>
      </x:c>
      <x:c r="D18" s="6" t="n">
        <x:v>15</x:v>
      </x:c>
      <x:c r="E18" s="6" t="n">
        <x:v>22</x:v>
      </x:c>
      <x:c r="F18" s="6" t="n">
        <x:v>16</x:v>
      </x:c>
      <x:c r="G18" s="20" t="n">
        <x:f>IF(C18=0,"",E18/C18)</x:f>
        <x:v>0.5789473684210527</x:v>
      </x:c>
      <x:c r="H18" s="21" t="n">
        <x:v>24.20175438596491</x:v>
      </x:c>
      <x:c r="I18" s="21" t="n">
        <x:v>-9.240818181818181</x:v>
      </x:c>
      <x:c r="J18" s="21" t="n">
        <x:v>61.85490824534939</x:v>
      </x:c>
      <x:c r="K18" s="21" t="n">
        <x:v>193.1578947368421</x:v>
      </x:c>
      <x:c r="L18" s="21" t="n">
        <x:v>-95.78947368421052</x:v>
      </x:c>
      <x:c r="M18" s="6" t="n">
        <x:v>0</x:v>
      </x:c>
    </x:row>
    <x:row r="19" ht="25" customHeight="1">
      <x:c r="A19" s="2" t="str">
        <x:v>夜・米国後・旧25場</x:v>
      </x:c>
      <x:c r="B19" s="7" t="str">
        <x:v>0.1～0.25</x:v>
      </x:c>
      <x:c r="C19" s="6" t="n">
        <x:v>14</x:v>
      </x:c>
      <x:c r="D19" s="6" t="n">
        <x:v>9</x:v>
      </x:c>
      <x:c r="E19" s="6" t="n">
        <x:v>10</x:v>
      </x:c>
      <x:c r="F19" s="6" t="n">
        <x:v>4</x:v>
      </x:c>
      <x:c r="G19" s="20" t="n">
        <x:f>IF(C19=0,"",E19/C19)</x:f>
        <x:v>0.7142857142857143</x:v>
      </x:c>
      <x:c r="H19" s="21" t="n">
        <x:v>66.28571428571429</x:v>
      </x:c>
      <x:c r="I19" s="21" t="n">
        <x:v>-29.446794871794868</x:v>
      </x:c>
      <x:c r="J19" s="21" t="n">
        <x:v>151.80999999999986</x:v>
      </x:c>
      <x:c r="K19" s="21" t="n">
        <x:v>193.57142857142858</x:v>
      </x:c>
      <x:c r="L19" s="21" t="n">
        <x:v>-78.57142857142857</x:v>
      </x:c>
      <x:c r="M19" s="6" t="n">
        <x:v>0</x:v>
      </x:c>
    </x:row>
    <x:row r="20" ht="25" customHeight="1">
      <x:c r="A20" s="2" t="str">
        <x:v>夜・米国後・旧25場</x:v>
      </x:c>
      <x:c r="B20" s="7" t="str">
        <x:v>0.25～0.5</x:v>
      </x:c>
      <x:c r="C20" s="6" t="n">
        <x:v>10</x:v>
      </x:c>
      <x:c r="D20" s="6" t="n">
        <x:v>8</x:v>
      </x:c>
      <x:c r="E20" s="6" t="n">
        <x:v>9</x:v>
      </x:c>
      <x:c r="F20" s="6" t="n">
        <x:v>1</x:v>
      </x:c>
      <x:c r="G20" s="20" t="n">
        <x:f>IF(C20=0,"",E20/C20)</x:f>
        <x:v>0.9</x:v>
      </x:c>
      <x:c r="H20" s="21" t="n">
        <x:v>172</x:v>
      </x:c>
      <x:c r="I20" s="21" t="n">
        <x:v>47.72222222222223</x:v>
      </x:c>
      <x:c r="J20" s="21" t="n">
        <x:v>270</x:v>
      </x:c>
      <x:c r="K20" s="21" t="n">
        <x:v>373</x:v>
      </x:c>
      <x:c r="L20" s="21" t="n">
        <x:v>-67</x:v>
      </x:c>
      <x:c r="M20" s="6" t="n">
        <x:v>0</x:v>
      </x:c>
    </x:row>
    <x:row r="21" ht="25" customHeight="1">
      <x:c r="A21" s="2" t="str">
        <x:v>夜・米国後・旧25場</x:v>
      </x:c>
      <x:c r="B21" s="7" t="str">
        <x:v>0.5～0.75</x:v>
      </x:c>
      <x:c r="C21" s="6" t="n">
        <x:v>5</x:v>
      </x:c>
      <x:c r="D21" s="6" t="n">
        <x:v>4</x:v>
      </x:c>
      <x:c r="E21" s="6" t="n">
        <x:v>2</x:v>
      </x:c>
      <x:c r="F21" s="6" t="n">
        <x:v>3</x:v>
      </x:c>
      <x:c r="G21" s="20" t="n">
        <x:f>IF(C21=0,"",E21/C21)</x:f>
        <x:v>0.4</x:v>
      </x:c>
      <x:c r="H21" s="21" t="n">
        <x:v>-54</x:v>
      </x:c>
      <x:c r="I21" s="21" t="n">
        <x:v>-130</x:v>
      </x:c>
      <x:c r="J21" s="21" t="n">
        <x:v>60</x:v>
      </x:c>
      <x:c r="K21" s="21" t="n">
        <x:v>112</x:v>
      </x:c>
      <x:c r="L21" s="21" t="n">
        <x:v>-104</x:v>
      </x:c>
      <x:c r="M21" s="6" t="n">
        <x:v>0</x:v>
      </x:c>
    </x:row>
    <x:row r="22" ht="25" customHeight="1">
      <x:c r="A22" s="2" t="str">
        <x:v>夜・米国後・旧25場</x:v>
      </x:c>
      <x:c r="B22" s="7" t="str">
        <x:v>0.75～1</x:v>
      </x:c>
      <x:c r="C22" s="6" t="n">
        <x:v>1</x:v>
      </x:c>
      <x:c r="D22" s="6" t="n">
        <x:v>1</x:v>
      </x:c>
      <x:c r="E22" s="6" t="n">
        <x:v>1</x:v>
      </x:c>
      <x:c r="F22" s="6" t="n">
        <x:v>0</x:v>
      </x:c>
      <x:c r="G22" s="20" t="n">
        <x:f>IF(C22=0,"",E22/C22)</x:f>
        <x:v>1</x:v>
      </x:c>
      <x:c r="H22" s="21" t="n">
        <x:v>380</x:v>
      </x:c>
      <x:c r="I22" s="21" t="n">
        <x:v>380</x:v>
      </x:c>
      <x:c r="J22" s="21" t="n">
        <x:v>380</x:v>
      </x:c>
      <x:c r="K22" s="21" t="n">
        <x:v>500</x:v>
      </x:c>
      <x:c r="L22" s="21" t="n">
        <x:v>-30</x:v>
      </x:c>
      <x:c r="M22" s="6" t="n">
        <x:v>0</x:v>
      </x:c>
    </x:row>
    <x:row r="23" ht="25" customHeight="1">
      <x:c r="A23" s="2" t="str">
        <x:v>夜・米国後・旧25場</x:v>
      </x:c>
      <x:c r="B23" s="7" t="str">
        <x:v>未知（計算不可）</x:v>
      </x:c>
      <x:c r="C23" s="6" t="n">
        <x:v>30</x:v>
      </x:c>
      <x:c r="D23" s="6" t="n">
        <x:v>20</x:v>
      </x:c>
      <x:c r="E23" s="6" t="n">
        <x:v>13</x:v>
      </x:c>
      <x:c r="F23" s="6" t="n">
        <x:v>17</x:v>
      </x:c>
      <x:c r="G23" s="20" t="n">
        <x:f>IF(C23=0,"",E23/C23)</x:f>
        <x:v>0.43333333333333335</x:v>
      </x:c>
      <x:c r="H23" s="21" t="n">
        <x:v>8.35</x:v>
      </x:c>
      <x:c r="I23" s="21" t="n">
        <x:v>-38.30587121212121</x:v>
      </x:c>
      <x:c r="J23" s="21" t="n">
        <x:v>68.93027777777772</x:v>
      </x:c>
      <x:c r="K23" s="21" t="n">
        <x:v>160.33333333333334</x:v>
      </x:c>
      <x:c r="L23" s="21" t="n">
        <x:v>-88.66666666666667</x:v>
      </x:c>
      <x:c r="M23" s="6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709ed3a7e2ec4b78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25" hidden="0" customWidth="1"/>
    <x:col min="2" max="2" width="15" hidden="0" customWidth="1"/>
    <x:col min="3" max="3" width="10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  <x:col min="12" max="12" width="16" hidden="0" customWidth="1"/>
  </x:cols>
  <x:sheetData>
    <x:row r="1" ht="10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</x:row>
    <x:row r="2" ht="25" customHeight="1">
      <x:c r="A2" s="3" t="str">
        <x:v>日経 N00　夜間損益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</x:row>
    <x:row r="3" ht="25" customHeight="1">
      <x:c r="A3" s="4" t="str">
        <x:v>現行P05前半とD07後半の数量を厳密換算</x:v>
      </x:c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</x:row>
    <x:row r="4" ht="25" customHeight="1">
      <x:c r="A4" s="4" t="str">
        <x:v>片側micro100枚＝mini10枚相当・手数料0。途中最悪は確定＋全玉含み、最大下落は当場ピークからの落差。</x:v>
      </x:c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</x:row>
    <x:row r="5" ht="45" customHeight="1">
      <x:c r="A5" s="11" t="str">
        <x:v>セッション</x:v>
      </x:c>
      <x:c r="B5" s="11" t="str">
        <x:v>資料区分</x:v>
      </x:c>
      <x:c r="C5" s="11" t="str">
        <x:v>場の方向</x:v>
      </x:c>
      <x:c r="D5" s="11" t="str">
        <x:v>利益（円）</x:v>
      </x:c>
      <x:c r="E5" s="11" t="str">
        <x:v>損失（円）</x:v>
      </x:c>
      <x:c r="F5" s="11" t="str">
        <x:v>収支（円）</x:v>
      </x:c>
      <x:c r="G5" s="11" t="str">
        <x:v>累計（円）</x:v>
      </x:c>
      <x:c r="H5" s="11" t="str">
        <x:v>途中最悪収支（円）</x:v>
      </x:c>
      <x:c r="I5" s="11" t="str">
        <x:v>最大下落額（円）</x:v>
      </x:c>
      <x:c r="J5" s="11" t="str">
        <x:v>新規回数</x:v>
      </x:c>
      <x:c r="K5" s="11" t="str">
        <x:v>米国前収支（円）</x:v>
      </x:c>
      <x:c r="L5" s="11" t="str">
        <x:v>米国後収支（円）</x:v>
      </x:c>
    </x:row>
    <x:row r="6" ht="25" customHeight="1">
      <x:c r="A6" s="2" t="str">
        <x:v>2026-09-21_Night</x:v>
      </x:c>
      <x:c r="B6" s="7" t="str">
        <x:v>旧完了場</x:v>
      </x:c>
      <x:c r="C6" s="7" t="str">
        <x:v>上昇</x:v>
      </x:c>
      <x:c r="D6" s="6" t="n">
        <x:v>0</x:v>
      </x:c>
      <x:c r="E6" s="6" t="n">
        <x:v>45000</x:v>
      </x:c>
      <x:c r="F6" s="6" t="n">
        <x:f>D6-E6</x:f>
        <x:v>-45000</x:v>
      </x:c>
      <x:c r="G6" s="6" t="n">
        <x:f>F6</x:f>
        <x:v>-45000</x:v>
      </x:c>
      <x:c r="H6" s="6" t="n">
        <x:v>-45000</x:v>
      </x:c>
      <x:c r="I6" s="6" t="n">
        <x:v>65000</x:v>
      </x:c>
      <x:c r="J6" s="6" t="n">
        <x:v>1</x:v>
      </x:c>
      <x:c r="K6" s="6" t="n">
        <x:v>0</x:v>
      </x:c>
      <x:c r="L6" s="6" t="n">
        <x:v>-45000</x:v>
      </x:c>
    </x:row>
    <x:row r="7" ht="25" customHeight="1">
      <x:c r="A7" s="2" t="str">
        <x:v>2026-09-22_Night</x:v>
      </x:c>
      <x:c r="B7" s="7" t="str">
        <x:v>旧完了場</x:v>
      </x:c>
      <x:c r="C7" s="7" t="str">
        <x:v>上昇</x:v>
      </x:c>
      <x:c r="D7" s="6" t="n">
        <x:v>39000</x:v>
      </x:c>
      <x:c r="E7" s="6" t="n">
        <x:v>0</x:v>
      </x:c>
      <x:c r="F7" s="6" t="n">
        <x:f>D7-E7</x:f>
        <x:v>39000</x:v>
      </x:c>
      <x:c r="G7" s="6" t="n">
        <x:f>G6+F7</x:f>
        <x:v>-6000</x:v>
      </x:c>
      <x:c r="H7" s="6" t="n">
        <x:v>-45000</x:v>
      </x:c>
      <x:c r="I7" s="6" t="n">
        <x:v>55000</x:v>
      </x:c>
      <x:c r="J7" s="6" t="n">
        <x:v>2</x:v>
      </x:c>
      <x:c r="K7" s="6" t="n">
        <x:v>15000</x:v>
      </x:c>
      <x:c r="L7" s="6" t="n">
        <x:v>24000</x:v>
      </x:c>
    </x:row>
    <x:row r="8" ht="25" customHeight="1">
      <x:c r="A8" s="2" t="str">
        <x:v>2026-09-23_Night</x:v>
      </x:c>
      <x:c r="B8" s="7" t="str">
        <x:v>旧完了場</x:v>
      </x:c>
      <x:c r="C8" s="7" t="str">
        <x:v>下落</x:v>
      </x:c>
      <x:c r="D8" s="6" t="n">
        <x:v>4000</x:v>
      </x:c>
      <x:c r="E8" s="6" t="n">
        <x:v>40000</x:v>
      </x:c>
      <x:c r="F8" s="6" t="n">
        <x:f>D8-E8</x:f>
        <x:v>-36000</x:v>
      </x:c>
      <x:c r="G8" s="6" t="n">
        <x:f>G7+F8</x:f>
        <x:v>-42000</x:v>
      </x:c>
      <x:c r="H8" s="6" t="n">
        <x:v>-44000</x:v>
      </x:c>
      <x:c r="I8" s="6" t="n">
        <x:v>44000</x:v>
      </x:c>
      <x:c r="J8" s="6" t="n">
        <x:v>3</x:v>
      </x:c>
      <x:c r="K8" s="6" t="n">
        <x:v>0</x:v>
      </x:c>
      <x:c r="L8" s="6" t="n">
        <x:v>-36000</x:v>
      </x:c>
    </x:row>
    <x:row r="9" ht="25" customHeight="1">
      <x:c r="A9" s="2" t="str">
        <x:v>2026-09-24_Night</x:v>
      </x:c>
      <x:c r="B9" s="7" t="str">
        <x:v>旧完了場</x:v>
      </x:c>
      <x:c r="C9" s="7" t="str">
        <x:v>上昇</x:v>
      </x:c>
      <x:c r="D9" s="6" t="n">
        <x:v>50000</x:v>
      </x:c>
      <x:c r="E9" s="6" t="n">
        <x:v>0</x:v>
      </x:c>
      <x:c r="F9" s="6" t="n">
        <x:f>D9-E9</x:f>
        <x:v>50000</x:v>
      </x:c>
      <x:c r="G9" s="6" t="n">
        <x:f>G8+F9</x:f>
        <x:v>8000</x:v>
      </x:c>
      <x:c r="H9" s="6" t="n">
        <x:v>-85000</x:v>
      </x:c>
      <x:c r="I9" s="6" t="n">
        <x:v>90000</x:v>
      </x:c>
      <x:c r="J9" s="6" t="n">
        <x:v>4</x:v>
      </x:c>
      <x:c r="K9" s="6" t="n">
        <x:v>30000</x:v>
      </x:c>
      <x:c r="L9" s="6" t="n">
        <x:v>20000</x:v>
      </x:c>
    </x:row>
    <x:row r="10" ht="25" customHeight="1">
      <x:c r="A10" s="2" t="str">
        <x:v>2026-09-25_Night</x:v>
      </x:c>
      <x:c r="B10" s="7" t="str">
        <x:v>旧完了場</x:v>
      </x:c>
      <x:c r="C10" s="7" t="str">
        <x:v>上昇</x:v>
      </x:c>
      <x:c r="D10" s="6" t="n">
        <x:v>17000</x:v>
      </x:c>
      <x:c r="E10" s="6" t="n">
        <x:v>16000</x:v>
      </x:c>
      <x:c r="F10" s="6" t="n">
        <x:f>D10-E10</x:f>
        <x:v>1000</x:v>
      </x:c>
      <x:c r="G10" s="6" t="n">
        <x:f>G9+F10</x:f>
        <x:v>9000</x:v>
      </x:c>
      <x:c r="H10" s="6" t="n">
        <x:v>-16000</x:v>
      </x:c>
      <x:c r="I10" s="6" t="n">
        <x:v>24000</x:v>
      </x:c>
      <x:c r="J10" s="6" t="n">
        <x:v>2</x:v>
      </x:c>
      <x:c r="K10" s="6" t="n">
        <x:v>0</x:v>
      </x:c>
      <x:c r="L10" s="6" t="n">
        <x:v>1000</x:v>
      </x:c>
    </x:row>
    <x:row r="11" ht="25" customHeight="1">
      <x:c r="A11" s="2" t="str">
        <x:v>2026-09-28_Night</x:v>
      </x:c>
      <x:c r="B11" s="7" t="str">
        <x:v>旧完了場</x:v>
      </x:c>
      <x:c r="C11" s="7" t="str">
        <x:v>横ばい</x:v>
      </x:c>
      <x:c r="D11" s="6" t="n">
        <x:v>5000</x:v>
      </x:c>
      <x:c r="E11" s="6" t="n">
        <x:v>30000</x:v>
      </x:c>
      <x:c r="F11" s="6" t="n">
        <x:f>D11-E11</x:f>
        <x:v>-25000</x:v>
      </x:c>
      <x:c r="G11" s="6" t="n">
        <x:f>G10+F11</x:f>
        <x:v>-16000</x:v>
      </x:c>
      <x:c r="H11" s="6" t="n">
        <x:v>-36000</x:v>
      </x:c>
      <x:c r="I11" s="6" t="n">
        <x:v>43000</x:v>
      </x:c>
      <x:c r="J11" s="6" t="n">
        <x:v>5</x:v>
      </x:c>
      <x:c r="K11" s="6" t="n">
        <x:v>4000</x:v>
      </x:c>
      <x:c r="L11" s="6" t="n">
        <x:v>-29000</x:v>
      </x:c>
    </x:row>
    <x:row r="12" ht="25" customHeight="1">
      <x:c r="A12" s="2" t="str">
        <x:v>2026-09-29_Night</x:v>
      </x:c>
      <x:c r="B12" s="7" t="str">
        <x:v>旧完了場</x:v>
      </x:c>
      <x:c r="C12" s="7" t="str">
        <x:v>上昇</x:v>
      </x:c>
      <x:c r="D12" s="6" t="n">
        <x:v>87000</x:v>
      </x:c>
      <x:c r="E12" s="6" t="n">
        <x:v>22000</x:v>
      </x:c>
      <x:c r="F12" s="6" t="n">
        <x:f>D12-E12</x:f>
        <x:v>65000</x:v>
      </x:c>
      <x:c r="G12" s="6" t="n">
        <x:f>G11+F12</x:f>
        <x:v>49000</x:v>
      </x:c>
      <x:c r="H12" s="6" t="n">
        <x:v>-30000</x:v>
      </x:c>
      <x:c r="I12" s="6" t="n">
        <x:v>70000</x:v>
      </x:c>
      <x:c r="J12" s="6" t="n">
        <x:v>6</x:v>
      </x:c>
      <x:c r="K12" s="6" t="n">
        <x:v>0</x:v>
      </x:c>
      <x:c r="L12" s="6" t="n">
        <x:v>65000</x:v>
      </x:c>
    </x:row>
    <x:row r="13" ht="25" customHeight="1">
      <x:c r="A13" s="2" t="str">
        <x:v>2026-09-30_Night</x:v>
      </x:c>
      <x:c r="B13" s="7" t="str">
        <x:v>旧完了場</x:v>
      </x:c>
      <x:c r="C13" s="7" t="str">
        <x:v>下落</x:v>
      </x:c>
      <x:c r="D13" s="6" t="n">
        <x:v>103000</x:v>
      </x:c>
      <x:c r="E13" s="6" t="n">
        <x:v>0</x:v>
      </x:c>
      <x:c r="F13" s="6" t="n">
        <x:f>D13-E13</x:f>
        <x:v>103000</x:v>
      </x:c>
      <x:c r="G13" s="6" t="n">
        <x:f>G12+F13</x:f>
        <x:v>152000</x:v>
      </x:c>
      <x:c r="H13" s="6" t="n">
        <x:v>-75000</x:v>
      </x:c>
      <x:c r="I13" s="6" t="n">
        <x:v>95000</x:v>
      </x:c>
      <x:c r="J13" s="6" t="n">
        <x:v>6</x:v>
      </x:c>
      <x:c r="K13" s="6" t="n">
        <x:v>60000</x:v>
      </x:c>
      <x:c r="L13" s="6" t="n">
        <x:v>43000</x:v>
      </x:c>
    </x:row>
    <x:row r="14" ht="25" customHeight="1">
      <x:c r="A14" s="2" t="str">
        <x:v>2026-10-01_Night</x:v>
      </x:c>
      <x:c r="B14" s="7" t="str">
        <x:v>旧完了場</x:v>
      </x:c>
      <x:c r="C14" s="7" t="str">
        <x:v>上昇</x:v>
      </x:c>
      <x:c r="D14" s="6" t="n">
        <x:v>263000</x:v>
      </x:c>
      <x:c r="E14" s="6" t="n">
        <x:v>92000</x:v>
      </x:c>
      <x:c r="F14" s="6" t="n">
        <x:f>D14-E14</x:f>
        <x:v>171000</x:v>
      </x:c>
      <x:c r="G14" s="6" t="n">
        <x:f>G13+F14</x:f>
        <x:v>323000</x:v>
      </x:c>
      <x:c r="H14" s="6" t="n">
        <x:v>-25000</x:v>
      </x:c>
      <x:c r="I14" s="6" t="n">
        <x:v>145000</x:v>
      </x:c>
      <x:c r="J14" s="6" t="n">
        <x:v>16</x:v>
      </x:c>
      <x:c r="K14" s="6" t="n">
        <x:v>73000</x:v>
      </x:c>
      <x:c r="L14" s="6" t="n">
        <x:v>98000</x:v>
      </x:c>
    </x:row>
    <x:row r="15" ht="25" customHeight="1">
      <x:c r="A15" s="2" t="str">
        <x:v>2026-10-02_Night</x:v>
      </x:c>
      <x:c r="B15" s="7" t="str">
        <x:v>旧完了場</x:v>
      </x:c>
      <x:c r="C15" s="7" t="str">
        <x:v>上昇</x:v>
      </x:c>
      <x:c r="D15" s="6" t="n">
        <x:v>294000</x:v>
      </x:c>
      <x:c r="E15" s="6" t="n">
        <x:v>38000</x:v>
      </x:c>
      <x:c r="F15" s="6" t="n">
        <x:f>D15-E15</x:f>
        <x:v>256000</x:v>
      </x:c>
      <x:c r="G15" s="6" t="n">
        <x:f>G14+F15</x:f>
        <x:v>579000</x:v>
      </x:c>
      <x:c r="H15" s="6" t="n">
        <x:v>-34000</x:v>
      </x:c>
      <x:c r="I15" s="6" t="n">
        <x:v>162000</x:v>
      </x:c>
      <x:c r="J15" s="6" t="n">
        <x:v>15</x:v>
      </x:c>
      <x:c r="K15" s="6" t="n">
        <x:v>0</x:v>
      </x:c>
      <x:c r="L15" s="6" t="n">
        <x:v>256000</x:v>
      </x:c>
    </x:row>
    <x:row r="16" ht="25" customHeight="1">
      <x:c r="A16" s="2" t="str">
        <x:v>2026-10-05_Night</x:v>
      </x:c>
      <x:c r="B16" s="7" t="str">
        <x:v>旧完了場</x:v>
      </x:c>
      <x:c r="C16" s="7" t="str">
        <x:v>下落</x:v>
      </x:c>
      <x:c r="D16" s="6" t="n">
        <x:v>113000</x:v>
      </x:c>
      <x:c r="E16" s="6" t="n">
        <x:v>64000</x:v>
      </x:c>
      <x:c r="F16" s="6" t="n">
        <x:f>D16-E16</x:f>
        <x:v>49000</x:v>
      </x:c>
      <x:c r="G16" s="6" t="n">
        <x:f>G15+F16</x:f>
        <x:v>628000</x:v>
      </x:c>
      <x:c r="H16" s="6" t="n">
        <x:v>-23000</x:v>
      </x:c>
      <x:c r="I16" s="6" t="n">
        <x:v>128000</x:v>
      </x:c>
      <x:c r="J16" s="6" t="n">
        <x:v>8</x:v>
      </x:c>
      <x:c r="K16" s="6" t="n">
        <x:v>15000</x:v>
      </x:c>
      <x:c r="L16" s="6" t="n">
        <x:v>34000</x:v>
      </x:c>
    </x:row>
    <x:row r="17" ht="25" customHeight="1">
      <x:c r="A17" s="2" t="str">
        <x:v>2026-10-06_Night</x:v>
      </x:c>
      <x:c r="B17" s="7" t="str">
        <x:v>旧完了場</x:v>
      </x:c>
      <x:c r="C17" s="7" t="str">
        <x:v>横ばい</x:v>
      </x:c>
      <x:c r="D17" s="6" t="n">
        <x:v>33000</x:v>
      </x:c>
      <x:c r="E17" s="6" t="n">
        <x:v>43000</x:v>
      </x:c>
      <x:c r="F17" s="6" t="n">
        <x:f>D17-E17</x:f>
        <x:v>-10000</x:v>
      </x:c>
      <x:c r="G17" s="6" t="n">
        <x:f>G16+F17</x:f>
        <x:v>618000</x:v>
      </x:c>
      <x:c r="H17" s="6" t="n">
        <x:v>-56000</x:v>
      </x:c>
      <x:c r="I17" s="6" t="n">
        <x:v>56000</x:v>
      </x:c>
      <x:c r="J17" s="6" t="n">
        <x:v>4</x:v>
      </x:c>
      <x:c r="K17" s="6" t="n">
        <x:v>0</x:v>
      </x:c>
      <x:c r="L17" s="6" t="n">
        <x:v>-10000</x:v>
      </x:c>
    </x:row>
    <x:row r="18" ht="25" customHeight="1">
      <x:c r="A18" s="2" t="str">
        <x:v>2026-10-07_Night</x:v>
      </x:c>
      <x:c r="B18" s="7" t="str">
        <x:v>旧完了場</x:v>
      </x:c>
      <x:c r="C18" s="7" t="str">
        <x:v>下落</x:v>
      </x:c>
      <x:c r="D18" s="6" t="n">
        <x:v>20000</x:v>
      </x:c>
      <x:c r="E18" s="6" t="n">
        <x:v>44000</x:v>
      </x:c>
      <x:c r="F18" s="6" t="n">
        <x:f>D18-E18</x:f>
        <x:v>-24000</x:v>
      </x:c>
      <x:c r="G18" s="6" t="n">
        <x:f>G17+F18</x:f>
        <x:v>594000</x:v>
      </x:c>
      <x:c r="H18" s="6" t="n">
        <x:v>-30000</x:v>
      </x:c>
      <x:c r="I18" s="6" t="n">
        <x:v>50000</x:v>
      </x:c>
      <x:c r="J18" s="6" t="n">
        <x:v>5</x:v>
      </x:c>
      <x:c r="K18" s="6" t="n">
        <x:v>-2000</x:v>
      </x:c>
      <x:c r="L18" s="6" t="n">
        <x:v>-22000</x:v>
      </x:c>
    </x:row>
    <x:row r="19" ht="25" customHeight="1">
      <x:c r="A19" s="2" t="str">
        <x:v>2026-10-08_Night</x:v>
      </x:c>
      <x:c r="B19" s="7" t="str">
        <x:v>旧完了場</x:v>
      </x:c>
      <x:c r="C19" s="7" t="str">
        <x:v>下落</x:v>
      </x:c>
      <x:c r="D19" s="6" t="n">
        <x:v>334000</x:v>
      </x:c>
      <x:c r="E19" s="6" t="n">
        <x:v>20000</x:v>
      </x:c>
      <x:c r="F19" s="6" t="n">
        <x:f>D19-E19</x:f>
        <x:v>314000</x:v>
      </x:c>
      <x:c r="G19" s="6" t="n">
        <x:f>G18+F19</x:f>
        <x:v>908000</x:v>
      </x:c>
      <x:c r="H19" s="6" t="n">
        <x:v>-34000</x:v>
      </x:c>
      <x:c r="I19" s="6" t="n">
        <x:v>102000</x:v>
      </x:c>
      <x:c r="J19" s="6" t="n">
        <x:v>17</x:v>
      </x:c>
      <x:c r="K19" s="6" t="n">
        <x:v>8000</x:v>
      </x:c>
      <x:c r="L19" s="6" t="n">
        <x:v>306000</x:v>
      </x:c>
    </x:row>
    <x:row r="20" ht="25" customHeight="1">
      <x:c r="A20" s="2" t="str">
        <x:v>2026-10-09_Night</x:v>
      </x:c>
      <x:c r="B20" s="7" t="str">
        <x:v>旧完了場</x:v>
      </x:c>
      <x:c r="C20" s="7" t="str">
        <x:v>下落</x:v>
      </x:c>
      <x:c r="D20" s="6" t="n">
        <x:v>54000</x:v>
      </x:c>
      <x:c r="E20" s="6" t="n">
        <x:v>0</x:v>
      </x:c>
      <x:c r="F20" s="6" t="n">
        <x:f>D20-E20</x:f>
        <x:v>54000</x:v>
      </x:c>
      <x:c r="G20" s="6" t="n">
        <x:f>G19+F20</x:f>
        <x:v>962000</x:v>
      </x:c>
      <x:c r="H20" s="6" t="n">
        <x:v>-10000</x:v>
      </x:c>
      <x:c r="I20" s="6" t="n">
        <x:v>60000</x:v>
      </x:c>
      <x:c r="J20" s="6" t="n">
        <x:v>3</x:v>
      </x:c>
      <x:c r="K20" s="6" t="n">
        <x:v>40000</x:v>
      </x:c>
      <x:c r="L20" s="6" t="n">
        <x:v>14000</x:v>
      </x:c>
    </x:row>
    <x:row r="21" ht="25" customHeight="1">
      <x:c r="A21" s="2" t="str">
        <x:v>2026-10-12_Night</x:v>
      </x:c>
      <x:c r="B21" s="7" t="str">
        <x:v>旧完了場</x:v>
      </x:c>
      <x:c r="C21" s="7" t="str">
        <x:v>下落</x:v>
      </x:c>
      <x:c r="D21" s="6" t="n">
        <x:v>82000</x:v>
      </x:c>
      <x:c r="E21" s="6" t="n">
        <x:v>0</x:v>
      </x:c>
      <x:c r="F21" s="6" t="n">
        <x:f>D21-E21</x:f>
        <x:v>82000</x:v>
      </x:c>
      <x:c r="G21" s="6" t="n">
        <x:f>G20+F21</x:f>
        <x:v>1044000</x:v>
      </x:c>
      <x:c r="H21" s="6" t="n">
        <x:v>-10000</x:v>
      </x:c>
      <x:c r="I21" s="6" t="n">
        <x:v>33000</x:v>
      </x:c>
      <x:c r="J21" s="6" t="n">
        <x:v>1</x:v>
      </x:c>
      <x:c r="K21" s="6" t="n">
        <x:v>0</x:v>
      </x:c>
      <x:c r="L21" s="6" t="n">
        <x:v>82000</x:v>
      </x:c>
    </x:row>
    <x:row r="22" ht="25" customHeight="1">
      <x:c r="A22" s="2" t="str">
        <x:v>2026-10-13_Night</x:v>
      </x:c>
      <x:c r="B22" s="7" t="str">
        <x:v>旧完了場</x:v>
      </x:c>
      <x:c r="C22" s="7" t="str">
        <x:v>上昇</x:v>
      </x:c>
      <x:c r="D22" s="6" t="n">
        <x:v>15000</x:v>
      </x:c>
      <x:c r="E22" s="6" t="n">
        <x:v>53000</x:v>
      </x:c>
      <x:c r="F22" s="6" t="n">
        <x:f>D22-E22</x:f>
        <x:v>-38000</x:v>
      </x:c>
      <x:c r="G22" s="6" t="n">
        <x:f>G21+F22</x:f>
        <x:v>1006000</x:v>
      </x:c>
      <x:c r="H22" s="6" t="n">
        <x:v>-38000</x:v>
      </x:c>
      <x:c r="I22" s="6" t="n">
        <x:v>58000</x:v>
      </x:c>
      <x:c r="J22" s="6" t="n">
        <x:v>3</x:v>
      </x:c>
      <x:c r="K22" s="6" t="n">
        <x:v>15000</x:v>
      </x:c>
      <x:c r="L22" s="6" t="n">
        <x:v>-53000</x:v>
      </x:c>
    </x:row>
    <x:row r="23" ht="25" customHeight="1">
      <x:c r="A23" s="2" t="str">
        <x:v>2026-10-14_Night</x:v>
      </x:c>
      <x:c r="B23" s="7" t="str">
        <x:v>旧完了場</x:v>
      </x:c>
      <x:c r="C23" s="7" t="str">
        <x:v>下落</x:v>
      </x:c>
      <x:c r="D23" s="6" t="n">
        <x:v>212000</x:v>
      </x:c>
      <x:c r="E23" s="6" t="n">
        <x:v>61000</x:v>
      </x:c>
      <x:c r="F23" s="6" t="n">
        <x:f>D23-E23</x:f>
        <x:v>151000</x:v>
      </x:c>
      <x:c r="G23" s="6" t="n">
        <x:f>G22+F23</x:f>
        <x:v>1157000</x:v>
      </x:c>
      <x:c r="H23" s="6" t="n">
        <x:v>-45000</x:v>
      </x:c>
      <x:c r="I23" s="6" t="n">
        <x:v>65000</x:v>
      </x:c>
      <x:c r="J23" s="6" t="n">
        <x:v>5</x:v>
      </x:c>
      <x:c r="K23" s="6" t="n">
        <x:v>15000</x:v>
      </x:c>
      <x:c r="L23" s="6" t="n">
        <x:v>136000</x:v>
      </x:c>
    </x:row>
    <x:row r="24" ht="25" customHeight="1">
      <x:c r="A24" s="2" t="str">
        <x:v>2026-10-15_Night</x:v>
      </x:c>
      <x:c r="B24" s="7" t="str">
        <x:v>旧完了場</x:v>
      </x:c>
      <x:c r="C24" s="7" t="str">
        <x:v>上昇</x:v>
      </x:c>
      <x:c r="D24" s="6" t="n">
        <x:v>75000</x:v>
      </x:c>
      <x:c r="E24" s="6" t="n">
        <x:v>53000</x:v>
      </x:c>
      <x:c r="F24" s="6" t="n">
        <x:f>D24-E24</x:f>
        <x:v>22000</x:v>
      </x:c>
      <x:c r="G24" s="6" t="n">
        <x:f>G23+F24</x:f>
        <x:v>1179000</x:v>
      </x:c>
      <x:c r="H24" s="6" t="n">
        <x:v>-48000</x:v>
      </x:c>
      <x:c r="I24" s="6" t="n">
        <x:v>90000</x:v>
      </x:c>
      <x:c r="J24" s="6" t="n">
        <x:v>7</x:v>
      </x:c>
      <x:c r="K24" s="6" t="n">
        <x:v>0</x:v>
      </x:c>
      <x:c r="L24" s="6" t="n">
        <x:v>22000</x:v>
      </x:c>
    </x:row>
    <x:row r="25" ht="25" customHeight="1">
      <x:c r="A25" s="2" t="str">
        <x:v>2026-10-16_Night</x:v>
      </x:c>
      <x:c r="B25" s="7" t="str">
        <x:v>旧完了場</x:v>
      </x:c>
      <x:c r="C25" s="7" t="str">
        <x:v>下落</x:v>
      </x:c>
      <x:c r="D25" s="6" t="n">
        <x:v>158000</x:v>
      </x:c>
      <x:c r="E25" s="6" t="n">
        <x:v>146000</x:v>
      </x:c>
      <x:c r="F25" s="6" t="n">
        <x:f>D25-E25</x:f>
        <x:v>12000</x:v>
      </x:c>
      <x:c r="G25" s="6" t="n">
        <x:f>G24+F25</x:f>
        <x:v>1191000</x:v>
      </x:c>
      <x:c r="H25" s="6" t="n">
        <x:v>-105000</x:v>
      </x:c>
      <x:c r="I25" s="6" t="n">
        <x:v>121000</x:v>
      </x:c>
      <x:c r="J25" s="6" t="n">
        <x:v>14</x:v>
      </x:c>
      <x:c r="K25" s="6" t="n">
        <x:v>-20000</x:v>
      </x:c>
      <x:c r="L25" s="6" t="n">
        <x:v>32000</x:v>
      </x:c>
    </x:row>
    <x:row r="26" ht="25" customHeight="1">
      <x:c r="A26" s="2" t="str">
        <x:v>2026-10-19_Night</x:v>
      </x:c>
      <x:c r="B26" s="7" t="str">
        <x:v>旧完了場</x:v>
      </x:c>
      <x:c r="C26" s="7" t="str">
        <x:v>上昇</x:v>
      </x:c>
      <x:c r="D26" s="6" t="n">
        <x:v>120000</x:v>
      </x:c>
      <x:c r="E26" s="6" t="n">
        <x:v>93000</x:v>
      </x:c>
      <x:c r="F26" s="6" t="n">
        <x:f>D26-E26</x:f>
        <x:v>27000</x:v>
      </x:c>
      <x:c r="G26" s="6" t="n">
        <x:f>G25+F26</x:f>
        <x:v>1218000</x:v>
      </x:c>
      <x:c r="H26" s="6" t="n">
        <x:v>-40000</x:v>
      </x:c>
      <x:c r="I26" s="6" t="n">
        <x:v>97000</x:v>
      </x:c>
      <x:c r="J26" s="6" t="n">
        <x:v>14</x:v>
      </x:c>
      <x:c r="K26" s="6" t="n">
        <x:v>35000</x:v>
      </x:c>
      <x:c r="L26" s="6" t="n">
        <x:v>-8000</x:v>
      </x:c>
    </x:row>
    <x:row r="27" ht="25" customHeight="1">
      <x:c r="A27" s="2" t="str">
        <x:v>2026-10-20_Night</x:v>
      </x:c>
      <x:c r="B27" s="7" t="str">
        <x:v>旧完了場</x:v>
      </x:c>
      <x:c r="C27" s="7" t="str">
        <x:v>上昇</x:v>
      </x:c>
      <x:c r="D27" s="6" t="n">
        <x:v>147000</x:v>
      </x:c>
      <x:c r="E27" s="6" t="n">
        <x:v>24000</x:v>
      </x:c>
      <x:c r="F27" s="6" t="n">
        <x:f>D27-E27</x:f>
        <x:v>123000</x:v>
      </x:c>
      <x:c r="G27" s="6" t="n">
        <x:f>G26+F27</x:f>
        <x:v>1341000</x:v>
      </x:c>
      <x:c r="H27" s="6" t="n">
        <x:v>-10000</x:v>
      </x:c>
      <x:c r="I27" s="6" t="n">
        <x:v>53000</x:v>
      </x:c>
      <x:c r="J27" s="6" t="n">
        <x:v>11</x:v>
      </x:c>
      <x:c r="K27" s="6" t="n">
        <x:v>57000</x:v>
      </x:c>
      <x:c r="L27" s="6" t="n">
        <x:v>66000</x:v>
      </x:c>
    </x:row>
    <x:row r="28" ht="25" customHeight="1">
      <x:c r="A28" s="2" t="str">
        <x:v>2026-10-21_Night</x:v>
      </x:c>
      <x:c r="B28" s="7" t="str">
        <x:v>旧完了場</x:v>
      </x:c>
      <x:c r="C28" s="7" t="str">
        <x:v>上昇</x:v>
      </x:c>
      <x:c r="D28" s="6" t="n">
        <x:v>76000</x:v>
      </x:c>
      <x:c r="E28" s="6" t="n">
        <x:v>85000</x:v>
      </x:c>
      <x:c r="F28" s="6" t="n">
        <x:f>D28-E28</x:f>
        <x:v>-9000</x:v>
      </x:c>
      <x:c r="G28" s="6" t="n">
        <x:f>G27+F28</x:f>
        <x:v>1332000</x:v>
      </x:c>
      <x:c r="H28" s="6" t="n">
        <x:v>-35000</x:v>
      </x:c>
      <x:c r="I28" s="6" t="n">
        <x:v>131000</x:v>
      </x:c>
      <x:c r="J28" s="6" t="n">
        <x:v>6</x:v>
      </x:c>
      <x:c r="K28" s="6" t="n">
        <x:v>15000</x:v>
      </x:c>
      <x:c r="L28" s="6" t="n">
        <x:v>-24000</x:v>
      </x:c>
    </x:row>
    <x:row r="29" ht="25" customHeight="1">
      <x:c r="A29" s="2" t="str">
        <x:v>2026-10-22_Night</x:v>
      </x:c>
      <x:c r="B29" s="7" t="str">
        <x:v>旧完了場</x:v>
      </x:c>
      <x:c r="C29" s="7" t="str">
        <x:v>下落</x:v>
      </x:c>
      <x:c r="D29" s="6" t="n">
        <x:v>156000</x:v>
      </x:c>
      <x:c r="E29" s="6" t="n">
        <x:v>0</x:v>
      </x:c>
      <x:c r="F29" s="6" t="n">
        <x:f>D29-E29</x:f>
        <x:v>156000</x:v>
      </x:c>
      <x:c r="G29" s="6" t="n">
        <x:f>G28+F29</x:f>
        <x:v>1488000</x:v>
      </x:c>
      <x:c r="H29" s="6" t="n">
        <x:v>-2000</x:v>
      </x:c>
      <x:c r="I29" s="6" t="n">
        <x:v>64000</x:v>
      </x:c>
      <x:c r="J29" s="6" t="n">
        <x:v>3</x:v>
      </x:c>
      <x:c r="K29" s="6" t="n">
        <x:v>0</x:v>
      </x:c>
      <x:c r="L29" s="6" t="n">
        <x:v>156000</x:v>
      </x:c>
    </x:row>
    <x:row r="30" ht="25" customHeight="1">
      <x:c r="A30" s="2" t="str">
        <x:v>2026-10-23_Night</x:v>
      </x:c>
      <x:c r="B30" s="7" t="str">
        <x:v>旧完了場</x:v>
      </x:c>
      <x:c r="C30" s="7" t="str">
        <x:v>上昇</x:v>
      </x:c>
      <x:c r="D30" s="6" t="n">
        <x:v>60000</x:v>
      </x:c>
      <x:c r="E30" s="6" t="n">
        <x:v>51000</x:v>
      </x:c>
      <x:c r="F30" s="6" t="n">
        <x:f>D30-E30</x:f>
        <x:v>9000</x:v>
      </x:c>
      <x:c r="G30" s="6" t="n">
        <x:f>G29+F30</x:f>
        <x:v>1497000</x:v>
      </x:c>
      <x:c r="H30" s="6" t="n">
        <x:v>-36000</x:v>
      </x:c>
      <x:c r="I30" s="6" t="n">
        <x:v>89000</x:v>
      </x:c>
      <x:c r="J30" s="6" t="n">
        <x:v>11</x:v>
      </x:c>
      <x:c r="K30" s="6" t="n">
        <x:v>-6000</x:v>
      </x:c>
      <x:c r="L30" s="6" t="n">
        <x:v>15000</x:v>
      </x:c>
    </x:row>
    <x:row r="31" ht="25" customHeight="1">
      <x:c r="A31" s="2" t="str">
        <x:v>2026-10-26_Night</x:v>
      </x:c>
      <x:c r="B31" s="7" t="str">
        <x:v>追加完了版</x:v>
      </x:c>
      <x:c r="C31" s="7" t="str">
        <x:v>上昇</x:v>
      </x:c>
      <x:c r="D31" s="6" t="n">
        <x:v>79000</x:v>
      </x:c>
      <x:c r="E31" s="6" t="n">
        <x:v>115000</x:v>
      </x:c>
      <x:c r="F31" s="6" t="n">
        <x:f>D31-E31</x:f>
        <x:v>-36000</x:v>
      </x:c>
      <x:c r="G31" s="6" t="n">
        <x:f>G30+F31</x:f>
        <x:v>1461000</x:v>
      </x:c>
      <x:c r="H31" s="6" t="n">
        <x:v>-37000</x:v>
      </x:c>
      <x:c r="I31" s="6" t="n">
        <x:v>121000</x:v>
      </x:c>
      <x:c r="J31" s="6" t="n">
        <x:v>12</x:v>
      </x:c>
      <x:c r="K31" s="6" t="n">
        <x:v>15000</x:v>
      </x:c>
      <x:c r="L31" s="6" t="n">
        <x:v>-51000</x:v>
      </x:c>
    </x:row>
    <x:row r="32" ht="25" customHeight="1">
      <x:c r="A32" s="14" t="str">
        <x:v>累計／場内最悪値</x:v>
      </x:c>
      <x:c r="B32" s="15"/>
      <x:c r="C32" s="15"/>
      <x:c r="D32" s="15" t="n">
        <x:f>SUM(D6:D31)</x:f>
        <x:v>2596000</x:v>
      </x:c>
      <x:c r="E32" s="15" t="n">
        <x:f>SUM(E6:E31)</x:f>
        <x:v>1135000</x:v>
      </x:c>
      <x:c r="F32" s="15" t="n">
        <x:f>D32-E32</x:f>
        <x:v>1461000</x:v>
      </x:c>
      <x:c r="G32" s="15" t="n">
        <x:f>G31</x:f>
        <x:v>1461000</x:v>
      </x:c>
      <x:c r="H32" s="15" t="n">
        <x:f>MIN(H6:H31)</x:f>
        <x:v>-105000</x:v>
      </x:c>
      <x:c r="I32" s="15" t="n">
        <x:f>MAX(I6:I31)</x:f>
        <x:v>162000</x:v>
      </x:c>
      <x:c r="J32" s="15" t="n">
        <x:f>SUM(J6:J31)</x:f>
        <x:v>184</x:v>
      </x:c>
      <x:c r="K32" s="15" t="n">
        <x:f>SUM(K6:K31)</x:f>
        <x:v>369000</x:v>
      </x:c>
      <x:c r="L32" s="15" t="n">
        <x:f>SUM(L6:L31)</x:f>
        <x:v>1092000</x:v>
      </x:c>
    </x:row>
  </x:sheetData>
  <x:conditionalFormatting sqref="F6:H31">
    <x:cfRule type="cellIs" dxfId="0" priority="1" operator="lessThan">
      <x:formula>0</x:formula>
    </x:cfRule>
  </x:conditionalFormatting>
  <x:conditionalFormatting sqref="K6:L31">
    <x:cfRule type="cellIs" dxfId="1" priority="2" operator="lessThan">
      <x:formula>0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d87644543fbd4978"/>
  </x:tableParts>
</x:worksheet>
</file>

<file path=xl/worksheets/sheet4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25" hidden="0" customWidth="1"/>
    <x:col min="2" max="2" width="15" hidden="0" customWidth="1"/>
    <x:col min="3" max="3" width="10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  <x:col min="12" max="12" width="16" hidden="0" customWidth="1"/>
  </x:cols>
  <x:sheetData>
    <x:row r="1" ht="10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</x:row>
    <x:row r="2" ht="25" customHeight="1">
      <x:c r="A2" s="3" t="str">
        <x:v>日経 N01　夜間損益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</x:row>
    <x:row r="3" ht="25" customHeight="1">
      <x:c r="A3" s="4" t="str">
        <x:v>全初回10micro固定の量対照</x:v>
      </x:c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</x:row>
    <x:row r="4" ht="25" customHeight="1">
      <x:c r="A4" s="4" t="str">
        <x:v>片側micro100枚＝mini10枚相当・手数料0。途中最悪は確定＋全玉含み、最大下落は当場ピークからの落差。</x:v>
      </x:c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</x:row>
    <x:row r="5" ht="45" customHeight="1">
      <x:c r="A5" s="11" t="str">
        <x:v>セッション</x:v>
      </x:c>
      <x:c r="B5" s="11" t="str">
        <x:v>資料区分</x:v>
      </x:c>
      <x:c r="C5" s="11" t="str">
        <x:v>場の方向</x:v>
      </x:c>
      <x:c r="D5" s="11" t="str">
        <x:v>利益（円）</x:v>
      </x:c>
      <x:c r="E5" s="11" t="str">
        <x:v>損失（円）</x:v>
      </x:c>
      <x:c r="F5" s="11" t="str">
        <x:v>収支（円）</x:v>
      </x:c>
      <x:c r="G5" s="11" t="str">
        <x:v>累計（円）</x:v>
      </x:c>
      <x:c r="H5" s="11" t="str">
        <x:v>途中最悪収支（円）</x:v>
      </x:c>
      <x:c r="I5" s="11" t="str">
        <x:v>最大下落額（円）</x:v>
      </x:c>
      <x:c r="J5" s="11" t="str">
        <x:v>新規回数</x:v>
      </x:c>
      <x:c r="K5" s="11" t="str">
        <x:v>米国前収支（円）</x:v>
      </x:c>
      <x:c r="L5" s="11" t="str">
        <x:v>米国後収支（円）</x:v>
      </x:c>
    </x:row>
    <x:row r="6" ht="25" customHeight="1">
      <x:c r="A6" s="2" t="str">
        <x:v>2026-09-21_Night</x:v>
      </x:c>
      <x:c r="B6" s="7" t="str">
        <x:v>旧完了場</x:v>
      </x:c>
      <x:c r="C6" s="7" t="str">
        <x:v>上昇</x:v>
      </x:c>
      <x:c r="D6" s="6" t="n">
        <x:v>0</x:v>
      </x:c>
      <x:c r="E6" s="6" t="n">
        <x:v>9000</x:v>
      </x:c>
      <x:c r="F6" s="6" t="n">
        <x:f>D6-E6</x:f>
        <x:v>-9000</x:v>
      </x:c>
      <x:c r="G6" s="6" t="n">
        <x:f>F6</x:f>
        <x:v>-9000</x:v>
      </x:c>
      <x:c r="H6" s="6" t="n">
        <x:v>-9000</x:v>
      </x:c>
      <x:c r="I6" s="6" t="n">
        <x:v>13000</x:v>
      </x:c>
      <x:c r="J6" s="6" t="n">
        <x:v>1</x:v>
      </x:c>
      <x:c r="K6" s="6" t="n">
        <x:v>0</x:v>
      </x:c>
      <x:c r="L6" s="6" t="n">
        <x:v>-9000</x:v>
      </x:c>
    </x:row>
    <x:row r="7" ht="25" customHeight="1">
      <x:c r="A7" s="2" t="str">
        <x:v>2026-09-22_Night</x:v>
      </x:c>
      <x:c r="B7" s="7" t="str">
        <x:v>旧完了場</x:v>
      </x:c>
      <x:c r="C7" s="7" t="str">
        <x:v>上昇</x:v>
      </x:c>
      <x:c r="D7" s="6" t="n">
        <x:v>7800</x:v>
      </x:c>
      <x:c r="E7" s="6" t="n">
        <x:v>0</x:v>
      </x:c>
      <x:c r="F7" s="6" t="n">
        <x:f>D7-E7</x:f>
        <x:v>7800</x:v>
      </x:c>
      <x:c r="G7" s="6" t="n">
        <x:f>G6+F7</x:f>
        <x:v>-1200</x:v>
      </x:c>
      <x:c r="H7" s="6" t="n">
        <x:v>-9000</x:v>
      </x:c>
      <x:c r="I7" s="6" t="n">
        <x:v>11000</x:v>
      </x:c>
      <x:c r="J7" s="6" t="n">
        <x:v>2</x:v>
      </x:c>
      <x:c r="K7" s="6" t="n">
        <x:v>3000</x:v>
      </x:c>
      <x:c r="L7" s="6" t="n">
        <x:v>4800</x:v>
      </x:c>
    </x:row>
    <x:row r="8" ht="25" customHeight="1">
      <x:c r="A8" s="2" t="str">
        <x:v>2026-09-23_Night</x:v>
      </x:c>
      <x:c r="B8" s="7" t="str">
        <x:v>旧完了場</x:v>
      </x:c>
      <x:c r="C8" s="7" t="str">
        <x:v>下落</x:v>
      </x:c>
      <x:c r="D8" s="6" t="n">
        <x:v>4000</x:v>
      </x:c>
      <x:c r="E8" s="6" t="n">
        <x:v>8000</x:v>
      </x:c>
      <x:c r="F8" s="6" t="n">
        <x:f>D8-E8</x:f>
        <x:v>-4000</x:v>
      </x:c>
      <x:c r="G8" s="6" t="n">
        <x:f>G7+F8</x:f>
        <x:v>-5200</x:v>
      </x:c>
      <x:c r="H8" s="6" t="n">
        <x:v>-12000</x:v>
      </x:c>
      <x:c r="I8" s="6" t="n">
        <x:v>16000</x:v>
      </x:c>
      <x:c r="J8" s="6" t="n">
        <x:v>3</x:v>
      </x:c>
      <x:c r="K8" s="6" t="n">
        <x:v>0</x:v>
      </x:c>
      <x:c r="L8" s="6" t="n">
        <x:v>-4000</x:v>
      </x:c>
    </x:row>
    <x:row r="9" ht="25" customHeight="1">
      <x:c r="A9" s="2" t="str">
        <x:v>2026-09-24_Night</x:v>
      </x:c>
      <x:c r="B9" s="7" t="str">
        <x:v>旧完了場</x:v>
      </x:c>
      <x:c r="C9" s="7" t="str">
        <x:v>上昇</x:v>
      </x:c>
      <x:c r="D9" s="6" t="n">
        <x:v>26000</x:v>
      </x:c>
      <x:c r="E9" s="6" t="n">
        <x:v>0</x:v>
      </x:c>
      <x:c r="F9" s="6" t="n">
        <x:f>D9-E9</x:f>
        <x:v>26000</x:v>
      </x:c>
      <x:c r="G9" s="6" t="n">
        <x:f>G8+F9</x:f>
        <x:v>20800</x:v>
      </x:c>
      <x:c r="H9" s="6" t="n">
        <x:v>-17000</x:v>
      </x:c>
      <x:c r="I9" s="6" t="n">
        <x:v>24000</x:v>
      </x:c>
      <x:c r="J9" s="6" t="n">
        <x:v>4</x:v>
      </x:c>
      <x:c r="K9" s="6" t="n">
        <x:v>6000</x:v>
      </x:c>
      <x:c r="L9" s="6" t="n">
        <x:v>20000</x:v>
      </x:c>
    </x:row>
    <x:row r="10" ht="25" customHeight="1">
      <x:c r="A10" s="2" t="str">
        <x:v>2026-09-25_Night</x:v>
      </x:c>
      <x:c r="B10" s="7" t="str">
        <x:v>旧完了場</x:v>
      </x:c>
      <x:c r="C10" s="7" t="str">
        <x:v>上昇</x:v>
      </x:c>
      <x:c r="D10" s="6" t="n">
        <x:v>3400</x:v>
      </x:c>
      <x:c r="E10" s="6" t="n">
        <x:v>16000</x:v>
      </x:c>
      <x:c r="F10" s="6" t="n">
        <x:f>D10-E10</x:f>
        <x:v>-12600</x:v>
      </x:c>
      <x:c r="G10" s="6" t="n">
        <x:f>G9+F10</x:f>
        <x:v>8200</x:v>
      </x:c>
      <x:c r="H10" s="6" t="n">
        <x:v>-12600</x:v>
      </x:c>
      <x:c r="I10" s="6" t="n">
        <x:v>19600</x:v>
      </x:c>
      <x:c r="J10" s="6" t="n">
        <x:v>2</x:v>
      </x:c>
      <x:c r="K10" s="6" t="n">
        <x:v>0</x:v>
      </x:c>
      <x:c r="L10" s="6" t="n">
        <x:v>-12600</x:v>
      </x:c>
    </x:row>
    <x:row r="11" ht="25" customHeight="1">
      <x:c r="A11" s="2" t="str">
        <x:v>2026-09-28_Night</x:v>
      </x:c>
      <x:c r="B11" s="7" t="str">
        <x:v>旧完了場</x:v>
      </x:c>
      <x:c r="C11" s="7" t="str">
        <x:v>横ばい</x:v>
      </x:c>
      <x:c r="D11" s="6" t="n">
        <x:v>4500</x:v>
      </x:c>
      <x:c r="E11" s="6" t="n">
        <x:v>20000</x:v>
      </x:c>
      <x:c r="F11" s="6" t="n">
        <x:f>D11-E11</x:f>
        <x:v>-15500</x:v>
      </x:c>
      <x:c r="G11" s="6" t="n">
        <x:f>G10+F11</x:f>
        <x:v>-7300</x:v>
      </x:c>
      <x:c r="H11" s="6" t="n">
        <x:v>-21000</x:v>
      </x:c>
      <x:c r="I11" s="6" t="n">
        <x:v>27000</x:v>
      </x:c>
      <x:c r="J11" s="6" t="n">
        <x:v>5</x:v>
      </x:c>
      <x:c r="K11" s="6" t="n">
        <x:v>4000</x:v>
      </x:c>
      <x:c r="L11" s="6" t="n">
        <x:v>-19500</x:v>
      </x:c>
    </x:row>
    <x:row r="12" ht="25" customHeight="1">
      <x:c r="A12" s="2" t="str">
        <x:v>2026-09-29_Night</x:v>
      </x:c>
      <x:c r="B12" s="7" t="str">
        <x:v>旧完了場</x:v>
      </x:c>
      <x:c r="C12" s="7" t="str">
        <x:v>上昇</x:v>
      </x:c>
      <x:c r="D12" s="6" t="n">
        <x:v>17400</x:v>
      </x:c>
      <x:c r="E12" s="6" t="n">
        <x:v>22000</x:v>
      </x:c>
      <x:c r="F12" s="6" t="n">
        <x:f>D12-E12</x:f>
        <x:v>-4600</x:v>
      </x:c>
      <x:c r="G12" s="6" t="n">
        <x:f>G11+F12</x:f>
        <x:v>-11900</x:v>
      </x:c>
      <x:c r="H12" s="6" t="n">
        <x:v>-17600</x:v>
      </x:c>
      <x:c r="I12" s="6" t="n">
        <x:v>37000</x:v>
      </x:c>
      <x:c r="J12" s="6" t="n">
        <x:v>6</x:v>
      </x:c>
      <x:c r="K12" s="6" t="n">
        <x:v>0</x:v>
      </x:c>
      <x:c r="L12" s="6" t="n">
        <x:v>-4600</x:v>
      </x:c>
    </x:row>
    <x:row r="13" ht="25" customHeight="1">
      <x:c r="A13" s="2" t="str">
        <x:v>2026-09-30_Night</x:v>
      </x:c>
      <x:c r="B13" s="7" t="str">
        <x:v>旧完了場</x:v>
      </x:c>
      <x:c r="C13" s="7" t="str">
        <x:v>下落</x:v>
      </x:c>
      <x:c r="D13" s="6" t="n">
        <x:v>31000</x:v>
      </x:c>
      <x:c r="E13" s="6" t="n">
        <x:v>0</x:v>
      </x:c>
      <x:c r="F13" s="6" t="n">
        <x:f>D13-E13</x:f>
        <x:v>31000</x:v>
      </x:c>
      <x:c r="G13" s="6" t="n">
        <x:f>G12+F13</x:f>
        <x:v>19100</x:v>
      </x:c>
      <x:c r="H13" s="6" t="n">
        <x:v>-15000</x:v>
      </x:c>
      <x:c r="I13" s="6" t="n">
        <x:v>33400</x:v>
      </x:c>
      <x:c r="J13" s="6" t="n">
        <x:v>6</x:v>
      </x:c>
      <x:c r="K13" s="6" t="n">
        <x:v>12000</x:v>
      </x:c>
      <x:c r="L13" s="6" t="n">
        <x:v>19000</x:v>
      </x:c>
    </x:row>
    <x:row r="14" ht="25" customHeight="1">
      <x:c r="A14" s="2" t="str">
        <x:v>2026-10-01_Night</x:v>
      </x:c>
      <x:c r="B14" s="7" t="str">
        <x:v>旧完了場</x:v>
      </x:c>
      <x:c r="C14" s="7" t="str">
        <x:v>上昇</x:v>
      </x:c>
      <x:c r="D14" s="6" t="n">
        <x:v>139000</x:v>
      </x:c>
      <x:c r="E14" s="6" t="n">
        <x:v>61000</x:v>
      </x:c>
      <x:c r="F14" s="6" t="n">
        <x:f>D14-E14</x:f>
        <x:v>78000</x:v>
      </x:c>
      <x:c r="G14" s="6" t="n">
        <x:f>G13+F14</x:f>
        <x:v>97100</x:v>
      </x:c>
      <x:c r="H14" s="6" t="n">
        <x:v>-44000</x:v>
      </x:c>
      <x:c r="I14" s="6" t="n">
        <x:v>97000</x:v>
      </x:c>
      <x:c r="J14" s="6" t="n">
        <x:v>16</x:v>
      </x:c>
      <x:c r="K14" s="6" t="n">
        <x:v>24500</x:v>
      </x:c>
      <x:c r="L14" s="6" t="n">
        <x:v>53500</x:v>
      </x:c>
    </x:row>
    <x:row r="15" ht="25" customHeight="1">
      <x:c r="A15" s="2" t="str">
        <x:v>2026-10-02_Night</x:v>
      </x:c>
      <x:c r="B15" s="7" t="str">
        <x:v>旧完了場</x:v>
      </x:c>
      <x:c r="C15" s="7" t="str">
        <x:v>上昇</x:v>
      </x:c>
      <x:c r="D15" s="6" t="n">
        <x:v>122000</x:v>
      </x:c>
      <x:c r="E15" s="6" t="n">
        <x:v>19000</x:v>
      </x:c>
      <x:c r="F15" s="6" t="n">
        <x:f>D15-E15</x:f>
        <x:v>103000</x:v>
      </x:c>
      <x:c r="G15" s="6" t="n">
        <x:f>G14+F15</x:f>
        <x:v>200100</x:v>
      </x:c>
      <x:c r="H15" s="6" t="n">
        <x:v>-14000</x:v>
      </x:c>
      <x:c r="I15" s="6" t="n">
        <x:v>110700</x:v>
      </x:c>
      <x:c r="J15" s="6" t="n">
        <x:v>15</x:v>
      </x:c>
      <x:c r="K15" s="6" t="n">
        <x:v>0</x:v>
      </x:c>
      <x:c r="L15" s="6" t="n">
        <x:v>103000</x:v>
      </x:c>
    </x:row>
    <x:row r="16" ht="25" customHeight="1">
      <x:c r="A16" s="2" t="str">
        <x:v>2026-10-05_Night</x:v>
      </x:c>
      <x:c r="B16" s="7" t="str">
        <x:v>旧完了場</x:v>
      </x:c>
      <x:c r="C16" s="7" t="str">
        <x:v>下落</x:v>
      </x:c>
      <x:c r="D16" s="6" t="n">
        <x:v>66500</x:v>
      </x:c>
      <x:c r="E16" s="6" t="n">
        <x:v>26000</x:v>
      </x:c>
      <x:c r="F16" s="6" t="n">
        <x:f>D16-E16</x:f>
        <x:v>40500</x:v>
      </x:c>
      <x:c r="G16" s="6" t="n">
        <x:f>G15+F16</x:f>
        <x:v>240600</x:v>
      </x:c>
      <x:c r="H16" s="6" t="n">
        <x:v>-27000</x:v>
      </x:c>
      <x:c r="I16" s="6" t="n">
        <x:v>76500</x:v>
      </x:c>
      <x:c r="J16" s="6" t="n">
        <x:v>8</x:v>
      </x:c>
      <x:c r="K16" s="6" t="n">
        <x:v>3000</x:v>
      </x:c>
      <x:c r="L16" s="6" t="n">
        <x:v>37500</x:v>
      </x:c>
    </x:row>
    <x:row r="17" ht="25" customHeight="1">
      <x:c r="A17" s="2" t="str">
        <x:v>2026-10-06_Night</x:v>
      </x:c>
      <x:c r="B17" s="7" t="str">
        <x:v>旧完了場</x:v>
      </x:c>
      <x:c r="C17" s="7" t="str">
        <x:v>横ばい</x:v>
      </x:c>
      <x:c r="D17" s="6" t="n">
        <x:v>33000</x:v>
      </x:c>
      <x:c r="E17" s="6" t="n">
        <x:v>15000</x:v>
      </x:c>
      <x:c r="F17" s="6" t="n">
        <x:f>D17-E17</x:f>
        <x:v>18000</x:v>
      </x:c>
      <x:c r="G17" s="6" t="n">
        <x:f>G16+F17</x:f>
        <x:v>258600</x:v>
      </x:c>
      <x:c r="H17" s="6" t="n">
        <x:v>-28000</x:v>
      </x:c>
      <x:c r="I17" s="6" t="n">
        <x:v>28000</x:v>
      </x:c>
      <x:c r="J17" s="6" t="n">
        <x:v>4</x:v>
      </x:c>
      <x:c r="K17" s="6" t="n">
        <x:v>0</x:v>
      </x:c>
      <x:c r="L17" s="6" t="n">
        <x:v>18000</x:v>
      </x:c>
    </x:row>
    <x:row r="18" ht="25" customHeight="1">
      <x:c r="A18" s="2" t="str">
        <x:v>2026-10-07_Night</x:v>
      </x:c>
      <x:c r="B18" s="7" t="str">
        <x:v>旧完了場</x:v>
      </x:c>
      <x:c r="C18" s="7" t="str">
        <x:v>下落</x:v>
      </x:c>
      <x:c r="D18" s="6" t="n">
        <x:v>4000</x:v>
      </x:c>
      <x:c r="E18" s="6" t="n">
        <x:v>44000</x:v>
      </x:c>
      <x:c r="F18" s="6" t="n">
        <x:f>D18-E18</x:f>
        <x:v>-40000</x:v>
      </x:c>
      <x:c r="G18" s="6" t="n">
        <x:f>G17+F18</x:f>
        <x:v>218600</x:v>
      </x:c>
      <x:c r="H18" s="6" t="n">
        <x:v>-42000</x:v>
      </x:c>
      <x:c r="I18" s="6" t="n">
        <x:v>50000</x:v>
      </x:c>
      <x:c r="J18" s="6" t="n">
        <x:v>5</x:v>
      </x:c>
      <x:c r="K18" s="6" t="n">
        <x:v>-18000</x:v>
      </x:c>
      <x:c r="L18" s="6" t="n">
        <x:v>-22000</x:v>
      </x:c>
    </x:row>
    <x:row r="19" ht="25" customHeight="1">
      <x:c r="A19" s="2" t="str">
        <x:v>2026-10-08_Night</x:v>
      </x:c>
      <x:c r="B19" s="7" t="str">
        <x:v>旧完了場</x:v>
      </x:c>
      <x:c r="C19" s="7" t="str">
        <x:v>下落</x:v>
      </x:c>
      <x:c r="D19" s="6" t="n">
        <x:v>159400</x:v>
      </x:c>
      <x:c r="E19" s="6" t="n">
        <x:v>12000</x:v>
      </x:c>
      <x:c r="F19" s="6" t="n">
        <x:f>D19-E19</x:f>
        <x:v>147400</x:v>
      </x:c>
      <x:c r="G19" s="6" t="n">
        <x:f>G18+F19</x:f>
        <x:v>366000</x:v>
      </x:c>
      <x:c r="H19" s="6" t="n">
        <x:v>-13000</x:v>
      </x:c>
      <x:c r="I19" s="6" t="n">
        <x:v>60500</x:v>
      </x:c>
      <x:c r="J19" s="6" t="n">
        <x:v>17</x:v>
      </x:c>
      <x:c r="K19" s="6" t="n">
        <x:v>8000</x:v>
      </x:c>
      <x:c r="L19" s="6" t="n">
        <x:v>139400</x:v>
      </x:c>
    </x:row>
    <x:row r="20" ht="25" customHeight="1">
      <x:c r="A20" s="2" t="str">
        <x:v>2026-10-09_Night</x:v>
      </x:c>
      <x:c r="B20" s="7" t="str">
        <x:v>旧完了場</x:v>
      </x:c>
      <x:c r="C20" s="7" t="str">
        <x:v>下落</x:v>
      </x:c>
      <x:c r="D20" s="6" t="n">
        <x:v>10800</x:v>
      </x:c>
      <x:c r="E20" s="6" t="n">
        <x:v>0</x:v>
      </x:c>
      <x:c r="F20" s="6" t="n">
        <x:f>D20-E20</x:f>
        <x:v>10800</x:v>
      </x:c>
      <x:c r="G20" s="6" t="n">
        <x:f>G19+F20</x:f>
        <x:v>376800</x:v>
      </x:c>
      <x:c r="H20" s="6" t="n">
        <x:v>-2000</x:v>
      </x:c>
      <x:c r="I20" s="6" t="n">
        <x:v>12000</x:v>
      </x:c>
      <x:c r="J20" s="6" t="n">
        <x:v>3</x:v>
      </x:c>
      <x:c r="K20" s="6" t="n">
        <x:v>8000</x:v>
      </x:c>
      <x:c r="L20" s="6" t="n">
        <x:v>2800</x:v>
      </x:c>
    </x:row>
    <x:row r="21" ht="25" customHeight="1">
      <x:c r="A21" s="2" t="str">
        <x:v>2026-10-12_Night</x:v>
      </x:c>
      <x:c r="B21" s="7" t="str">
        <x:v>旧完了場</x:v>
      </x:c>
      <x:c r="C21" s="7" t="str">
        <x:v>下落</x:v>
      </x:c>
      <x:c r="D21" s="6" t="n">
        <x:v>16400</x:v>
      </x:c>
      <x:c r="E21" s="6" t="n">
        <x:v>0</x:v>
      </x:c>
      <x:c r="F21" s="6" t="n">
        <x:f>D21-E21</x:f>
        <x:v>16400</x:v>
      </x:c>
      <x:c r="G21" s="6" t="n">
        <x:f>G20+F21</x:f>
        <x:v>393200</x:v>
      </x:c>
      <x:c r="H21" s="6" t="n">
        <x:v>-2000</x:v>
      </x:c>
      <x:c r="I21" s="6" t="n">
        <x:v>6600</x:v>
      </x:c>
      <x:c r="J21" s="6" t="n">
        <x:v>1</x:v>
      </x:c>
      <x:c r="K21" s="6" t="n">
        <x:v>0</x:v>
      </x:c>
      <x:c r="L21" s="6" t="n">
        <x:v>16400</x:v>
      </x:c>
    </x:row>
    <x:row r="22" ht="25" customHeight="1">
      <x:c r="A22" s="2" t="str">
        <x:v>2026-10-13_Night</x:v>
      </x:c>
      <x:c r="B22" s="7" t="str">
        <x:v>旧完了場</x:v>
      </x:c>
      <x:c r="C22" s="7" t="str">
        <x:v>上昇</x:v>
      </x:c>
      <x:c r="D22" s="6" t="n">
        <x:v>3000</x:v>
      </x:c>
      <x:c r="E22" s="6" t="n">
        <x:v>17000</x:v>
      </x:c>
      <x:c r="F22" s="6" t="n">
        <x:f>D22-E22</x:f>
        <x:v>-14000</x:v>
      </x:c>
      <x:c r="G22" s="6" t="n">
        <x:f>G21+F22</x:f>
        <x:v>379200</x:v>
      </x:c>
      <x:c r="H22" s="6" t="n">
        <x:v>-14000</x:v>
      </x:c>
      <x:c r="I22" s="6" t="n">
        <x:v>18000</x:v>
      </x:c>
      <x:c r="J22" s="6" t="n">
        <x:v>3</x:v>
      </x:c>
      <x:c r="K22" s="6" t="n">
        <x:v>3000</x:v>
      </x:c>
      <x:c r="L22" s="6" t="n">
        <x:v>-17000</x:v>
      </x:c>
    </x:row>
    <x:row r="23" ht="25" customHeight="1">
      <x:c r="A23" s="2" t="str">
        <x:v>2026-10-14_Night</x:v>
      </x:c>
      <x:c r="B23" s="7" t="str">
        <x:v>旧完了場</x:v>
      </x:c>
      <x:c r="C23" s="7" t="str">
        <x:v>下落</x:v>
      </x:c>
      <x:c r="D23" s="6" t="n">
        <x:v>42400</x:v>
      </x:c>
      <x:c r="E23" s="6" t="n">
        <x:v>52000</x:v>
      </x:c>
      <x:c r="F23" s="6" t="n">
        <x:f>D23-E23</x:f>
        <x:v>-9600</x:v>
      </x:c>
      <x:c r="G23" s="6" t="n">
        <x:f>G22+F23</x:f>
        <x:v>369600</x:v>
      </x:c>
      <x:c r="H23" s="6" t="n">
        <x:v>-35000</x:v>
      </x:c>
      <x:c r="I23" s="6" t="n">
        <x:v>46000</x:v>
      </x:c>
      <x:c r="J23" s="6" t="n">
        <x:v>5</x:v>
      </x:c>
      <x:c r="K23" s="6" t="n">
        <x:v>3000</x:v>
      </x:c>
      <x:c r="L23" s="6" t="n">
        <x:v>-12600</x:v>
      </x:c>
    </x:row>
    <x:row r="24" ht="25" customHeight="1">
      <x:c r="A24" s="2" t="str">
        <x:v>2026-10-15_Night</x:v>
      </x:c>
      <x:c r="B24" s="7" t="str">
        <x:v>旧完了場</x:v>
      </x:c>
      <x:c r="C24" s="7" t="str">
        <x:v>上昇</x:v>
      </x:c>
      <x:c r="D24" s="6" t="n">
        <x:v>75000</x:v>
      </x:c>
      <x:c r="E24" s="6" t="n">
        <x:v>41500</x:v>
      </x:c>
      <x:c r="F24" s="6" t="n">
        <x:f>D24-E24</x:f>
        <x:v>33500</x:v>
      </x:c>
      <x:c r="G24" s="6" t="n">
        <x:f>G23+F24</x:f>
        <x:v>403100</x:v>
      </x:c>
      <x:c r="H24" s="6" t="n">
        <x:v>-48000</x:v>
      </x:c>
      <x:c r="I24" s="6" t="n">
        <x:v>90000</x:v>
      </x:c>
      <x:c r="J24" s="6" t="n">
        <x:v>7</x:v>
      </x:c>
      <x:c r="K24" s="6" t="n">
        <x:v>0</x:v>
      </x:c>
      <x:c r="L24" s="6" t="n">
        <x:v>33500</x:v>
      </x:c>
    </x:row>
    <x:row r="25" ht="25" customHeight="1">
      <x:c r="A25" s="2" t="str">
        <x:v>2026-10-16_Night</x:v>
      </x:c>
      <x:c r="B25" s="7" t="str">
        <x:v>旧完了場</x:v>
      </x:c>
      <x:c r="C25" s="7" t="str">
        <x:v>下落</x:v>
      </x:c>
      <x:c r="D25" s="6" t="n">
        <x:v>78300</x:v>
      </x:c>
      <x:c r="E25" s="6" t="n">
        <x:v>101000</x:v>
      </x:c>
      <x:c r="F25" s="6" t="n">
        <x:f>D25-E25</x:f>
        <x:v>-22700</x:v>
      </x:c>
      <x:c r="G25" s="6" t="n">
        <x:f>G24+F25</x:f>
        <x:v>380400</x:v>
      </x:c>
      <x:c r="H25" s="6" t="n">
        <x:v>-93200</x:v>
      </x:c>
      <x:c r="I25" s="6" t="n">
        <x:v>95200</x:v>
      </x:c>
      <x:c r="J25" s="6" t="n">
        <x:v>14</x:v>
      </x:c>
      <x:c r="K25" s="6" t="n">
        <x:v>-4000</x:v>
      </x:c>
      <x:c r="L25" s="6" t="n">
        <x:v>-18700</x:v>
      </x:c>
    </x:row>
    <x:row r="26" ht="25" customHeight="1">
      <x:c r="A26" s="2" t="str">
        <x:v>2026-10-19_Night</x:v>
      </x:c>
      <x:c r="B26" s="7" t="str">
        <x:v>旧完了場</x:v>
      </x:c>
      <x:c r="C26" s="7" t="str">
        <x:v>上昇</x:v>
      </x:c>
      <x:c r="D26" s="6" t="n">
        <x:v>36000</x:v>
      </x:c>
      <x:c r="E26" s="6" t="n">
        <x:v>63500</x:v>
      </x:c>
      <x:c r="F26" s="6" t="n">
        <x:f>D26-E26</x:f>
        <x:v>-27500</x:v>
      </x:c>
      <x:c r="G26" s="6" t="n">
        <x:f>G25+F26</x:f>
        <x:v>352900</x:v>
      </x:c>
      <x:c r="H26" s="6" t="n">
        <x:v>-39500</x:v>
      </x:c>
      <x:c r="I26" s="6" t="n">
        <x:v>47500</x:v>
      </x:c>
      <x:c r="J26" s="6" t="n">
        <x:v>14</x:v>
      </x:c>
      <x:c r="K26" s="6" t="n">
        <x:v>7000</x:v>
      </x:c>
      <x:c r="L26" s="6" t="n">
        <x:v>-34500</x:v>
      </x:c>
    </x:row>
    <x:row r="27" ht="25" customHeight="1">
      <x:c r="A27" s="2" t="str">
        <x:v>2026-10-20_Night</x:v>
      </x:c>
      <x:c r="B27" s="7" t="str">
        <x:v>旧完了場</x:v>
      </x:c>
      <x:c r="C27" s="7" t="str">
        <x:v>上昇</x:v>
      </x:c>
      <x:c r="D27" s="6" t="n">
        <x:v>73500</x:v>
      </x:c>
      <x:c r="E27" s="6" t="n">
        <x:v>12000</x:v>
      </x:c>
      <x:c r="F27" s="6" t="n">
        <x:f>D27-E27</x:f>
        <x:v>61500</x:v>
      </x:c>
      <x:c r="G27" s="6" t="n">
        <x:f>G26+F27</x:f>
        <x:v>414400</x:v>
      </x:c>
      <x:c r="H27" s="6" t="n">
        <x:v>-2000</x:v>
      </x:c>
      <x:c r="I27" s="6" t="n">
        <x:v>36500</x:v>
      </x:c>
      <x:c r="J27" s="6" t="n">
        <x:v>11</x:v>
      </x:c>
      <x:c r="K27" s="6" t="n">
        <x:v>17000</x:v>
      </x:c>
      <x:c r="L27" s="6" t="n">
        <x:v>44500</x:v>
      </x:c>
    </x:row>
    <x:row r="28" ht="25" customHeight="1">
      <x:c r="A28" s="2" t="str">
        <x:v>2026-10-21_Night</x:v>
      </x:c>
      <x:c r="B28" s="7" t="str">
        <x:v>旧完了場</x:v>
      </x:c>
      <x:c r="C28" s="7" t="str">
        <x:v>上昇</x:v>
      </x:c>
      <x:c r="D28" s="6" t="n">
        <x:v>33600</x:v>
      </x:c>
      <x:c r="E28" s="6" t="n">
        <x:v>17000</x:v>
      </x:c>
      <x:c r="F28" s="6" t="n">
        <x:f>D28-E28</x:f>
        <x:v>16600</x:v>
      </x:c>
      <x:c r="G28" s="6" t="n">
        <x:f>G27+F28</x:f>
        <x:v>431000</x:v>
      </x:c>
      <x:c r="H28" s="6" t="n">
        <x:v>-7000</x:v>
      </x:c>
      <x:c r="I28" s="6" t="n">
        <x:v>55000</x:v>
      </x:c>
      <x:c r="J28" s="6" t="n">
        <x:v>6</x:v>
      </x:c>
      <x:c r="K28" s="6" t="n">
        <x:v>3000</x:v>
      </x:c>
      <x:c r="L28" s="6" t="n">
        <x:v>13600</x:v>
      </x:c>
    </x:row>
    <x:row r="29" ht="25" customHeight="1">
      <x:c r="A29" s="2" t="str">
        <x:v>2026-10-22_Night</x:v>
      </x:c>
      <x:c r="B29" s="7" t="str">
        <x:v>旧完了場</x:v>
      </x:c>
      <x:c r="C29" s="7" t="str">
        <x:v>下落</x:v>
      </x:c>
      <x:c r="D29" s="6" t="n">
        <x:v>76000</x:v>
      </x:c>
      <x:c r="E29" s="6" t="n">
        <x:v>0</x:v>
      </x:c>
      <x:c r="F29" s="6" t="n">
        <x:f>D29-E29</x:f>
        <x:v>76000</x:v>
      </x:c>
      <x:c r="G29" s="6" t="n">
        <x:f>G28+F29</x:f>
        <x:v>507000</x:v>
      </x:c>
      <x:c r="H29" s="6" t="n">
        <x:v>-2000</x:v>
      </x:c>
      <x:c r="I29" s="6" t="n">
        <x:v>28000</x:v>
      </x:c>
      <x:c r="J29" s="6" t="n">
        <x:v>3</x:v>
      </x:c>
      <x:c r="K29" s="6" t="n">
        <x:v>0</x:v>
      </x:c>
      <x:c r="L29" s="6" t="n">
        <x:v>76000</x:v>
      </x:c>
    </x:row>
    <x:row r="30" ht="25" customHeight="1">
      <x:c r="A30" s="2" t="str">
        <x:v>2026-10-23_Night</x:v>
      </x:c>
      <x:c r="B30" s="7" t="str">
        <x:v>旧完了場</x:v>
      </x:c>
      <x:c r="C30" s="7" t="str">
        <x:v>上昇</x:v>
      </x:c>
      <x:c r="D30" s="6" t="n">
        <x:v>27200</x:v>
      </x:c>
      <x:c r="E30" s="6" t="n">
        <x:v>43500</x:v>
      </x:c>
      <x:c r="F30" s="6" t="n">
        <x:f>D30-E30</x:f>
        <x:v>-16300</x:v>
      </x:c>
      <x:c r="G30" s="6" t="n">
        <x:f>G29+F30</x:f>
        <x:v>490700</x:v>
      </x:c>
      <x:c r="H30" s="6" t="n">
        <x:v>-55300</x:v>
      </x:c>
      <x:c r="I30" s="6" t="n">
        <x:v>68500</x:v>
      </x:c>
      <x:c r="J30" s="6" t="n">
        <x:v>11</x:v>
      </x:c>
      <x:c r="K30" s="6" t="n">
        <x:v>-18000</x:v>
      </x:c>
      <x:c r="L30" s="6" t="n">
        <x:v>1700</x:v>
      </x:c>
    </x:row>
    <x:row r="31" ht="25" customHeight="1">
      <x:c r="A31" s="2" t="str">
        <x:v>2026-10-26_Night</x:v>
      </x:c>
      <x:c r="B31" s="7" t="str">
        <x:v>追加完了版</x:v>
      </x:c>
      <x:c r="C31" s="7" t="str">
        <x:v>上昇</x:v>
      </x:c>
      <x:c r="D31" s="6" t="n">
        <x:v>46500</x:v>
      </x:c>
      <x:c r="E31" s="6" t="n">
        <x:v>64000</x:v>
      </x:c>
      <x:c r="F31" s="6" t="n">
        <x:f>D31-E31</x:f>
        <x:v>-17500</x:v>
      </x:c>
      <x:c r="G31" s="6" t="n">
        <x:f>G30+F31</x:f>
        <x:v>473200</x:v>
      </x:c>
      <x:c r="H31" s="6" t="n">
        <x:v>-26000</x:v>
      </x:c>
      <x:c r="I31" s="6" t="n">
        <x:v>73500</x:v>
      </x:c>
      <x:c r="J31" s="6" t="n">
        <x:v>12</x:v>
      </x:c>
      <x:c r="K31" s="6" t="n">
        <x:v>3000</x:v>
      </x:c>
      <x:c r="L31" s="6" t="n">
        <x:v>-20500</x:v>
      </x:c>
    </x:row>
    <x:row r="32" ht="25" customHeight="1">
      <x:c r="A32" s="14" t="str">
        <x:v>累計／場内最悪値</x:v>
      </x:c>
      <x:c r="B32" s="15"/>
      <x:c r="C32" s="15"/>
      <x:c r="D32" s="15" t="n">
        <x:f>SUM(D6:D31)</x:f>
        <x:v>1136700</x:v>
      </x:c>
      <x:c r="E32" s="15" t="n">
        <x:f>SUM(E6:E31)</x:f>
        <x:v>663500</x:v>
      </x:c>
      <x:c r="F32" s="15" t="n">
        <x:f>D32-E32</x:f>
        <x:v>473200</x:v>
      </x:c>
      <x:c r="G32" s="15" t="n">
        <x:f>G31</x:f>
        <x:v>473200</x:v>
      </x:c>
      <x:c r="H32" s="15" t="n">
        <x:f>MIN(H6:H31)</x:f>
        <x:v>-93200</x:v>
      </x:c>
      <x:c r="I32" s="15" t="n">
        <x:f>MAX(I6:I31)</x:f>
        <x:v>110700</x:v>
      </x:c>
      <x:c r="J32" s="15" t="n">
        <x:f>SUM(J6:J31)</x:f>
        <x:v>184</x:v>
      </x:c>
      <x:c r="K32" s="15" t="n">
        <x:f>SUM(K6:K31)</x:f>
        <x:v>64500</x:v>
      </x:c>
      <x:c r="L32" s="15" t="n">
        <x:f>SUM(L6:L31)</x:f>
        <x:v>408700</x:v>
      </x:c>
    </x:row>
  </x:sheetData>
  <x:conditionalFormatting sqref="F6:H31">
    <x:cfRule type="cellIs" dxfId="2" priority="1" operator="lessThan">
      <x:formula>0</x:formula>
    </x:cfRule>
  </x:conditionalFormatting>
  <x:conditionalFormatting sqref="K6:L31">
    <x:cfRule type="cellIs" dxfId="3" priority="2" operator="lessThan">
      <x:formula>0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b210356c708b4a3a"/>
  </x:tableParts>
</x:worksheet>
</file>

<file path=xl/worksheets/sheet5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25" hidden="0" customWidth="1"/>
    <x:col min="2" max="2" width="15" hidden="0" customWidth="1"/>
    <x:col min="3" max="3" width="10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  <x:col min="12" max="12" width="16" hidden="0" customWidth="1"/>
  </x:cols>
  <x:sheetData>
    <x:row r="1" ht="10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</x:row>
    <x:row r="2" ht="25" customHeight="1">
      <x:c r="A2" s="3" t="str">
        <x:v>日経 N02　夜間損益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</x:row>
    <x:row r="3" ht="25" customHeight="1">
      <x:c r="A3" s="4" t="str">
        <x:v>J02型の支持連動数量を全夜へ</x:v>
      </x:c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</x:row>
    <x:row r="4" ht="25" customHeight="1">
      <x:c r="A4" s="4" t="str">
        <x:v>片側micro100枚＝mini10枚相当・手数料0。途中最悪は確定＋全玉含み、最大下落は当場ピークからの落差。</x:v>
      </x:c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</x:row>
    <x:row r="5" ht="45" customHeight="1">
      <x:c r="A5" s="11" t="str">
        <x:v>セッション</x:v>
      </x:c>
      <x:c r="B5" s="11" t="str">
        <x:v>資料区分</x:v>
      </x:c>
      <x:c r="C5" s="11" t="str">
        <x:v>場の方向</x:v>
      </x:c>
      <x:c r="D5" s="11" t="str">
        <x:v>利益（円）</x:v>
      </x:c>
      <x:c r="E5" s="11" t="str">
        <x:v>損失（円）</x:v>
      </x:c>
      <x:c r="F5" s="11" t="str">
        <x:v>収支（円）</x:v>
      </x:c>
      <x:c r="G5" s="11" t="str">
        <x:v>累計（円）</x:v>
      </x:c>
      <x:c r="H5" s="11" t="str">
        <x:v>途中最悪収支（円）</x:v>
      </x:c>
      <x:c r="I5" s="11" t="str">
        <x:v>最大下落額（円）</x:v>
      </x:c>
      <x:c r="J5" s="11" t="str">
        <x:v>新規回数</x:v>
      </x:c>
      <x:c r="K5" s="11" t="str">
        <x:v>米国前収支（円）</x:v>
      </x:c>
      <x:c r="L5" s="11" t="str">
        <x:v>米国後収支（円）</x:v>
      </x:c>
    </x:row>
    <x:row r="6" ht="25" customHeight="1">
      <x:c r="A6" s="2" t="str">
        <x:v>2026-09-21_Night</x:v>
      </x:c>
      <x:c r="B6" s="7" t="str">
        <x:v>旧完了場</x:v>
      </x:c>
      <x:c r="C6" s="7" t="str">
        <x:v>上昇</x:v>
      </x:c>
      <x:c r="D6" s="6" t="n">
        <x:v>0</x:v>
      </x:c>
      <x:c r="E6" s="6" t="n">
        <x:v>9000</x:v>
      </x:c>
      <x:c r="F6" s="6" t="n">
        <x:f>D6-E6</x:f>
        <x:v>-9000</x:v>
      </x:c>
      <x:c r="G6" s="6" t="n">
        <x:f>F6</x:f>
        <x:v>-9000</x:v>
      </x:c>
      <x:c r="H6" s="6" t="n">
        <x:v>-9000</x:v>
      </x:c>
      <x:c r="I6" s="6" t="n">
        <x:v>13000</x:v>
      </x:c>
      <x:c r="J6" s="6" t="n">
        <x:v>1</x:v>
      </x:c>
      <x:c r="K6" s="6" t="n">
        <x:v>0</x:v>
      </x:c>
      <x:c r="L6" s="6" t="n">
        <x:v>-9000</x:v>
      </x:c>
    </x:row>
    <x:row r="7" ht="25" customHeight="1">
      <x:c r="A7" s="2" t="str">
        <x:v>2026-09-22_Night</x:v>
      </x:c>
      <x:c r="B7" s="7" t="str">
        <x:v>旧完了場</x:v>
      </x:c>
      <x:c r="C7" s="7" t="str">
        <x:v>上昇</x:v>
      </x:c>
      <x:c r="D7" s="6" t="n">
        <x:v>7800</x:v>
      </x:c>
      <x:c r="E7" s="6" t="n">
        <x:v>0</x:v>
      </x:c>
      <x:c r="F7" s="6" t="n">
        <x:f>D7-E7</x:f>
        <x:v>7800</x:v>
      </x:c>
      <x:c r="G7" s="6" t="n">
        <x:f>G6+F7</x:f>
        <x:v>-1200</x:v>
      </x:c>
      <x:c r="H7" s="6" t="n">
        <x:v>-9000</x:v>
      </x:c>
      <x:c r="I7" s="6" t="n">
        <x:v>11000</x:v>
      </x:c>
      <x:c r="J7" s="6" t="n">
        <x:v>2</x:v>
      </x:c>
      <x:c r="K7" s="6" t="n">
        <x:v>3000</x:v>
      </x:c>
      <x:c r="L7" s="6" t="n">
        <x:v>4800</x:v>
      </x:c>
    </x:row>
    <x:row r="8" ht="25" customHeight="1">
      <x:c r="A8" s="2" t="str">
        <x:v>2026-09-23_Night</x:v>
      </x:c>
      <x:c r="B8" s="7" t="str">
        <x:v>旧完了場</x:v>
      </x:c>
      <x:c r="C8" s="7" t="str">
        <x:v>下落</x:v>
      </x:c>
      <x:c r="D8" s="6" t="n">
        <x:v>24200</x:v>
      </x:c>
      <x:c r="E8" s="6" t="n">
        <x:v>8000</x:v>
      </x:c>
      <x:c r="F8" s="6" t="n">
        <x:f>D8-E8</x:f>
        <x:v>16200</x:v>
      </x:c>
      <x:c r="G8" s="6" t="n">
        <x:f>G7+F8</x:f>
        <x:v>15000</x:v>
      </x:c>
      <x:c r="H8" s="6" t="n">
        <x:v>-30800</x:v>
      </x:c>
      <x:c r="I8" s="6" t="n">
        <x:v>80000</x:v>
      </x:c>
      <x:c r="J8" s="6" t="n">
        <x:v>3</x:v>
      </x:c>
      <x:c r="K8" s="6" t="n">
        <x:v>0</x:v>
      </x:c>
      <x:c r="L8" s="6" t="n">
        <x:v>16200</x:v>
      </x:c>
    </x:row>
    <x:row r="9" ht="25" customHeight="1">
      <x:c r="A9" s="2" t="str">
        <x:v>2026-09-24_Night</x:v>
      </x:c>
      <x:c r="B9" s="7" t="str">
        <x:v>旧完了場</x:v>
      </x:c>
      <x:c r="C9" s="7" t="str">
        <x:v>上昇</x:v>
      </x:c>
      <x:c r="D9" s="6" t="n">
        <x:v>26000</x:v>
      </x:c>
      <x:c r="E9" s="6" t="n">
        <x:v>0</x:v>
      </x:c>
      <x:c r="F9" s="6" t="n">
        <x:f>D9-E9</x:f>
        <x:v>26000</x:v>
      </x:c>
      <x:c r="G9" s="6" t="n">
        <x:f>G8+F9</x:f>
        <x:v>41000</x:v>
      </x:c>
      <x:c r="H9" s="6" t="n">
        <x:v>-17000</x:v>
      </x:c>
      <x:c r="I9" s="6" t="n">
        <x:v>24000</x:v>
      </x:c>
      <x:c r="J9" s="6" t="n">
        <x:v>4</x:v>
      </x:c>
      <x:c r="K9" s="6" t="n">
        <x:v>6000</x:v>
      </x:c>
      <x:c r="L9" s="6" t="n">
        <x:v>20000</x:v>
      </x:c>
    </x:row>
    <x:row r="10" ht="25" customHeight="1">
      <x:c r="A10" s="2" t="str">
        <x:v>2026-09-25_Night</x:v>
      </x:c>
      <x:c r="B10" s="7" t="str">
        <x:v>旧完了場</x:v>
      </x:c>
      <x:c r="C10" s="7" t="str">
        <x:v>上昇</x:v>
      </x:c>
      <x:c r="D10" s="6" t="n">
        <x:v>3400</x:v>
      </x:c>
      <x:c r="E10" s="6" t="n">
        <x:v>16000</x:v>
      </x:c>
      <x:c r="F10" s="6" t="n">
        <x:f>D10-E10</x:f>
        <x:v>-12600</x:v>
      </x:c>
      <x:c r="G10" s="6" t="n">
        <x:f>G9+F10</x:f>
        <x:v>28400</x:v>
      </x:c>
      <x:c r="H10" s="6" t="n">
        <x:v>-12600</x:v>
      </x:c>
      <x:c r="I10" s="6" t="n">
        <x:v>19600</x:v>
      </x:c>
      <x:c r="J10" s="6" t="n">
        <x:v>2</x:v>
      </x:c>
      <x:c r="K10" s="6" t="n">
        <x:v>0</x:v>
      </x:c>
      <x:c r="L10" s="6" t="n">
        <x:v>-12600</x:v>
      </x:c>
    </x:row>
    <x:row r="11" ht="25" customHeight="1">
      <x:c r="A11" s="2" t="str">
        <x:v>2026-09-28_Night</x:v>
      </x:c>
      <x:c r="B11" s="7" t="str">
        <x:v>旧完了場</x:v>
      </x:c>
      <x:c r="C11" s="7" t="str">
        <x:v>横ばい</x:v>
      </x:c>
      <x:c r="D11" s="6" t="n">
        <x:v>6500</x:v>
      </x:c>
      <x:c r="E11" s="6" t="n">
        <x:v>20000</x:v>
      </x:c>
      <x:c r="F11" s="6" t="n">
        <x:f>D11-E11</x:f>
        <x:v>-13500</x:v>
      </x:c>
      <x:c r="G11" s="6" t="n">
        <x:f>G10+F11</x:f>
        <x:v>14900</x:v>
      </x:c>
      <x:c r="H11" s="6" t="n">
        <x:v>-19000</x:v>
      </x:c>
      <x:c r="I11" s="6" t="n">
        <x:v>27000</x:v>
      </x:c>
      <x:c r="J11" s="6" t="n">
        <x:v>5</x:v>
      </x:c>
      <x:c r="K11" s="6" t="n">
        <x:v>6000</x:v>
      </x:c>
      <x:c r="L11" s="6" t="n">
        <x:v>-19500</x:v>
      </x:c>
    </x:row>
    <x:row r="12" ht="25" customHeight="1">
      <x:c r="A12" s="2" t="str">
        <x:v>2026-09-29_Night</x:v>
      </x:c>
      <x:c r="B12" s="7" t="str">
        <x:v>旧完了場</x:v>
      </x:c>
      <x:c r="C12" s="7" t="str">
        <x:v>上昇</x:v>
      </x:c>
      <x:c r="D12" s="6" t="n">
        <x:v>30100</x:v>
      </x:c>
      <x:c r="E12" s="6" t="n">
        <x:v>23400</x:v>
      </x:c>
      <x:c r="F12" s="6" t="n">
        <x:f>D12-E12</x:f>
        <x:v>6700</x:v>
      </x:c>
      <x:c r="G12" s="6" t="n">
        <x:f>G11+F12</x:f>
        <x:v>21600</x:v>
      </x:c>
      <x:c r="H12" s="6" t="n">
        <x:v>-16700</x:v>
      </x:c>
      <x:c r="I12" s="6" t="n">
        <x:v>66600</x:v>
      </x:c>
      <x:c r="J12" s="6" t="n">
        <x:v>6</x:v>
      </x:c>
      <x:c r="K12" s="6" t="n">
        <x:v>0</x:v>
      </x:c>
      <x:c r="L12" s="6" t="n">
        <x:v>6700</x:v>
      </x:c>
    </x:row>
    <x:row r="13" ht="25" customHeight="1">
      <x:c r="A13" s="2" t="str">
        <x:v>2026-09-30_Night</x:v>
      </x:c>
      <x:c r="B13" s="7" t="str">
        <x:v>旧完了場</x:v>
      </x:c>
      <x:c r="C13" s="7" t="str">
        <x:v>下落</x:v>
      </x:c>
      <x:c r="D13" s="6" t="n">
        <x:v>123200</x:v>
      </x:c>
      <x:c r="E13" s="6" t="n">
        <x:v>0</x:v>
      </x:c>
      <x:c r="F13" s="6" t="n">
        <x:f>D13-E13</x:f>
        <x:v>123200</x:v>
      </x:c>
      <x:c r="G13" s="6" t="n">
        <x:f>G12+F13</x:f>
        <x:v>144800</x:v>
      </x:c>
      <x:c r="H13" s="6" t="n">
        <x:v>-14400</x:v>
      </x:c>
      <x:c r="I13" s="6" t="n">
        <x:v>96400</x:v>
      </x:c>
      <x:c r="J13" s="6" t="n">
        <x:v>5</x:v>
      </x:c>
      <x:c r="K13" s="6" t="n">
        <x:v>12900</x:v>
      </x:c>
      <x:c r="L13" s="6" t="n">
        <x:v>110300</x:v>
      </x:c>
    </x:row>
    <x:row r="14" ht="25" customHeight="1">
      <x:c r="A14" s="2" t="str">
        <x:v>2026-10-01_Night</x:v>
      </x:c>
      <x:c r="B14" s="7" t="str">
        <x:v>旧完了場</x:v>
      </x:c>
      <x:c r="C14" s="7" t="str">
        <x:v>上昇</x:v>
      </x:c>
      <x:c r="D14" s="6" t="n">
        <x:v>176300</x:v>
      </x:c>
      <x:c r="E14" s="6" t="n">
        <x:v>61000</x:v>
      </x:c>
      <x:c r="F14" s="6" t="n">
        <x:f>D14-E14</x:f>
        <x:v>115300</x:v>
      </x:c>
      <x:c r="G14" s="6" t="n">
        <x:f>G13+F14</x:f>
        <x:v>260100</x:v>
      </x:c>
      <x:c r="H14" s="6" t="n">
        <x:v>-43700</x:v>
      </x:c>
      <x:c r="I14" s="6" t="n">
        <x:v>97000</x:v>
      </x:c>
      <x:c r="J14" s="6" t="n">
        <x:v>16</x:v>
      </x:c>
      <x:c r="K14" s="6" t="n">
        <x:v>24800</x:v>
      </x:c>
      <x:c r="L14" s="6" t="n">
        <x:v>90500</x:v>
      </x:c>
    </x:row>
    <x:row r="15" ht="25" customHeight="1">
      <x:c r="A15" s="2" t="str">
        <x:v>2026-10-02_Night</x:v>
      </x:c>
      <x:c r="B15" s="7" t="str">
        <x:v>旧完了場</x:v>
      </x:c>
      <x:c r="C15" s="7" t="str">
        <x:v>上昇</x:v>
      </x:c>
      <x:c r="D15" s="6" t="n">
        <x:v>212400</x:v>
      </x:c>
      <x:c r="E15" s="6" t="n">
        <x:v>19000</x:v>
      </x:c>
      <x:c r="F15" s="6" t="n">
        <x:f>D15-E15</x:f>
        <x:v>193400</x:v>
      </x:c>
      <x:c r="G15" s="6" t="n">
        <x:f>G14+F15</x:f>
        <x:v>453500</x:v>
      </x:c>
      <x:c r="H15" s="6" t="n">
        <x:v>-14000</x:v>
      </x:c>
      <x:c r="I15" s="6" t="n">
        <x:v>135400</x:v>
      </x:c>
      <x:c r="J15" s="6" t="n">
        <x:v>15</x:v>
      </x:c>
      <x:c r="K15" s="6" t="n">
        <x:v>0</x:v>
      </x:c>
      <x:c r="L15" s="6" t="n">
        <x:v>193400</x:v>
      </x:c>
    </x:row>
    <x:row r="16" ht="25" customHeight="1">
      <x:c r="A16" s="2" t="str">
        <x:v>2026-10-05_Night</x:v>
      </x:c>
      <x:c r="B16" s="7" t="str">
        <x:v>旧完了場</x:v>
      </x:c>
      <x:c r="C16" s="7" t="str">
        <x:v>下落</x:v>
      </x:c>
      <x:c r="D16" s="6" t="n">
        <x:v>99900</x:v>
      </x:c>
      <x:c r="E16" s="6" t="n">
        <x:v>31600</x:v>
      </x:c>
      <x:c r="F16" s="6" t="n">
        <x:f>D16-E16</x:f>
        <x:v>68300</x:v>
      </x:c>
      <x:c r="G16" s="6" t="n">
        <x:f>G15+F16</x:f>
        <x:v>521800</x:v>
      </x:c>
      <x:c r="H16" s="6" t="n">
        <x:v>-37800</x:v>
      </x:c>
      <x:c r="I16" s="6" t="n">
        <x:v>100300</x:v>
      </x:c>
      <x:c r="J16" s="6" t="n">
        <x:v>8</x:v>
      </x:c>
      <x:c r="K16" s="6" t="n">
        <x:v>3000</x:v>
      </x:c>
      <x:c r="L16" s="6" t="n">
        <x:v>65300</x:v>
      </x:c>
    </x:row>
    <x:row r="17" ht="25" customHeight="1">
      <x:c r="A17" s="2" t="str">
        <x:v>2026-10-06_Night</x:v>
      </x:c>
      <x:c r="B17" s="7" t="str">
        <x:v>旧完了場</x:v>
      </x:c>
      <x:c r="C17" s="7" t="str">
        <x:v>横ばい</x:v>
      </x:c>
      <x:c r="D17" s="6" t="n">
        <x:v>33000</x:v>
      </x:c>
      <x:c r="E17" s="6" t="n">
        <x:v>15000</x:v>
      </x:c>
      <x:c r="F17" s="6" t="n">
        <x:f>D17-E17</x:f>
        <x:v>18000</x:v>
      </x:c>
      <x:c r="G17" s="6" t="n">
        <x:f>G16+F17</x:f>
        <x:v>539800</x:v>
      </x:c>
      <x:c r="H17" s="6" t="n">
        <x:v>-28000</x:v>
      </x:c>
      <x:c r="I17" s="6" t="n">
        <x:v>28000</x:v>
      </x:c>
      <x:c r="J17" s="6" t="n">
        <x:v>4</x:v>
      </x:c>
      <x:c r="K17" s="6" t="n">
        <x:v>0</x:v>
      </x:c>
      <x:c r="L17" s="6" t="n">
        <x:v>18000</x:v>
      </x:c>
    </x:row>
    <x:row r="18" ht="25" customHeight="1">
      <x:c r="A18" s="2" t="str">
        <x:v>2026-10-07_Night</x:v>
      </x:c>
      <x:c r="B18" s="7" t="str">
        <x:v>旧完了場</x:v>
      </x:c>
      <x:c r="C18" s="7" t="str">
        <x:v>下落</x:v>
      </x:c>
      <x:c r="D18" s="6" t="n">
        <x:v>4000</x:v>
      </x:c>
      <x:c r="E18" s="6" t="n">
        <x:v>94600</x:v>
      </x:c>
      <x:c r="F18" s="6" t="n">
        <x:f>D18-E18</x:f>
        <x:v>-90600</x:v>
      </x:c>
      <x:c r="G18" s="6" t="n">
        <x:f>G17+F18</x:f>
        <x:v>449200</x:v>
      </x:c>
      <x:c r="H18" s="6" t="n">
        <x:v>-96000</x:v>
      </x:c>
      <x:c r="I18" s="6" t="n">
        <x:v>106400</x:v>
      </x:c>
      <x:c r="J18" s="6" t="n">
        <x:v>5</x:v>
      </x:c>
      <x:c r="K18" s="6" t="n">
        <x:v>-31200</x:v>
      </x:c>
      <x:c r="L18" s="6" t="n">
        <x:v>-59400</x:v>
      </x:c>
    </x:row>
    <x:row r="19" ht="25" customHeight="1">
      <x:c r="A19" s="2" t="str">
        <x:v>2026-10-08_Night</x:v>
      </x:c>
      <x:c r="B19" s="7" t="str">
        <x:v>旧完了場</x:v>
      </x:c>
      <x:c r="C19" s="7" t="str">
        <x:v>下落</x:v>
      </x:c>
      <x:c r="D19" s="6" t="n">
        <x:v>630400</x:v>
      </x:c>
      <x:c r="E19" s="6" t="n">
        <x:v>17200</x:v>
      </x:c>
      <x:c r="F19" s="6" t="n">
        <x:f>D19-E19</x:f>
        <x:v>613200</x:v>
      </x:c>
      <x:c r="G19" s="6" t="n">
        <x:f>G18+F19</x:f>
        <x:v>1062400</x:v>
      </x:c>
      <x:c r="H19" s="6" t="n">
        <x:v>-74200</x:v>
      </x:c>
      <x:c r="I19" s="6" t="n">
        <x:v>196600</x:v>
      </x:c>
      <x:c r="J19" s="6" t="n">
        <x:v>16</x:v>
      </x:c>
      <x:c r="K19" s="6" t="n">
        <x:v>8000</x:v>
      </x:c>
      <x:c r="L19" s="6" t="n">
        <x:v>605200</x:v>
      </x:c>
    </x:row>
    <x:row r="20" ht="25" customHeight="1">
      <x:c r="A20" s="2" t="str">
        <x:v>2026-10-09_Night</x:v>
      </x:c>
      <x:c r="B20" s="7" t="str">
        <x:v>旧完了場</x:v>
      </x:c>
      <x:c r="C20" s="7" t="str">
        <x:v>下落</x:v>
      </x:c>
      <x:c r="D20" s="6" t="n">
        <x:v>10800</x:v>
      </x:c>
      <x:c r="E20" s="6" t="n">
        <x:v>0</x:v>
      </x:c>
      <x:c r="F20" s="6" t="n">
        <x:f>D20-E20</x:f>
        <x:v>10800</x:v>
      </x:c>
      <x:c r="G20" s="6" t="n">
        <x:f>G19+F20</x:f>
        <x:v>1073200</x:v>
      </x:c>
      <x:c r="H20" s="6" t="n">
        <x:v>-2000</x:v>
      </x:c>
      <x:c r="I20" s="6" t="n">
        <x:v>12000</x:v>
      </x:c>
      <x:c r="J20" s="6" t="n">
        <x:v>3</x:v>
      </x:c>
      <x:c r="K20" s="6" t="n">
        <x:v>8000</x:v>
      </x:c>
      <x:c r="L20" s="6" t="n">
        <x:v>2800</x:v>
      </x:c>
    </x:row>
    <x:row r="21" ht="25" customHeight="1">
      <x:c r="A21" s="2" t="str">
        <x:v>2026-10-12_Night</x:v>
      </x:c>
      <x:c r="B21" s="7" t="str">
        <x:v>旧完了場</x:v>
      </x:c>
      <x:c r="C21" s="7" t="str">
        <x:v>下落</x:v>
      </x:c>
      <x:c r="D21" s="6" t="n">
        <x:v>16400</x:v>
      </x:c>
      <x:c r="E21" s="6" t="n">
        <x:v>0</x:v>
      </x:c>
      <x:c r="F21" s="6" t="n">
        <x:f>D21-E21</x:f>
        <x:v>16400</x:v>
      </x:c>
      <x:c r="G21" s="6" t="n">
        <x:f>G20+F21</x:f>
        <x:v>1089600</x:v>
      </x:c>
      <x:c r="H21" s="6" t="n">
        <x:v>-2000</x:v>
      </x:c>
      <x:c r="I21" s="6" t="n">
        <x:v>6600</x:v>
      </x:c>
      <x:c r="J21" s="6" t="n">
        <x:v>1</x:v>
      </x:c>
      <x:c r="K21" s="6" t="n">
        <x:v>0</x:v>
      </x:c>
      <x:c r="L21" s="6" t="n">
        <x:v>16400</x:v>
      </x:c>
    </x:row>
    <x:row r="22" ht="25" customHeight="1">
      <x:c r="A22" s="2" t="str">
        <x:v>2026-10-13_Night</x:v>
      </x:c>
      <x:c r="B22" s="7" t="str">
        <x:v>旧完了場</x:v>
      </x:c>
      <x:c r="C22" s="7" t="str">
        <x:v>上昇</x:v>
      </x:c>
      <x:c r="D22" s="6" t="n">
        <x:v>3000</x:v>
      </x:c>
      <x:c r="E22" s="6" t="n">
        <x:v>17000</x:v>
      </x:c>
      <x:c r="F22" s="6" t="n">
        <x:f>D22-E22</x:f>
        <x:v>-14000</x:v>
      </x:c>
      <x:c r="G22" s="6" t="n">
        <x:f>G21+F22</x:f>
        <x:v>1075600</x:v>
      </x:c>
      <x:c r="H22" s="6" t="n">
        <x:v>-14000</x:v>
      </x:c>
      <x:c r="I22" s="6" t="n">
        <x:v>18000</x:v>
      </x:c>
      <x:c r="J22" s="6" t="n">
        <x:v>3</x:v>
      </x:c>
      <x:c r="K22" s="6" t="n">
        <x:v>3000</x:v>
      </x:c>
      <x:c r="L22" s="6" t="n">
        <x:v>-17000</x:v>
      </x:c>
    </x:row>
    <x:row r="23" ht="25" customHeight="1">
      <x:c r="A23" s="2" t="str">
        <x:v>2026-10-14_Night</x:v>
      </x:c>
      <x:c r="B23" s="7" t="str">
        <x:v>旧完了場</x:v>
      </x:c>
      <x:c r="C23" s="7" t="str">
        <x:v>下落</x:v>
      </x:c>
      <x:c r="D23" s="6" t="n">
        <x:v>42400</x:v>
      </x:c>
      <x:c r="E23" s="6" t="n">
        <x:v>101900</x:v>
      </x:c>
      <x:c r="F23" s="6" t="n">
        <x:f>D23-E23</x:f>
        <x:v>-59500</x:v>
      </x:c>
      <x:c r="G23" s="6" t="n">
        <x:f>G22+F23</x:f>
        <x:v>1016100</x:v>
      </x:c>
      <x:c r="H23" s="6" t="n">
        <x:v>-84900</x:v>
      </x:c>
      <x:c r="I23" s="6" t="n">
        <x:v>90800</x:v>
      </x:c>
      <x:c r="J23" s="6" t="n">
        <x:v>5</x:v>
      </x:c>
      <x:c r="K23" s="6" t="n">
        <x:v>3000</x:v>
      </x:c>
      <x:c r="L23" s="6" t="n">
        <x:v>-62500</x:v>
      </x:c>
    </x:row>
    <x:row r="24" ht="25" customHeight="1">
      <x:c r="A24" s="2" t="str">
        <x:v>2026-10-15_Night</x:v>
      </x:c>
      <x:c r="B24" s="7" t="str">
        <x:v>旧完了場</x:v>
      </x:c>
      <x:c r="C24" s="7" t="str">
        <x:v>上昇</x:v>
      </x:c>
      <x:c r="D24" s="6" t="n">
        <x:v>110000</x:v>
      </x:c>
      <x:c r="E24" s="6" t="n">
        <x:v>41500</x:v>
      </x:c>
      <x:c r="F24" s="6" t="n">
        <x:f>D24-E24</x:f>
        <x:v>68500</x:v>
      </x:c>
      <x:c r="G24" s="6" t="n">
        <x:f>G23+F24</x:f>
        <x:v>1084600</x:v>
      </x:c>
      <x:c r="H24" s="6" t="n">
        <x:v>-13000</x:v>
      </x:c>
      <x:c r="I24" s="6" t="n">
        <x:v>226000</x:v>
      </x:c>
      <x:c r="J24" s="6" t="n">
        <x:v>7</x:v>
      </x:c>
      <x:c r="K24" s="6" t="n">
        <x:v>0</x:v>
      </x:c>
      <x:c r="L24" s="6" t="n">
        <x:v>68500</x:v>
      </x:c>
    </x:row>
    <x:row r="25" ht="25" customHeight="1">
      <x:c r="A25" s="2" t="str">
        <x:v>2026-10-16_Night</x:v>
      </x:c>
      <x:c r="B25" s="7" t="str">
        <x:v>旧完了場</x:v>
      </x:c>
      <x:c r="C25" s="7" t="str">
        <x:v>下落</x:v>
      </x:c>
      <x:c r="D25" s="6" t="n">
        <x:v>181600</x:v>
      </x:c>
      <x:c r="E25" s="6" t="n">
        <x:v>213900</x:v>
      </x:c>
      <x:c r="F25" s="6" t="n">
        <x:f>D25-E25</x:f>
        <x:v>-32300</x:v>
      </x:c>
      <x:c r="G25" s="6" t="n">
        <x:f>G24+F25</x:f>
        <x:v>1052300</x:v>
      </x:c>
      <x:c r="H25" s="6" t="n">
        <x:v>-207900</x:v>
      </x:c>
      <x:c r="I25" s="6" t="n">
        <x:v>287700</x:v>
      </x:c>
      <x:c r="J25" s="6" t="n">
        <x:v>14</x:v>
      </x:c>
      <x:c r="K25" s="6" t="n">
        <x:v>-4000</x:v>
      </x:c>
      <x:c r="L25" s="6" t="n">
        <x:v>-28300</x:v>
      </x:c>
    </x:row>
    <x:row r="26" ht="25" customHeight="1">
      <x:c r="A26" s="2" t="str">
        <x:v>2026-10-19_Night</x:v>
      </x:c>
      <x:c r="B26" s="7" t="str">
        <x:v>旧完了場</x:v>
      </x:c>
      <x:c r="C26" s="7" t="str">
        <x:v>上昇</x:v>
      </x:c>
      <x:c r="D26" s="6" t="n">
        <x:v>108000</x:v>
      </x:c>
      <x:c r="E26" s="6" t="n">
        <x:v>201100</x:v>
      </x:c>
      <x:c r="F26" s="6" t="n">
        <x:f>D26-E26</x:f>
        <x:v>-93100</x:v>
      </x:c>
      <x:c r="G26" s="6" t="n">
        <x:f>G25+F26</x:f>
        <x:v>959200</x:v>
      </x:c>
      <x:c r="H26" s="6" t="n">
        <x:v>-107100</x:v>
      </x:c>
      <x:c r="I26" s="6" t="n">
        <x:v>173000</x:v>
      </x:c>
      <x:c r="J26" s="6" t="n">
        <x:v>14</x:v>
      </x:c>
      <x:c r="K26" s="6" t="n">
        <x:v>7000</x:v>
      </x:c>
      <x:c r="L26" s="6" t="n">
        <x:v>-100100</x:v>
      </x:c>
    </x:row>
    <x:row r="27" ht="25" customHeight="1">
      <x:c r="A27" s="2" t="str">
        <x:v>2026-10-20_Night</x:v>
      </x:c>
      <x:c r="B27" s="7" t="str">
        <x:v>旧完了場</x:v>
      </x:c>
      <x:c r="C27" s="7" t="str">
        <x:v>上昇</x:v>
      </x:c>
      <x:c r="D27" s="6" t="n">
        <x:v>152800</x:v>
      </x:c>
      <x:c r="E27" s="6" t="n">
        <x:v>68600</x:v>
      </x:c>
      <x:c r="F27" s="6" t="n">
        <x:f>D27-E27</x:f>
        <x:v>84200</x:v>
      </x:c>
      <x:c r="G27" s="6" t="n">
        <x:f>G26+F27</x:f>
        <x:v>1043400</x:v>
      </x:c>
      <x:c r="H27" s="6" t="n">
        <x:v>-4200</x:v>
      </x:c>
      <x:c r="I27" s="6" t="n">
        <x:v>128000</x:v>
      </x:c>
      <x:c r="J27" s="6" t="n">
        <x:v>11</x:v>
      </x:c>
      <x:c r="K27" s="6" t="n">
        <x:v>24700</x:v>
      </x:c>
      <x:c r="L27" s="6" t="n">
        <x:v>59500</x:v>
      </x:c>
    </x:row>
    <x:row r="28" ht="25" customHeight="1">
      <x:c r="A28" s="2" t="str">
        <x:v>2026-10-21_Night</x:v>
      </x:c>
      <x:c r="B28" s="7" t="str">
        <x:v>旧完了場</x:v>
      </x:c>
      <x:c r="C28" s="7" t="str">
        <x:v>上昇</x:v>
      </x:c>
      <x:c r="D28" s="6" t="n">
        <x:v>33600</x:v>
      </x:c>
      <x:c r="E28" s="6" t="n">
        <x:v>17000</x:v>
      </x:c>
      <x:c r="F28" s="6" t="n">
        <x:f>D28-E28</x:f>
        <x:v>16600</x:v>
      </x:c>
      <x:c r="G28" s="6" t="n">
        <x:f>G27+F28</x:f>
        <x:v>1060000</x:v>
      </x:c>
      <x:c r="H28" s="6" t="n">
        <x:v>-7000</x:v>
      </x:c>
      <x:c r="I28" s="6" t="n">
        <x:v>55000</x:v>
      </x:c>
      <x:c r="J28" s="6" t="n">
        <x:v>6</x:v>
      </x:c>
      <x:c r="K28" s="6" t="n">
        <x:v>3000</x:v>
      </x:c>
      <x:c r="L28" s="6" t="n">
        <x:v>13600</x:v>
      </x:c>
    </x:row>
    <x:row r="29" ht="25" customHeight="1">
      <x:c r="A29" s="2" t="str">
        <x:v>2026-10-22_Night</x:v>
      </x:c>
      <x:c r="B29" s="7" t="str">
        <x:v>旧完了場</x:v>
      </x:c>
      <x:c r="C29" s="7" t="str">
        <x:v>下落</x:v>
      </x:c>
      <x:c r="D29" s="6" t="n">
        <x:v>277600</x:v>
      </x:c>
      <x:c r="E29" s="6" t="n">
        <x:v>0</x:v>
      </x:c>
      <x:c r="F29" s="6" t="n">
        <x:f>D29-E29</x:f>
        <x:v>277600</x:v>
      </x:c>
      <x:c r="G29" s="6" t="n">
        <x:f>G28+F29</x:f>
        <x:v>1337600</x:v>
      </x:c>
      <x:c r="H29" s="6" t="n">
        <x:v>-9200</x:v>
      </x:c>
      <x:c r="I29" s="6" t="n">
        <x:v>128800</x:v>
      </x:c>
      <x:c r="J29" s="6" t="n">
        <x:v>3</x:v>
      </x:c>
      <x:c r="K29" s="6" t="n">
        <x:v>0</x:v>
      </x:c>
      <x:c r="L29" s="6" t="n">
        <x:v>277600</x:v>
      </x:c>
    </x:row>
    <x:row r="30" ht="25" customHeight="1">
      <x:c r="A30" s="2" t="str">
        <x:v>2026-10-23_Night</x:v>
      </x:c>
      <x:c r="B30" s="7" t="str">
        <x:v>旧完了場</x:v>
      </x:c>
      <x:c r="C30" s="7" t="str">
        <x:v>上昇</x:v>
      </x:c>
      <x:c r="D30" s="6" t="n">
        <x:v>54500</x:v>
      </x:c>
      <x:c r="E30" s="6" t="n">
        <x:v>43500</x:v>
      </x:c>
      <x:c r="F30" s="6" t="n">
        <x:f>D30-E30</x:f>
        <x:v>11000</x:v>
      </x:c>
      <x:c r="G30" s="6" t="n">
        <x:f>G29+F30</x:f>
        <x:v>1348600</x:v>
      </x:c>
      <x:c r="H30" s="6" t="n">
        <x:v>-63100</x:v>
      </x:c>
      <x:c r="I30" s="6" t="n">
        <x:v>102900</x:v>
      </x:c>
      <x:c r="J30" s="6" t="n">
        <x:v>11</x:v>
      </x:c>
      <x:c r="K30" s="6" t="n">
        <x:v>-10800</x:v>
      </x:c>
      <x:c r="L30" s="6" t="n">
        <x:v>21800</x:v>
      </x:c>
    </x:row>
    <x:row r="31" ht="25" customHeight="1">
      <x:c r="A31" s="2" t="str">
        <x:v>2026-10-26_Night</x:v>
      </x:c>
      <x:c r="B31" s="7" t="str">
        <x:v>追加完了版</x:v>
      </x:c>
      <x:c r="C31" s="7" t="str">
        <x:v>上昇</x:v>
      </x:c>
      <x:c r="D31" s="6" t="n">
        <x:v>137600</x:v>
      </x:c>
      <x:c r="E31" s="6" t="n">
        <x:v>156100</x:v>
      </x:c>
      <x:c r="F31" s="6" t="n">
        <x:f>D31-E31</x:f>
        <x:v>-18500</x:v>
      </x:c>
      <x:c r="G31" s="6" t="n">
        <x:f>G30+F31</x:f>
        <x:v>1330100</x:v>
      </x:c>
      <x:c r="H31" s="6" t="n">
        <x:v>-26400</x:v>
      </x:c>
      <x:c r="I31" s="6" t="n">
        <x:v>249600</x:v>
      </x:c>
      <x:c r="J31" s="6" t="n">
        <x:v>12</x:v>
      </x:c>
      <x:c r="K31" s="6" t="n">
        <x:v>3000</x:v>
      </x:c>
      <x:c r="L31" s="6" t="n">
        <x:v>-21500</x:v>
      </x:c>
    </x:row>
    <x:row r="32" ht="25" customHeight="1">
      <x:c r="A32" s="14" t="str">
        <x:v>累計／場内最悪値</x:v>
      </x:c>
      <x:c r="B32" s="15"/>
      <x:c r="C32" s="15"/>
      <x:c r="D32" s="15" t="n">
        <x:f>SUM(D6:D31)</x:f>
        <x:v>2505500</x:v>
      </x:c>
      <x:c r="E32" s="15" t="n">
        <x:f>SUM(E6:E31)</x:f>
        <x:v>1175400</x:v>
      </x:c>
      <x:c r="F32" s="15" t="n">
        <x:f>D32-E32</x:f>
        <x:v>1330100</x:v>
      </x:c>
      <x:c r="G32" s="15" t="n">
        <x:f>G31</x:f>
        <x:v>1330100</x:v>
      </x:c>
      <x:c r="H32" s="15" t="n">
        <x:f>MIN(H6:H31)</x:f>
        <x:v>-207900</x:v>
      </x:c>
      <x:c r="I32" s="15" t="n">
        <x:f>MAX(I6:I31)</x:f>
        <x:v>287700</x:v>
      </x:c>
      <x:c r="J32" s="15" t="n">
        <x:f>SUM(J6:J31)</x:f>
        <x:v>182</x:v>
      </x:c>
      <x:c r="K32" s="15" t="n">
        <x:f>SUM(K6:K31)</x:f>
        <x:v>69400</x:v>
      </x:c>
      <x:c r="L32" s="15" t="n">
        <x:f>SUM(L6:L31)</x:f>
        <x:v>1260700</x:v>
      </x:c>
    </x:row>
  </x:sheetData>
  <x:conditionalFormatting sqref="F6:H31">
    <x:cfRule type="cellIs" dxfId="4" priority="1" operator="lessThan">
      <x:formula>0</x:formula>
    </x:cfRule>
  </x:conditionalFormatting>
  <x:conditionalFormatting sqref="K6:L31">
    <x:cfRule type="cellIs" dxfId="5" priority="2" operator="lessThan">
      <x:formula>0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9174bba9e0c14c9c"/>
  </x:tableParts>
</x:worksheet>
</file>

<file path=xl/worksheets/sheet6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25" hidden="0" customWidth="1"/>
    <x:col min="2" max="2" width="15" hidden="0" customWidth="1"/>
    <x:col min="3" max="3" width="10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  <x:col min="12" max="12" width="16" hidden="0" customWidth="1"/>
  </x:cols>
  <x:sheetData>
    <x:row r="1" ht="10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</x:row>
    <x:row r="2" ht="25" customHeight="1">
      <x:c r="A2" s="3" t="str">
        <x:v>日経 N03　夜間損益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</x:row>
    <x:row r="3" ht="25" customHeight="1">
      <x:c r="A3" s="4" t="str">
        <x:v>前半だけJ02型数量</x:v>
      </x:c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</x:row>
    <x:row r="4" ht="25" customHeight="1">
      <x:c r="A4" s="4" t="str">
        <x:v>片側micro100枚＝mini10枚相当・手数料0。途中最悪は確定＋全玉含み、最大下落は当場ピークからの落差。</x:v>
      </x:c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</x:row>
    <x:row r="5" ht="45" customHeight="1">
      <x:c r="A5" s="11" t="str">
        <x:v>セッション</x:v>
      </x:c>
      <x:c r="B5" s="11" t="str">
        <x:v>資料区分</x:v>
      </x:c>
      <x:c r="C5" s="11" t="str">
        <x:v>場の方向</x:v>
      </x:c>
      <x:c r="D5" s="11" t="str">
        <x:v>利益（円）</x:v>
      </x:c>
      <x:c r="E5" s="11" t="str">
        <x:v>損失（円）</x:v>
      </x:c>
      <x:c r="F5" s="11" t="str">
        <x:v>収支（円）</x:v>
      </x:c>
      <x:c r="G5" s="11" t="str">
        <x:v>累計（円）</x:v>
      </x:c>
      <x:c r="H5" s="11" t="str">
        <x:v>途中最悪収支（円）</x:v>
      </x:c>
      <x:c r="I5" s="11" t="str">
        <x:v>最大下落額（円）</x:v>
      </x:c>
      <x:c r="J5" s="11" t="str">
        <x:v>新規回数</x:v>
      </x:c>
      <x:c r="K5" s="11" t="str">
        <x:v>米国前収支（円）</x:v>
      </x:c>
      <x:c r="L5" s="11" t="str">
        <x:v>米国後収支（円）</x:v>
      </x:c>
    </x:row>
    <x:row r="6" ht="25" customHeight="1">
      <x:c r="A6" s="2" t="str">
        <x:v>2026-09-21_Night</x:v>
      </x:c>
      <x:c r="B6" s="7" t="str">
        <x:v>旧完了場</x:v>
      </x:c>
      <x:c r="C6" s="7" t="str">
        <x:v>上昇</x:v>
      </x:c>
      <x:c r="D6" s="6" t="n">
        <x:v>0</x:v>
      </x:c>
      <x:c r="E6" s="6" t="n">
        <x:v>45000</x:v>
      </x:c>
      <x:c r="F6" s="6" t="n">
        <x:f>D6-E6</x:f>
        <x:v>-45000</x:v>
      </x:c>
      <x:c r="G6" s="6" t="n">
        <x:f>F6</x:f>
        <x:v>-45000</x:v>
      </x:c>
      <x:c r="H6" s="6" t="n">
        <x:v>-45000</x:v>
      </x:c>
      <x:c r="I6" s="6" t="n">
        <x:v>65000</x:v>
      </x:c>
      <x:c r="J6" s="6" t="n">
        <x:v>1</x:v>
      </x:c>
      <x:c r="K6" s="6" t="n">
        <x:v>0</x:v>
      </x:c>
      <x:c r="L6" s="6" t="n">
        <x:v>-45000</x:v>
      </x:c>
    </x:row>
    <x:row r="7" ht="25" customHeight="1">
      <x:c r="A7" s="2" t="str">
        <x:v>2026-09-22_Night</x:v>
      </x:c>
      <x:c r="B7" s="7" t="str">
        <x:v>旧完了場</x:v>
      </x:c>
      <x:c r="C7" s="7" t="str">
        <x:v>上昇</x:v>
      </x:c>
      <x:c r="D7" s="6" t="n">
        <x:v>27000</x:v>
      </x:c>
      <x:c r="E7" s="6" t="n">
        <x:v>0</x:v>
      </x:c>
      <x:c r="F7" s="6" t="n">
        <x:f>D7-E7</x:f>
        <x:v>27000</x:v>
      </x:c>
      <x:c r="G7" s="6" t="n">
        <x:f>G6+F7</x:f>
        <x:v>-18000</x:v>
      </x:c>
      <x:c r="H7" s="6" t="n">
        <x:v>-32000</x:v>
      </x:c>
      <x:c r="I7" s="6" t="n">
        <x:v>50000</x:v>
      </x:c>
      <x:c r="J7" s="6" t="n">
        <x:v>2</x:v>
      </x:c>
      <x:c r="K7" s="6" t="n">
        <x:v>3000</x:v>
      </x:c>
      <x:c r="L7" s="6" t="n">
        <x:v>24000</x:v>
      </x:c>
    </x:row>
    <x:row r="8" ht="25" customHeight="1">
      <x:c r="A8" s="2" t="str">
        <x:v>2026-09-23_Night</x:v>
      </x:c>
      <x:c r="B8" s="7" t="str">
        <x:v>旧完了場</x:v>
      </x:c>
      <x:c r="C8" s="7" t="str">
        <x:v>下落</x:v>
      </x:c>
      <x:c r="D8" s="6" t="n">
        <x:v>4000</x:v>
      </x:c>
      <x:c r="E8" s="6" t="n">
        <x:v>40000</x:v>
      </x:c>
      <x:c r="F8" s="6" t="n">
        <x:f>D8-E8</x:f>
        <x:v>-36000</x:v>
      </x:c>
      <x:c r="G8" s="6" t="n">
        <x:f>G7+F8</x:f>
        <x:v>-54000</x:v>
      </x:c>
      <x:c r="H8" s="6" t="n">
        <x:v>-44000</x:v>
      </x:c>
      <x:c r="I8" s="6" t="n">
        <x:v>44000</x:v>
      </x:c>
      <x:c r="J8" s="6" t="n">
        <x:v>3</x:v>
      </x:c>
      <x:c r="K8" s="6" t="n">
        <x:v>0</x:v>
      </x:c>
      <x:c r="L8" s="6" t="n">
        <x:v>-36000</x:v>
      </x:c>
    </x:row>
    <x:row r="9" ht="25" customHeight="1">
      <x:c r="A9" s="2" t="str">
        <x:v>2026-09-24_Night</x:v>
      </x:c>
      <x:c r="B9" s="7" t="str">
        <x:v>旧完了場</x:v>
      </x:c>
      <x:c r="C9" s="7" t="str">
        <x:v>上昇</x:v>
      </x:c>
      <x:c r="D9" s="6" t="n">
        <x:v>26000</x:v>
      </x:c>
      <x:c r="E9" s="6" t="n">
        <x:v>0</x:v>
      </x:c>
      <x:c r="F9" s="6" t="n">
        <x:f>D9-E9</x:f>
        <x:v>26000</x:v>
      </x:c>
      <x:c r="G9" s="6" t="n">
        <x:f>G8+F9</x:f>
        <x:v>-28000</x:v>
      </x:c>
      <x:c r="H9" s="6" t="n">
        <x:v>-17000</x:v>
      </x:c>
      <x:c r="I9" s="6" t="n">
        <x:v>24000</x:v>
      </x:c>
      <x:c r="J9" s="6" t="n">
        <x:v>4</x:v>
      </x:c>
      <x:c r="K9" s="6" t="n">
        <x:v>6000</x:v>
      </x:c>
      <x:c r="L9" s="6" t="n">
        <x:v>20000</x:v>
      </x:c>
    </x:row>
    <x:row r="10" ht="25" customHeight="1">
      <x:c r="A10" s="2" t="str">
        <x:v>2026-09-25_Night</x:v>
      </x:c>
      <x:c r="B10" s="7" t="str">
        <x:v>旧完了場</x:v>
      </x:c>
      <x:c r="C10" s="7" t="str">
        <x:v>上昇</x:v>
      </x:c>
      <x:c r="D10" s="6" t="n">
        <x:v>17000</x:v>
      </x:c>
      <x:c r="E10" s="6" t="n">
        <x:v>16000</x:v>
      </x:c>
      <x:c r="F10" s="6" t="n">
        <x:f>D10-E10</x:f>
        <x:v>1000</x:v>
      </x:c>
      <x:c r="G10" s="6" t="n">
        <x:f>G9+F10</x:f>
        <x:v>-27000</x:v>
      </x:c>
      <x:c r="H10" s="6" t="n">
        <x:v>-16000</x:v>
      </x:c>
      <x:c r="I10" s="6" t="n">
        <x:v>24000</x:v>
      </x:c>
      <x:c r="J10" s="6" t="n">
        <x:v>2</x:v>
      </x:c>
      <x:c r="K10" s="6" t="n">
        <x:v>0</x:v>
      </x:c>
      <x:c r="L10" s="6" t="n">
        <x:v>1000</x:v>
      </x:c>
    </x:row>
    <x:row r="11" ht="25" customHeight="1">
      <x:c r="A11" s="2" t="str">
        <x:v>2026-09-28_Night</x:v>
      </x:c>
      <x:c r="B11" s="7" t="str">
        <x:v>旧完了場</x:v>
      </x:c>
      <x:c r="C11" s="7" t="str">
        <x:v>横ばい</x:v>
      </x:c>
      <x:c r="D11" s="6" t="n">
        <x:v>7000</x:v>
      </x:c>
      <x:c r="E11" s="6" t="n">
        <x:v>30000</x:v>
      </x:c>
      <x:c r="F11" s="6" t="n">
        <x:f>D11-E11</x:f>
        <x:v>-23000</x:v>
      </x:c>
      <x:c r="G11" s="6" t="n">
        <x:f>G10+F11</x:f>
        <x:v>-50000</x:v>
      </x:c>
      <x:c r="H11" s="6" t="n">
        <x:v>-34000</x:v>
      </x:c>
      <x:c r="I11" s="6" t="n">
        <x:v>43000</x:v>
      </x:c>
      <x:c r="J11" s="6" t="n">
        <x:v>5</x:v>
      </x:c>
      <x:c r="K11" s="6" t="n">
        <x:v>6000</x:v>
      </x:c>
      <x:c r="L11" s="6" t="n">
        <x:v>-29000</x:v>
      </x:c>
    </x:row>
    <x:row r="12" ht="25" customHeight="1">
      <x:c r="A12" s="2" t="str">
        <x:v>2026-09-29_Night</x:v>
      </x:c>
      <x:c r="B12" s="7" t="str">
        <x:v>旧完了場</x:v>
      </x:c>
      <x:c r="C12" s="7" t="str">
        <x:v>上昇</x:v>
      </x:c>
      <x:c r="D12" s="6" t="n">
        <x:v>87000</x:v>
      </x:c>
      <x:c r="E12" s="6" t="n">
        <x:v>22000</x:v>
      </x:c>
      <x:c r="F12" s="6" t="n">
        <x:f>D12-E12</x:f>
        <x:v>65000</x:v>
      </x:c>
      <x:c r="G12" s="6" t="n">
        <x:f>G11+F12</x:f>
        <x:v>15000</x:v>
      </x:c>
      <x:c r="H12" s="6" t="n">
        <x:v>-30000</x:v>
      </x:c>
      <x:c r="I12" s="6" t="n">
        <x:v>70000</x:v>
      </x:c>
      <x:c r="J12" s="6" t="n">
        <x:v>6</x:v>
      </x:c>
      <x:c r="K12" s="6" t="n">
        <x:v>0</x:v>
      </x:c>
      <x:c r="L12" s="6" t="n">
        <x:v>65000</x:v>
      </x:c>
    </x:row>
    <x:row r="13" ht="25" customHeight="1">
      <x:c r="A13" s="2" t="str">
        <x:v>2026-09-30_Night</x:v>
      </x:c>
      <x:c r="B13" s="7" t="str">
        <x:v>旧完了場</x:v>
      </x:c>
      <x:c r="C13" s="7" t="str">
        <x:v>下落</x:v>
      </x:c>
      <x:c r="D13" s="6" t="n">
        <x:v>55900</x:v>
      </x:c>
      <x:c r="E13" s="6" t="n">
        <x:v>0</x:v>
      </x:c>
      <x:c r="F13" s="6" t="n">
        <x:f>D13-E13</x:f>
        <x:v>55900</x:v>
      </x:c>
      <x:c r="G13" s="6" t="n">
        <x:f>G12+F13</x:f>
        <x:v>70900</x:v>
      </x:c>
      <x:c r="H13" s="6" t="n">
        <x:v>-14100</x:v>
      </x:c>
      <x:c r="I13" s="6" t="n">
        <x:v>63000</x:v>
      </x:c>
      <x:c r="J13" s="6" t="n">
        <x:v>6</x:v>
      </x:c>
      <x:c r="K13" s="6" t="n">
        <x:v>12900</x:v>
      </x:c>
      <x:c r="L13" s="6" t="n">
        <x:v>43000</x:v>
      </x:c>
    </x:row>
    <x:row r="14" ht="25" customHeight="1">
      <x:c r="A14" s="2" t="str">
        <x:v>2026-10-01_Night</x:v>
      </x:c>
      <x:c r="B14" s="7" t="str">
        <x:v>旧完了場</x:v>
      </x:c>
      <x:c r="C14" s="7" t="str">
        <x:v>上昇</x:v>
      </x:c>
      <x:c r="D14" s="6" t="n">
        <x:v>214800</x:v>
      </x:c>
      <x:c r="E14" s="6" t="n">
        <x:v>92000</x:v>
      </x:c>
      <x:c r="F14" s="6" t="n">
        <x:f>D14-E14</x:f>
        <x:v>122800</x:v>
      </x:c>
      <x:c r="G14" s="6" t="n">
        <x:f>G13+F14</x:f>
        <x:v>193700</x:v>
      </x:c>
      <x:c r="H14" s="6" t="n">
        <x:v>-36200</x:v>
      </x:c>
      <x:c r="I14" s="6" t="n">
        <x:v>145000</x:v>
      </x:c>
      <x:c r="J14" s="6" t="n">
        <x:v>16</x:v>
      </x:c>
      <x:c r="K14" s="6" t="n">
        <x:v>24800</x:v>
      </x:c>
      <x:c r="L14" s="6" t="n">
        <x:v>98000</x:v>
      </x:c>
    </x:row>
    <x:row r="15" ht="25" customHeight="1">
      <x:c r="A15" s="2" t="str">
        <x:v>2026-10-02_Night</x:v>
      </x:c>
      <x:c r="B15" s="7" t="str">
        <x:v>旧完了場</x:v>
      </x:c>
      <x:c r="C15" s="7" t="str">
        <x:v>上昇</x:v>
      </x:c>
      <x:c r="D15" s="6" t="n">
        <x:v>294000</x:v>
      </x:c>
      <x:c r="E15" s="6" t="n">
        <x:v>38000</x:v>
      </x:c>
      <x:c r="F15" s="6" t="n">
        <x:f>D15-E15</x:f>
        <x:v>256000</x:v>
      </x:c>
      <x:c r="G15" s="6" t="n">
        <x:f>G14+F15</x:f>
        <x:v>449700</x:v>
      </x:c>
      <x:c r="H15" s="6" t="n">
        <x:v>-34000</x:v>
      </x:c>
      <x:c r="I15" s="6" t="n">
        <x:v>162000</x:v>
      </x:c>
      <x:c r="J15" s="6" t="n">
        <x:v>15</x:v>
      </x:c>
      <x:c r="K15" s="6" t="n">
        <x:v>0</x:v>
      </x:c>
      <x:c r="L15" s="6" t="n">
        <x:v>256000</x:v>
      </x:c>
    </x:row>
    <x:row r="16" ht="25" customHeight="1">
      <x:c r="A16" s="2" t="str">
        <x:v>2026-10-05_Night</x:v>
      </x:c>
      <x:c r="B16" s="7" t="str">
        <x:v>旧完了場</x:v>
      </x:c>
      <x:c r="C16" s="7" t="str">
        <x:v>下落</x:v>
      </x:c>
      <x:c r="D16" s="6" t="n">
        <x:v>101000</x:v>
      </x:c>
      <x:c r="E16" s="6" t="n">
        <x:v>64000</x:v>
      </x:c>
      <x:c r="F16" s="6" t="n">
        <x:f>D16-E16</x:f>
        <x:v>37000</x:v>
      </x:c>
      <x:c r="G16" s="6" t="n">
        <x:f>G15+F16</x:f>
        <x:v>486700</x:v>
      </x:c>
      <x:c r="H16" s="6" t="n">
        <x:v>-35000</x:v>
      </x:c>
      <x:c r="I16" s="6" t="n">
        <x:v>128000</x:v>
      </x:c>
      <x:c r="J16" s="6" t="n">
        <x:v>8</x:v>
      </x:c>
      <x:c r="K16" s="6" t="n">
        <x:v>3000</x:v>
      </x:c>
      <x:c r="L16" s="6" t="n">
        <x:v>34000</x:v>
      </x:c>
    </x:row>
    <x:row r="17" ht="25" customHeight="1">
      <x:c r="A17" s="2" t="str">
        <x:v>2026-10-06_Night</x:v>
      </x:c>
      <x:c r="B17" s="7" t="str">
        <x:v>旧完了場</x:v>
      </x:c>
      <x:c r="C17" s="7" t="str">
        <x:v>横ばい</x:v>
      </x:c>
      <x:c r="D17" s="6" t="n">
        <x:v>33000</x:v>
      </x:c>
      <x:c r="E17" s="6" t="n">
        <x:v>43000</x:v>
      </x:c>
      <x:c r="F17" s="6" t="n">
        <x:f>D17-E17</x:f>
        <x:v>-10000</x:v>
      </x:c>
      <x:c r="G17" s="6" t="n">
        <x:f>G16+F17</x:f>
        <x:v>476700</x:v>
      </x:c>
      <x:c r="H17" s="6" t="n">
        <x:v>-56000</x:v>
      </x:c>
      <x:c r="I17" s="6" t="n">
        <x:v>56000</x:v>
      </x:c>
      <x:c r="J17" s="6" t="n">
        <x:v>4</x:v>
      </x:c>
      <x:c r="K17" s="6" t="n">
        <x:v>0</x:v>
      </x:c>
      <x:c r="L17" s="6" t="n">
        <x:v>-10000</x:v>
      </x:c>
    </x:row>
    <x:row r="18" ht="25" customHeight="1">
      <x:c r="A18" s="2" t="str">
        <x:v>2026-10-07_Night</x:v>
      </x:c>
      <x:c r="B18" s="7" t="str">
        <x:v>旧完了場</x:v>
      </x:c>
      <x:c r="C18" s="7" t="str">
        <x:v>下落</x:v>
      </x:c>
      <x:c r="D18" s="6" t="n">
        <x:v>4000</x:v>
      </x:c>
      <x:c r="E18" s="6" t="n">
        <x:v>57200</x:v>
      </x:c>
      <x:c r="F18" s="6" t="n">
        <x:f>D18-E18</x:f>
        <x:v>-53200</x:v>
      </x:c>
      <x:c r="G18" s="6" t="n">
        <x:f>G17+F18</x:f>
        <x:v>423500</x:v>
      </x:c>
      <x:c r="H18" s="6" t="n">
        <x:v>-55200</x:v>
      </x:c>
      <x:c r="I18" s="6" t="n">
        <x:v>65600</x:v>
      </x:c>
      <x:c r="J18" s="6" t="n">
        <x:v>5</x:v>
      </x:c>
      <x:c r="K18" s="6" t="n">
        <x:v>-31200</x:v>
      </x:c>
      <x:c r="L18" s="6" t="n">
        <x:v>-22000</x:v>
      </x:c>
    </x:row>
    <x:row r="19" ht="25" customHeight="1">
      <x:c r="A19" s="2" t="str">
        <x:v>2026-10-08_Night</x:v>
      </x:c>
      <x:c r="B19" s="7" t="str">
        <x:v>旧完了場</x:v>
      </x:c>
      <x:c r="C19" s="7" t="str">
        <x:v>下落</x:v>
      </x:c>
      <x:c r="D19" s="6" t="n">
        <x:v>334000</x:v>
      </x:c>
      <x:c r="E19" s="6" t="n">
        <x:v>20000</x:v>
      </x:c>
      <x:c r="F19" s="6" t="n">
        <x:f>D19-E19</x:f>
        <x:v>314000</x:v>
      </x:c>
      <x:c r="G19" s="6" t="n">
        <x:f>G18+F19</x:f>
        <x:v>737500</x:v>
      </x:c>
      <x:c r="H19" s="6" t="n">
        <x:v>-34000</x:v>
      </x:c>
      <x:c r="I19" s="6" t="n">
        <x:v>102000</x:v>
      </x:c>
      <x:c r="J19" s="6" t="n">
        <x:v>17</x:v>
      </x:c>
      <x:c r="K19" s="6" t="n">
        <x:v>8000</x:v>
      </x:c>
      <x:c r="L19" s="6" t="n">
        <x:v>306000</x:v>
      </x:c>
    </x:row>
    <x:row r="20" ht="25" customHeight="1">
      <x:c r="A20" s="2" t="str">
        <x:v>2026-10-09_Night</x:v>
      </x:c>
      <x:c r="B20" s="7" t="str">
        <x:v>旧完了場</x:v>
      </x:c>
      <x:c r="C20" s="7" t="str">
        <x:v>下落</x:v>
      </x:c>
      <x:c r="D20" s="6" t="n">
        <x:v>22000</x:v>
      </x:c>
      <x:c r="E20" s="6" t="n">
        <x:v>0</x:v>
      </x:c>
      <x:c r="F20" s="6" t="n">
        <x:f>D20-E20</x:f>
        <x:v>22000</x:v>
      </x:c>
      <x:c r="G20" s="6" t="n">
        <x:f>G19+F20</x:f>
        <x:v>759500</x:v>
      </x:c>
      <x:c r="H20" s="6" t="n">
        <x:v>-27000</x:v>
      </x:c>
      <x:c r="I20" s="6" t="n">
        <x:v>60000</x:v>
      </x:c>
      <x:c r="J20" s="6" t="n">
        <x:v>3</x:v>
      </x:c>
      <x:c r="K20" s="6" t="n">
        <x:v>8000</x:v>
      </x:c>
      <x:c r="L20" s="6" t="n">
        <x:v>14000</x:v>
      </x:c>
    </x:row>
    <x:row r="21" ht="25" customHeight="1">
      <x:c r="A21" s="2" t="str">
        <x:v>2026-10-12_Night</x:v>
      </x:c>
      <x:c r="B21" s="7" t="str">
        <x:v>旧完了場</x:v>
      </x:c>
      <x:c r="C21" s="7" t="str">
        <x:v>下落</x:v>
      </x:c>
      <x:c r="D21" s="6" t="n">
        <x:v>82000</x:v>
      </x:c>
      <x:c r="E21" s="6" t="n">
        <x:v>0</x:v>
      </x:c>
      <x:c r="F21" s="6" t="n">
        <x:f>D21-E21</x:f>
        <x:v>82000</x:v>
      </x:c>
      <x:c r="G21" s="6" t="n">
        <x:f>G20+F21</x:f>
        <x:v>841500</x:v>
      </x:c>
      <x:c r="H21" s="6" t="n">
        <x:v>-10000</x:v>
      </x:c>
      <x:c r="I21" s="6" t="n">
        <x:v>33000</x:v>
      </x:c>
      <x:c r="J21" s="6" t="n">
        <x:v>1</x:v>
      </x:c>
      <x:c r="K21" s="6" t="n">
        <x:v>0</x:v>
      </x:c>
      <x:c r="L21" s="6" t="n">
        <x:v>82000</x:v>
      </x:c>
    </x:row>
    <x:row r="22" ht="25" customHeight="1">
      <x:c r="A22" s="2" t="str">
        <x:v>2026-10-13_Night</x:v>
      </x:c>
      <x:c r="B22" s="7" t="str">
        <x:v>旧完了場</x:v>
      </x:c>
      <x:c r="C22" s="7" t="str">
        <x:v>上昇</x:v>
      </x:c>
      <x:c r="D22" s="6" t="n">
        <x:v>3000</x:v>
      </x:c>
      <x:c r="E22" s="6" t="n">
        <x:v>53000</x:v>
      </x:c>
      <x:c r="F22" s="6" t="n">
        <x:f>D22-E22</x:f>
        <x:v>-50000</x:v>
      </x:c>
      <x:c r="G22" s="6" t="n">
        <x:f>G21+F22</x:f>
        <x:v>791500</x:v>
      </x:c>
      <x:c r="H22" s="6" t="n">
        <x:v>-50000</x:v>
      </x:c>
      <x:c r="I22" s="6" t="n">
        <x:v>58000</x:v>
      </x:c>
      <x:c r="J22" s="6" t="n">
        <x:v>3</x:v>
      </x:c>
      <x:c r="K22" s="6" t="n">
        <x:v>3000</x:v>
      </x:c>
      <x:c r="L22" s="6" t="n">
        <x:v>-53000</x:v>
      </x:c>
    </x:row>
    <x:row r="23" ht="25" customHeight="1">
      <x:c r="A23" s="2" t="str">
        <x:v>2026-10-14_Night</x:v>
      </x:c>
      <x:c r="B23" s="7" t="str">
        <x:v>旧完了場</x:v>
      </x:c>
      <x:c r="C23" s="7" t="str">
        <x:v>下落</x:v>
      </x:c>
      <x:c r="D23" s="6" t="n">
        <x:v>200000</x:v>
      </x:c>
      <x:c r="E23" s="6" t="n">
        <x:v>61000</x:v>
      </x:c>
      <x:c r="F23" s="6" t="n">
        <x:f>D23-E23</x:f>
        <x:v>139000</x:v>
      </x:c>
      <x:c r="G23" s="6" t="n">
        <x:f>G22+F23</x:f>
        <x:v>930500</x:v>
      </x:c>
      <x:c r="H23" s="6" t="n">
        <x:v>-57000</x:v>
      </x:c>
      <x:c r="I23" s="6" t="n">
        <x:v>62000</x:v>
      </x:c>
      <x:c r="J23" s="6" t="n">
        <x:v>5</x:v>
      </x:c>
      <x:c r="K23" s="6" t="n">
        <x:v>3000</x:v>
      </x:c>
      <x:c r="L23" s="6" t="n">
        <x:v>136000</x:v>
      </x:c>
    </x:row>
    <x:row r="24" ht="25" customHeight="1">
      <x:c r="A24" s="2" t="str">
        <x:v>2026-10-15_Night</x:v>
      </x:c>
      <x:c r="B24" s="7" t="str">
        <x:v>旧完了場</x:v>
      </x:c>
      <x:c r="C24" s="7" t="str">
        <x:v>上昇</x:v>
      </x:c>
      <x:c r="D24" s="6" t="n">
        <x:v>75000</x:v>
      </x:c>
      <x:c r="E24" s="6" t="n">
        <x:v>53000</x:v>
      </x:c>
      <x:c r="F24" s="6" t="n">
        <x:f>D24-E24</x:f>
        <x:v>22000</x:v>
      </x:c>
      <x:c r="G24" s="6" t="n">
        <x:f>G23+F24</x:f>
        <x:v>952500</x:v>
      </x:c>
      <x:c r="H24" s="6" t="n">
        <x:v>-48000</x:v>
      </x:c>
      <x:c r="I24" s="6" t="n">
        <x:v>90000</x:v>
      </x:c>
      <x:c r="J24" s="6" t="n">
        <x:v>7</x:v>
      </x:c>
      <x:c r="K24" s="6" t="n">
        <x:v>0</x:v>
      </x:c>
      <x:c r="L24" s="6" t="n">
        <x:v>22000</x:v>
      </x:c>
    </x:row>
    <x:row r="25" ht="25" customHeight="1">
      <x:c r="A25" s="2" t="str">
        <x:v>2026-10-16_Night</x:v>
      </x:c>
      <x:c r="B25" s="7" t="str">
        <x:v>旧完了場</x:v>
      </x:c>
      <x:c r="C25" s="7" t="str">
        <x:v>下落</x:v>
      </x:c>
      <x:c r="D25" s="6" t="n">
        <x:v>158000</x:v>
      </x:c>
      <x:c r="E25" s="6" t="n">
        <x:v>130000</x:v>
      </x:c>
      <x:c r="F25" s="6" t="n">
        <x:f>D25-E25</x:f>
        <x:v>28000</x:v>
      </x:c>
      <x:c r="G25" s="6" t="n">
        <x:f>G24+F25</x:f>
        <x:v>980500</x:v>
      </x:c>
      <x:c r="H25" s="6" t="n">
        <x:v>-89000</x:v>
      </x:c>
      <x:c r="I25" s="6" t="n">
        <x:v>121000</x:v>
      </x:c>
      <x:c r="J25" s="6" t="n">
        <x:v>14</x:v>
      </x:c>
      <x:c r="K25" s="6" t="n">
        <x:v>-4000</x:v>
      </x:c>
      <x:c r="L25" s="6" t="n">
        <x:v>32000</x:v>
      </x:c>
    </x:row>
    <x:row r="26" ht="25" customHeight="1">
      <x:c r="A26" s="2" t="str">
        <x:v>2026-10-19_Night</x:v>
      </x:c>
      <x:c r="B26" s="7" t="str">
        <x:v>旧完了場</x:v>
      </x:c>
      <x:c r="C26" s="7" t="str">
        <x:v>上昇</x:v>
      </x:c>
      <x:c r="D26" s="6" t="n">
        <x:v>92000</x:v>
      </x:c>
      <x:c r="E26" s="6" t="n">
        <x:v>93000</x:v>
      </x:c>
      <x:c r="F26" s="6" t="n">
        <x:f>D26-E26</x:f>
        <x:v>-1000</x:v>
      </x:c>
      <x:c r="G26" s="6" t="n">
        <x:f>G25+F26</x:f>
        <x:v>979500</x:v>
      </x:c>
      <x:c r="H26" s="6" t="n">
        <x:v>-61000</x:v>
      </x:c>
      <x:c r="I26" s="6" t="n">
        <x:v>97000</x:v>
      </x:c>
      <x:c r="J26" s="6" t="n">
        <x:v>14</x:v>
      </x:c>
      <x:c r="K26" s="6" t="n">
        <x:v>7000</x:v>
      </x:c>
      <x:c r="L26" s="6" t="n">
        <x:v>-8000</x:v>
      </x:c>
    </x:row>
    <x:row r="27" ht="25" customHeight="1">
      <x:c r="A27" s="2" t="str">
        <x:v>2026-10-20_Night</x:v>
      </x:c>
      <x:c r="B27" s="7" t="str">
        <x:v>旧完了場</x:v>
      </x:c>
      <x:c r="C27" s="7" t="str">
        <x:v>上昇</x:v>
      </x:c>
      <x:c r="D27" s="6" t="n">
        <x:v>114700</x:v>
      </x:c>
      <x:c r="E27" s="6" t="n">
        <x:v>24000</x:v>
      </x:c>
      <x:c r="F27" s="6" t="n">
        <x:f>D27-E27</x:f>
        <x:v>90700</x:v>
      </x:c>
      <x:c r="G27" s="6" t="n">
        <x:f>G26+F27</x:f>
        <x:v>1070200</x:v>
      </x:c>
      <x:c r="H27" s="6" t="n">
        <x:v>-4200</x:v>
      </x:c>
      <x:c r="I27" s="6" t="n">
        <x:v>53000</x:v>
      </x:c>
      <x:c r="J27" s="6" t="n">
        <x:v>11</x:v>
      </x:c>
      <x:c r="K27" s="6" t="n">
        <x:v>24700</x:v>
      </x:c>
      <x:c r="L27" s="6" t="n">
        <x:v>66000</x:v>
      </x:c>
    </x:row>
    <x:row r="28" ht="25" customHeight="1">
      <x:c r="A28" s="2" t="str">
        <x:v>2026-10-21_Night</x:v>
      </x:c>
      <x:c r="B28" s="7" t="str">
        <x:v>旧完了場</x:v>
      </x:c>
      <x:c r="C28" s="7" t="str">
        <x:v>上昇</x:v>
      </x:c>
      <x:c r="D28" s="6" t="n">
        <x:v>64000</x:v>
      </x:c>
      <x:c r="E28" s="6" t="n">
        <x:v>85000</x:v>
      </x:c>
      <x:c r="F28" s="6" t="n">
        <x:f>D28-E28</x:f>
        <x:v>-21000</x:v>
      </x:c>
      <x:c r="G28" s="6" t="n">
        <x:f>G27+F28</x:f>
        <x:v>1049200</x:v>
      </x:c>
      <x:c r="H28" s="6" t="n">
        <x:v>-47000</x:v>
      </x:c>
      <x:c r="I28" s="6" t="n">
        <x:v>131000</x:v>
      </x:c>
      <x:c r="J28" s="6" t="n">
        <x:v>6</x:v>
      </x:c>
      <x:c r="K28" s="6" t="n">
        <x:v>3000</x:v>
      </x:c>
      <x:c r="L28" s="6" t="n">
        <x:v>-24000</x:v>
      </x:c>
    </x:row>
    <x:row r="29" ht="25" customHeight="1">
      <x:c r="A29" s="2" t="str">
        <x:v>2026-10-22_Night</x:v>
      </x:c>
      <x:c r="B29" s="7" t="str">
        <x:v>旧完了場</x:v>
      </x:c>
      <x:c r="C29" s="7" t="str">
        <x:v>下落</x:v>
      </x:c>
      <x:c r="D29" s="6" t="n">
        <x:v>156000</x:v>
      </x:c>
      <x:c r="E29" s="6" t="n">
        <x:v>0</x:v>
      </x:c>
      <x:c r="F29" s="6" t="n">
        <x:f>D29-E29</x:f>
        <x:v>156000</x:v>
      </x:c>
      <x:c r="G29" s="6" t="n">
        <x:f>G28+F29</x:f>
        <x:v>1205200</x:v>
      </x:c>
      <x:c r="H29" s="6" t="n">
        <x:v>-2000</x:v>
      </x:c>
      <x:c r="I29" s="6" t="n">
        <x:v>64000</x:v>
      </x:c>
      <x:c r="J29" s="6" t="n">
        <x:v>3</x:v>
      </x:c>
      <x:c r="K29" s="6" t="n">
        <x:v>0</x:v>
      </x:c>
      <x:c r="L29" s="6" t="n">
        <x:v>156000</x:v>
      </x:c>
    </x:row>
    <x:row r="30" ht="25" customHeight="1">
      <x:c r="A30" s="2" t="str">
        <x:v>2026-10-23_Night</x:v>
      </x:c>
      <x:c r="B30" s="7" t="str">
        <x:v>旧完了場</x:v>
      </x:c>
      <x:c r="C30" s="7" t="str">
        <x:v>上昇</x:v>
      </x:c>
      <x:c r="D30" s="6" t="n">
        <x:v>55200</x:v>
      </x:c>
      <x:c r="E30" s="6" t="n">
        <x:v>51000</x:v>
      </x:c>
      <x:c r="F30" s="6" t="n">
        <x:f>D30-E30</x:f>
        <x:v>4200</x:v>
      </x:c>
      <x:c r="G30" s="6" t="n">
        <x:f>G29+F30</x:f>
        <x:v>1209400</x:v>
      </x:c>
      <x:c r="H30" s="6" t="n">
        <x:v>-40800</x:v>
      </x:c>
      <x:c r="I30" s="6" t="n">
        <x:v>89000</x:v>
      </x:c>
      <x:c r="J30" s="6" t="n">
        <x:v>11</x:v>
      </x:c>
      <x:c r="K30" s="6" t="n">
        <x:v>-10800</x:v>
      </x:c>
      <x:c r="L30" s="6" t="n">
        <x:v>15000</x:v>
      </x:c>
    </x:row>
    <x:row r="31" ht="25" customHeight="1">
      <x:c r="A31" s="2" t="str">
        <x:v>2026-10-26_Night</x:v>
      </x:c>
      <x:c r="B31" s="7" t="str">
        <x:v>追加完了版</x:v>
      </x:c>
      <x:c r="C31" s="7" t="str">
        <x:v>上昇</x:v>
      </x:c>
      <x:c r="D31" s="6" t="n">
        <x:v>67000</x:v>
      </x:c>
      <x:c r="E31" s="6" t="n">
        <x:v>115000</x:v>
      </x:c>
      <x:c r="F31" s="6" t="n">
        <x:f>D31-E31</x:f>
        <x:v>-48000</x:v>
      </x:c>
      <x:c r="G31" s="6" t="n">
        <x:f>G30+F31</x:f>
        <x:v>1161400</x:v>
      </x:c>
      <x:c r="H31" s="6" t="n">
        <x:v>-49000</x:v>
      </x:c>
      <x:c r="I31" s="6" t="n">
        <x:v>121000</x:v>
      </x:c>
      <x:c r="J31" s="6" t="n">
        <x:v>12</x:v>
      </x:c>
      <x:c r="K31" s="6" t="n">
        <x:v>3000</x:v>
      </x:c>
      <x:c r="L31" s="6" t="n">
        <x:v>-51000</x:v>
      </x:c>
    </x:row>
    <x:row r="32" ht="25" customHeight="1">
      <x:c r="A32" s="14" t="str">
        <x:v>累計／場内最悪値</x:v>
      </x:c>
      <x:c r="B32" s="15"/>
      <x:c r="C32" s="15"/>
      <x:c r="D32" s="15" t="n">
        <x:f>SUM(D6:D31)</x:f>
        <x:v>2293600</x:v>
      </x:c>
      <x:c r="E32" s="15" t="n">
        <x:f>SUM(E6:E31)</x:f>
        <x:v>1132200</x:v>
      </x:c>
      <x:c r="F32" s="15" t="n">
        <x:f>D32-E32</x:f>
        <x:v>1161400</x:v>
      </x:c>
      <x:c r="G32" s="15" t="n">
        <x:f>G31</x:f>
        <x:v>1161400</x:v>
      </x:c>
      <x:c r="H32" s="15" t="n">
        <x:f>MIN(H6:H31)</x:f>
        <x:v>-89000</x:v>
      </x:c>
      <x:c r="I32" s="15" t="n">
        <x:f>MAX(I6:I31)</x:f>
        <x:v>162000</x:v>
      </x:c>
      <x:c r="J32" s="15" t="n">
        <x:f>SUM(J6:J31)</x:f>
        <x:v>184</x:v>
      </x:c>
      <x:c r="K32" s="15" t="n">
        <x:f>SUM(K6:K31)</x:f>
        <x:v>69400</x:v>
      </x:c>
      <x:c r="L32" s="15" t="n">
        <x:f>SUM(L6:L31)</x:f>
        <x:v>1092000</x:v>
      </x:c>
    </x:row>
  </x:sheetData>
  <x:conditionalFormatting sqref="F6:H31">
    <x:cfRule type="cellIs" dxfId="6" priority="1" operator="lessThan">
      <x:formula>0</x:formula>
    </x:cfRule>
  </x:conditionalFormatting>
  <x:conditionalFormatting sqref="K6:L31">
    <x:cfRule type="cellIs" dxfId="7" priority="2" operator="lessThan">
      <x:formula>0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6845de20b3fb467c"/>
  </x:tableParts>
</x:worksheet>
</file>

<file path=xl/worksheets/sheet7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25" hidden="0" customWidth="1"/>
    <x:col min="2" max="2" width="15" hidden="0" customWidth="1"/>
    <x:col min="3" max="3" width="10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  <x:col min="12" max="12" width="16" hidden="0" customWidth="1"/>
  </x:cols>
  <x:sheetData>
    <x:row r="1" ht="10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</x:row>
    <x:row r="2" ht="25" customHeight="1">
      <x:c r="A2" s="3" t="str">
        <x:v>日経 N04　夜間損益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</x:row>
    <x:row r="3" ht="25" customHeight="1">
      <x:c r="A3" s="4" t="str">
        <x:v>後半だけJ02型数量</x:v>
      </x:c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</x:row>
    <x:row r="4" ht="25" customHeight="1">
      <x:c r="A4" s="4" t="str">
        <x:v>片側micro100枚＝mini10枚相当・手数料0。途中最悪は確定＋全玉含み、最大下落は当場ピークからの落差。</x:v>
      </x:c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</x:row>
    <x:row r="5" ht="45" customHeight="1">
      <x:c r="A5" s="11" t="str">
        <x:v>セッション</x:v>
      </x:c>
      <x:c r="B5" s="11" t="str">
        <x:v>資料区分</x:v>
      </x:c>
      <x:c r="C5" s="11" t="str">
        <x:v>場の方向</x:v>
      </x:c>
      <x:c r="D5" s="11" t="str">
        <x:v>利益（円）</x:v>
      </x:c>
      <x:c r="E5" s="11" t="str">
        <x:v>損失（円）</x:v>
      </x:c>
      <x:c r="F5" s="11" t="str">
        <x:v>収支（円）</x:v>
      </x:c>
      <x:c r="G5" s="11" t="str">
        <x:v>累計（円）</x:v>
      </x:c>
      <x:c r="H5" s="11" t="str">
        <x:v>途中最悪収支（円）</x:v>
      </x:c>
      <x:c r="I5" s="11" t="str">
        <x:v>最大下落額（円）</x:v>
      </x:c>
      <x:c r="J5" s="11" t="str">
        <x:v>新規回数</x:v>
      </x:c>
      <x:c r="K5" s="11" t="str">
        <x:v>米国前収支（円）</x:v>
      </x:c>
      <x:c r="L5" s="11" t="str">
        <x:v>米国後収支（円）</x:v>
      </x:c>
    </x:row>
    <x:row r="6" ht="25" customHeight="1">
      <x:c r="A6" s="2" t="str">
        <x:v>2026-09-21_Night</x:v>
      </x:c>
      <x:c r="B6" s="7" t="str">
        <x:v>旧完了場</x:v>
      </x:c>
      <x:c r="C6" s="7" t="str">
        <x:v>上昇</x:v>
      </x:c>
      <x:c r="D6" s="6" t="n">
        <x:v>0</x:v>
      </x:c>
      <x:c r="E6" s="6" t="n">
        <x:v>9000</x:v>
      </x:c>
      <x:c r="F6" s="6" t="n">
        <x:f>D6-E6</x:f>
        <x:v>-9000</x:v>
      </x:c>
      <x:c r="G6" s="6" t="n">
        <x:f>F6</x:f>
        <x:v>-9000</x:v>
      </x:c>
      <x:c r="H6" s="6" t="n">
        <x:v>-9000</x:v>
      </x:c>
      <x:c r="I6" s="6" t="n">
        <x:v>13000</x:v>
      </x:c>
      <x:c r="J6" s="6" t="n">
        <x:v>1</x:v>
      </x:c>
      <x:c r="K6" s="6" t="n">
        <x:v>0</x:v>
      </x:c>
      <x:c r="L6" s="6" t="n">
        <x:v>-9000</x:v>
      </x:c>
    </x:row>
    <x:row r="7" ht="25" customHeight="1">
      <x:c r="A7" s="2" t="str">
        <x:v>2026-09-22_Night</x:v>
      </x:c>
      <x:c r="B7" s="7" t="str">
        <x:v>旧完了場</x:v>
      </x:c>
      <x:c r="C7" s="7" t="str">
        <x:v>上昇</x:v>
      </x:c>
      <x:c r="D7" s="6" t="n">
        <x:v>19800</x:v>
      </x:c>
      <x:c r="E7" s="6" t="n">
        <x:v>0</x:v>
      </x:c>
      <x:c r="F7" s="6" t="n">
        <x:f>D7-E7</x:f>
        <x:v>19800</x:v>
      </x:c>
      <x:c r="G7" s="6" t="n">
        <x:f>G6+F7</x:f>
        <x:v>10800</x:v>
      </x:c>
      <x:c r="H7" s="6" t="n">
        <x:v>-45000</x:v>
      </x:c>
      <x:c r="I7" s="6" t="n">
        <x:v>55000</x:v>
      </x:c>
      <x:c r="J7" s="6" t="n">
        <x:v>2</x:v>
      </x:c>
      <x:c r="K7" s="6" t="n">
        <x:v>15000</x:v>
      </x:c>
      <x:c r="L7" s="6" t="n">
        <x:v>4800</x:v>
      </x:c>
    </x:row>
    <x:row r="8" ht="25" customHeight="1">
      <x:c r="A8" s="2" t="str">
        <x:v>2026-09-23_Night</x:v>
      </x:c>
      <x:c r="B8" s="7" t="str">
        <x:v>旧完了場</x:v>
      </x:c>
      <x:c r="C8" s="7" t="str">
        <x:v>下落</x:v>
      </x:c>
      <x:c r="D8" s="6" t="n">
        <x:v>24200</x:v>
      </x:c>
      <x:c r="E8" s="6" t="n">
        <x:v>8000</x:v>
      </x:c>
      <x:c r="F8" s="6" t="n">
        <x:f>D8-E8</x:f>
        <x:v>16200</x:v>
      </x:c>
      <x:c r="G8" s="6" t="n">
        <x:f>G7+F8</x:f>
        <x:v>27000</x:v>
      </x:c>
      <x:c r="H8" s="6" t="n">
        <x:v>-30800</x:v>
      </x:c>
      <x:c r="I8" s="6" t="n">
        <x:v>80000</x:v>
      </x:c>
      <x:c r="J8" s="6" t="n">
        <x:v>3</x:v>
      </x:c>
      <x:c r="K8" s="6" t="n">
        <x:v>0</x:v>
      </x:c>
      <x:c r="L8" s="6" t="n">
        <x:v>16200</x:v>
      </x:c>
    </x:row>
    <x:row r="9" ht="25" customHeight="1">
      <x:c r="A9" s="2" t="str">
        <x:v>2026-09-24_Night</x:v>
      </x:c>
      <x:c r="B9" s="7" t="str">
        <x:v>旧完了場</x:v>
      </x:c>
      <x:c r="C9" s="7" t="str">
        <x:v>上昇</x:v>
      </x:c>
      <x:c r="D9" s="6" t="n">
        <x:v>50000</x:v>
      </x:c>
      <x:c r="E9" s="6" t="n">
        <x:v>0</x:v>
      </x:c>
      <x:c r="F9" s="6" t="n">
        <x:f>D9-E9</x:f>
        <x:v>50000</x:v>
      </x:c>
      <x:c r="G9" s="6" t="n">
        <x:f>G8+F9</x:f>
        <x:v>77000</x:v>
      </x:c>
      <x:c r="H9" s="6" t="n">
        <x:v>-85000</x:v>
      </x:c>
      <x:c r="I9" s="6" t="n">
        <x:v>90000</x:v>
      </x:c>
      <x:c r="J9" s="6" t="n">
        <x:v>4</x:v>
      </x:c>
      <x:c r="K9" s="6" t="n">
        <x:v>30000</x:v>
      </x:c>
      <x:c r="L9" s="6" t="n">
        <x:v>20000</x:v>
      </x:c>
    </x:row>
    <x:row r="10" ht="25" customHeight="1">
      <x:c r="A10" s="2" t="str">
        <x:v>2026-09-25_Night</x:v>
      </x:c>
      <x:c r="B10" s="7" t="str">
        <x:v>旧完了場</x:v>
      </x:c>
      <x:c r="C10" s="7" t="str">
        <x:v>上昇</x:v>
      </x:c>
      <x:c r="D10" s="6" t="n">
        <x:v>3400</x:v>
      </x:c>
      <x:c r="E10" s="6" t="n">
        <x:v>16000</x:v>
      </x:c>
      <x:c r="F10" s="6" t="n">
        <x:f>D10-E10</x:f>
        <x:v>-12600</x:v>
      </x:c>
      <x:c r="G10" s="6" t="n">
        <x:f>G9+F10</x:f>
        <x:v>64400</x:v>
      </x:c>
      <x:c r="H10" s="6" t="n">
        <x:v>-12600</x:v>
      </x:c>
      <x:c r="I10" s="6" t="n">
        <x:v>19600</x:v>
      </x:c>
      <x:c r="J10" s="6" t="n">
        <x:v>2</x:v>
      </x:c>
      <x:c r="K10" s="6" t="n">
        <x:v>0</x:v>
      </x:c>
      <x:c r="L10" s="6" t="n">
        <x:v>-12600</x:v>
      </x:c>
    </x:row>
    <x:row r="11" ht="25" customHeight="1">
      <x:c r="A11" s="2" t="str">
        <x:v>2026-09-28_Night</x:v>
      </x:c>
      <x:c r="B11" s="7" t="str">
        <x:v>旧完了場</x:v>
      </x:c>
      <x:c r="C11" s="7" t="str">
        <x:v>横ばい</x:v>
      </x:c>
      <x:c r="D11" s="6" t="n">
        <x:v>4500</x:v>
      </x:c>
      <x:c r="E11" s="6" t="n">
        <x:v>20000</x:v>
      </x:c>
      <x:c r="F11" s="6" t="n">
        <x:f>D11-E11</x:f>
        <x:v>-15500</x:v>
      </x:c>
      <x:c r="G11" s="6" t="n">
        <x:f>G10+F11</x:f>
        <x:v>48900</x:v>
      </x:c>
      <x:c r="H11" s="6" t="n">
        <x:v>-21000</x:v>
      </x:c>
      <x:c r="I11" s="6" t="n">
        <x:v>27000</x:v>
      </x:c>
      <x:c r="J11" s="6" t="n">
        <x:v>5</x:v>
      </x:c>
      <x:c r="K11" s="6" t="n">
        <x:v>4000</x:v>
      </x:c>
      <x:c r="L11" s="6" t="n">
        <x:v>-19500</x:v>
      </x:c>
    </x:row>
    <x:row r="12" ht="25" customHeight="1">
      <x:c r="A12" s="2" t="str">
        <x:v>2026-09-29_Night</x:v>
      </x:c>
      <x:c r="B12" s="7" t="str">
        <x:v>旧完了場</x:v>
      </x:c>
      <x:c r="C12" s="7" t="str">
        <x:v>上昇</x:v>
      </x:c>
      <x:c r="D12" s="6" t="n">
        <x:v>30100</x:v>
      </x:c>
      <x:c r="E12" s="6" t="n">
        <x:v>23400</x:v>
      </x:c>
      <x:c r="F12" s="6" t="n">
        <x:f>D12-E12</x:f>
        <x:v>6700</x:v>
      </x:c>
      <x:c r="G12" s="6" t="n">
        <x:f>G11+F12</x:f>
        <x:v>55600</x:v>
      </x:c>
      <x:c r="H12" s="6" t="n">
        <x:v>-16700</x:v>
      </x:c>
      <x:c r="I12" s="6" t="n">
        <x:v>66600</x:v>
      </x:c>
      <x:c r="J12" s="6" t="n">
        <x:v>6</x:v>
      </x:c>
      <x:c r="K12" s="6" t="n">
        <x:v>0</x:v>
      </x:c>
      <x:c r="L12" s="6" t="n">
        <x:v>6700</x:v>
      </x:c>
    </x:row>
    <x:row r="13" ht="25" customHeight="1">
      <x:c r="A13" s="2" t="str">
        <x:v>2026-09-30_Night</x:v>
      </x:c>
      <x:c r="B13" s="7" t="str">
        <x:v>旧完了場</x:v>
      </x:c>
      <x:c r="C13" s="7" t="str">
        <x:v>下落</x:v>
      </x:c>
      <x:c r="D13" s="6" t="n">
        <x:v>170300</x:v>
      </x:c>
      <x:c r="E13" s="6" t="n">
        <x:v>0</x:v>
      </x:c>
      <x:c r="F13" s="6" t="n">
        <x:f>D13-E13</x:f>
        <x:v>170300</x:v>
      </x:c>
      <x:c r="G13" s="6" t="n">
        <x:f>G12+F13</x:f>
        <x:v>225900</x:v>
      </x:c>
      <x:c r="H13" s="6" t="n">
        <x:v>-75000</x:v>
      </x:c>
      <x:c r="I13" s="6" t="n">
        <x:v>96400</x:v>
      </x:c>
      <x:c r="J13" s="6" t="n">
        <x:v>5</x:v>
      </x:c>
      <x:c r="K13" s="6" t="n">
        <x:v>60000</x:v>
      </x:c>
      <x:c r="L13" s="6" t="n">
        <x:v>110300</x:v>
      </x:c>
    </x:row>
    <x:row r="14" ht="25" customHeight="1">
      <x:c r="A14" s="2" t="str">
        <x:v>2026-10-01_Night</x:v>
      </x:c>
      <x:c r="B14" s="7" t="str">
        <x:v>旧完了場</x:v>
      </x:c>
      <x:c r="C14" s="7" t="str">
        <x:v>上昇</x:v>
      </x:c>
      <x:c r="D14" s="6" t="n">
        <x:v>224500</x:v>
      </x:c>
      <x:c r="E14" s="6" t="n">
        <x:v>61000</x:v>
      </x:c>
      <x:c r="F14" s="6" t="n">
        <x:f>D14-E14</x:f>
        <x:v>163500</x:v>
      </x:c>
      <x:c r="G14" s="6" t="n">
        <x:f>G13+F14</x:f>
        <x:v>389400</x:v>
      </x:c>
      <x:c r="H14" s="6" t="n">
        <x:v>-25000</x:v>
      </x:c>
      <x:c r="I14" s="6" t="n">
        <x:v>97000</x:v>
      </x:c>
      <x:c r="J14" s="6" t="n">
        <x:v>16</x:v>
      </x:c>
      <x:c r="K14" s="6" t="n">
        <x:v>73000</x:v>
      </x:c>
      <x:c r="L14" s="6" t="n">
        <x:v>90500</x:v>
      </x:c>
    </x:row>
    <x:row r="15" ht="25" customHeight="1">
      <x:c r="A15" s="2" t="str">
        <x:v>2026-10-02_Night</x:v>
      </x:c>
      <x:c r="B15" s="7" t="str">
        <x:v>旧完了場</x:v>
      </x:c>
      <x:c r="C15" s="7" t="str">
        <x:v>上昇</x:v>
      </x:c>
      <x:c r="D15" s="6" t="n">
        <x:v>212400</x:v>
      </x:c>
      <x:c r="E15" s="6" t="n">
        <x:v>19000</x:v>
      </x:c>
      <x:c r="F15" s="6" t="n">
        <x:f>D15-E15</x:f>
        <x:v>193400</x:v>
      </x:c>
      <x:c r="G15" s="6" t="n">
        <x:f>G14+F15</x:f>
        <x:v>582800</x:v>
      </x:c>
      <x:c r="H15" s="6" t="n">
        <x:v>-14000</x:v>
      </x:c>
      <x:c r="I15" s="6" t="n">
        <x:v>135400</x:v>
      </x:c>
      <x:c r="J15" s="6" t="n">
        <x:v>15</x:v>
      </x:c>
      <x:c r="K15" s="6" t="n">
        <x:v>0</x:v>
      </x:c>
      <x:c r="L15" s="6" t="n">
        <x:v>193400</x:v>
      </x:c>
    </x:row>
    <x:row r="16" ht="25" customHeight="1">
      <x:c r="A16" s="2" t="str">
        <x:v>2026-10-05_Night</x:v>
      </x:c>
      <x:c r="B16" s="7" t="str">
        <x:v>旧完了場</x:v>
      </x:c>
      <x:c r="C16" s="7" t="str">
        <x:v>下落</x:v>
      </x:c>
      <x:c r="D16" s="6" t="n">
        <x:v>111900</x:v>
      </x:c>
      <x:c r="E16" s="6" t="n">
        <x:v>31600</x:v>
      </x:c>
      <x:c r="F16" s="6" t="n">
        <x:f>D16-E16</x:f>
        <x:v>80300</x:v>
      </x:c>
      <x:c r="G16" s="6" t="n">
        <x:f>G15+F16</x:f>
        <x:v>663100</x:v>
      </x:c>
      <x:c r="H16" s="6" t="n">
        <x:v>-25800</x:v>
      </x:c>
      <x:c r="I16" s="6" t="n">
        <x:v>100300</x:v>
      </x:c>
      <x:c r="J16" s="6" t="n">
        <x:v>8</x:v>
      </x:c>
      <x:c r="K16" s="6" t="n">
        <x:v>15000</x:v>
      </x:c>
      <x:c r="L16" s="6" t="n">
        <x:v>65300</x:v>
      </x:c>
    </x:row>
    <x:row r="17" ht="25" customHeight="1">
      <x:c r="A17" s="2" t="str">
        <x:v>2026-10-06_Night</x:v>
      </x:c>
      <x:c r="B17" s="7" t="str">
        <x:v>旧完了場</x:v>
      </x:c>
      <x:c r="C17" s="7" t="str">
        <x:v>横ばい</x:v>
      </x:c>
      <x:c r="D17" s="6" t="n">
        <x:v>33000</x:v>
      </x:c>
      <x:c r="E17" s="6" t="n">
        <x:v>15000</x:v>
      </x:c>
      <x:c r="F17" s="6" t="n">
        <x:f>D17-E17</x:f>
        <x:v>18000</x:v>
      </x:c>
      <x:c r="G17" s="6" t="n">
        <x:f>G16+F17</x:f>
        <x:v>681100</x:v>
      </x:c>
      <x:c r="H17" s="6" t="n">
        <x:v>-28000</x:v>
      </x:c>
      <x:c r="I17" s="6" t="n">
        <x:v>28000</x:v>
      </x:c>
      <x:c r="J17" s="6" t="n">
        <x:v>4</x:v>
      </x:c>
      <x:c r="K17" s="6" t="n">
        <x:v>0</x:v>
      </x:c>
      <x:c r="L17" s="6" t="n">
        <x:v>18000</x:v>
      </x:c>
    </x:row>
    <x:row r="18" ht="25" customHeight="1">
      <x:c r="A18" s="2" t="str">
        <x:v>2026-10-07_Night</x:v>
      </x:c>
      <x:c r="B18" s="7" t="str">
        <x:v>旧完了場</x:v>
      </x:c>
      <x:c r="C18" s="7" t="str">
        <x:v>下落</x:v>
      </x:c>
      <x:c r="D18" s="6" t="n">
        <x:v>20000</x:v>
      </x:c>
      <x:c r="E18" s="6" t="n">
        <x:v>81400</x:v>
      </x:c>
      <x:c r="F18" s="6" t="n">
        <x:f>D18-E18</x:f>
        <x:v>-61400</x:v>
      </x:c>
      <x:c r="G18" s="6" t="n">
        <x:f>G17+F18</x:f>
        <x:v>619700</x:v>
      </x:c>
      <x:c r="H18" s="6" t="n">
        <x:v>-66800</x:v>
      </x:c>
      <x:c r="I18" s="6" t="n">
        <x:v>90800</x:v>
      </x:c>
      <x:c r="J18" s="6" t="n">
        <x:v>5</x:v>
      </x:c>
      <x:c r="K18" s="6" t="n">
        <x:v>-2000</x:v>
      </x:c>
      <x:c r="L18" s="6" t="n">
        <x:v>-59400</x:v>
      </x:c>
    </x:row>
    <x:row r="19" ht="25" customHeight="1">
      <x:c r="A19" s="2" t="str">
        <x:v>2026-10-08_Night</x:v>
      </x:c>
      <x:c r="B19" s="7" t="str">
        <x:v>旧完了場</x:v>
      </x:c>
      <x:c r="C19" s="7" t="str">
        <x:v>下落</x:v>
      </x:c>
      <x:c r="D19" s="6" t="n">
        <x:v>630400</x:v>
      </x:c>
      <x:c r="E19" s="6" t="n">
        <x:v>17200</x:v>
      </x:c>
      <x:c r="F19" s="6" t="n">
        <x:f>D19-E19</x:f>
        <x:v>613200</x:v>
      </x:c>
      <x:c r="G19" s="6" t="n">
        <x:f>G18+F19</x:f>
        <x:v>1232900</x:v>
      </x:c>
      <x:c r="H19" s="6" t="n">
        <x:v>-74200</x:v>
      </x:c>
      <x:c r="I19" s="6" t="n">
        <x:v>196600</x:v>
      </x:c>
      <x:c r="J19" s="6" t="n">
        <x:v>16</x:v>
      </x:c>
      <x:c r="K19" s="6" t="n">
        <x:v>8000</x:v>
      </x:c>
      <x:c r="L19" s="6" t="n">
        <x:v>605200</x:v>
      </x:c>
    </x:row>
    <x:row r="20" ht="25" customHeight="1">
      <x:c r="A20" s="2" t="str">
        <x:v>2026-10-09_Night</x:v>
      </x:c>
      <x:c r="B20" s="7" t="str">
        <x:v>旧完了場</x:v>
      </x:c>
      <x:c r="C20" s="7" t="str">
        <x:v>下落</x:v>
      </x:c>
      <x:c r="D20" s="6" t="n">
        <x:v>42800</x:v>
      </x:c>
      <x:c r="E20" s="6" t="n">
        <x:v>0</x:v>
      </x:c>
      <x:c r="F20" s="6" t="n">
        <x:f>D20-E20</x:f>
        <x:v>42800</x:v>
      </x:c>
      <x:c r="G20" s="6" t="n">
        <x:f>G19+F20</x:f>
        <x:v>1275700</x:v>
      </x:c>
      <x:c r="H20" s="6" t="n">
        <x:v>-10000</x:v>
      </x:c>
      <x:c r="I20" s="6" t="n">
        <x:v>20000</x:v>
      </x:c>
      <x:c r="J20" s="6" t="n">
        <x:v>3</x:v>
      </x:c>
      <x:c r="K20" s="6" t="n">
        <x:v>40000</x:v>
      </x:c>
      <x:c r="L20" s="6" t="n">
        <x:v>2800</x:v>
      </x:c>
    </x:row>
    <x:row r="21" ht="25" customHeight="1">
      <x:c r="A21" s="2" t="str">
        <x:v>2026-10-12_Night</x:v>
      </x:c>
      <x:c r="B21" s="7" t="str">
        <x:v>旧完了場</x:v>
      </x:c>
      <x:c r="C21" s="7" t="str">
        <x:v>下落</x:v>
      </x:c>
      <x:c r="D21" s="6" t="n">
        <x:v>16400</x:v>
      </x:c>
      <x:c r="E21" s="6" t="n">
        <x:v>0</x:v>
      </x:c>
      <x:c r="F21" s="6" t="n">
        <x:f>D21-E21</x:f>
        <x:v>16400</x:v>
      </x:c>
      <x:c r="G21" s="6" t="n">
        <x:f>G20+F21</x:f>
        <x:v>1292100</x:v>
      </x:c>
      <x:c r="H21" s="6" t="n">
        <x:v>-2000</x:v>
      </x:c>
      <x:c r="I21" s="6" t="n">
        <x:v>6600</x:v>
      </x:c>
      <x:c r="J21" s="6" t="n">
        <x:v>1</x:v>
      </x:c>
      <x:c r="K21" s="6" t="n">
        <x:v>0</x:v>
      </x:c>
      <x:c r="L21" s="6" t="n">
        <x:v>16400</x:v>
      </x:c>
    </x:row>
    <x:row r="22" ht="25" customHeight="1">
      <x:c r="A22" s="2" t="str">
        <x:v>2026-10-13_Night</x:v>
      </x:c>
      <x:c r="B22" s="7" t="str">
        <x:v>旧完了場</x:v>
      </x:c>
      <x:c r="C22" s="7" t="str">
        <x:v>上昇</x:v>
      </x:c>
      <x:c r="D22" s="6" t="n">
        <x:v>15000</x:v>
      </x:c>
      <x:c r="E22" s="6" t="n">
        <x:v>17000</x:v>
      </x:c>
      <x:c r="F22" s="6" t="n">
        <x:f>D22-E22</x:f>
        <x:v>-2000</x:v>
      </x:c>
      <x:c r="G22" s="6" t="n">
        <x:f>G21+F22</x:f>
        <x:v>1290100</x:v>
      </x:c>
      <x:c r="H22" s="6" t="n">
        <x:v>-20000</x:v>
      </x:c>
      <x:c r="I22" s="6" t="n">
        <x:v>30000</x:v>
      </x:c>
      <x:c r="J22" s="6" t="n">
        <x:v>3</x:v>
      </x:c>
      <x:c r="K22" s="6" t="n">
        <x:v>15000</x:v>
      </x:c>
      <x:c r="L22" s="6" t="n">
        <x:v>-17000</x:v>
      </x:c>
    </x:row>
    <x:row r="23" ht="25" customHeight="1">
      <x:c r="A23" s="2" t="str">
        <x:v>2026-10-14_Night</x:v>
      </x:c>
      <x:c r="B23" s="7" t="str">
        <x:v>旧完了場</x:v>
      </x:c>
      <x:c r="C23" s="7" t="str">
        <x:v>下落</x:v>
      </x:c>
      <x:c r="D23" s="6" t="n">
        <x:v>54400</x:v>
      </x:c>
      <x:c r="E23" s="6" t="n">
        <x:v>101900</x:v>
      </x:c>
      <x:c r="F23" s="6" t="n">
        <x:f>D23-E23</x:f>
        <x:v>-47500</x:v>
      </x:c>
      <x:c r="G23" s="6" t="n">
        <x:f>G22+F23</x:f>
        <x:v>1242600</x:v>
      </x:c>
      <x:c r="H23" s="6" t="n">
        <x:v>-72900</x:v>
      </x:c>
      <x:c r="I23" s="6" t="n">
        <x:v>92900</x:v>
      </x:c>
      <x:c r="J23" s="6" t="n">
        <x:v>5</x:v>
      </x:c>
      <x:c r="K23" s="6" t="n">
        <x:v>15000</x:v>
      </x:c>
      <x:c r="L23" s="6" t="n">
        <x:v>-62500</x:v>
      </x:c>
    </x:row>
    <x:row r="24" ht="25" customHeight="1">
      <x:c r="A24" s="2" t="str">
        <x:v>2026-10-15_Night</x:v>
      </x:c>
      <x:c r="B24" s="7" t="str">
        <x:v>旧完了場</x:v>
      </x:c>
      <x:c r="C24" s="7" t="str">
        <x:v>上昇</x:v>
      </x:c>
      <x:c r="D24" s="6" t="n">
        <x:v>110000</x:v>
      </x:c>
      <x:c r="E24" s="6" t="n">
        <x:v>41500</x:v>
      </x:c>
      <x:c r="F24" s="6" t="n">
        <x:f>D24-E24</x:f>
        <x:v>68500</x:v>
      </x:c>
      <x:c r="G24" s="6" t="n">
        <x:f>G23+F24</x:f>
        <x:v>1311100</x:v>
      </x:c>
      <x:c r="H24" s="6" t="n">
        <x:v>-13000</x:v>
      </x:c>
      <x:c r="I24" s="6" t="n">
        <x:v>226000</x:v>
      </x:c>
      <x:c r="J24" s="6" t="n">
        <x:v>7</x:v>
      </x:c>
      <x:c r="K24" s="6" t="n">
        <x:v>0</x:v>
      </x:c>
      <x:c r="L24" s="6" t="n">
        <x:v>68500</x:v>
      </x:c>
    </x:row>
    <x:row r="25" ht="25" customHeight="1">
      <x:c r="A25" s="2" t="str">
        <x:v>2026-10-16_Night</x:v>
      </x:c>
      <x:c r="B25" s="7" t="str">
        <x:v>旧完了場</x:v>
      </x:c>
      <x:c r="C25" s="7" t="str">
        <x:v>下落</x:v>
      </x:c>
      <x:c r="D25" s="6" t="n">
        <x:v>181600</x:v>
      </x:c>
      <x:c r="E25" s="6" t="n">
        <x:v>229900</x:v>
      </x:c>
      <x:c r="F25" s="6" t="n">
        <x:f>D25-E25</x:f>
        <x:v>-48300</x:v>
      </x:c>
      <x:c r="G25" s="6" t="n">
        <x:f>G24+F25</x:f>
        <x:v>1262800</x:v>
      </x:c>
      <x:c r="H25" s="6" t="n">
        <x:v>-223900</x:v>
      </x:c>
      <x:c r="I25" s="6" t="n">
        <x:v>287700</x:v>
      </x:c>
      <x:c r="J25" s="6" t="n">
        <x:v>14</x:v>
      </x:c>
      <x:c r="K25" s="6" t="n">
        <x:v>-20000</x:v>
      </x:c>
      <x:c r="L25" s="6" t="n">
        <x:v>-28300</x:v>
      </x:c>
    </x:row>
    <x:row r="26" ht="25" customHeight="1">
      <x:c r="A26" s="2" t="str">
        <x:v>2026-10-19_Night</x:v>
      </x:c>
      <x:c r="B26" s="7" t="str">
        <x:v>旧完了場</x:v>
      </x:c>
      <x:c r="C26" s="7" t="str">
        <x:v>上昇</x:v>
      </x:c>
      <x:c r="D26" s="6" t="n">
        <x:v>136000</x:v>
      </x:c>
      <x:c r="E26" s="6" t="n">
        <x:v>201100</x:v>
      </x:c>
      <x:c r="F26" s="6" t="n">
        <x:f>D26-E26</x:f>
        <x:v>-65100</x:v>
      </x:c>
      <x:c r="G26" s="6" t="n">
        <x:f>G25+F26</x:f>
        <x:v>1197700</x:v>
      </x:c>
      <x:c r="H26" s="6" t="n">
        <x:v>-79100</x:v>
      </x:c>
      <x:c r="I26" s="6" t="n">
        <x:v>173000</x:v>
      </x:c>
      <x:c r="J26" s="6" t="n">
        <x:v>14</x:v>
      </x:c>
      <x:c r="K26" s="6" t="n">
        <x:v>35000</x:v>
      </x:c>
      <x:c r="L26" s="6" t="n">
        <x:v>-100100</x:v>
      </x:c>
    </x:row>
    <x:row r="27" ht="25" customHeight="1">
      <x:c r="A27" s="2" t="str">
        <x:v>2026-10-20_Night</x:v>
      </x:c>
      <x:c r="B27" s="7" t="str">
        <x:v>旧完了場</x:v>
      </x:c>
      <x:c r="C27" s="7" t="str">
        <x:v>上昇</x:v>
      </x:c>
      <x:c r="D27" s="6" t="n">
        <x:v>185100</x:v>
      </x:c>
      <x:c r="E27" s="6" t="n">
        <x:v>68600</x:v>
      </x:c>
      <x:c r="F27" s="6" t="n">
        <x:f>D27-E27</x:f>
        <x:v>116500</x:v>
      </x:c>
      <x:c r="G27" s="6" t="n">
        <x:f>G26+F27</x:f>
        <x:v>1314200</x:v>
      </x:c>
      <x:c r="H27" s="6" t="n">
        <x:v>-10000</x:v>
      </x:c>
      <x:c r="I27" s="6" t="n">
        <x:v>128000</x:v>
      </x:c>
      <x:c r="J27" s="6" t="n">
        <x:v>11</x:v>
      </x:c>
      <x:c r="K27" s="6" t="n">
        <x:v>57000</x:v>
      </x:c>
      <x:c r="L27" s="6" t="n">
        <x:v>59500</x:v>
      </x:c>
    </x:row>
    <x:row r="28" ht="25" customHeight="1">
      <x:c r="A28" s="2" t="str">
        <x:v>2026-10-21_Night</x:v>
      </x:c>
      <x:c r="B28" s="7" t="str">
        <x:v>旧完了場</x:v>
      </x:c>
      <x:c r="C28" s="7" t="str">
        <x:v>上昇</x:v>
      </x:c>
      <x:c r="D28" s="6" t="n">
        <x:v>45600</x:v>
      </x:c>
      <x:c r="E28" s="6" t="n">
        <x:v>17000</x:v>
      </x:c>
      <x:c r="F28" s="6" t="n">
        <x:f>D28-E28</x:f>
        <x:v>28600</x:v>
      </x:c>
      <x:c r="G28" s="6" t="n">
        <x:f>G27+F28</x:f>
        <x:v>1342800</x:v>
      </x:c>
      <x:c r="H28" s="6" t="n">
        <x:v>-5000</x:v>
      </x:c>
      <x:c r="I28" s="6" t="n">
        <x:v>55000</x:v>
      </x:c>
      <x:c r="J28" s="6" t="n">
        <x:v>6</x:v>
      </x:c>
      <x:c r="K28" s="6" t="n">
        <x:v>15000</x:v>
      </x:c>
      <x:c r="L28" s="6" t="n">
        <x:v>13600</x:v>
      </x:c>
    </x:row>
    <x:row r="29" ht="25" customHeight="1">
      <x:c r="A29" s="2" t="str">
        <x:v>2026-10-22_Night</x:v>
      </x:c>
      <x:c r="B29" s="7" t="str">
        <x:v>旧完了場</x:v>
      </x:c>
      <x:c r="C29" s="7" t="str">
        <x:v>下落</x:v>
      </x:c>
      <x:c r="D29" s="6" t="n">
        <x:v>277600</x:v>
      </x:c>
      <x:c r="E29" s="6" t="n">
        <x:v>0</x:v>
      </x:c>
      <x:c r="F29" s="6" t="n">
        <x:f>D29-E29</x:f>
        <x:v>277600</x:v>
      </x:c>
      <x:c r="G29" s="6" t="n">
        <x:f>G28+F29</x:f>
        <x:v>1620400</x:v>
      </x:c>
      <x:c r="H29" s="6" t="n">
        <x:v>-9200</x:v>
      </x:c>
      <x:c r="I29" s="6" t="n">
        <x:v>128800</x:v>
      </x:c>
      <x:c r="J29" s="6" t="n">
        <x:v>3</x:v>
      </x:c>
      <x:c r="K29" s="6" t="n">
        <x:v>0</x:v>
      </x:c>
      <x:c r="L29" s="6" t="n">
        <x:v>277600</x:v>
      </x:c>
    </x:row>
    <x:row r="30" ht="25" customHeight="1">
      <x:c r="A30" s="2" t="str">
        <x:v>2026-10-23_Night</x:v>
      </x:c>
      <x:c r="B30" s="7" t="str">
        <x:v>旧完了場</x:v>
      </x:c>
      <x:c r="C30" s="7" t="str">
        <x:v>上昇</x:v>
      </x:c>
      <x:c r="D30" s="6" t="n">
        <x:v>59300</x:v>
      </x:c>
      <x:c r="E30" s="6" t="n">
        <x:v>43500</x:v>
      </x:c>
      <x:c r="F30" s="6" t="n">
        <x:f>D30-E30</x:f>
        <x:v>15800</x:v>
      </x:c>
      <x:c r="G30" s="6" t="n">
        <x:f>G29+F30</x:f>
        <x:v>1636200</x:v>
      </x:c>
      <x:c r="H30" s="6" t="n">
        <x:v>-58300</x:v>
      </x:c>
      <x:c r="I30" s="6" t="n">
        <x:v>102900</x:v>
      </x:c>
      <x:c r="J30" s="6" t="n">
        <x:v>11</x:v>
      </x:c>
      <x:c r="K30" s="6" t="n">
        <x:v>-6000</x:v>
      </x:c>
      <x:c r="L30" s="6" t="n">
        <x:v>21800</x:v>
      </x:c>
    </x:row>
    <x:row r="31" ht="25" customHeight="1">
      <x:c r="A31" s="2" t="str">
        <x:v>2026-10-26_Night</x:v>
      </x:c>
      <x:c r="B31" s="7" t="str">
        <x:v>追加完了版</x:v>
      </x:c>
      <x:c r="C31" s="7" t="str">
        <x:v>上昇</x:v>
      </x:c>
      <x:c r="D31" s="6" t="n">
        <x:v>149600</x:v>
      </x:c>
      <x:c r="E31" s="6" t="n">
        <x:v>156100</x:v>
      </x:c>
      <x:c r="F31" s="6" t="n">
        <x:f>D31-E31</x:f>
        <x:v>-6500</x:v>
      </x:c>
      <x:c r="G31" s="6" t="n">
        <x:f>G30+F31</x:f>
        <x:v>1629700</x:v>
      </x:c>
      <x:c r="H31" s="6" t="n">
        <x:v>-15000</x:v>
      </x:c>
      <x:c r="I31" s="6" t="n">
        <x:v>249600</x:v>
      </x:c>
      <x:c r="J31" s="6" t="n">
        <x:v>12</x:v>
      </x:c>
      <x:c r="K31" s="6" t="n">
        <x:v>15000</x:v>
      </x:c>
      <x:c r="L31" s="6" t="n">
        <x:v>-21500</x:v>
      </x:c>
    </x:row>
    <x:row r="32" ht="25" customHeight="1">
      <x:c r="A32" s="14" t="str">
        <x:v>累計／場内最悪値</x:v>
      </x:c>
      <x:c r="B32" s="15"/>
      <x:c r="C32" s="15"/>
      <x:c r="D32" s="15" t="n">
        <x:f>SUM(D6:D31)</x:f>
        <x:v>2807900</x:v>
      </x:c>
      <x:c r="E32" s="15" t="n">
        <x:f>SUM(E6:E31)</x:f>
        <x:v>1178200</x:v>
      </x:c>
      <x:c r="F32" s="15" t="n">
        <x:f>D32-E32</x:f>
        <x:v>1629700</x:v>
      </x:c>
      <x:c r="G32" s="15" t="n">
        <x:f>G31</x:f>
        <x:v>1629700</x:v>
      </x:c>
      <x:c r="H32" s="15" t="n">
        <x:f>MIN(H6:H31)</x:f>
        <x:v>-223900</x:v>
      </x:c>
      <x:c r="I32" s="15" t="n">
        <x:f>MAX(I6:I31)</x:f>
        <x:v>287700</x:v>
      </x:c>
      <x:c r="J32" s="15" t="n">
        <x:f>SUM(J6:J31)</x:f>
        <x:v>182</x:v>
      </x:c>
      <x:c r="K32" s="15" t="n">
        <x:f>SUM(K6:K31)</x:f>
        <x:v>369000</x:v>
      </x:c>
      <x:c r="L32" s="15" t="n">
        <x:f>SUM(L6:L31)</x:f>
        <x:v>1260700</x:v>
      </x:c>
    </x:row>
  </x:sheetData>
  <x:conditionalFormatting sqref="F6:H31">
    <x:cfRule type="cellIs" dxfId="8" priority="1" operator="lessThan">
      <x:formula>0</x:formula>
    </x:cfRule>
  </x:conditionalFormatting>
  <x:conditionalFormatting sqref="K6:L31">
    <x:cfRule type="cellIs" dxfId="9" priority="2" operator="lessThan">
      <x:formula>0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66bf618c06374043"/>
  </x:tableParts>
</x:worksheet>
</file>

<file path=xl/worksheets/sheet8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25" hidden="0" customWidth="1"/>
    <x:col min="2" max="2" width="15" hidden="0" customWidth="1"/>
    <x:col min="3" max="3" width="10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  <x:col min="12" max="12" width="16" hidden="0" customWidth="1"/>
  </x:cols>
  <x:sheetData>
    <x:row r="1" ht="10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</x:row>
    <x:row r="2" ht="25" customHeight="1">
      <x:c r="A2" s="3" t="str">
        <x:v>日経 N05　夜間損益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</x:row>
    <x:row r="3" ht="25" customHeight="1">
      <x:c r="A3" s="4" t="str">
        <x:v>支持量を二乗して増枚を抑制</x:v>
      </x:c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</x:row>
    <x:row r="4" ht="25" customHeight="1">
      <x:c r="A4" s="4" t="str">
        <x:v>片側micro100枚＝mini10枚相当・手数料0。途中最悪は確定＋全玉含み、最大下落は当場ピークからの落差。</x:v>
      </x:c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</x:row>
    <x:row r="5" ht="45" customHeight="1">
      <x:c r="A5" s="11" t="str">
        <x:v>セッション</x:v>
      </x:c>
      <x:c r="B5" s="11" t="str">
        <x:v>資料区分</x:v>
      </x:c>
      <x:c r="C5" s="11" t="str">
        <x:v>場の方向</x:v>
      </x:c>
      <x:c r="D5" s="11" t="str">
        <x:v>利益（円）</x:v>
      </x:c>
      <x:c r="E5" s="11" t="str">
        <x:v>損失（円）</x:v>
      </x:c>
      <x:c r="F5" s="11" t="str">
        <x:v>収支（円）</x:v>
      </x:c>
      <x:c r="G5" s="11" t="str">
        <x:v>累計（円）</x:v>
      </x:c>
      <x:c r="H5" s="11" t="str">
        <x:v>途中最悪収支（円）</x:v>
      </x:c>
      <x:c r="I5" s="11" t="str">
        <x:v>最大下落額（円）</x:v>
      </x:c>
      <x:c r="J5" s="11" t="str">
        <x:v>新規回数</x:v>
      </x:c>
      <x:c r="K5" s="11" t="str">
        <x:v>米国前収支（円）</x:v>
      </x:c>
      <x:c r="L5" s="11" t="str">
        <x:v>米国後収支（円）</x:v>
      </x:c>
    </x:row>
    <x:row r="6" ht="25" customHeight="1">
      <x:c r="A6" s="2" t="str">
        <x:v>2026-09-21_Night</x:v>
      </x:c>
      <x:c r="B6" s="7" t="str">
        <x:v>旧完了場</x:v>
      </x:c>
      <x:c r="C6" s="7" t="str">
        <x:v>上昇</x:v>
      </x:c>
      <x:c r="D6" s="6" t="n">
        <x:v>0</x:v>
      </x:c>
      <x:c r="E6" s="6" t="n">
        <x:v>9000</x:v>
      </x:c>
      <x:c r="F6" s="6" t="n">
        <x:f>D6-E6</x:f>
        <x:v>-9000</x:v>
      </x:c>
      <x:c r="G6" s="6" t="n">
        <x:f>F6</x:f>
        <x:v>-9000</x:v>
      </x:c>
      <x:c r="H6" s="6" t="n">
        <x:v>-9000</x:v>
      </x:c>
      <x:c r="I6" s="6" t="n">
        <x:v>13000</x:v>
      </x:c>
      <x:c r="J6" s="6" t="n">
        <x:v>1</x:v>
      </x:c>
      <x:c r="K6" s="6" t="n">
        <x:v>0</x:v>
      </x:c>
      <x:c r="L6" s="6" t="n">
        <x:v>-9000</x:v>
      </x:c>
    </x:row>
    <x:row r="7" ht="25" customHeight="1">
      <x:c r="A7" s="2" t="str">
        <x:v>2026-09-22_Night</x:v>
      </x:c>
      <x:c r="B7" s="7" t="str">
        <x:v>旧完了場</x:v>
      </x:c>
      <x:c r="C7" s="7" t="str">
        <x:v>上昇</x:v>
      </x:c>
      <x:c r="D7" s="6" t="n">
        <x:v>7800</x:v>
      </x:c>
      <x:c r="E7" s="6" t="n">
        <x:v>0</x:v>
      </x:c>
      <x:c r="F7" s="6" t="n">
        <x:f>D7-E7</x:f>
        <x:v>7800</x:v>
      </x:c>
      <x:c r="G7" s="6" t="n">
        <x:f>G6+F7</x:f>
        <x:v>-1200</x:v>
      </x:c>
      <x:c r="H7" s="6" t="n">
        <x:v>-9000</x:v>
      </x:c>
      <x:c r="I7" s="6" t="n">
        <x:v>11000</x:v>
      </x:c>
      <x:c r="J7" s="6" t="n">
        <x:v>2</x:v>
      </x:c>
      <x:c r="K7" s="6" t="n">
        <x:v>3000</x:v>
      </x:c>
      <x:c r="L7" s="6" t="n">
        <x:v>4800</x:v>
      </x:c>
    </x:row>
    <x:row r="8" ht="25" customHeight="1">
      <x:c r="A8" s="2" t="str">
        <x:v>2026-09-23_Night</x:v>
      </x:c>
      <x:c r="B8" s="7" t="str">
        <x:v>旧完了場</x:v>
      </x:c>
      <x:c r="C8" s="7" t="str">
        <x:v>下落</x:v>
      </x:c>
      <x:c r="D8" s="6" t="n">
        <x:v>14000</x:v>
      </x:c>
      <x:c r="E8" s="6" t="n">
        <x:v>8000</x:v>
      </x:c>
      <x:c r="F8" s="6" t="n">
        <x:f>D8-E8</x:f>
        <x:v>6000</x:v>
      </x:c>
      <x:c r="G8" s="6" t="n">
        <x:f>G7+F8</x:f>
        <x:v>4800</x:v>
      </x:c>
      <x:c r="H8" s="6" t="n">
        <x:v>-22000</x:v>
      </x:c>
      <x:c r="I8" s="6" t="n">
        <x:v>56000</x:v>
      </x:c>
      <x:c r="J8" s="6" t="n">
        <x:v>3</x:v>
      </x:c>
      <x:c r="K8" s="6" t="n">
        <x:v>0</x:v>
      </x:c>
      <x:c r="L8" s="6" t="n">
        <x:v>6000</x:v>
      </x:c>
    </x:row>
    <x:row r="9" ht="25" customHeight="1">
      <x:c r="A9" s="2" t="str">
        <x:v>2026-09-24_Night</x:v>
      </x:c>
      <x:c r="B9" s="7" t="str">
        <x:v>旧完了場</x:v>
      </x:c>
      <x:c r="C9" s="7" t="str">
        <x:v>上昇</x:v>
      </x:c>
      <x:c r="D9" s="6" t="n">
        <x:v>26000</x:v>
      </x:c>
      <x:c r="E9" s="6" t="n">
        <x:v>0</x:v>
      </x:c>
      <x:c r="F9" s="6" t="n">
        <x:f>D9-E9</x:f>
        <x:v>26000</x:v>
      </x:c>
      <x:c r="G9" s="6" t="n">
        <x:f>G8+F9</x:f>
        <x:v>30800</x:v>
      </x:c>
      <x:c r="H9" s="6" t="n">
        <x:v>-17000</x:v>
      </x:c>
      <x:c r="I9" s="6" t="n">
        <x:v>24000</x:v>
      </x:c>
      <x:c r="J9" s="6" t="n">
        <x:v>4</x:v>
      </x:c>
      <x:c r="K9" s="6" t="n">
        <x:v>6000</x:v>
      </x:c>
      <x:c r="L9" s="6" t="n">
        <x:v>20000</x:v>
      </x:c>
    </x:row>
    <x:row r="10" ht="25" customHeight="1">
      <x:c r="A10" s="2" t="str">
        <x:v>2026-09-25_Night</x:v>
      </x:c>
      <x:c r="B10" s="7" t="str">
        <x:v>旧完了場</x:v>
      </x:c>
      <x:c r="C10" s="7" t="str">
        <x:v>上昇</x:v>
      </x:c>
      <x:c r="D10" s="6" t="n">
        <x:v>3400</x:v>
      </x:c>
      <x:c r="E10" s="6" t="n">
        <x:v>16000</x:v>
      </x:c>
      <x:c r="F10" s="6" t="n">
        <x:f>D10-E10</x:f>
        <x:v>-12600</x:v>
      </x:c>
      <x:c r="G10" s="6" t="n">
        <x:f>G9+F10</x:f>
        <x:v>18200</x:v>
      </x:c>
      <x:c r="H10" s="6" t="n">
        <x:v>-12600</x:v>
      </x:c>
      <x:c r="I10" s="6" t="n">
        <x:v>19600</x:v>
      </x:c>
      <x:c r="J10" s="6" t="n">
        <x:v>2</x:v>
      </x:c>
      <x:c r="K10" s="6" t="n">
        <x:v>0</x:v>
      </x:c>
      <x:c r="L10" s="6" t="n">
        <x:v>-12600</x:v>
      </x:c>
    </x:row>
    <x:row r="11" ht="25" customHeight="1">
      <x:c r="A11" s="2" t="str">
        <x:v>2026-09-28_Night</x:v>
      </x:c>
      <x:c r="B11" s="7" t="str">
        <x:v>旧完了場</x:v>
      </x:c>
      <x:c r="C11" s="7" t="str">
        <x:v>横ばい</x:v>
      </x:c>
      <x:c r="D11" s="6" t="n">
        <x:v>4500</x:v>
      </x:c>
      <x:c r="E11" s="6" t="n">
        <x:v>20000</x:v>
      </x:c>
      <x:c r="F11" s="6" t="n">
        <x:f>D11-E11</x:f>
        <x:v>-15500</x:v>
      </x:c>
      <x:c r="G11" s="6" t="n">
        <x:f>G10+F11</x:f>
        <x:v>2700</x:v>
      </x:c>
      <x:c r="H11" s="6" t="n">
        <x:v>-21000</x:v>
      </x:c>
      <x:c r="I11" s="6" t="n">
        <x:v>27000</x:v>
      </x:c>
      <x:c r="J11" s="6" t="n">
        <x:v>5</x:v>
      </x:c>
      <x:c r="K11" s="6" t="n">
        <x:v>4000</x:v>
      </x:c>
      <x:c r="L11" s="6" t="n">
        <x:v>-19500</x:v>
      </x:c>
    </x:row>
    <x:row r="12" ht="25" customHeight="1">
      <x:c r="A12" s="2" t="str">
        <x:v>2026-09-29_Night</x:v>
      </x:c>
      <x:c r="B12" s="7" t="str">
        <x:v>旧完了場</x:v>
      </x:c>
      <x:c r="C12" s="7" t="str">
        <x:v>上昇</x:v>
      </x:c>
      <x:c r="D12" s="6" t="n">
        <x:v>18900</x:v>
      </x:c>
      <x:c r="E12" s="6" t="n">
        <x:v>22000</x:v>
      </x:c>
      <x:c r="F12" s="6" t="n">
        <x:f>D12-E12</x:f>
        <x:v>-3100</x:v>
      </x:c>
      <x:c r="G12" s="6" t="n">
        <x:f>G11+F12</x:f>
        <x:v>-400</x:v>
      </x:c>
      <x:c r="H12" s="6" t="n">
        <x:v>-16100</x:v>
      </x:c>
      <x:c r="I12" s="6" t="n">
        <x:v>37000</x:v>
      </x:c>
      <x:c r="J12" s="6" t="n">
        <x:v>6</x:v>
      </x:c>
      <x:c r="K12" s="6" t="n">
        <x:v>0</x:v>
      </x:c>
      <x:c r="L12" s="6" t="n">
        <x:v>-3100</x:v>
      </x:c>
    </x:row>
    <x:row r="13" ht="25" customHeight="1">
      <x:c r="A13" s="2" t="str">
        <x:v>2026-09-30_Night</x:v>
      </x:c>
      <x:c r="B13" s="7" t="str">
        <x:v>旧完了場</x:v>
      </x:c>
      <x:c r="C13" s="7" t="str">
        <x:v>下落</x:v>
      </x:c>
      <x:c r="D13" s="6" t="n">
        <x:v>65300</x:v>
      </x:c>
      <x:c r="E13" s="6" t="n">
        <x:v>0</x:v>
      </x:c>
      <x:c r="F13" s="6" t="n">
        <x:f>D13-E13</x:f>
        <x:v>65300</x:v>
      </x:c>
      <x:c r="G13" s="6" t="n">
        <x:f>G12+F13</x:f>
        <x:v>64900</x:v>
      </x:c>
      <x:c r="H13" s="6" t="n">
        <x:v>-15000</x:v>
      </x:c>
      <x:c r="I13" s="6" t="n">
        <x:v>85200</x:v>
      </x:c>
      <x:c r="J13" s="6" t="n">
        <x:v>6</x:v>
      </x:c>
      <x:c r="K13" s="6" t="n">
        <x:v>12000</x:v>
      </x:c>
      <x:c r="L13" s="6" t="n">
        <x:v>53300</x:v>
      </x:c>
    </x:row>
    <x:row r="14" ht="25" customHeight="1">
      <x:c r="A14" s="2" t="str">
        <x:v>2026-10-01_Night</x:v>
      </x:c>
      <x:c r="B14" s="7" t="str">
        <x:v>旧完了場</x:v>
      </x:c>
      <x:c r="C14" s="7" t="str">
        <x:v>上昇</x:v>
      </x:c>
      <x:c r="D14" s="6" t="n">
        <x:v>142700</x:v>
      </x:c>
      <x:c r="E14" s="6" t="n">
        <x:v>61000</x:v>
      </x:c>
      <x:c r="F14" s="6" t="n">
        <x:f>D14-E14</x:f>
        <x:v>81700</x:v>
      </x:c>
      <x:c r="G14" s="6" t="n">
        <x:f>G13+F14</x:f>
        <x:v>146600</x:v>
      </x:c>
      <x:c r="H14" s="6" t="n">
        <x:v>-44000</x:v>
      </x:c>
      <x:c r="I14" s="6" t="n">
        <x:v>97000</x:v>
      </x:c>
      <x:c r="J14" s="6" t="n">
        <x:v>16</x:v>
      </x:c>
      <x:c r="K14" s="6" t="n">
        <x:v>24500</x:v>
      </x:c>
      <x:c r="L14" s="6" t="n">
        <x:v>57200</x:v>
      </x:c>
    </x:row>
    <x:row r="15" ht="25" customHeight="1">
      <x:c r="A15" s="2" t="str">
        <x:v>2026-10-02_Night</x:v>
      </x:c>
      <x:c r="B15" s="7" t="str">
        <x:v>旧完了場</x:v>
      </x:c>
      <x:c r="C15" s="7" t="str">
        <x:v>上昇</x:v>
      </x:c>
      <x:c r="D15" s="6" t="n">
        <x:v>158900</x:v>
      </x:c>
      <x:c r="E15" s="6" t="n">
        <x:v>19000</x:v>
      </x:c>
      <x:c r="F15" s="6" t="n">
        <x:f>D15-E15</x:f>
        <x:v>139900</x:v>
      </x:c>
      <x:c r="G15" s="6" t="n">
        <x:f>G14+F15</x:f>
        <x:v>286500</x:v>
      </x:c>
      <x:c r="H15" s="6" t="n">
        <x:v>-14000</x:v>
      </x:c>
      <x:c r="I15" s="6" t="n">
        <x:v>114600</x:v>
      </x:c>
      <x:c r="J15" s="6" t="n">
        <x:v>15</x:v>
      </x:c>
      <x:c r="K15" s="6" t="n">
        <x:v>0</x:v>
      </x:c>
      <x:c r="L15" s="6" t="n">
        <x:v>139900</x:v>
      </x:c>
    </x:row>
    <x:row r="16" ht="25" customHeight="1">
      <x:c r="A16" s="2" t="str">
        <x:v>2026-10-05_Night</x:v>
      </x:c>
      <x:c r="B16" s="7" t="str">
        <x:v>旧完了場</x:v>
      </x:c>
      <x:c r="C16" s="7" t="str">
        <x:v>下落</x:v>
      </x:c>
      <x:c r="D16" s="6" t="n">
        <x:v>66500</x:v>
      </x:c>
      <x:c r="E16" s="6" t="n">
        <x:v>26000</x:v>
      </x:c>
      <x:c r="F16" s="6" t="n">
        <x:f>D16-E16</x:f>
        <x:v>40500</x:v>
      </x:c>
      <x:c r="G16" s="6" t="n">
        <x:f>G15+F16</x:f>
        <x:v>327000</x:v>
      </x:c>
      <x:c r="H16" s="6" t="n">
        <x:v>-27000</x:v>
      </x:c>
      <x:c r="I16" s="6" t="n">
        <x:v>76500</x:v>
      </x:c>
      <x:c r="J16" s="6" t="n">
        <x:v>8</x:v>
      </x:c>
      <x:c r="K16" s="6" t="n">
        <x:v>3000</x:v>
      </x:c>
      <x:c r="L16" s="6" t="n">
        <x:v>37500</x:v>
      </x:c>
    </x:row>
    <x:row r="17" ht="25" customHeight="1">
      <x:c r="A17" s="2" t="str">
        <x:v>2026-10-06_Night</x:v>
      </x:c>
      <x:c r="B17" s="7" t="str">
        <x:v>旧完了場</x:v>
      </x:c>
      <x:c r="C17" s="7" t="str">
        <x:v>横ばい</x:v>
      </x:c>
      <x:c r="D17" s="6" t="n">
        <x:v>33000</x:v>
      </x:c>
      <x:c r="E17" s="6" t="n">
        <x:v>15000</x:v>
      </x:c>
      <x:c r="F17" s="6" t="n">
        <x:f>D17-E17</x:f>
        <x:v>18000</x:v>
      </x:c>
      <x:c r="G17" s="6" t="n">
        <x:f>G16+F17</x:f>
        <x:v>345000</x:v>
      </x:c>
      <x:c r="H17" s="6" t="n">
        <x:v>-28000</x:v>
      </x:c>
      <x:c r="I17" s="6" t="n">
        <x:v>28000</x:v>
      </x:c>
      <x:c r="J17" s="6" t="n">
        <x:v>4</x:v>
      </x:c>
      <x:c r="K17" s="6" t="n">
        <x:v>0</x:v>
      </x:c>
      <x:c r="L17" s="6" t="n">
        <x:v>18000</x:v>
      </x:c>
    </x:row>
    <x:row r="18" ht="25" customHeight="1">
      <x:c r="A18" s="2" t="str">
        <x:v>2026-10-07_Night</x:v>
      </x:c>
      <x:c r="B18" s="7" t="str">
        <x:v>旧完了場</x:v>
      </x:c>
      <x:c r="C18" s="7" t="str">
        <x:v>下落</x:v>
      </x:c>
      <x:c r="D18" s="6" t="n">
        <x:v>4000</x:v>
      </x:c>
      <x:c r="E18" s="6" t="n">
        <x:v>50600</x:v>
      </x:c>
      <x:c r="F18" s="6" t="n">
        <x:f>D18-E18</x:f>
        <x:v>-46600</x:v>
      </x:c>
      <x:c r="G18" s="6" t="n">
        <x:f>G17+F18</x:f>
        <x:v>298400</x:v>
      </x:c>
      <x:c r="H18" s="6" t="n">
        <x:v>-49200</x:v>
      </x:c>
      <x:c r="I18" s="6" t="n">
        <x:v>57200</x:v>
      </x:c>
      <x:c r="J18" s="6" t="n">
        <x:v>5</x:v>
      </x:c>
      <x:c r="K18" s="6" t="n">
        <x:v>-18000</x:v>
      </x:c>
      <x:c r="L18" s="6" t="n">
        <x:v>-28600</x:v>
      </x:c>
    </x:row>
    <x:row r="19" ht="25" customHeight="1">
      <x:c r="A19" s="2" t="str">
        <x:v>2026-10-08_Night</x:v>
      </x:c>
      <x:c r="B19" s="7" t="str">
        <x:v>旧完了場</x:v>
      </x:c>
      <x:c r="C19" s="7" t="str">
        <x:v>下落</x:v>
      </x:c>
      <x:c r="D19" s="6" t="n">
        <x:v>516700</x:v>
      </x:c>
      <x:c r="E19" s="6" t="n">
        <x:v>12400</x:v>
      </x:c>
      <x:c r="F19" s="6" t="n">
        <x:f>D19-E19</x:f>
        <x:v>504300</x:v>
      </x:c>
      <x:c r="G19" s="6" t="n">
        <x:f>G18+F19</x:f>
        <x:v>802700</x:v>
      </x:c>
      <x:c r="H19" s="6" t="n">
        <x:v>-36400</x:v>
      </x:c>
      <x:c r="I19" s="6" t="n">
        <x:v>131600</x:v>
      </x:c>
      <x:c r="J19" s="6" t="n">
        <x:v>17</x:v>
      </x:c>
      <x:c r="K19" s="6" t="n">
        <x:v>8000</x:v>
      </x:c>
      <x:c r="L19" s="6" t="n">
        <x:v>496300</x:v>
      </x:c>
    </x:row>
    <x:row r="20" ht="25" customHeight="1">
      <x:c r="A20" s="2" t="str">
        <x:v>2026-10-09_Night</x:v>
      </x:c>
      <x:c r="B20" s="7" t="str">
        <x:v>旧完了場</x:v>
      </x:c>
      <x:c r="C20" s="7" t="str">
        <x:v>下落</x:v>
      </x:c>
      <x:c r="D20" s="6" t="n">
        <x:v>10800</x:v>
      </x:c>
      <x:c r="E20" s="6" t="n">
        <x:v>0</x:v>
      </x:c>
      <x:c r="F20" s="6" t="n">
        <x:f>D20-E20</x:f>
        <x:v>10800</x:v>
      </x:c>
      <x:c r="G20" s="6" t="n">
        <x:f>G19+F20</x:f>
        <x:v>813500</x:v>
      </x:c>
      <x:c r="H20" s="6" t="n">
        <x:v>-2000</x:v>
      </x:c>
      <x:c r="I20" s="6" t="n">
        <x:v>12000</x:v>
      </x:c>
      <x:c r="J20" s="6" t="n">
        <x:v>3</x:v>
      </x:c>
      <x:c r="K20" s="6" t="n">
        <x:v>8000</x:v>
      </x:c>
      <x:c r="L20" s="6" t="n">
        <x:v>2800</x:v>
      </x:c>
    </x:row>
    <x:row r="21" ht="25" customHeight="1">
      <x:c r="A21" s="2" t="str">
        <x:v>2026-10-12_Night</x:v>
      </x:c>
      <x:c r="B21" s="7" t="str">
        <x:v>旧完了場</x:v>
      </x:c>
      <x:c r="C21" s="7" t="str">
        <x:v>下落</x:v>
      </x:c>
      <x:c r="D21" s="6" t="n">
        <x:v>16400</x:v>
      </x:c>
      <x:c r="E21" s="6" t="n">
        <x:v>0</x:v>
      </x:c>
      <x:c r="F21" s="6" t="n">
        <x:f>D21-E21</x:f>
        <x:v>16400</x:v>
      </x:c>
      <x:c r="G21" s="6" t="n">
        <x:f>G20+F21</x:f>
        <x:v>829900</x:v>
      </x:c>
      <x:c r="H21" s="6" t="n">
        <x:v>-2000</x:v>
      </x:c>
      <x:c r="I21" s="6" t="n">
        <x:v>6600</x:v>
      </x:c>
      <x:c r="J21" s="6" t="n">
        <x:v>1</x:v>
      </x:c>
      <x:c r="K21" s="6" t="n">
        <x:v>0</x:v>
      </x:c>
      <x:c r="L21" s="6" t="n">
        <x:v>16400</x:v>
      </x:c>
    </x:row>
    <x:row r="22" ht="25" customHeight="1">
      <x:c r="A22" s="2" t="str">
        <x:v>2026-10-13_Night</x:v>
      </x:c>
      <x:c r="B22" s="7" t="str">
        <x:v>旧完了場</x:v>
      </x:c>
      <x:c r="C22" s="7" t="str">
        <x:v>上昇</x:v>
      </x:c>
      <x:c r="D22" s="6" t="n">
        <x:v>3000</x:v>
      </x:c>
      <x:c r="E22" s="6" t="n">
        <x:v>17000</x:v>
      </x:c>
      <x:c r="F22" s="6" t="n">
        <x:f>D22-E22</x:f>
        <x:v>-14000</x:v>
      </x:c>
      <x:c r="G22" s="6" t="n">
        <x:f>G21+F22</x:f>
        <x:v>815900</x:v>
      </x:c>
      <x:c r="H22" s="6" t="n">
        <x:v>-14000</x:v>
      </x:c>
      <x:c r="I22" s="6" t="n">
        <x:v>18000</x:v>
      </x:c>
      <x:c r="J22" s="6" t="n">
        <x:v>3</x:v>
      </x:c>
      <x:c r="K22" s="6" t="n">
        <x:v>3000</x:v>
      </x:c>
      <x:c r="L22" s="6" t="n">
        <x:v>-17000</x:v>
      </x:c>
    </x:row>
    <x:row r="23" ht="25" customHeight="1">
      <x:c r="A23" s="2" t="str">
        <x:v>2026-10-14_Night</x:v>
      </x:c>
      <x:c r="B23" s="7" t="str">
        <x:v>旧完了場</x:v>
      </x:c>
      <x:c r="C23" s="7" t="str">
        <x:v>下落</x:v>
      </x:c>
      <x:c r="D23" s="6" t="n">
        <x:v>42400</x:v>
      </x:c>
      <x:c r="E23" s="6" t="n">
        <x:v>56900</x:v>
      </x:c>
      <x:c r="F23" s="6" t="n">
        <x:f>D23-E23</x:f>
        <x:v>-14500</x:v>
      </x:c>
      <x:c r="G23" s="6" t="n">
        <x:f>G22+F23</x:f>
        <x:v>801400</x:v>
      </x:c>
      <x:c r="H23" s="6" t="n">
        <x:v>-39900</x:v>
      </x:c>
      <x:c r="I23" s="6" t="n">
        <x:v>48200</x:v>
      </x:c>
      <x:c r="J23" s="6" t="n">
        <x:v>5</x:v>
      </x:c>
      <x:c r="K23" s="6" t="n">
        <x:v>3000</x:v>
      </x:c>
      <x:c r="L23" s="6" t="n">
        <x:v>-17500</x:v>
      </x:c>
    </x:row>
    <x:row r="24" ht="25" customHeight="1">
      <x:c r="A24" s="2" t="str">
        <x:v>2026-10-15_Night</x:v>
      </x:c>
      <x:c r="B24" s="7" t="str">
        <x:v>旧完了場</x:v>
      </x:c>
      <x:c r="C24" s="7" t="str">
        <x:v>上昇</x:v>
      </x:c>
      <x:c r="D24" s="6" t="n">
        <x:v>90200</x:v>
      </x:c>
      <x:c r="E24" s="6" t="n">
        <x:v>41500</x:v>
      </x:c>
      <x:c r="F24" s="6" t="n">
        <x:f>D24-E24</x:f>
        <x:v>48700</x:v>
      </x:c>
      <x:c r="G24" s="6" t="n">
        <x:f>G23+F24</x:f>
        <x:v>850100</x:v>
      </x:c>
      <x:c r="H24" s="6" t="n">
        <x:v>-32800</x:v>
      </x:c>
      <x:c r="I24" s="6" t="n">
        <x:v>154600</x:v>
      </x:c>
      <x:c r="J24" s="6" t="n">
        <x:v>7</x:v>
      </x:c>
      <x:c r="K24" s="6" t="n">
        <x:v>0</x:v>
      </x:c>
      <x:c r="L24" s="6" t="n">
        <x:v>48700</x:v>
      </x:c>
    </x:row>
    <x:row r="25" ht="25" customHeight="1">
      <x:c r="A25" s="2" t="str">
        <x:v>2026-10-16_Night</x:v>
      </x:c>
      <x:c r="B25" s="7" t="str">
        <x:v>旧完了場</x:v>
      </x:c>
      <x:c r="C25" s="7" t="str">
        <x:v>下落</x:v>
      </x:c>
      <x:c r="D25" s="6" t="n">
        <x:v>96000</x:v>
      </x:c>
      <x:c r="E25" s="6" t="n">
        <x:v>147700</x:v>
      </x:c>
      <x:c r="F25" s="6" t="n">
        <x:f>D25-E25</x:f>
        <x:v>-51700</x:v>
      </x:c>
      <x:c r="G25" s="6" t="n">
        <x:f>G24+F25</x:f>
        <x:v>798400</x:v>
      </x:c>
      <x:c r="H25" s="6" t="n">
        <x:v>-139900</x:v>
      </x:c>
      <x:c r="I25" s="6" t="n">
        <x:v>170700</x:v>
      </x:c>
      <x:c r="J25" s="6" t="n">
        <x:v>14</x:v>
      </x:c>
      <x:c r="K25" s="6" t="n">
        <x:v>-4000</x:v>
      </x:c>
      <x:c r="L25" s="6" t="n">
        <x:v>-47700</x:v>
      </x:c>
    </x:row>
    <x:row r="26" ht="25" customHeight="1">
      <x:c r="A26" s="2" t="str">
        <x:v>2026-10-19_Night</x:v>
      </x:c>
      <x:c r="B26" s="7" t="str">
        <x:v>旧完了場</x:v>
      </x:c>
      <x:c r="C26" s="7" t="str">
        <x:v>上昇</x:v>
      </x:c>
      <x:c r="D26" s="6" t="n">
        <x:v>64000</x:v>
      </x:c>
      <x:c r="E26" s="6" t="n">
        <x:v>132300</x:v>
      </x:c>
      <x:c r="F26" s="6" t="n">
        <x:f>D26-E26</x:f>
        <x:v>-68300</x:v>
      </x:c>
      <x:c r="G26" s="6" t="n">
        <x:f>G25+F26</x:f>
        <x:v>730100</x:v>
      </x:c>
      <x:c r="H26" s="6" t="n">
        <x:v>-80300</x:v>
      </x:c>
      <x:c r="I26" s="6" t="n">
        <x:v>114800</x:v>
      </x:c>
      <x:c r="J26" s="6" t="n">
        <x:v>14</x:v>
      </x:c>
      <x:c r="K26" s="6" t="n">
        <x:v>7000</x:v>
      </x:c>
      <x:c r="L26" s="6" t="n">
        <x:v>-75300</x:v>
      </x:c>
    </x:row>
    <x:row r="27" ht="25" customHeight="1">
      <x:c r="A27" s="2" t="str">
        <x:v>2026-10-20_Night</x:v>
      </x:c>
      <x:c r="B27" s="7" t="str">
        <x:v>旧完了場</x:v>
      </x:c>
      <x:c r="C27" s="7" t="str">
        <x:v>上昇</x:v>
      </x:c>
      <x:c r="D27" s="6" t="n">
        <x:v>90700</x:v>
      </x:c>
      <x:c r="E27" s="6" t="n">
        <x:v>42200</x:v>
      </x:c>
      <x:c r="F27" s="6" t="n">
        <x:f>D27-E27</x:f>
        <x:v>48500</x:v>
      </x:c>
      <x:c r="G27" s="6" t="n">
        <x:f>G26+F27</x:f>
        <x:v>778600</x:v>
      </x:c>
      <x:c r="H27" s="6" t="n">
        <x:v>-2200</x:v>
      </x:c>
      <x:c r="I27" s="6" t="n">
        <x:v>70500</x:v>
      </x:c>
      <x:c r="J27" s="6" t="n">
        <x:v>11</x:v>
      </x:c>
      <x:c r="K27" s="6" t="n">
        <x:v>17700</x:v>
      </x:c>
      <x:c r="L27" s="6" t="n">
        <x:v>30800</x:v>
      </x:c>
    </x:row>
    <x:row r="28" ht="25" customHeight="1">
      <x:c r="A28" s="2" t="str">
        <x:v>2026-10-21_Night</x:v>
      </x:c>
      <x:c r="B28" s="7" t="str">
        <x:v>旧完了場</x:v>
      </x:c>
      <x:c r="C28" s="7" t="str">
        <x:v>上昇</x:v>
      </x:c>
      <x:c r="D28" s="6" t="n">
        <x:v>33600</x:v>
      </x:c>
      <x:c r="E28" s="6" t="n">
        <x:v>17000</x:v>
      </x:c>
      <x:c r="F28" s="6" t="n">
        <x:f>D28-E28</x:f>
        <x:v>16600</x:v>
      </x:c>
      <x:c r="G28" s="6" t="n">
        <x:f>G27+F28</x:f>
        <x:v>795200</x:v>
      </x:c>
      <x:c r="H28" s="6" t="n">
        <x:v>-7000</x:v>
      </x:c>
      <x:c r="I28" s="6" t="n">
        <x:v>55000</x:v>
      </x:c>
      <x:c r="J28" s="6" t="n">
        <x:v>6</x:v>
      </x:c>
      <x:c r="K28" s="6" t="n">
        <x:v>3000</x:v>
      </x:c>
      <x:c r="L28" s="6" t="n">
        <x:v>13600</x:v>
      </x:c>
    </x:row>
    <x:row r="29" ht="25" customHeight="1">
      <x:c r="A29" s="2" t="str">
        <x:v>2026-10-22_Night</x:v>
      </x:c>
      <x:c r="B29" s="7" t="str">
        <x:v>旧完了場</x:v>
      </x:c>
      <x:c r="C29" s="7" t="str">
        <x:v>下落</x:v>
      </x:c>
      <x:c r="D29" s="6" t="n">
        <x:v>154400</x:v>
      </x:c>
      <x:c r="E29" s="6" t="n">
        <x:v>0</x:v>
      </x:c>
      <x:c r="F29" s="6" t="n">
        <x:f>D29-E29</x:f>
        <x:v>154400</x:v>
      </x:c>
      <x:c r="G29" s="6" t="n">
        <x:f>G28+F29</x:f>
        <x:v>949600</x:v>
      </x:c>
      <x:c r="H29" s="6" t="n">
        <x:v>-4800</x:v>
      </x:c>
      <x:c r="I29" s="6" t="n">
        <x:v>67200</x:v>
      </x:c>
      <x:c r="J29" s="6" t="n">
        <x:v>3</x:v>
      </x:c>
      <x:c r="K29" s="6" t="n">
        <x:v>0</x:v>
      </x:c>
      <x:c r="L29" s="6" t="n">
        <x:v>154400</x:v>
      </x:c>
    </x:row>
    <x:row r="30" ht="25" customHeight="1">
      <x:c r="A30" s="2" t="str">
        <x:v>2026-10-23_Night</x:v>
      </x:c>
      <x:c r="B30" s="7" t="str">
        <x:v>旧完了場</x:v>
      </x:c>
      <x:c r="C30" s="7" t="str">
        <x:v>上昇</x:v>
      </x:c>
      <x:c r="D30" s="6" t="n">
        <x:v>30600</x:v>
      </x:c>
      <x:c r="E30" s="6" t="n">
        <x:v>43500</x:v>
      </x:c>
      <x:c r="F30" s="6" t="n">
        <x:f>D30-E30</x:f>
        <x:v>-12900</x:v>
      </x:c>
      <x:c r="G30" s="6" t="n">
        <x:f>G29+F30</x:f>
        <x:v>936700</x:v>
      </x:c>
      <x:c r="H30" s="6" t="n">
        <x:v>-51900</x:v>
      </x:c>
      <x:c r="I30" s="6" t="n">
        <x:v>68500</x:v>
      </x:c>
      <x:c r="J30" s="6" t="n">
        <x:v>11</x:v>
      </x:c>
      <x:c r="K30" s="6" t="n">
        <x:v>-17200</x:v>
      </x:c>
      <x:c r="L30" s="6" t="n">
        <x:v>4300</x:v>
      </x:c>
    </x:row>
    <x:row r="31" ht="25" customHeight="1">
      <x:c r="A31" s="2" t="str">
        <x:v>2026-10-26_Night</x:v>
      </x:c>
      <x:c r="B31" s="7" t="str">
        <x:v>追加完了版</x:v>
      </x:c>
      <x:c r="C31" s="7" t="str">
        <x:v>上昇</x:v>
      </x:c>
      <x:c r="D31" s="6" t="n">
        <x:v>89500</x:v>
      </x:c>
      <x:c r="E31" s="6" t="n">
        <x:v>116100</x:v>
      </x:c>
      <x:c r="F31" s="6" t="n">
        <x:f>D31-E31</x:f>
        <x:v>-26600</x:v>
      </x:c>
      <x:c r="G31" s="6" t="n">
        <x:f>G30+F31</x:f>
        <x:v>910100</x:v>
      </x:c>
      <x:c r="H31" s="6" t="n">
        <x:v>-26600</x:v>
      </x:c>
      <x:c r="I31" s="6" t="n">
        <x:v>165900</x:v>
      </x:c>
      <x:c r="J31" s="6" t="n">
        <x:v>12</x:v>
      </x:c>
      <x:c r="K31" s="6" t="n">
        <x:v>3000</x:v>
      </x:c>
      <x:c r="L31" s="6" t="n">
        <x:v>-29600</x:v>
      </x:c>
    </x:row>
    <x:row r="32" ht="25" customHeight="1">
      <x:c r="A32" s="14" t="str">
        <x:v>累計／場内最悪値</x:v>
      </x:c>
      <x:c r="B32" s="15"/>
      <x:c r="C32" s="15"/>
      <x:c r="D32" s="15" t="n">
        <x:f>SUM(D6:D31)</x:f>
        <x:v>1783300</x:v>
      </x:c>
      <x:c r="E32" s="15" t="n">
        <x:f>SUM(E6:E31)</x:f>
        <x:v>873200</x:v>
      </x:c>
      <x:c r="F32" s="15" t="n">
        <x:f>D32-E32</x:f>
        <x:v>910100</x:v>
      </x:c>
      <x:c r="G32" s="15" t="n">
        <x:f>G31</x:f>
        <x:v>910100</x:v>
      </x:c>
      <x:c r="H32" s="15" t="n">
        <x:f>MIN(H6:H31)</x:f>
        <x:v>-139900</x:v>
      </x:c>
      <x:c r="I32" s="15" t="n">
        <x:f>MAX(I6:I31)</x:f>
        <x:v>170700</x:v>
      </x:c>
      <x:c r="J32" s="15" t="n">
        <x:f>SUM(J6:J31)</x:f>
        <x:v>184</x:v>
      </x:c>
      <x:c r="K32" s="15" t="n">
        <x:f>SUM(K6:K31)</x:f>
        <x:v>66000</x:v>
      </x:c>
      <x:c r="L32" s="15" t="n">
        <x:f>SUM(L6:L31)</x:f>
        <x:v>844100</x:v>
      </x:c>
    </x:row>
  </x:sheetData>
  <x:conditionalFormatting sqref="F6:H31">
    <x:cfRule type="cellIs" dxfId="10" priority="1" operator="lessThan">
      <x:formula>0</x:formula>
    </x:cfRule>
  </x:conditionalFormatting>
  <x:conditionalFormatting sqref="K6:L31">
    <x:cfRule type="cellIs" dxfId="11" priority="2" operator="lessThan">
      <x:formula>0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51a8a6d5fcac4b2c"/>
  </x:tableParts>
</x:worksheet>
</file>

<file path=xl/worksheets/sheet9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25" hidden="0" customWidth="1"/>
    <x:col min="2" max="2" width="15" hidden="0" customWidth="1"/>
    <x:col min="3" max="3" width="10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  <x:col min="12" max="12" width="16" hidden="0" customWidth="1"/>
  </x:cols>
  <x:sheetData>
    <x:row r="1" ht="10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</x:row>
    <x:row r="2" ht="25" customHeight="1">
      <x:c r="A2" s="3" t="str">
        <x:v>日経 N06　夜間損益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</x:row>
    <x:row r="3" ht="25" customHeight="1">
      <x:c r="A3" s="4" t="str">
        <x:v>逆支持数量の反証対照</x:v>
      </x:c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</x:row>
    <x:row r="4" ht="25" customHeight="1">
      <x:c r="A4" s="4" t="str">
        <x:v>片側micro100枚＝mini10枚相当・手数料0。途中最悪は確定＋全玉含み、最大下落は当場ピークからの落差。</x:v>
      </x:c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</x:row>
    <x:row r="5" ht="45" customHeight="1">
      <x:c r="A5" s="11" t="str">
        <x:v>セッション</x:v>
      </x:c>
      <x:c r="B5" s="11" t="str">
        <x:v>資料区分</x:v>
      </x:c>
      <x:c r="C5" s="11" t="str">
        <x:v>場の方向</x:v>
      </x:c>
      <x:c r="D5" s="11" t="str">
        <x:v>利益（円）</x:v>
      </x:c>
      <x:c r="E5" s="11" t="str">
        <x:v>損失（円）</x:v>
      </x:c>
      <x:c r="F5" s="11" t="str">
        <x:v>収支（円）</x:v>
      </x:c>
      <x:c r="G5" s="11" t="str">
        <x:v>累計（円）</x:v>
      </x:c>
      <x:c r="H5" s="11" t="str">
        <x:v>途中最悪収支（円）</x:v>
      </x:c>
      <x:c r="I5" s="11" t="str">
        <x:v>最大下落額（円）</x:v>
      </x:c>
      <x:c r="J5" s="11" t="str">
        <x:v>新規回数</x:v>
      </x:c>
      <x:c r="K5" s="11" t="str">
        <x:v>米国前収支（円）</x:v>
      </x:c>
      <x:c r="L5" s="11" t="str">
        <x:v>米国後収支（円）</x:v>
      </x:c>
    </x:row>
    <x:row r="6" ht="25" customHeight="1">
      <x:c r="A6" s="2" t="str">
        <x:v>2026-09-21_Night</x:v>
      </x:c>
      <x:c r="B6" s="7" t="str">
        <x:v>旧完了場</x:v>
      </x:c>
      <x:c r="C6" s="7" t="str">
        <x:v>上昇</x:v>
      </x:c>
      <x:c r="D6" s="6" t="n">
        <x:v>0</x:v>
      </x:c>
      <x:c r="E6" s="6" t="n">
        <x:v>9000</x:v>
      </x:c>
      <x:c r="F6" s="6" t="n">
        <x:f>D6-E6</x:f>
        <x:v>-9000</x:v>
      </x:c>
      <x:c r="G6" s="6" t="n">
        <x:f>F6</x:f>
        <x:v>-9000</x:v>
      </x:c>
      <x:c r="H6" s="6" t="n">
        <x:v>-9000</x:v>
      </x:c>
      <x:c r="I6" s="6" t="n">
        <x:v>13000</x:v>
      </x:c>
      <x:c r="J6" s="6" t="n">
        <x:v>1</x:v>
      </x:c>
      <x:c r="K6" s="6" t="n">
        <x:v>0</x:v>
      </x:c>
      <x:c r="L6" s="6" t="n">
        <x:v>-9000</x:v>
      </x:c>
    </x:row>
    <x:row r="7" ht="25" customHeight="1">
      <x:c r="A7" s="2" t="str">
        <x:v>2026-09-22_Night</x:v>
      </x:c>
      <x:c r="B7" s="7" t="str">
        <x:v>旧完了場</x:v>
      </x:c>
      <x:c r="C7" s="7" t="str">
        <x:v>上昇</x:v>
      </x:c>
      <x:c r="D7" s="6" t="n">
        <x:v>34800</x:v>
      </x:c>
      <x:c r="E7" s="6" t="n">
        <x:v>0</x:v>
      </x:c>
      <x:c r="F7" s="6" t="n">
        <x:f>D7-E7</x:f>
        <x:v>34800</x:v>
      </x:c>
      <x:c r="G7" s="6" t="n">
        <x:f>G6+F7</x:f>
        <x:v>25800</x:v>
      </x:c>
      <x:c r="H7" s="6" t="n">
        <x:v>-90000</x:v>
      </x:c>
      <x:c r="I7" s="6" t="n">
        <x:v>110000</x:v>
      </x:c>
      <x:c r="J7" s="6" t="n">
        <x:v>2</x:v>
      </x:c>
      <x:c r="K7" s="6" t="n">
        <x:v>30000</x:v>
      </x:c>
      <x:c r="L7" s="6" t="n">
        <x:v>4800</x:v>
      </x:c>
    </x:row>
    <x:row r="8" ht="25" customHeight="1">
      <x:c r="A8" s="2" t="str">
        <x:v>2026-09-23_Night</x:v>
      </x:c>
      <x:c r="B8" s="7" t="str">
        <x:v>旧完了場</x:v>
      </x:c>
      <x:c r="C8" s="7" t="str">
        <x:v>下落</x:v>
      </x:c>
      <x:c r="D8" s="6" t="n">
        <x:v>21200</x:v>
      </x:c>
      <x:c r="E8" s="6" t="n">
        <x:v>8000</x:v>
      </x:c>
      <x:c r="F8" s="6" t="n">
        <x:f>D8-E8</x:f>
        <x:v>13200</x:v>
      </x:c>
      <x:c r="G8" s="6" t="n">
        <x:f>G7+F8</x:f>
        <x:v>39000</x:v>
      </x:c>
      <x:c r="H8" s="6" t="n">
        <x:v>-28800</x:v>
      </x:c>
      <x:c r="I8" s="6" t="n">
        <x:v>80000</x:v>
      </x:c>
      <x:c r="J8" s="6" t="n">
        <x:v>3</x:v>
      </x:c>
      <x:c r="K8" s="6" t="n">
        <x:v>0</x:v>
      </x:c>
      <x:c r="L8" s="6" t="n">
        <x:v>13200</x:v>
      </x:c>
    </x:row>
    <x:row r="9" ht="25" customHeight="1">
      <x:c r="A9" s="2" t="str">
        <x:v>2026-09-24_Night</x:v>
      </x:c>
      <x:c r="B9" s="7" t="str">
        <x:v>旧完了場</x:v>
      </x:c>
      <x:c r="C9" s="7" t="str">
        <x:v>上昇</x:v>
      </x:c>
      <x:c r="D9" s="6" t="n">
        <x:v>166000</x:v>
      </x:c>
      <x:c r="E9" s="6" t="n">
        <x:v>0</x:v>
      </x:c>
      <x:c r="F9" s="6" t="n">
        <x:f>D9-E9</x:f>
        <x:v>166000</x:v>
      </x:c>
      <x:c r="G9" s="6" t="n">
        <x:f>G8+F9</x:f>
        <x:v>205000</x:v>
      </x:c>
      <x:c r="H9" s="6" t="n">
        <x:v>-24000</x:v>
      </x:c>
      <x:c r="I9" s="6" t="n">
        <x:v>240000</x:v>
      </x:c>
      <x:c r="J9" s="6" t="n">
        <x:v>3</x:v>
      </x:c>
      <x:c r="K9" s="6" t="n">
        <x:v>6000</x:v>
      </x:c>
      <x:c r="L9" s="6" t="n">
        <x:v>160000</x:v>
      </x:c>
    </x:row>
    <x:row r="10" ht="25" customHeight="1">
      <x:c r="A10" s="2" t="str">
        <x:v>2026-09-25_Night</x:v>
      </x:c>
      <x:c r="B10" s="7" t="str">
        <x:v>旧完了場</x:v>
      </x:c>
      <x:c r="C10" s="7" t="str">
        <x:v>上昇</x:v>
      </x:c>
      <x:c r="D10" s="6" t="n">
        <x:v>3400</x:v>
      </x:c>
      <x:c r="E10" s="6" t="n">
        <x:v>16000</x:v>
      </x:c>
      <x:c r="F10" s="6" t="n">
        <x:f>D10-E10</x:f>
        <x:v>-12600</x:v>
      </x:c>
      <x:c r="G10" s="6" t="n">
        <x:f>G9+F10</x:f>
        <x:v>192400</x:v>
      </x:c>
      <x:c r="H10" s="6" t="n">
        <x:v>-12600</x:v>
      </x:c>
      <x:c r="I10" s="6" t="n">
        <x:v>19600</x:v>
      </x:c>
      <x:c r="J10" s="6" t="n">
        <x:v>2</x:v>
      </x:c>
      <x:c r="K10" s="6" t="n">
        <x:v>0</x:v>
      </x:c>
      <x:c r="L10" s="6" t="n">
        <x:v>-12600</x:v>
      </x:c>
    </x:row>
    <x:row r="11" ht="25" customHeight="1">
      <x:c r="A11" s="2" t="str">
        <x:v>2026-09-28_Night</x:v>
      </x:c>
      <x:c r="B11" s="7" t="str">
        <x:v>旧完了場</x:v>
      </x:c>
      <x:c r="C11" s="7" t="str">
        <x:v>横ばい</x:v>
      </x:c>
      <x:c r="D11" s="6" t="n">
        <x:v>87600</x:v>
      </x:c>
      <x:c r="E11" s="6" t="n">
        <x:v>20000</x:v>
      </x:c>
      <x:c r="F11" s="6" t="n">
        <x:f>D11-E11</x:f>
        <x:v>67600</x:v>
      </x:c>
      <x:c r="G11" s="6" t="n">
        <x:f>G10+F11</x:f>
        <x:v>260000</x:v>
      </x:c>
      <x:c r="H11" s="6" t="n">
        <x:v>-56400</x:v>
      </x:c>
      <x:c r="I11" s="6" t="n">
        <x:v>100000</x:v>
      </x:c>
      <x:c r="J11" s="6" t="n">
        <x:v>4</x:v>
      </x:c>
      <x:c r="K11" s="6" t="n">
        <x:v>37600</x:v>
      </x:c>
      <x:c r="L11" s="6" t="n">
        <x:v>30000</x:v>
      </x:c>
    </x:row>
    <x:row r="12" ht="25" customHeight="1">
      <x:c r="A12" s="2" t="str">
        <x:v>2026-09-29_Night</x:v>
      </x:c>
      <x:c r="B12" s="7" t="str">
        <x:v>旧完了場</x:v>
      </x:c>
      <x:c r="C12" s="7" t="str">
        <x:v>上昇</x:v>
      </x:c>
      <x:c r="D12" s="6" t="n">
        <x:v>159200</x:v>
      </x:c>
      <x:c r="E12" s="6" t="n">
        <x:v>241800</x:v>
      </x:c>
      <x:c r="F12" s="6" t="n">
        <x:f>D12-E12</x:f>
        <x:v>-82600</x:v>
      </x:c>
      <x:c r="G12" s="6" t="n">
        <x:f>G11+F12</x:f>
        <x:v>177400</x:v>
      </x:c>
      <x:c r="H12" s="6" t="n">
        <x:v>-139200</x:v>
      </x:c>
      <x:c r="I12" s="6" t="n">
        <x:v>246500</x:v>
      </x:c>
      <x:c r="J12" s="6" t="n">
        <x:v>6</x:v>
      </x:c>
      <x:c r="K12" s="6" t="n">
        <x:v>0</x:v>
      </x:c>
      <x:c r="L12" s="6" t="n">
        <x:v>-82600</x:v>
      </x:c>
    </x:row>
    <x:row r="13" ht="25" customHeight="1">
      <x:c r="A13" s="2" t="str">
        <x:v>2026-09-30_Night</x:v>
      </x:c>
      <x:c r="B13" s="7" t="str">
        <x:v>旧完了場</x:v>
      </x:c>
      <x:c r="C13" s="7" t="str">
        <x:v>下落</x:v>
      </x:c>
      <x:c r="D13" s="6" t="n">
        <x:v>224800</x:v>
      </x:c>
      <x:c r="E13" s="6" t="n">
        <x:v>0</x:v>
      </x:c>
      <x:c r="F13" s="6" t="n">
        <x:f>D13-E13</x:f>
        <x:v>224800</x:v>
      </x:c>
      <x:c r="G13" s="6" t="n">
        <x:f>G12+F13</x:f>
        <x:v>402200</x:v>
      </x:c>
      <x:c r="H13" s="6" t="n">
        <x:v>-151200</x:v>
      </x:c>
      <x:c r="I13" s="6" t="n">
        <x:v>190000</x:v>
      </x:c>
      <x:c r="J13" s="6" t="n">
        <x:v>5</x:v>
      </x:c>
      <x:c r="K13" s="6" t="n">
        <x:v>73800</x:v>
      </x:c>
      <x:c r="L13" s="6" t="n">
        <x:v>151000</x:v>
      </x:c>
    </x:row>
    <x:row r="14" ht="25" customHeight="1">
      <x:c r="A14" s="2" t="str">
        <x:v>2026-10-01_Night</x:v>
      </x:c>
      <x:c r="B14" s="7" t="str">
        <x:v>旧完了場</x:v>
      </x:c>
      <x:c r="C14" s="7" t="str">
        <x:v>上昇</x:v>
      </x:c>
      <x:c r="D14" s="6" t="n">
        <x:v>693000</x:v>
      </x:c>
      <x:c r="E14" s="6" t="n">
        <x:v>465000</x:v>
      </x:c>
      <x:c r="F14" s="6" t="n">
        <x:f>D14-E14</x:f>
        <x:v>228000</x:v>
      </x:c>
      <x:c r="G14" s="6" t="n">
        <x:f>G13+F14</x:f>
        <x:v>630200</x:v>
      </x:c>
      <x:c r="H14" s="6" t="n">
        <x:v>-452000</x:v>
      </x:c>
      <x:c r="I14" s="6" t="n">
        <x:v>605000</x:v>
      </x:c>
      <x:c r="J14" s="6" t="n">
        <x:v>14</x:v>
      </x:c>
      <x:c r="K14" s="6" t="n">
        <x:v>60500</x:v>
      </x:c>
      <x:c r="L14" s="6" t="n">
        <x:v>167500</x:v>
      </x:c>
    </x:row>
    <x:row r="15" ht="25" customHeight="1">
      <x:c r="A15" s="2" t="str">
        <x:v>2026-10-02_Night</x:v>
      </x:c>
      <x:c r="B15" s="7" t="str">
        <x:v>旧完了場</x:v>
      </x:c>
      <x:c r="C15" s="7" t="str">
        <x:v>上昇</x:v>
      </x:c>
      <x:c r="D15" s="6" t="n">
        <x:v>318000</x:v>
      </x:c>
      <x:c r="E15" s="6" t="n">
        <x:v>0</x:v>
      </x:c>
      <x:c r="F15" s="6" t="n">
        <x:f>D15-E15</x:f>
        <x:v>318000</x:v>
      </x:c>
      <x:c r="G15" s="6" t="n">
        <x:f>G14+F15</x:f>
        <x:v>948200</x:v>
      </x:c>
      <x:c r="H15" s="6" t="n">
        <x:v>-70000</x:v>
      </x:c>
      <x:c r="I15" s="6" t="n">
        <x:v>510000</x:v>
      </x:c>
      <x:c r="J15" s="6" t="n">
        <x:v>4</x:v>
      </x:c>
      <x:c r="K15" s="6" t="n">
        <x:v>0</x:v>
      </x:c>
      <x:c r="L15" s="6" t="n">
        <x:v>318000</x:v>
      </x:c>
    </x:row>
    <x:row r="16" ht="25" customHeight="1">
      <x:c r="A16" s="2" t="str">
        <x:v>2026-10-05_Night</x:v>
      </x:c>
      <x:c r="B16" s="7" t="str">
        <x:v>旧完了場</x:v>
      </x:c>
      <x:c r="C16" s="7" t="str">
        <x:v>下落</x:v>
      </x:c>
      <x:c r="D16" s="6" t="n">
        <x:v>98400</x:v>
      </x:c>
      <x:c r="E16" s="6" t="n">
        <x:v>139400</x:v>
      </x:c>
      <x:c r="F16" s="6" t="n">
        <x:f>D16-E16</x:f>
        <x:v>-41000</x:v>
      </x:c>
      <x:c r="G16" s="6" t="n">
        <x:f>G15+F16</x:f>
        <x:v>907200</x:v>
      </x:c>
      <x:c r="H16" s="6" t="n">
        <x:v>-67300</x:v>
      </x:c>
      <x:c r="I16" s="6" t="n">
        <x:v>413700</x:v>
      </x:c>
      <x:c r="J16" s="6" t="n">
        <x:v>6</x:v>
      </x:c>
      <x:c r="K16" s="6" t="n">
        <x:v>3000</x:v>
      </x:c>
      <x:c r="L16" s="6" t="n">
        <x:v>-44000</x:v>
      </x:c>
    </x:row>
    <x:row r="17" ht="25" customHeight="1">
      <x:c r="A17" s="2" t="str">
        <x:v>2026-10-06_Night</x:v>
      </x:c>
      <x:c r="B17" s="7" t="str">
        <x:v>旧完了場</x:v>
      </x:c>
      <x:c r="C17" s="7" t="str">
        <x:v>横ばい</x:v>
      </x:c>
      <x:c r="D17" s="6" t="n">
        <x:v>33000</x:v>
      </x:c>
      <x:c r="E17" s="6" t="n">
        <x:v>87000</x:v>
      </x:c>
      <x:c r="F17" s="6" t="n">
        <x:f>D17-E17</x:f>
        <x:v>-54000</x:v>
      </x:c>
      <x:c r="G17" s="6" t="n">
        <x:f>G16+F17</x:f>
        <x:v>853200</x:v>
      </x:c>
      <x:c r="H17" s="6" t="n">
        <x:v>-100000</x:v>
      </x:c>
      <x:c r="I17" s="6" t="n">
        <x:v>100000</x:v>
      </x:c>
      <x:c r="J17" s="6" t="n">
        <x:v>4</x:v>
      </x:c>
      <x:c r="K17" s="6" t="n">
        <x:v>0</x:v>
      </x:c>
      <x:c r="L17" s="6" t="n">
        <x:v>-54000</x:v>
      </x:c>
    </x:row>
    <x:row r="18" ht="25" customHeight="1">
      <x:c r="A18" s="2" t="str">
        <x:v>2026-10-07_Night</x:v>
      </x:c>
      <x:c r="B18" s="7" t="str">
        <x:v>旧完了場</x:v>
      </x:c>
      <x:c r="C18" s="7" t="str">
        <x:v>下落</x:v>
      </x:c>
      <x:c r="D18" s="6" t="n">
        <x:v>14400</x:v>
      </x:c>
      <x:c r="E18" s="6" t="n">
        <x:v>90800</x:v>
      </x:c>
      <x:c r="F18" s="6" t="n">
        <x:f>D18-E18</x:f>
        <x:v>-76400</x:v>
      </x:c>
      <x:c r="G18" s="6" t="n">
        <x:f>G17+F18</x:f>
        <x:v>776800</x:v>
      </x:c>
      <x:c r="H18" s="6" t="n">
        <x:v>-86400</x:v>
      </x:c>
      <x:c r="I18" s="6" t="n">
        <x:v>150000</x:v>
      </x:c>
      <x:c r="J18" s="6" t="n">
        <x:v>5</x:v>
      </x:c>
      <x:c r="K18" s="6" t="n">
        <x:v>14400</x:v>
      </x:c>
      <x:c r="L18" s="6" t="n">
        <x:v>-90800</x:v>
      </x:c>
    </x:row>
    <x:row r="19" ht="25" customHeight="1">
      <x:c r="A19" s="2" t="str">
        <x:v>2026-10-08_Night</x:v>
      </x:c>
      <x:c r="B19" s="7" t="str">
        <x:v>旧完了場</x:v>
      </x:c>
      <x:c r="C19" s="7" t="str">
        <x:v>下落</x:v>
      </x:c>
      <x:c r="D19" s="6" t="n">
        <x:v>680900</x:v>
      </x:c>
      <x:c r="E19" s="6" t="n">
        <x:v>80000</x:v>
      </x:c>
      <x:c r="F19" s="6" t="n">
        <x:f>D19-E19</x:f>
        <x:v>600900</x:v>
      </x:c>
      <x:c r="G19" s="6" t="n">
        <x:f>G18+F19</x:f>
        <x:v>1377700</x:v>
      </x:c>
      <x:c r="H19" s="6" t="n">
        <x:v>-82000</x:v>
      </x:c>
      <x:c r="I19" s="6" t="n">
        <x:v>215700</x:v>
      </x:c>
      <x:c r="J19" s="6" t="n">
        <x:v>13</x:v>
      </x:c>
      <x:c r="K19" s="6" t="n">
        <x:v>8000</x:v>
      </x:c>
      <x:c r="L19" s="6" t="n">
        <x:v>592900</x:v>
      </x:c>
    </x:row>
    <x:row r="20" ht="25" customHeight="1">
      <x:c r="A20" s="2" t="str">
        <x:v>2026-10-09_Night</x:v>
      </x:c>
      <x:c r="B20" s="7" t="str">
        <x:v>旧完了場</x:v>
      </x:c>
      <x:c r="C20" s="7" t="str">
        <x:v>下落</x:v>
      </x:c>
      <x:c r="D20" s="6" t="n">
        <x:v>10800</x:v>
      </x:c>
      <x:c r="E20" s="6" t="n">
        <x:v>0</x:v>
      </x:c>
      <x:c r="F20" s="6" t="n">
        <x:f>D20-E20</x:f>
        <x:v>10800</x:v>
      </x:c>
      <x:c r="G20" s="6" t="n">
        <x:f>G19+F20</x:f>
        <x:v>1388500</x:v>
      </x:c>
      <x:c r="H20" s="6" t="n">
        <x:v>-2000</x:v>
      </x:c>
      <x:c r="I20" s="6" t="n">
        <x:v>12000</x:v>
      </x:c>
      <x:c r="J20" s="6" t="n">
        <x:v>3</x:v>
      </x:c>
      <x:c r="K20" s="6" t="n">
        <x:v>8000</x:v>
      </x:c>
      <x:c r="L20" s="6" t="n">
        <x:v>2800</x:v>
      </x:c>
    </x:row>
    <x:row r="21" ht="25" customHeight="1">
      <x:c r="A21" s="2" t="str">
        <x:v>2026-10-12_Night</x:v>
      </x:c>
      <x:c r="B21" s="7" t="str">
        <x:v>旧完了場</x:v>
      </x:c>
      <x:c r="C21" s="7" t="str">
        <x:v>下落</x:v>
      </x:c>
      <x:c r="D21" s="6" t="n">
        <x:v>16400</x:v>
      </x:c>
      <x:c r="E21" s="6" t="n">
        <x:v>0</x:v>
      </x:c>
      <x:c r="F21" s="6" t="n">
        <x:f>D21-E21</x:f>
        <x:v>16400</x:v>
      </x:c>
      <x:c r="G21" s="6" t="n">
        <x:f>G20+F21</x:f>
        <x:v>1404900</x:v>
      </x:c>
      <x:c r="H21" s="6" t="n">
        <x:v>-2000</x:v>
      </x:c>
      <x:c r="I21" s="6" t="n">
        <x:v>6600</x:v>
      </x:c>
      <x:c r="J21" s="6" t="n">
        <x:v>1</x:v>
      </x:c>
      <x:c r="K21" s="6" t="n">
        <x:v>0</x:v>
      </x:c>
      <x:c r="L21" s="6" t="n">
        <x:v>16400</x:v>
      </x:c>
    </x:row>
    <x:row r="22" ht="25" customHeight="1">
      <x:c r="A22" s="2" t="str">
        <x:v>2026-10-13_Night</x:v>
      </x:c>
      <x:c r="B22" s="7" t="str">
        <x:v>旧完了場</x:v>
      </x:c>
      <x:c r="C22" s="7" t="str">
        <x:v>上昇</x:v>
      </x:c>
      <x:c r="D22" s="6" t="n">
        <x:v>3000</x:v>
      </x:c>
      <x:c r="E22" s="6" t="n">
        <x:v>17000</x:v>
      </x:c>
      <x:c r="F22" s="6" t="n">
        <x:f>D22-E22</x:f>
        <x:v>-14000</x:v>
      </x:c>
      <x:c r="G22" s="6" t="n">
        <x:f>G21+F22</x:f>
        <x:v>1390900</x:v>
      </x:c>
      <x:c r="H22" s="6" t="n">
        <x:v>-14000</x:v>
      </x:c>
      <x:c r="I22" s="6" t="n">
        <x:v>18000</x:v>
      </x:c>
      <x:c r="J22" s="6" t="n">
        <x:v>3</x:v>
      </x:c>
      <x:c r="K22" s="6" t="n">
        <x:v>3000</x:v>
      </x:c>
      <x:c r="L22" s="6" t="n">
        <x:v>-17000</x:v>
      </x:c>
    </x:row>
    <x:row r="23" ht="25" customHeight="1">
      <x:c r="A23" s="2" t="str">
        <x:v>2026-10-14_Night</x:v>
      </x:c>
      <x:c r="B23" s="7" t="str">
        <x:v>旧完了場</x:v>
      </x:c>
      <x:c r="C23" s="7" t="str">
        <x:v>下落</x:v>
      </x:c>
      <x:c r="D23" s="6" t="n">
        <x:v>42400</x:v>
      </x:c>
      <x:c r="E23" s="6" t="n">
        <x:v>464900</x:v>
      </x:c>
      <x:c r="F23" s="6" t="n">
        <x:f>D23-E23</x:f>
        <x:v>-422500</x:v>
      </x:c>
      <x:c r="G23" s="6" t="n">
        <x:f>G22+F23</x:f>
        <x:v>968400</x:v>
      </x:c>
      <x:c r="H23" s="6" t="n">
        <x:v>-447900</x:v>
      </x:c>
      <x:c r="I23" s="6" t="n">
        <x:v>535200</x:v>
      </x:c>
      <x:c r="J23" s="6" t="n">
        <x:v>5</x:v>
      </x:c>
      <x:c r="K23" s="6" t="n">
        <x:v>3000</x:v>
      </x:c>
      <x:c r="L23" s="6" t="n">
        <x:v>-425500</x:v>
      </x:c>
    </x:row>
    <x:row r="24" ht="25" customHeight="1">
      <x:c r="A24" s="2" t="str">
        <x:v>2026-10-15_Night</x:v>
      </x:c>
      <x:c r="B24" s="7" t="str">
        <x:v>旧完了場</x:v>
      </x:c>
      <x:c r="C24" s="7" t="str">
        <x:v>上昇</x:v>
      </x:c>
      <x:c r="D24" s="6" t="n">
        <x:v>131000</x:v>
      </x:c>
      <x:c r="E24" s="6" t="n">
        <x:v>117400</x:v>
      </x:c>
      <x:c r="F24" s="6" t="n">
        <x:f>D24-E24</x:f>
        <x:v>13600</x:v>
      </x:c>
      <x:c r="G24" s="6" t="n">
        <x:f>G23+F24</x:f>
        <x:v>982000</x:v>
      </x:c>
      <x:c r="H24" s="6" t="n">
        <x:v>-38400</x:v>
      </x:c>
      <x:c r="I24" s="6" t="n">
        <x:v>272400</x:v>
      </x:c>
      <x:c r="J24" s="6" t="n">
        <x:v>7</x:v>
      </x:c>
      <x:c r="K24" s="6" t="n">
        <x:v>0</x:v>
      </x:c>
      <x:c r="L24" s="6" t="n">
        <x:v>13600</x:v>
      </x:c>
    </x:row>
    <x:row r="25" ht="25" customHeight="1">
      <x:c r="A25" s="2" t="str">
        <x:v>2026-10-16_Night</x:v>
      </x:c>
      <x:c r="B25" s="7" t="str">
        <x:v>旧完了場</x:v>
      </x:c>
      <x:c r="C25" s="7" t="str">
        <x:v>下落</x:v>
      </x:c>
      <x:c r="D25" s="6" t="n">
        <x:v>423500</x:v>
      </x:c>
      <x:c r="E25" s="6" t="n">
        <x:v>533600</x:v>
      </x:c>
      <x:c r="F25" s="6" t="n">
        <x:f>D25-E25</x:f>
        <x:v>-110100</x:v>
      </x:c>
      <x:c r="G25" s="6" t="n">
        <x:f>G24+F25</x:f>
        <x:v>871900</x:v>
      </x:c>
      <x:c r="H25" s="6" t="n">
        <x:v>-442900</x:v>
      </x:c>
      <x:c r="I25" s="6" t="n">
        <x:v>466500</x:v>
      </x:c>
      <x:c r="J25" s="6" t="n">
        <x:v>12</x:v>
      </x:c>
      <x:c r="K25" s="6" t="n">
        <x:v>-4000</x:v>
      </x:c>
      <x:c r="L25" s="6" t="n">
        <x:v>-106100</x:v>
      </x:c>
    </x:row>
    <x:row r="26" ht="25" customHeight="1">
      <x:c r="A26" s="2" t="str">
        <x:v>2026-10-19_Night</x:v>
      </x:c>
      <x:c r="B26" s="7" t="str">
        <x:v>旧完了場</x:v>
      </x:c>
      <x:c r="C26" s="7" t="str">
        <x:v>上昇</x:v>
      </x:c>
      <x:c r="D26" s="6" t="n">
        <x:v>201700</x:v>
      </x:c>
      <x:c r="E26" s="6" t="n">
        <x:v>321400</x:v>
      </x:c>
      <x:c r="F26" s="6" t="n">
        <x:f>D26-E26</x:f>
        <x:v>-119700</x:v>
      </x:c>
      <x:c r="G26" s="6" t="n">
        <x:f>G25+F26</x:f>
        <x:v>752200</x:v>
      </x:c>
      <x:c r="H26" s="6" t="n">
        <x:v>-139500</x:v>
      </x:c>
      <x:c r="I26" s="6" t="n">
        <x:v>224600</x:v>
      </x:c>
      <x:c r="J26" s="6" t="n">
        <x:v>12</x:v>
      </x:c>
      <x:c r="K26" s="6" t="n">
        <x:v>7000</x:v>
      </x:c>
      <x:c r="L26" s="6" t="n">
        <x:v>-126700</x:v>
      </x:c>
    </x:row>
    <x:row r="27" ht="25" customHeight="1">
      <x:c r="A27" s="2" t="str">
        <x:v>2026-10-20_Night</x:v>
      </x:c>
      <x:c r="B27" s="7" t="str">
        <x:v>旧完了場</x:v>
      </x:c>
      <x:c r="C27" s="7" t="str">
        <x:v>上昇</x:v>
      </x:c>
      <x:c r="D27" s="6" t="n">
        <x:v>615500</x:v>
      </x:c>
      <x:c r="E27" s="6" t="n">
        <x:v>62400</x:v>
      </x:c>
      <x:c r="F27" s="6" t="n">
        <x:f>D27-E27</x:f>
        <x:v>553100</x:v>
      </x:c>
      <x:c r="G27" s="6" t="n">
        <x:f>G26+F27</x:f>
        <x:v>1305300</x:v>
      </x:c>
      <x:c r="H27" s="6" t="n">
        <x:v>-17600</x:v>
      </x:c>
      <x:c r="I27" s="6" t="n">
        <x:v>180200</x:v>
      </x:c>
      <x:c r="J27" s="6" t="n">
        <x:v>9</x:v>
      </x:c>
      <x:c r="K27" s="6" t="n">
        <x:v>134600</x:v>
      </x:c>
      <x:c r="L27" s="6" t="n">
        <x:v>418500</x:v>
      </x:c>
    </x:row>
    <x:row r="28" ht="25" customHeight="1">
      <x:c r="A28" s="2" t="str">
        <x:v>2026-10-21_Night</x:v>
      </x:c>
      <x:c r="B28" s="7" t="str">
        <x:v>旧完了場</x:v>
      </x:c>
      <x:c r="C28" s="7" t="str">
        <x:v>上昇</x:v>
      </x:c>
      <x:c r="D28" s="6" t="n">
        <x:v>349000</x:v>
      </x:c>
      <x:c r="E28" s="6" t="n">
        <x:v>0</x:v>
      </x:c>
      <x:c r="F28" s="6" t="n">
        <x:f>D28-E28</x:f>
        <x:v>349000</x:v>
      </x:c>
      <x:c r="G28" s="6" t="n">
        <x:f>G27+F28</x:f>
        <x:v>1654300</x:v>
      </x:c>
      <x:c r="H28" s="6" t="n">
        <x:v>-97000</x:v>
      </x:c>
      <x:c r="I28" s="6" t="n">
        <x:v>180000</x:v>
      </x:c>
      <x:c r="J28" s="6" t="n">
        <x:v>3</x:v>
      </x:c>
      <x:c r="K28" s="6" t="n">
        <x:v>3000</x:v>
      </x:c>
      <x:c r="L28" s="6" t="n">
        <x:v>346000</x:v>
      </x:c>
    </x:row>
    <x:row r="29" ht="25" customHeight="1">
      <x:c r="A29" s="2" t="str">
        <x:v>2026-10-22_Night</x:v>
      </x:c>
      <x:c r="B29" s="7" t="str">
        <x:v>旧完了場</x:v>
      </x:c>
      <x:c r="C29" s="7" t="str">
        <x:v>下落</x:v>
      </x:c>
      <x:c r="D29" s="6" t="n">
        <x:v>339000</x:v>
      </x:c>
      <x:c r="E29" s="6" t="n">
        <x:v>0</x:v>
      </x:c>
      <x:c r="F29" s="6" t="n">
        <x:f>D29-E29</x:f>
        <x:v>339000</x:v>
      </x:c>
      <x:c r="G29" s="6" t="n">
        <x:f>G28+F29</x:f>
        <x:v>1993300</x:v>
      </x:c>
      <x:c r="H29" s="6" t="n">
        <x:v>-12600</x:v>
      </x:c>
      <x:c r="I29" s="6" t="n">
        <x:v>176400</x:v>
      </x:c>
      <x:c r="J29" s="6" t="n">
        <x:v>3</x:v>
      </x:c>
      <x:c r="K29" s="6" t="n">
        <x:v>0</x:v>
      </x:c>
      <x:c r="L29" s="6" t="n">
        <x:v>339000</x:v>
      </x:c>
    </x:row>
    <x:row r="30" ht="25" customHeight="1">
      <x:c r="A30" s="2" t="str">
        <x:v>2026-10-23_Night</x:v>
      </x:c>
      <x:c r="B30" s="7" t="str">
        <x:v>旧完了場</x:v>
      </x:c>
      <x:c r="C30" s="7" t="str">
        <x:v>上昇</x:v>
      </x:c>
      <x:c r="D30" s="6" t="n">
        <x:v>242200</x:v>
      </x:c>
      <x:c r="E30" s="6" t="n">
        <x:v>36500</x:v>
      </x:c>
      <x:c r="F30" s="6" t="n">
        <x:f>D30-E30</x:f>
        <x:v>205700</x:v>
      </x:c>
      <x:c r="G30" s="6" t="n">
        <x:f>G29+F30</x:f>
        <x:v>2199000</x:v>
      </x:c>
      <x:c r="H30" s="6" t="n">
        <x:v>-65000</x:v>
      </x:c>
      <x:c r="I30" s="6" t="n">
        <x:v>257500</x:v>
      </x:c>
      <x:c r="J30" s="6" t="n">
        <x:v>8</x:v>
      </x:c>
      <x:c r="K30" s="6" t="n">
        <x:v>10000</x:v>
      </x:c>
      <x:c r="L30" s="6" t="n">
        <x:v>195700</x:v>
      </x:c>
    </x:row>
    <x:row r="31" ht="25" customHeight="1">
      <x:c r="A31" s="2" t="str">
        <x:v>2026-10-26_Night</x:v>
      </x:c>
      <x:c r="B31" s="7" t="str">
        <x:v>追加完了版</x:v>
      </x:c>
      <x:c r="C31" s="7" t="str">
        <x:v>上昇</x:v>
      </x:c>
      <x:c r="D31" s="6" t="n">
        <x:v>283000</x:v>
      </x:c>
      <x:c r="E31" s="6" t="n">
        <x:v>429000</x:v>
      </x:c>
      <x:c r="F31" s="6" t="n">
        <x:f>D31-E31</x:f>
        <x:v>-146000</x:v>
      </x:c>
      <x:c r="G31" s="6" t="n">
        <x:f>G30+F31</x:f>
        <x:v>2053000</x:v>
      </x:c>
      <x:c r="H31" s="6" t="n">
        <x:v>-170000</x:v>
      </x:c>
      <x:c r="I31" s="6" t="n">
        <x:v>420000</x:v>
      </x:c>
      <x:c r="J31" s="6" t="n">
        <x:v>8</x:v>
      </x:c>
      <x:c r="K31" s="6" t="n">
        <x:v>3000</x:v>
      </x:c>
      <x:c r="L31" s="6" t="n">
        <x:v>-149000</x:v>
      </x:c>
    </x:row>
    <x:row r="32" ht="25" customHeight="1">
      <x:c r="A32" s="14" t="str">
        <x:v>累計／場内最悪値</x:v>
      </x:c>
      <x:c r="B32" s="15"/>
      <x:c r="C32" s="15"/>
      <x:c r="D32" s="15" t="n">
        <x:f>SUM(D6:D31)</x:f>
        <x:v>5192200</x:v>
      </x:c>
      <x:c r="E32" s="15" t="n">
        <x:f>SUM(E6:E31)</x:f>
        <x:v>3139200</x:v>
      </x:c>
      <x:c r="F32" s="15" t="n">
        <x:f>D32-E32</x:f>
        <x:v>2053000</x:v>
      </x:c>
      <x:c r="G32" s="15" t="n">
        <x:f>G31</x:f>
        <x:v>2053000</x:v>
      </x:c>
      <x:c r="H32" s="15" t="n">
        <x:f>MIN(H6:H31)</x:f>
        <x:v>-452000</x:v>
      </x:c>
      <x:c r="I32" s="15" t="n">
        <x:f>MAX(I6:I31)</x:f>
        <x:v>605000</x:v>
      </x:c>
      <x:c r="J32" s="15" t="n">
        <x:f>SUM(J6:J31)</x:f>
        <x:v>146</x:v>
      </x:c>
      <x:c r="K32" s="15" t="n">
        <x:f>SUM(K6:K31)</x:f>
        <x:v>400900</x:v>
      </x:c>
      <x:c r="L32" s="15" t="n">
        <x:f>SUM(L6:L31)</x:f>
        <x:v>1652100</x:v>
      </x:c>
    </x:row>
  </x:sheetData>
  <x:conditionalFormatting sqref="F6:H31">
    <x:cfRule type="cellIs" dxfId="12" priority="1" operator="lessThan">
      <x:formula>0</x:formula>
    </x:cfRule>
  </x:conditionalFormatting>
  <x:conditionalFormatting sqref="K6:L31">
    <x:cfRule type="cellIs" dxfId="13" priority="2" operator="lessThan">
      <x:formula>0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0d03669b78c74d8b"/>
  </x:tableParts>
</x:worksheet>
</file>

<file path=xl/worksheets/sheet10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25" hidden="0" customWidth="1"/>
    <x:col min="2" max="2" width="15" hidden="0" customWidth="1"/>
    <x:col min="3" max="3" width="10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  <x:col min="12" max="12" width="16" hidden="0" customWidth="1"/>
  </x:cols>
  <x:sheetData>
    <x:row r="1" ht="10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</x:row>
    <x:row r="2" ht="25" customHeight="1">
      <x:c r="A2" s="3" t="str">
        <x:v>日経 N07　夜間損益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</x:row>
    <x:row r="3" ht="25" customHeight="1">
      <x:c r="A3" s="4" t="str">
        <x:v>後続Source追加も現在支持で抑制</x:v>
      </x:c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</x:row>
    <x:row r="4" ht="25" customHeight="1">
      <x:c r="A4" s="4" t="str">
        <x:v>片側micro100枚＝mini10枚相当・手数料0。途中最悪は確定＋全玉含み、最大下落は当場ピークからの落差。</x:v>
      </x:c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</x:row>
    <x:row r="5" ht="45" customHeight="1">
      <x:c r="A5" s="11" t="str">
        <x:v>セッション</x:v>
      </x:c>
      <x:c r="B5" s="11" t="str">
        <x:v>資料区分</x:v>
      </x:c>
      <x:c r="C5" s="11" t="str">
        <x:v>場の方向</x:v>
      </x:c>
      <x:c r="D5" s="11" t="str">
        <x:v>利益（円）</x:v>
      </x:c>
      <x:c r="E5" s="11" t="str">
        <x:v>損失（円）</x:v>
      </x:c>
      <x:c r="F5" s="11" t="str">
        <x:v>収支（円）</x:v>
      </x:c>
      <x:c r="G5" s="11" t="str">
        <x:v>累計（円）</x:v>
      </x:c>
      <x:c r="H5" s="11" t="str">
        <x:v>途中最悪収支（円）</x:v>
      </x:c>
      <x:c r="I5" s="11" t="str">
        <x:v>最大下落額（円）</x:v>
      </x:c>
      <x:c r="J5" s="11" t="str">
        <x:v>新規回数</x:v>
      </x:c>
      <x:c r="K5" s="11" t="str">
        <x:v>米国前収支（円）</x:v>
      </x:c>
      <x:c r="L5" s="11" t="str">
        <x:v>米国後収支（円）</x:v>
      </x:c>
    </x:row>
    <x:row r="6" ht="25" customHeight="1">
      <x:c r="A6" s="2" t="str">
        <x:v>2026-09-21_Night</x:v>
      </x:c>
      <x:c r="B6" s="7" t="str">
        <x:v>旧完了場</x:v>
      </x:c>
      <x:c r="C6" s="7" t="str">
        <x:v>上昇</x:v>
      </x:c>
      <x:c r="D6" s="6" t="n">
        <x:v>0</x:v>
      </x:c>
      <x:c r="E6" s="6" t="n">
        <x:v>9000</x:v>
      </x:c>
      <x:c r="F6" s="6" t="n">
        <x:f>D6-E6</x:f>
        <x:v>-9000</x:v>
      </x:c>
      <x:c r="G6" s="6" t="n">
        <x:f>F6</x:f>
        <x:v>-9000</x:v>
      </x:c>
      <x:c r="H6" s="6" t="n">
        <x:v>-9000</x:v>
      </x:c>
      <x:c r="I6" s="6" t="n">
        <x:v>13000</x:v>
      </x:c>
      <x:c r="J6" s="6" t="n">
        <x:v>1</x:v>
      </x:c>
      <x:c r="K6" s="6" t="n">
        <x:v>0</x:v>
      </x:c>
      <x:c r="L6" s="6" t="n">
        <x:v>-9000</x:v>
      </x:c>
    </x:row>
    <x:row r="7" ht="25" customHeight="1">
      <x:c r="A7" s="2" t="str">
        <x:v>2026-09-22_Night</x:v>
      </x:c>
      <x:c r="B7" s="7" t="str">
        <x:v>旧完了場</x:v>
      </x:c>
      <x:c r="C7" s="7" t="str">
        <x:v>上昇</x:v>
      </x:c>
      <x:c r="D7" s="6" t="n">
        <x:v>7800</x:v>
      </x:c>
      <x:c r="E7" s="6" t="n">
        <x:v>0</x:v>
      </x:c>
      <x:c r="F7" s="6" t="n">
        <x:f>D7-E7</x:f>
        <x:v>7800</x:v>
      </x:c>
      <x:c r="G7" s="6" t="n">
        <x:f>G6+F7</x:f>
        <x:v>-1200</x:v>
      </x:c>
      <x:c r="H7" s="6" t="n">
        <x:v>-9000</x:v>
      </x:c>
      <x:c r="I7" s="6" t="n">
        <x:v>11000</x:v>
      </x:c>
      <x:c r="J7" s="6" t="n">
        <x:v>2</x:v>
      </x:c>
      <x:c r="K7" s="6" t="n">
        <x:v>3000</x:v>
      </x:c>
      <x:c r="L7" s="6" t="n">
        <x:v>4800</x:v>
      </x:c>
    </x:row>
    <x:row r="8" ht="25" customHeight="1">
      <x:c r="A8" s="2" t="str">
        <x:v>2026-09-23_Night</x:v>
      </x:c>
      <x:c r="B8" s="7" t="str">
        <x:v>旧完了場</x:v>
      </x:c>
      <x:c r="C8" s="7" t="str">
        <x:v>下落</x:v>
      </x:c>
      <x:c r="D8" s="6" t="n">
        <x:v>28500</x:v>
      </x:c>
      <x:c r="E8" s="6" t="n">
        <x:v>8000</x:v>
      </x:c>
      <x:c r="F8" s="6" t="n">
        <x:f>D8-E8</x:f>
        <x:v>20500</x:v>
      </x:c>
      <x:c r="G8" s="6" t="n">
        <x:f>G7+F8</x:f>
        <x:v>19300</x:v>
      </x:c>
      <x:c r="H8" s="6" t="n">
        <x:v>-30800</x:v>
      </x:c>
      <x:c r="I8" s="6" t="n">
        <x:v>45600</x:v>
      </x:c>
      <x:c r="J8" s="6" t="n">
        <x:v>2</x:v>
      </x:c>
      <x:c r="K8" s="6" t="n">
        <x:v>0</x:v>
      </x:c>
      <x:c r="L8" s="6" t="n">
        <x:v>20500</x:v>
      </x:c>
    </x:row>
    <x:row r="9" ht="25" customHeight="1">
      <x:c r="A9" s="2" t="str">
        <x:v>2026-09-24_Night</x:v>
      </x:c>
      <x:c r="B9" s="7" t="str">
        <x:v>旧完了場</x:v>
      </x:c>
      <x:c r="C9" s="7" t="str">
        <x:v>上昇</x:v>
      </x:c>
      <x:c r="D9" s="6" t="n">
        <x:v>22000</x:v>
      </x:c>
      <x:c r="E9" s="6" t="n">
        <x:v>0</x:v>
      </x:c>
      <x:c r="F9" s="6" t="n">
        <x:f>D9-E9</x:f>
        <x:v>22000</x:v>
      </x:c>
      <x:c r="G9" s="6" t="n">
        <x:f>G8+F9</x:f>
        <x:v>41300</x:v>
      </x:c>
      <x:c r="H9" s="6" t="n">
        <x:v>-17000</x:v>
      </x:c>
      <x:c r="I9" s="6" t="n">
        <x:v>24000</x:v>
      </x:c>
      <x:c r="J9" s="6" t="n">
        <x:v>3</x:v>
      </x:c>
      <x:c r="K9" s="6" t="n">
        <x:v>6000</x:v>
      </x:c>
      <x:c r="L9" s="6" t="n">
        <x:v>16000</x:v>
      </x:c>
    </x:row>
    <x:row r="10" ht="25" customHeight="1">
      <x:c r="A10" s="2" t="str">
        <x:v>2026-09-25_Night</x:v>
      </x:c>
      <x:c r="B10" s="7" t="str">
        <x:v>旧完了場</x:v>
      </x:c>
      <x:c r="C10" s="7" t="str">
        <x:v>上昇</x:v>
      </x:c>
      <x:c r="D10" s="6" t="n">
        <x:v>3400</x:v>
      </x:c>
      <x:c r="E10" s="6" t="n">
        <x:v>16000</x:v>
      </x:c>
      <x:c r="F10" s="6" t="n">
        <x:f>D10-E10</x:f>
        <x:v>-12600</x:v>
      </x:c>
      <x:c r="G10" s="6" t="n">
        <x:f>G9+F10</x:f>
        <x:v>28700</x:v>
      </x:c>
      <x:c r="H10" s="6" t="n">
        <x:v>-12600</x:v>
      </x:c>
      <x:c r="I10" s="6" t="n">
        <x:v>19600</x:v>
      </x:c>
      <x:c r="J10" s="6" t="n">
        <x:v>2</x:v>
      </x:c>
      <x:c r="K10" s="6" t="n">
        <x:v>0</x:v>
      </x:c>
      <x:c r="L10" s="6" t="n">
        <x:v>-12600</x:v>
      </x:c>
    </x:row>
    <x:row r="11" ht="25" customHeight="1">
      <x:c r="A11" s="2" t="str">
        <x:v>2026-09-28_Night</x:v>
      </x:c>
      <x:c r="B11" s="7" t="str">
        <x:v>旧完了場</x:v>
      </x:c>
      <x:c r="C11" s="7" t="str">
        <x:v>横ばい</x:v>
      </x:c>
      <x:c r="D11" s="6" t="n">
        <x:v>6500</x:v>
      </x:c>
      <x:c r="E11" s="6" t="n">
        <x:v>20000</x:v>
      </x:c>
      <x:c r="F11" s="6" t="n">
        <x:f>D11-E11</x:f>
        <x:v>-13500</x:v>
      </x:c>
      <x:c r="G11" s="6" t="n">
        <x:f>G10+F11</x:f>
        <x:v>15200</x:v>
      </x:c>
      <x:c r="H11" s="6" t="n">
        <x:v>-19000</x:v>
      </x:c>
      <x:c r="I11" s="6" t="n">
        <x:v>27000</x:v>
      </x:c>
      <x:c r="J11" s="6" t="n">
        <x:v>5</x:v>
      </x:c>
      <x:c r="K11" s="6" t="n">
        <x:v>6000</x:v>
      </x:c>
      <x:c r="L11" s="6" t="n">
        <x:v>-19500</x:v>
      </x:c>
    </x:row>
    <x:row r="12" ht="25" customHeight="1">
      <x:c r="A12" s="2" t="str">
        <x:v>2026-09-29_Night</x:v>
      </x:c>
      <x:c r="B12" s="7" t="str">
        <x:v>旧完了場</x:v>
      </x:c>
      <x:c r="C12" s="7" t="str">
        <x:v>上昇</x:v>
      </x:c>
      <x:c r="D12" s="6" t="n">
        <x:v>30100</x:v>
      </x:c>
      <x:c r="E12" s="6" t="n">
        <x:v>26400</x:v>
      </x:c>
      <x:c r="F12" s="6" t="n">
        <x:f>D12-E12</x:f>
        <x:v>3700</x:v>
      </x:c>
      <x:c r="G12" s="6" t="n">
        <x:f>G11+F12</x:f>
        <x:v>18900</x:v>
      </x:c>
      <x:c r="H12" s="6" t="n">
        <x:v>-14600</x:v>
      </x:c>
      <x:c r="I12" s="6" t="n">
        <x:v>55600</x:v>
      </x:c>
      <x:c r="J12" s="6" t="n">
        <x:v>6</x:v>
      </x:c>
      <x:c r="K12" s="6" t="n">
        <x:v>0</x:v>
      </x:c>
      <x:c r="L12" s="6" t="n">
        <x:v>3700</x:v>
      </x:c>
    </x:row>
    <x:row r="13" ht="25" customHeight="1">
      <x:c r="A13" s="2" t="str">
        <x:v>2026-09-30_Night</x:v>
      </x:c>
      <x:c r="B13" s="7" t="str">
        <x:v>旧完了場</x:v>
      </x:c>
      <x:c r="C13" s="7" t="str">
        <x:v>下落</x:v>
      </x:c>
      <x:c r="D13" s="6" t="n">
        <x:v>123200</x:v>
      </x:c>
      <x:c r="E13" s="6" t="n">
        <x:v>0</x:v>
      </x:c>
      <x:c r="F13" s="6" t="n">
        <x:f>D13-E13</x:f>
        <x:v>123200</x:v>
      </x:c>
      <x:c r="G13" s="6" t="n">
        <x:f>G12+F13</x:f>
        <x:v>142100</x:v>
      </x:c>
      <x:c r="H13" s="6" t="n">
        <x:v>-14400</x:v>
      </x:c>
      <x:c r="I13" s="6" t="n">
        <x:v>96400</x:v>
      </x:c>
      <x:c r="J13" s="6" t="n">
        <x:v>5</x:v>
      </x:c>
      <x:c r="K13" s="6" t="n">
        <x:v>12900</x:v>
      </x:c>
      <x:c r="L13" s="6" t="n">
        <x:v>110300</x:v>
      </x:c>
    </x:row>
    <x:row r="14" ht="25" customHeight="1">
      <x:c r="A14" s="2" t="str">
        <x:v>2026-10-01_Night</x:v>
      </x:c>
      <x:c r="B14" s="7" t="str">
        <x:v>旧完了場</x:v>
      </x:c>
      <x:c r="C14" s="7" t="str">
        <x:v>上昇</x:v>
      </x:c>
      <x:c r="D14" s="6" t="n">
        <x:v>176300</x:v>
      </x:c>
      <x:c r="E14" s="6" t="n">
        <x:v>61000</x:v>
      </x:c>
      <x:c r="F14" s="6" t="n">
        <x:f>D14-E14</x:f>
        <x:v>115300</x:v>
      </x:c>
      <x:c r="G14" s="6" t="n">
        <x:f>G13+F14</x:f>
        <x:v>257400</x:v>
      </x:c>
      <x:c r="H14" s="6" t="n">
        <x:v>-43700</x:v>
      </x:c>
      <x:c r="I14" s="6" t="n">
        <x:v>97000</x:v>
      </x:c>
      <x:c r="J14" s="6" t="n">
        <x:v>16</x:v>
      </x:c>
      <x:c r="K14" s="6" t="n">
        <x:v>24800</x:v>
      </x:c>
      <x:c r="L14" s="6" t="n">
        <x:v>90500</x:v>
      </x:c>
    </x:row>
    <x:row r="15" ht="25" customHeight="1">
      <x:c r="A15" s="2" t="str">
        <x:v>2026-10-02_Night</x:v>
      </x:c>
      <x:c r="B15" s="7" t="str">
        <x:v>旧完了場</x:v>
      </x:c>
      <x:c r="C15" s="7" t="str">
        <x:v>上昇</x:v>
      </x:c>
      <x:c r="D15" s="6" t="n">
        <x:v>207400</x:v>
      </x:c>
      <x:c r="E15" s="6" t="n">
        <x:v>19000</x:v>
      </x:c>
      <x:c r="F15" s="6" t="n">
        <x:f>D15-E15</x:f>
        <x:v>188400</x:v>
      </x:c>
      <x:c r="G15" s="6" t="n">
        <x:f>G14+F15</x:f>
        <x:v>445800</x:v>
      </x:c>
      <x:c r="H15" s="6" t="n">
        <x:v>-14000</x:v>
      </x:c>
      <x:c r="I15" s="6" t="n">
        <x:v>135400</x:v>
      </x:c>
      <x:c r="J15" s="6" t="n">
        <x:v>14</x:v>
      </x:c>
      <x:c r="K15" s="6" t="n">
        <x:v>0</x:v>
      </x:c>
      <x:c r="L15" s="6" t="n">
        <x:v>188400</x:v>
      </x:c>
    </x:row>
    <x:row r="16" ht="25" customHeight="1">
      <x:c r="A16" s="2" t="str">
        <x:v>2026-10-05_Night</x:v>
      </x:c>
      <x:c r="B16" s="7" t="str">
        <x:v>旧完了場</x:v>
      </x:c>
      <x:c r="C16" s="7" t="str">
        <x:v>下落</x:v>
      </x:c>
      <x:c r="D16" s="6" t="n">
        <x:v>62400</x:v>
      </x:c>
      <x:c r="E16" s="6" t="n">
        <x:v>31600</x:v>
      </x:c>
      <x:c r="F16" s="6" t="n">
        <x:f>D16-E16</x:f>
        <x:v>30800</x:v>
      </x:c>
      <x:c r="G16" s="6" t="n">
        <x:f>G15+F16</x:f>
        <x:v>476600</x:v>
      </x:c>
      <x:c r="H16" s="6" t="n">
        <x:v>-19800</x:v>
      </x:c>
      <x:c r="I16" s="6" t="n">
        <x:v>81400</x:v>
      </x:c>
      <x:c r="J16" s="6" t="n">
        <x:v>6</x:v>
      </x:c>
      <x:c r="K16" s="6" t="n">
        <x:v>3000</x:v>
      </x:c>
      <x:c r="L16" s="6" t="n">
        <x:v>27800</x:v>
      </x:c>
    </x:row>
    <x:row r="17" ht="25" customHeight="1">
      <x:c r="A17" s="2" t="str">
        <x:v>2026-10-06_Night</x:v>
      </x:c>
      <x:c r="B17" s="7" t="str">
        <x:v>旧完了場</x:v>
      </x:c>
      <x:c r="C17" s="7" t="str">
        <x:v>横ばい</x:v>
      </x:c>
      <x:c r="D17" s="6" t="n">
        <x:v>27000</x:v>
      </x:c>
      <x:c r="E17" s="6" t="n">
        <x:v>15000</x:v>
      </x:c>
      <x:c r="F17" s="6" t="n">
        <x:f>D17-E17</x:f>
        <x:v>12000</x:v>
      </x:c>
      <x:c r="G17" s="6" t="n">
        <x:f>G16+F17</x:f>
        <x:v>488600</x:v>
      </x:c>
      <x:c r="H17" s="6" t="n">
        <x:v>-19000</x:v>
      </x:c>
      <x:c r="I17" s="6" t="n">
        <x:v>19000</x:v>
      </x:c>
      <x:c r="J17" s="6" t="n">
        <x:v>3</x:v>
      </x:c>
      <x:c r="K17" s="6" t="n">
        <x:v>0</x:v>
      </x:c>
      <x:c r="L17" s="6" t="n">
        <x:v>12000</x:v>
      </x:c>
    </x:row>
    <x:row r="18" ht="25" customHeight="1">
      <x:c r="A18" s="2" t="str">
        <x:v>2026-10-07_Night</x:v>
      </x:c>
      <x:c r="B18" s="7" t="str">
        <x:v>旧完了場</x:v>
      </x:c>
      <x:c r="C18" s="7" t="str">
        <x:v>下落</x:v>
      </x:c>
      <x:c r="D18" s="6" t="n">
        <x:v>4000</x:v>
      </x:c>
      <x:c r="E18" s="6" t="n">
        <x:v>56800</x:v>
      </x:c>
      <x:c r="F18" s="6" t="n">
        <x:f>D18-E18</x:f>
        <x:v>-52800</x:v>
      </x:c>
      <x:c r="G18" s="6" t="n">
        <x:f>G17+F18</x:f>
        <x:v>435800</x:v>
      </x:c>
      <x:c r="H18" s="6" t="n">
        <x:v>-55500</x:v>
      </x:c>
      <x:c r="I18" s="6" t="n">
        <x:v>65900</x:v>
      </x:c>
      <x:c r="J18" s="6" t="n">
        <x:v>4</x:v>
      </x:c>
      <x:c r="K18" s="6" t="n">
        <x:v>-31200</x:v>
      </x:c>
      <x:c r="L18" s="6" t="n">
        <x:v>-21600</x:v>
      </x:c>
    </x:row>
    <x:row r="19" ht="25" customHeight="1">
      <x:c r="A19" s="2" t="str">
        <x:v>2026-10-08_Night</x:v>
      </x:c>
      <x:c r="B19" s="7" t="str">
        <x:v>旧完了場</x:v>
      </x:c>
      <x:c r="C19" s="7" t="str">
        <x:v>下落</x:v>
      </x:c>
      <x:c r="D19" s="6" t="n">
        <x:v>570200</x:v>
      </x:c>
      <x:c r="E19" s="6" t="n">
        <x:v>17200</x:v>
      </x:c>
      <x:c r="F19" s="6" t="n">
        <x:f>D19-E19</x:f>
        <x:v>553000</x:v>
      </x:c>
      <x:c r="G19" s="6" t="n">
        <x:f>G18+F19</x:f>
        <x:v>988800</x:v>
      </x:c>
      <x:c r="H19" s="6" t="n">
        <x:v>-74200</x:v>
      </x:c>
      <x:c r="I19" s="6" t="n">
        <x:v>186600</x:v>
      </x:c>
      <x:c r="J19" s="6" t="n">
        <x:v>13</x:v>
      </x:c>
      <x:c r="K19" s="6" t="n">
        <x:v>8000</x:v>
      </x:c>
      <x:c r="L19" s="6" t="n">
        <x:v>545000</x:v>
      </x:c>
    </x:row>
    <x:row r="20" ht="25" customHeight="1">
      <x:c r="A20" s="2" t="str">
        <x:v>2026-10-09_Night</x:v>
      </x:c>
      <x:c r="B20" s="7" t="str">
        <x:v>旧完了場</x:v>
      </x:c>
      <x:c r="C20" s="7" t="str">
        <x:v>下落</x:v>
      </x:c>
      <x:c r="D20" s="6" t="n">
        <x:v>10800</x:v>
      </x:c>
      <x:c r="E20" s="6" t="n">
        <x:v>0</x:v>
      </x:c>
      <x:c r="F20" s="6" t="n">
        <x:f>D20-E20</x:f>
        <x:v>10800</x:v>
      </x:c>
      <x:c r="G20" s="6" t="n">
        <x:f>G19+F20</x:f>
        <x:v>999600</x:v>
      </x:c>
      <x:c r="H20" s="6" t="n">
        <x:v>-2000</x:v>
      </x:c>
      <x:c r="I20" s="6" t="n">
        <x:v>12000</x:v>
      </x:c>
      <x:c r="J20" s="6" t="n">
        <x:v>3</x:v>
      </x:c>
      <x:c r="K20" s="6" t="n">
        <x:v>8000</x:v>
      </x:c>
      <x:c r="L20" s="6" t="n">
        <x:v>2800</x:v>
      </x:c>
    </x:row>
    <x:row r="21" ht="25" customHeight="1">
      <x:c r="A21" s="2" t="str">
        <x:v>2026-10-12_Night</x:v>
      </x:c>
      <x:c r="B21" s="7" t="str">
        <x:v>旧完了場</x:v>
      </x:c>
      <x:c r="C21" s="7" t="str">
        <x:v>下落</x:v>
      </x:c>
      <x:c r="D21" s="6" t="n">
        <x:v>16400</x:v>
      </x:c>
      <x:c r="E21" s="6" t="n">
        <x:v>0</x:v>
      </x:c>
      <x:c r="F21" s="6" t="n">
        <x:f>D21-E21</x:f>
        <x:v>16400</x:v>
      </x:c>
      <x:c r="G21" s="6" t="n">
        <x:f>G20+F21</x:f>
        <x:v>1016000</x:v>
      </x:c>
      <x:c r="H21" s="6" t="n">
        <x:v>-2000</x:v>
      </x:c>
      <x:c r="I21" s="6" t="n">
        <x:v>6600</x:v>
      </x:c>
      <x:c r="J21" s="6" t="n">
        <x:v>1</x:v>
      </x:c>
      <x:c r="K21" s="6" t="n">
        <x:v>0</x:v>
      </x:c>
      <x:c r="L21" s="6" t="n">
        <x:v>16400</x:v>
      </x:c>
    </x:row>
    <x:row r="22" ht="25" customHeight="1">
      <x:c r="A22" s="2" t="str">
        <x:v>2026-10-13_Night</x:v>
      </x:c>
      <x:c r="B22" s="7" t="str">
        <x:v>旧完了場</x:v>
      </x:c>
      <x:c r="C22" s="7" t="str">
        <x:v>上昇</x:v>
      </x:c>
      <x:c r="D22" s="6" t="n">
        <x:v>3000</x:v>
      </x:c>
      <x:c r="E22" s="6" t="n">
        <x:v>17000</x:v>
      </x:c>
      <x:c r="F22" s="6" t="n">
        <x:f>D22-E22</x:f>
        <x:v>-14000</x:v>
      </x:c>
      <x:c r="G22" s="6" t="n">
        <x:f>G21+F22</x:f>
        <x:v>1002000</x:v>
      </x:c>
      <x:c r="H22" s="6" t="n">
        <x:v>-14000</x:v>
      </x:c>
      <x:c r="I22" s="6" t="n">
        <x:v>18000</x:v>
      </x:c>
      <x:c r="J22" s="6" t="n">
        <x:v>3</x:v>
      </x:c>
      <x:c r="K22" s="6" t="n">
        <x:v>3000</x:v>
      </x:c>
      <x:c r="L22" s="6" t="n">
        <x:v>-17000</x:v>
      </x:c>
    </x:row>
    <x:row r="23" ht="25" customHeight="1">
      <x:c r="A23" s="2" t="str">
        <x:v>2026-10-14_Night</x:v>
      </x:c>
      <x:c r="B23" s="7" t="str">
        <x:v>旧完了場</x:v>
      </x:c>
      <x:c r="C23" s="7" t="str">
        <x:v>下落</x:v>
      </x:c>
      <x:c r="D23" s="6" t="n">
        <x:v>42400</x:v>
      </x:c>
      <x:c r="E23" s="6" t="n">
        <x:v>101900</x:v>
      </x:c>
      <x:c r="F23" s="6" t="n">
        <x:f>D23-E23</x:f>
        <x:v>-59500</x:v>
      </x:c>
      <x:c r="G23" s="6" t="n">
        <x:f>G22+F23</x:f>
        <x:v>942500</x:v>
      </x:c>
      <x:c r="H23" s="6" t="n">
        <x:v>-84900</x:v>
      </x:c>
      <x:c r="I23" s="6" t="n">
        <x:v>90800</x:v>
      </x:c>
      <x:c r="J23" s="6" t="n">
        <x:v>5</x:v>
      </x:c>
      <x:c r="K23" s="6" t="n">
        <x:v>3000</x:v>
      </x:c>
      <x:c r="L23" s="6" t="n">
        <x:v>-62500</x:v>
      </x:c>
    </x:row>
    <x:row r="24" ht="25" customHeight="1">
      <x:c r="A24" s="2" t="str">
        <x:v>2026-10-15_Night</x:v>
      </x:c>
      <x:c r="B24" s="7" t="str">
        <x:v>旧完了場</x:v>
      </x:c>
      <x:c r="C24" s="7" t="str">
        <x:v>上昇</x:v>
      </x:c>
      <x:c r="D24" s="6" t="n">
        <x:v>107800</x:v>
      </x:c>
      <x:c r="E24" s="6" t="n">
        <x:v>41500</x:v>
      </x:c>
      <x:c r="F24" s="6" t="n">
        <x:f>D24-E24</x:f>
        <x:v>66300</x:v>
      </x:c>
      <x:c r="G24" s="6" t="n">
        <x:f>G23+F24</x:f>
        <x:v>1008800</x:v>
      </x:c>
      <x:c r="H24" s="6" t="n">
        <x:v>-10200</x:v>
      </x:c>
      <x:c r="I24" s="6" t="n">
        <x:v>178400</x:v>
      </x:c>
      <x:c r="J24" s="6" t="n">
        <x:v>6</x:v>
      </x:c>
      <x:c r="K24" s="6" t="n">
        <x:v>0</x:v>
      </x:c>
      <x:c r="L24" s="6" t="n">
        <x:v>66300</x:v>
      </x:c>
    </x:row>
    <x:row r="25" ht="25" customHeight="1">
      <x:c r="A25" s="2" t="str">
        <x:v>2026-10-16_Night</x:v>
      </x:c>
      <x:c r="B25" s="7" t="str">
        <x:v>旧完了場</x:v>
      </x:c>
      <x:c r="C25" s="7" t="str">
        <x:v>下落</x:v>
      </x:c>
      <x:c r="D25" s="6" t="n">
        <x:v>165500</x:v>
      </x:c>
      <x:c r="E25" s="6" t="n">
        <x:v>213900</x:v>
      </x:c>
      <x:c r="F25" s="6" t="n">
        <x:f>D25-E25</x:f>
        <x:v>-48400</x:v>
      </x:c>
      <x:c r="G25" s="6" t="n">
        <x:f>G24+F25</x:f>
        <x:v>960400</x:v>
      </x:c>
      <x:c r="H25" s="6" t="n">
        <x:v>-207900</x:v>
      </x:c>
      <x:c r="I25" s="6" t="n">
        <x:v>287700</x:v>
      </x:c>
      <x:c r="J25" s="6" t="n">
        <x:v>14</x:v>
      </x:c>
      <x:c r="K25" s="6" t="n">
        <x:v>-4000</x:v>
      </x:c>
      <x:c r="L25" s="6" t="n">
        <x:v>-44400</x:v>
      </x:c>
    </x:row>
    <x:row r="26" ht="25" customHeight="1">
      <x:c r="A26" s="2" t="str">
        <x:v>2026-10-19_Night</x:v>
      </x:c>
      <x:c r="B26" s="7" t="str">
        <x:v>旧完了場</x:v>
      </x:c>
      <x:c r="C26" s="7" t="str">
        <x:v>上昇</x:v>
      </x:c>
      <x:c r="D26" s="6" t="n">
        <x:v>111000</x:v>
      </x:c>
      <x:c r="E26" s="6" t="n">
        <x:v>200600</x:v>
      </x:c>
      <x:c r="F26" s="6" t="n">
        <x:f>D26-E26</x:f>
        <x:v>-89600</x:v>
      </x:c>
      <x:c r="G26" s="6" t="n">
        <x:f>G25+F26</x:f>
        <x:v>870800</x:v>
      </x:c>
      <x:c r="H26" s="6" t="n">
        <x:v>-103600</x:v>
      </x:c>
      <x:c r="I26" s="6" t="n">
        <x:v>173000</x:v>
      </x:c>
      <x:c r="J26" s="6" t="n">
        <x:v>13</x:v>
      </x:c>
      <x:c r="K26" s="6" t="n">
        <x:v>7000</x:v>
      </x:c>
      <x:c r="L26" s="6" t="n">
        <x:v>-96600</x:v>
      </x:c>
    </x:row>
    <x:row r="27" ht="25" customHeight="1">
      <x:c r="A27" s="2" t="str">
        <x:v>2026-10-20_Night</x:v>
      </x:c>
      <x:c r="B27" s="7" t="str">
        <x:v>旧完了場</x:v>
      </x:c>
      <x:c r="C27" s="7" t="str">
        <x:v>上昇</x:v>
      </x:c>
      <x:c r="D27" s="6" t="n">
        <x:v>152800</x:v>
      </x:c>
      <x:c r="E27" s="6" t="n">
        <x:v>68600</x:v>
      </x:c>
      <x:c r="F27" s="6" t="n">
        <x:f>D27-E27</x:f>
        <x:v>84200</x:v>
      </x:c>
      <x:c r="G27" s="6" t="n">
        <x:f>G26+F27</x:f>
        <x:v>955000</x:v>
      </x:c>
      <x:c r="H27" s="6" t="n">
        <x:v>-4200</x:v>
      </x:c>
      <x:c r="I27" s="6" t="n">
        <x:v>128000</x:v>
      </x:c>
      <x:c r="J27" s="6" t="n">
        <x:v>11</x:v>
      </x:c>
      <x:c r="K27" s="6" t="n">
        <x:v>24700</x:v>
      </x:c>
      <x:c r="L27" s="6" t="n">
        <x:v>59500</x:v>
      </x:c>
    </x:row>
    <x:row r="28" ht="25" customHeight="1">
      <x:c r="A28" s="2" t="str">
        <x:v>2026-10-21_Night</x:v>
      </x:c>
      <x:c r="B28" s="7" t="str">
        <x:v>旧完了場</x:v>
      </x:c>
      <x:c r="C28" s="7" t="str">
        <x:v>上昇</x:v>
      </x:c>
      <x:c r="D28" s="6" t="n">
        <x:v>37600</x:v>
      </x:c>
      <x:c r="E28" s="6" t="n">
        <x:v>17000</x:v>
      </x:c>
      <x:c r="F28" s="6" t="n">
        <x:f>D28-E28</x:f>
        <x:v>20600</x:v>
      </x:c>
      <x:c r="G28" s="6" t="n">
        <x:f>G27+F28</x:f>
        <x:v>975600</x:v>
      </x:c>
      <x:c r="H28" s="6" t="n">
        <x:v>-7000</x:v>
      </x:c>
      <x:c r="I28" s="6" t="n">
        <x:v>37000</x:v>
      </x:c>
      <x:c r="J28" s="6" t="n">
        <x:v>5</x:v>
      </x:c>
      <x:c r="K28" s="6" t="n">
        <x:v>3000</x:v>
      </x:c>
      <x:c r="L28" s="6" t="n">
        <x:v>17600</x:v>
      </x:c>
    </x:row>
    <x:row r="29" ht="25" customHeight="1">
      <x:c r="A29" s="2" t="str">
        <x:v>2026-10-22_Night</x:v>
      </x:c>
      <x:c r="B29" s="7" t="str">
        <x:v>旧完了場</x:v>
      </x:c>
      <x:c r="C29" s="7" t="str">
        <x:v>下落</x:v>
      </x:c>
      <x:c r="D29" s="6" t="n">
        <x:v>226900</x:v>
      </x:c>
      <x:c r="E29" s="6" t="n">
        <x:v>0</x:v>
      </x:c>
      <x:c r="F29" s="6" t="n">
        <x:f>D29-E29</x:f>
        <x:v>226900</x:v>
      </x:c>
      <x:c r="G29" s="6" t="n">
        <x:f>G28+F29</x:f>
        <x:v>1202500</x:v>
      </x:c>
      <x:c r="H29" s="6" t="n">
        <x:v>-9200</x:v>
      </x:c>
      <x:c r="I29" s="6" t="n">
        <x:v>128800</x:v>
      </x:c>
      <x:c r="J29" s="6" t="n">
        <x:v>3</x:v>
      </x:c>
      <x:c r="K29" s="6" t="n">
        <x:v>0</x:v>
      </x:c>
      <x:c r="L29" s="6" t="n">
        <x:v>226900</x:v>
      </x:c>
    </x:row>
    <x:row r="30" ht="25" customHeight="1">
      <x:c r="A30" s="2" t="str">
        <x:v>2026-10-23_Night</x:v>
      </x:c>
      <x:c r="B30" s="7" t="str">
        <x:v>旧完了場</x:v>
      </x:c>
      <x:c r="C30" s="7" t="str">
        <x:v>上昇</x:v>
      </x:c>
      <x:c r="D30" s="6" t="n">
        <x:v>46900</x:v>
      </x:c>
      <x:c r="E30" s="6" t="n">
        <x:v>43500</x:v>
      </x:c>
      <x:c r="F30" s="6" t="n">
        <x:f>D30-E30</x:f>
        <x:v>3400</x:v>
      </x:c>
      <x:c r="G30" s="6" t="n">
        <x:f>G29+F30</x:f>
        <x:v>1205900</x:v>
      </x:c>
      <x:c r="H30" s="6" t="n">
        <x:v>-36600</x:v>
      </x:c>
      <x:c r="I30" s="6" t="n">
        <x:v>59500</x:v>
      </x:c>
      <x:c r="J30" s="6" t="n">
        <x:v>10</x:v>
      </x:c>
      <x:c r="K30" s="6" t="n">
        <x:v>-10800</x:v>
      </x:c>
      <x:c r="L30" s="6" t="n">
        <x:v>14200</x:v>
      </x:c>
    </x:row>
    <x:row r="31" ht="25" customHeight="1">
      <x:c r="A31" s="2" t="str">
        <x:v>2026-10-26_Night</x:v>
      </x:c>
      <x:c r="B31" s="7" t="str">
        <x:v>追加完了版</x:v>
      </x:c>
      <x:c r="C31" s="7" t="str">
        <x:v>上昇</x:v>
      </x:c>
      <x:c r="D31" s="6" t="n">
        <x:v>137600</x:v>
      </x:c>
      <x:c r="E31" s="6" t="n">
        <x:v>156100</x:v>
      </x:c>
      <x:c r="F31" s="6" t="n">
        <x:f>D31-E31</x:f>
        <x:v>-18500</x:v>
      </x:c>
      <x:c r="G31" s="6" t="n">
        <x:f>G30+F31</x:f>
        <x:v>1187400</x:v>
      </x:c>
      <x:c r="H31" s="6" t="n">
        <x:v>-26400</x:v>
      </x:c>
      <x:c r="I31" s="6" t="n">
        <x:v>249600</x:v>
      </x:c>
      <x:c r="J31" s="6" t="n">
        <x:v>12</x:v>
      </x:c>
      <x:c r="K31" s="6" t="n">
        <x:v>3000</x:v>
      </x:c>
      <x:c r="L31" s="6" t="n">
        <x:v>-21500</x:v>
      </x:c>
    </x:row>
    <x:row r="32" ht="25" customHeight="1">
      <x:c r="A32" s="14" t="str">
        <x:v>累計／場内最悪値</x:v>
      </x:c>
      <x:c r="B32" s="15"/>
      <x:c r="C32" s="15"/>
      <x:c r="D32" s="15" t="n">
        <x:f>SUM(D6:D31)</x:f>
        <x:v>2327500</x:v>
      </x:c>
      <x:c r="E32" s="15" t="n">
        <x:f>SUM(E6:E31)</x:f>
        <x:v>1140100</x:v>
      </x:c>
      <x:c r="F32" s="15" t="n">
        <x:f>D32-E32</x:f>
        <x:v>1187400</x:v>
      </x:c>
      <x:c r="G32" s="15" t="n">
        <x:f>G31</x:f>
        <x:v>1187400</x:v>
      </x:c>
      <x:c r="H32" s="15" t="n">
        <x:f>MIN(H6:H31)</x:f>
        <x:v>-207900</x:v>
      </x:c>
      <x:c r="I32" s="15" t="n">
        <x:f>MAX(I6:I31)</x:f>
        <x:v>287700</x:v>
      </x:c>
      <x:c r="J32" s="15" t="n">
        <x:f>SUM(J6:J31)</x:f>
        <x:v>168</x:v>
      </x:c>
      <x:c r="K32" s="15" t="n">
        <x:f>SUM(K6:K31)</x:f>
        <x:v>69400</x:v>
      </x:c>
      <x:c r="L32" s="15" t="n">
        <x:f>SUM(L6:L31)</x:f>
        <x:v>1118000</x:v>
      </x:c>
    </x:row>
  </x:sheetData>
  <x:conditionalFormatting sqref="F6:H31">
    <x:cfRule type="cellIs" dxfId="14" priority="1" operator="lessThan">
      <x:formula>0</x:formula>
    </x:cfRule>
  </x:conditionalFormatting>
  <x:conditionalFormatting sqref="K6:L31">
    <x:cfRule type="cellIs" dxfId="15" priority="2" operator="lessThan">
      <x:formula>0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5bfa1a0773244cc4"/>
  </x:tableParts>
</x:worksheet>
</file>

<file path=xl/worksheets/sheet11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25" hidden="0" customWidth="1"/>
    <x:col min="2" max="2" width="15" hidden="0" customWidth="1"/>
    <x:col min="3" max="3" width="10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  <x:col min="12" max="12" width="16" hidden="0" customWidth="1"/>
  </x:cols>
  <x:sheetData>
    <x:row r="1" ht="10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</x:row>
    <x:row r="2" ht="25" customHeight="1">
      <x:c r="A2" s="3" t="str">
        <x:v>日経 N08　夜間損益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</x:row>
    <x:row r="3" ht="25" customHeight="1">
      <x:c r="A3" s="4" t="str">
        <x:v>短期失速では初回最低量</x:v>
      </x:c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</x:row>
    <x:row r="4" ht="25" customHeight="1">
      <x:c r="A4" s="4" t="str">
        <x:v>片側micro100枚＝mini10枚相当・手数料0。途中最悪は確定＋全玉含み、最大下落は当場ピークからの落差。</x:v>
      </x:c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</x:row>
    <x:row r="5" ht="45" customHeight="1">
      <x:c r="A5" s="11" t="str">
        <x:v>セッション</x:v>
      </x:c>
      <x:c r="B5" s="11" t="str">
        <x:v>資料区分</x:v>
      </x:c>
      <x:c r="C5" s="11" t="str">
        <x:v>場の方向</x:v>
      </x:c>
      <x:c r="D5" s="11" t="str">
        <x:v>利益（円）</x:v>
      </x:c>
      <x:c r="E5" s="11" t="str">
        <x:v>損失（円）</x:v>
      </x:c>
      <x:c r="F5" s="11" t="str">
        <x:v>収支（円）</x:v>
      </x:c>
      <x:c r="G5" s="11" t="str">
        <x:v>累計（円）</x:v>
      </x:c>
      <x:c r="H5" s="11" t="str">
        <x:v>途中最悪収支（円）</x:v>
      </x:c>
      <x:c r="I5" s="11" t="str">
        <x:v>最大下落額（円）</x:v>
      </x:c>
      <x:c r="J5" s="11" t="str">
        <x:v>新規回数</x:v>
      </x:c>
      <x:c r="K5" s="11" t="str">
        <x:v>米国前収支（円）</x:v>
      </x:c>
      <x:c r="L5" s="11" t="str">
        <x:v>米国後収支（円）</x:v>
      </x:c>
    </x:row>
    <x:row r="6" ht="25" customHeight="1">
      <x:c r="A6" s="2" t="str">
        <x:v>2026-09-21_Night</x:v>
      </x:c>
      <x:c r="B6" s="7" t="str">
        <x:v>旧完了場</x:v>
      </x:c>
      <x:c r="C6" s="7" t="str">
        <x:v>上昇</x:v>
      </x:c>
      <x:c r="D6" s="6" t="n">
        <x:v>0</x:v>
      </x:c>
      <x:c r="E6" s="6" t="n">
        <x:v>9000</x:v>
      </x:c>
      <x:c r="F6" s="6" t="n">
        <x:f>D6-E6</x:f>
        <x:v>-9000</x:v>
      </x:c>
      <x:c r="G6" s="6" t="n">
        <x:f>F6</x:f>
        <x:v>-9000</x:v>
      </x:c>
      <x:c r="H6" s="6" t="n">
        <x:v>-9000</x:v>
      </x:c>
      <x:c r="I6" s="6" t="n">
        <x:v>13000</x:v>
      </x:c>
      <x:c r="J6" s="6" t="n">
        <x:v>1</x:v>
      </x:c>
      <x:c r="K6" s="6" t="n">
        <x:v>0</x:v>
      </x:c>
      <x:c r="L6" s="6" t="n">
        <x:v>-9000</x:v>
      </x:c>
    </x:row>
    <x:row r="7" ht="25" customHeight="1">
      <x:c r="A7" s="2" t="str">
        <x:v>2026-09-22_Night</x:v>
      </x:c>
      <x:c r="B7" s="7" t="str">
        <x:v>旧完了場</x:v>
      </x:c>
      <x:c r="C7" s="7" t="str">
        <x:v>上昇</x:v>
      </x:c>
      <x:c r="D7" s="6" t="n">
        <x:v>7800</x:v>
      </x:c>
      <x:c r="E7" s="6" t="n">
        <x:v>0</x:v>
      </x:c>
      <x:c r="F7" s="6" t="n">
        <x:f>D7-E7</x:f>
        <x:v>7800</x:v>
      </x:c>
      <x:c r="G7" s="6" t="n">
        <x:f>G6+F7</x:f>
        <x:v>-1200</x:v>
      </x:c>
      <x:c r="H7" s="6" t="n">
        <x:v>-9000</x:v>
      </x:c>
      <x:c r="I7" s="6" t="n">
        <x:v>11000</x:v>
      </x:c>
      <x:c r="J7" s="6" t="n">
        <x:v>2</x:v>
      </x:c>
      <x:c r="K7" s="6" t="n">
        <x:v>3000</x:v>
      </x:c>
      <x:c r="L7" s="6" t="n">
        <x:v>4800</x:v>
      </x:c>
    </x:row>
    <x:row r="8" ht="25" customHeight="1">
      <x:c r="A8" s="2" t="str">
        <x:v>2026-09-23_Night</x:v>
      </x:c>
      <x:c r="B8" s="7" t="str">
        <x:v>旧完了場</x:v>
      </x:c>
      <x:c r="C8" s="7" t="str">
        <x:v>下落</x:v>
      </x:c>
      <x:c r="D8" s="6" t="n">
        <x:v>24200</x:v>
      </x:c>
      <x:c r="E8" s="6" t="n">
        <x:v>8000</x:v>
      </x:c>
      <x:c r="F8" s="6" t="n">
        <x:f>D8-E8</x:f>
        <x:v>16200</x:v>
      </x:c>
      <x:c r="G8" s="6" t="n">
        <x:f>G7+F8</x:f>
        <x:v>15000</x:v>
      </x:c>
      <x:c r="H8" s="6" t="n">
        <x:v>-30800</x:v>
      </x:c>
      <x:c r="I8" s="6" t="n">
        <x:v>80000</x:v>
      </x:c>
      <x:c r="J8" s="6" t="n">
        <x:v>3</x:v>
      </x:c>
      <x:c r="K8" s="6" t="n">
        <x:v>0</x:v>
      </x:c>
      <x:c r="L8" s="6" t="n">
        <x:v>16200</x:v>
      </x:c>
    </x:row>
    <x:row r="9" ht="25" customHeight="1">
      <x:c r="A9" s="2" t="str">
        <x:v>2026-09-24_Night</x:v>
      </x:c>
      <x:c r="B9" s="7" t="str">
        <x:v>旧完了場</x:v>
      </x:c>
      <x:c r="C9" s="7" t="str">
        <x:v>上昇</x:v>
      </x:c>
      <x:c r="D9" s="6" t="n">
        <x:v>26000</x:v>
      </x:c>
      <x:c r="E9" s="6" t="n">
        <x:v>0</x:v>
      </x:c>
      <x:c r="F9" s="6" t="n">
        <x:f>D9-E9</x:f>
        <x:v>26000</x:v>
      </x:c>
      <x:c r="G9" s="6" t="n">
        <x:f>G8+F9</x:f>
        <x:v>41000</x:v>
      </x:c>
      <x:c r="H9" s="6" t="n">
        <x:v>-17000</x:v>
      </x:c>
      <x:c r="I9" s="6" t="n">
        <x:v>24000</x:v>
      </x:c>
      <x:c r="J9" s="6" t="n">
        <x:v>4</x:v>
      </x:c>
      <x:c r="K9" s="6" t="n">
        <x:v>6000</x:v>
      </x:c>
      <x:c r="L9" s="6" t="n">
        <x:v>20000</x:v>
      </x:c>
    </x:row>
    <x:row r="10" ht="25" customHeight="1">
      <x:c r="A10" s="2" t="str">
        <x:v>2026-09-25_Night</x:v>
      </x:c>
      <x:c r="B10" s="7" t="str">
        <x:v>旧完了場</x:v>
      </x:c>
      <x:c r="C10" s="7" t="str">
        <x:v>上昇</x:v>
      </x:c>
      <x:c r="D10" s="6" t="n">
        <x:v>3400</x:v>
      </x:c>
      <x:c r="E10" s="6" t="n">
        <x:v>16000</x:v>
      </x:c>
      <x:c r="F10" s="6" t="n">
        <x:f>D10-E10</x:f>
        <x:v>-12600</x:v>
      </x:c>
      <x:c r="G10" s="6" t="n">
        <x:f>G9+F10</x:f>
        <x:v>28400</x:v>
      </x:c>
      <x:c r="H10" s="6" t="n">
        <x:v>-12600</x:v>
      </x:c>
      <x:c r="I10" s="6" t="n">
        <x:v>19600</x:v>
      </x:c>
      <x:c r="J10" s="6" t="n">
        <x:v>2</x:v>
      </x:c>
      <x:c r="K10" s="6" t="n">
        <x:v>0</x:v>
      </x:c>
      <x:c r="L10" s="6" t="n">
        <x:v>-12600</x:v>
      </x:c>
    </x:row>
    <x:row r="11" ht="25" customHeight="1">
      <x:c r="A11" s="2" t="str">
        <x:v>2026-09-28_Night</x:v>
      </x:c>
      <x:c r="B11" s="7" t="str">
        <x:v>旧完了場</x:v>
      </x:c>
      <x:c r="C11" s="7" t="str">
        <x:v>横ばい</x:v>
      </x:c>
      <x:c r="D11" s="6" t="n">
        <x:v>6500</x:v>
      </x:c>
      <x:c r="E11" s="6" t="n">
        <x:v>20000</x:v>
      </x:c>
      <x:c r="F11" s="6" t="n">
        <x:f>D11-E11</x:f>
        <x:v>-13500</x:v>
      </x:c>
      <x:c r="G11" s="6" t="n">
        <x:f>G10+F11</x:f>
        <x:v>14900</x:v>
      </x:c>
      <x:c r="H11" s="6" t="n">
        <x:v>-19000</x:v>
      </x:c>
      <x:c r="I11" s="6" t="n">
        <x:v>27000</x:v>
      </x:c>
      <x:c r="J11" s="6" t="n">
        <x:v>5</x:v>
      </x:c>
      <x:c r="K11" s="6" t="n">
        <x:v>6000</x:v>
      </x:c>
      <x:c r="L11" s="6" t="n">
        <x:v>-19500</x:v>
      </x:c>
    </x:row>
    <x:row r="12" ht="25" customHeight="1">
      <x:c r="A12" s="2" t="str">
        <x:v>2026-09-29_Night</x:v>
      </x:c>
      <x:c r="B12" s="7" t="str">
        <x:v>旧完了場</x:v>
      </x:c>
      <x:c r="C12" s="7" t="str">
        <x:v>上昇</x:v>
      </x:c>
      <x:c r="D12" s="6" t="n">
        <x:v>23800</x:v>
      </x:c>
      <x:c r="E12" s="6" t="n">
        <x:v>23400</x:v>
      </x:c>
      <x:c r="F12" s="6" t="n">
        <x:f>D12-E12</x:f>
        <x:v>400</x:v>
      </x:c>
      <x:c r="G12" s="6" t="n">
        <x:f>G11+F12</x:f>
        <x:v>15300</x:v>
      </x:c>
      <x:c r="H12" s="6" t="n">
        <x:v>-18400</x:v>
      </x:c>
      <x:c r="I12" s="6" t="n">
        <x:v>37000</x:v>
      </x:c>
      <x:c r="J12" s="6" t="n">
        <x:v>6</x:v>
      </x:c>
      <x:c r="K12" s="6" t="n">
        <x:v>0</x:v>
      </x:c>
      <x:c r="L12" s="6" t="n">
        <x:v>400</x:v>
      </x:c>
    </x:row>
    <x:row r="13" ht="25" customHeight="1">
      <x:c r="A13" s="2" t="str">
        <x:v>2026-09-30_Night</x:v>
      </x:c>
      <x:c r="B13" s="7" t="str">
        <x:v>旧完了場</x:v>
      </x:c>
      <x:c r="C13" s="7" t="str">
        <x:v>下落</x:v>
      </x:c>
      <x:c r="D13" s="6" t="n">
        <x:v>31000</x:v>
      </x:c>
      <x:c r="E13" s="6" t="n">
        <x:v>0</x:v>
      </x:c>
      <x:c r="F13" s="6" t="n">
        <x:f>D13-E13</x:f>
        <x:v>31000</x:v>
      </x:c>
      <x:c r="G13" s="6" t="n">
        <x:f>G12+F13</x:f>
        <x:v>46300</x:v>
      </x:c>
      <x:c r="H13" s="6" t="n">
        <x:v>-15000</x:v>
      </x:c>
      <x:c r="I13" s="6" t="n">
        <x:v>33400</x:v>
      </x:c>
      <x:c r="J13" s="6" t="n">
        <x:v>6</x:v>
      </x:c>
      <x:c r="K13" s="6" t="n">
        <x:v>12000</x:v>
      </x:c>
      <x:c r="L13" s="6" t="n">
        <x:v>19000</x:v>
      </x:c>
    </x:row>
    <x:row r="14" ht="25" customHeight="1">
      <x:c r="A14" s="2" t="str">
        <x:v>2026-10-01_Night</x:v>
      </x:c>
      <x:c r="B14" s="7" t="str">
        <x:v>旧完了場</x:v>
      </x:c>
      <x:c r="C14" s="7" t="str">
        <x:v>上昇</x:v>
      </x:c>
      <x:c r="D14" s="6" t="n">
        <x:v>139300</x:v>
      </x:c>
      <x:c r="E14" s="6" t="n">
        <x:v>61000</x:v>
      </x:c>
      <x:c r="F14" s="6" t="n">
        <x:f>D14-E14</x:f>
        <x:v>78300</x:v>
      </x:c>
      <x:c r="G14" s="6" t="n">
        <x:f>G13+F14</x:f>
        <x:v>124600</x:v>
      </x:c>
      <x:c r="H14" s="6" t="n">
        <x:v>-43700</x:v>
      </x:c>
      <x:c r="I14" s="6" t="n">
        <x:v>97000</x:v>
      </x:c>
      <x:c r="J14" s="6" t="n">
        <x:v>16</x:v>
      </x:c>
      <x:c r="K14" s="6" t="n">
        <x:v>24800</x:v>
      </x:c>
      <x:c r="L14" s="6" t="n">
        <x:v>53500</x:v>
      </x:c>
    </x:row>
    <x:row r="15" ht="25" customHeight="1">
      <x:c r="A15" s="2" t="str">
        <x:v>2026-10-02_Night</x:v>
      </x:c>
      <x:c r="B15" s="7" t="str">
        <x:v>旧完了場</x:v>
      </x:c>
      <x:c r="C15" s="7" t="str">
        <x:v>上昇</x:v>
      </x:c>
      <x:c r="D15" s="6" t="n">
        <x:v>122000</x:v>
      </x:c>
      <x:c r="E15" s="6" t="n">
        <x:v>19000</x:v>
      </x:c>
      <x:c r="F15" s="6" t="n">
        <x:f>D15-E15</x:f>
        <x:v>103000</x:v>
      </x:c>
      <x:c r="G15" s="6" t="n">
        <x:f>G14+F15</x:f>
        <x:v>227600</x:v>
      </x:c>
      <x:c r="H15" s="6" t="n">
        <x:v>-14000</x:v>
      </x:c>
      <x:c r="I15" s="6" t="n">
        <x:v>110700</x:v>
      </x:c>
      <x:c r="J15" s="6" t="n">
        <x:v>15</x:v>
      </x:c>
      <x:c r="K15" s="6" t="n">
        <x:v>0</x:v>
      </x:c>
      <x:c r="L15" s="6" t="n">
        <x:v>103000</x:v>
      </x:c>
    </x:row>
    <x:row r="16" ht="25" customHeight="1">
      <x:c r="A16" s="2" t="str">
        <x:v>2026-10-05_Night</x:v>
      </x:c>
      <x:c r="B16" s="7" t="str">
        <x:v>旧完了場</x:v>
      </x:c>
      <x:c r="C16" s="7" t="str">
        <x:v>下落</x:v>
      </x:c>
      <x:c r="D16" s="6" t="n">
        <x:v>72300</x:v>
      </x:c>
      <x:c r="E16" s="6" t="n">
        <x:v>26000</x:v>
      </x:c>
      <x:c r="F16" s="6" t="n">
        <x:f>D16-E16</x:f>
        <x:v>46300</x:v>
      </x:c>
      <x:c r="G16" s="6" t="n">
        <x:f>G15+F16</x:f>
        <x:v>273900</x:v>
      </x:c>
      <x:c r="H16" s="6" t="n">
        <x:v>-31400</x:v>
      </x:c>
      <x:c r="I16" s="6" t="n">
        <x:v>83900</x:v>
      </x:c>
      <x:c r="J16" s="6" t="n">
        <x:v>8</x:v>
      </x:c>
      <x:c r="K16" s="6" t="n">
        <x:v>3000</x:v>
      </x:c>
      <x:c r="L16" s="6" t="n">
        <x:v>43300</x:v>
      </x:c>
    </x:row>
    <x:row r="17" ht="25" customHeight="1">
      <x:c r="A17" s="2" t="str">
        <x:v>2026-10-06_Night</x:v>
      </x:c>
      <x:c r="B17" s="7" t="str">
        <x:v>旧完了場</x:v>
      </x:c>
      <x:c r="C17" s="7" t="str">
        <x:v>横ばい</x:v>
      </x:c>
      <x:c r="D17" s="6" t="n">
        <x:v>33000</x:v>
      </x:c>
      <x:c r="E17" s="6" t="n">
        <x:v>15000</x:v>
      </x:c>
      <x:c r="F17" s="6" t="n">
        <x:f>D17-E17</x:f>
        <x:v>18000</x:v>
      </x:c>
      <x:c r="G17" s="6" t="n">
        <x:f>G16+F17</x:f>
        <x:v>291900</x:v>
      </x:c>
      <x:c r="H17" s="6" t="n">
        <x:v>-28000</x:v>
      </x:c>
      <x:c r="I17" s="6" t="n">
        <x:v>28000</x:v>
      </x:c>
      <x:c r="J17" s="6" t="n">
        <x:v>4</x:v>
      </x:c>
      <x:c r="K17" s="6" t="n">
        <x:v>0</x:v>
      </x:c>
      <x:c r="L17" s="6" t="n">
        <x:v>18000</x:v>
      </x:c>
    </x:row>
    <x:row r="18" ht="25" customHeight="1">
      <x:c r="A18" s="2" t="str">
        <x:v>2026-10-07_Night</x:v>
      </x:c>
      <x:c r="B18" s="7" t="str">
        <x:v>旧完了場</x:v>
      </x:c>
      <x:c r="C18" s="7" t="str">
        <x:v>下落</x:v>
      </x:c>
      <x:c r="D18" s="6" t="n">
        <x:v>4000</x:v>
      </x:c>
      <x:c r="E18" s="6" t="n">
        <x:v>44000</x:v>
      </x:c>
      <x:c r="F18" s="6" t="n">
        <x:f>D18-E18</x:f>
        <x:v>-40000</x:v>
      </x:c>
      <x:c r="G18" s="6" t="n">
        <x:f>G17+F18</x:f>
        <x:v>251900</x:v>
      </x:c>
      <x:c r="H18" s="6" t="n">
        <x:v>-42000</x:v>
      </x:c>
      <x:c r="I18" s="6" t="n">
        <x:v>50000</x:v>
      </x:c>
      <x:c r="J18" s="6" t="n">
        <x:v>5</x:v>
      </x:c>
      <x:c r="K18" s="6" t="n">
        <x:v>-18000</x:v>
      </x:c>
      <x:c r="L18" s="6" t="n">
        <x:v>-22000</x:v>
      </x:c>
    </x:row>
    <x:row r="19" ht="25" customHeight="1">
      <x:c r="A19" s="2" t="str">
        <x:v>2026-10-08_Night</x:v>
      </x:c>
      <x:c r="B19" s="7" t="str">
        <x:v>旧完了場</x:v>
      </x:c>
      <x:c r="C19" s="7" t="str">
        <x:v>下落</x:v>
      </x:c>
      <x:c r="D19" s="6" t="n">
        <x:v>549400</x:v>
      </x:c>
      <x:c r="E19" s="6" t="n">
        <x:v>12000</x:v>
      </x:c>
      <x:c r="F19" s="6" t="n">
        <x:f>D19-E19</x:f>
        <x:v>537400</x:v>
      </x:c>
      <x:c r="G19" s="6" t="n">
        <x:f>G18+F19</x:f>
        <x:v>789300</x:v>
      </x:c>
      <x:c r="H19" s="6" t="n">
        <x:v>-74200</x:v>
      </x:c>
      <x:c r="I19" s="6" t="n">
        <x:v>188600</x:v>
      </x:c>
      <x:c r="J19" s="6" t="n">
        <x:v>16</x:v>
      </x:c>
      <x:c r="K19" s="6" t="n">
        <x:v>8000</x:v>
      </x:c>
      <x:c r="L19" s="6" t="n">
        <x:v>529400</x:v>
      </x:c>
    </x:row>
    <x:row r="20" ht="25" customHeight="1">
      <x:c r="A20" s="2" t="str">
        <x:v>2026-10-09_Night</x:v>
      </x:c>
      <x:c r="B20" s="7" t="str">
        <x:v>旧完了場</x:v>
      </x:c>
      <x:c r="C20" s="7" t="str">
        <x:v>下落</x:v>
      </x:c>
      <x:c r="D20" s="6" t="n">
        <x:v>10800</x:v>
      </x:c>
      <x:c r="E20" s="6" t="n">
        <x:v>0</x:v>
      </x:c>
      <x:c r="F20" s="6" t="n">
        <x:f>D20-E20</x:f>
        <x:v>10800</x:v>
      </x:c>
      <x:c r="G20" s="6" t="n">
        <x:f>G19+F20</x:f>
        <x:v>800100</x:v>
      </x:c>
      <x:c r="H20" s="6" t="n">
        <x:v>-2000</x:v>
      </x:c>
      <x:c r="I20" s="6" t="n">
        <x:v>12000</x:v>
      </x:c>
      <x:c r="J20" s="6" t="n">
        <x:v>3</x:v>
      </x:c>
      <x:c r="K20" s="6" t="n">
        <x:v>8000</x:v>
      </x:c>
      <x:c r="L20" s="6" t="n">
        <x:v>2800</x:v>
      </x:c>
    </x:row>
    <x:row r="21" ht="25" customHeight="1">
      <x:c r="A21" s="2" t="str">
        <x:v>2026-10-12_Night</x:v>
      </x:c>
      <x:c r="B21" s="7" t="str">
        <x:v>旧完了場</x:v>
      </x:c>
      <x:c r="C21" s="7" t="str">
        <x:v>下落</x:v>
      </x:c>
      <x:c r="D21" s="6" t="n">
        <x:v>16400</x:v>
      </x:c>
      <x:c r="E21" s="6" t="n">
        <x:v>0</x:v>
      </x:c>
      <x:c r="F21" s="6" t="n">
        <x:f>D21-E21</x:f>
        <x:v>16400</x:v>
      </x:c>
      <x:c r="G21" s="6" t="n">
        <x:f>G20+F21</x:f>
        <x:v>816500</x:v>
      </x:c>
      <x:c r="H21" s="6" t="n">
        <x:v>-2000</x:v>
      </x:c>
      <x:c r="I21" s="6" t="n">
        <x:v>6600</x:v>
      </x:c>
      <x:c r="J21" s="6" t="n">
        <x:v>1</x:v>
      </x:c>
      <x:c r="K21" s="6" t="n">
        <x:v>0</x:v>
      </x:c>
      <x:c r="L21" s="6" t="n">
        <x:v>16400</x:v>
      </x:c>
    </x:row>
    <x:row r="22" ht="25" customHeight="1">
      <x:c r="A22" s="2" t="str">
        <x:v>2026-10-13_Night</x:v>
      </x:c>
      <x:c r="B22" s="7" t="str">
        <x:v>旧完了場</x:v>
      </x:c>
      <x:c r="C22" s="7" t="str">
        <x:v>上昇</x:v>
      </x:c>
      <x:c r="D22" s="6" t="n">
        <x:v>3000</x:v>
      </x:c>
      <x:c r="E22" s="6" t="n">
        <x:v>17000</x:v>
      </x:c>
      <x:c r="F22" s="6" t="n">
        <x:f>D22-E22</x:f>
        <x:v>-14000</x:v>
      </x:c>
      <x:c r="G22" s="6" t="n">
        <x:f>G21+F22</x:f>
        <x:v>802500</x:v>
      </x:c>
      <x:c r="H22" s="6" t="n">
        <x:v>-14000</x:v>
      </x:c>
      <x:c r="I22" s="6" t="n">
        <x:v>18000</x:v>
      </x:c>
      <x:c r="J22" s="6" t="n">
        <x:v>3</x:v>
      </x:c>
      <x:c r="K22" s="6" t="n">
        <x:v>3000</x:v>
      </x:c>
      <x:c r="L22" s="6" t="n">
        <x:v>-17000</x:v>
      </x:c>
    </x:row>
    <x:row r="23" ht="25" customHeight="1">
      <x:c r="A23" s="2" t="str">
        <x:v>2026-10-14_Night</x:v>
      </x:c>
      <x:c r="B23" s="7" t="str">
        <x:v>旧完了場</x:v>
      </x:c>
      <x:c r="C23" s="7" t="str">
        <x:v>下落</x:v>
      </x:c>
      <x:c r="D23" s="6" t="n">
        <x:v>42400</x:v>
      </x:c>
      <x:c r="E23" s="6" t="n">
        <x:v>64600</x:v>
      </x:c>
      <x:c r="F23" s="6" t="n">
        <x:f>D23-E23</x:f>
        <x:v>-22200</x:v>
      </x:c>
      <x:c r="G23" s="6" t="n">
        <x:f>G22+F23</x:f>
        <x:v>780300</x:v>
      </x:c>
      <x:c r="H23" s="6" t="n">
        <x:v>-47600</x:v>
      </x:c>
      <x:c r="I23" s="6" t="n">
        <x:v>68800</x:v>
      </x:c>
      <x:c r="J23" s="6" t="n">
        <x:v>5</x:v>
      </x:c>
      <x:c r="K23" s="6" t="n">
        <x:v>3000</x:v>
      </x:c>
      <x:c r="L23" s="6" t="n">
        <x:v>-25200</x:v>
      </x:c>
    </x:row>
    <x:row r="24" ht="25" customHeight="1">
      <x:c r="A24" s="2" t="str">
        <x:v>2026-10-15_Night</x:v>
      </x:c>
      <x:c r="B24" s="7" t="str">
        <x:v>旧完了場</x:v>
      </x:c>
      <x:c r="C24" s="7" t="str">
        <x:v>上昇</x:v>
      </x:c>
      <x:c r="D24" s="6" t="n">
        <x:v>75000</x:v>
      </x:c>
      <x:c r="E24" s="6" t="n">
        <x:v>41500</x:v>
      </x:c>
      <x:c r="F24" s="6" t="n">
        <x:f>D24-E24</x:f>
        <x:v>33500</x:v>
      </x:c>
      <x:c r="G24" s="6" t="n">
        <x:f>G23+F24</x:f>
        <x:v>813800</x:v>
      </x:c>
      <x:c r="H24" s="6" t="n">
        <x:v>-48000</x:v>
      </x:c>
      <x:c r="I24" s="6" t="n">
        <x:v>90000</x:v>
      </x:c>
      <x:c r="J24" s="6" t="n">
        <x:v>7</x:v>
      </x:c>
      <x:c r="K24" s="6" t="n">
        <x:v>0</x:v>
      </x:c>
      <x:c r="L24" s="6" t="n">
        <x:v>33500</x:v>
      </x:c>
    </x:row>
    <x:row r="25" ht="25" customHeight="1">
      <x:c r="A25" s="2" t="str">
        <x:v>2026-10-16_Night</x:v>
      </x:c>
      <x:c r="B25" s="7" t="str">
        <x:v>旧完了場</x:v>
      </x:c>
      <x:c r="C25" s="7" t="str">
        <x:v>下落</x:v>
      </x:c>
      <x:c r="D25" s="6" t="n">
        <x:v>181600</x:v>
      </x:c>
      <x:c r="E25" s="6" t="n">
        <x:v>101000</x:v>
      </x:c>
      <x:c r="F25" s="6" t="n">
        <x:f>D25-E25</x:f>
        <x:v>80600</x:v>
      </x:c>
      <x:c r="G25" s="6" t="n">
        <x:f>G24+F25</x:f>
        <x:v>894400</x:v>
      </x:c>
      <x:c r="H25" s="6" t="n">
        <x:v>-95000</x:v>
      </x:c>
      <x:c r="I25" s="6" t="n">
        <x:v>97000</x:v>
      </x:c>
      <x:c r="J25" s="6" t="n">
        <x:v>14</x:v>
      </x:c>
      <x:c r="K25" s="6" t="n">
        <x:v>-4000</x:v>
      </x:c>
      <x:c r="L25" s="6" t="n">
        <x:v>84600</x:v>
      </x:c>
    </x:row>
    <x:row r="26" ht="25" customHeight="1">
      <x:c r="A26" s="2" t="str">
        <x:v>2026-10-19_Night</x:v>
      </x:c>
      <x:c r="B26" s="7" t="str">
        <x:v>旧完了場</x:v>
      </x:c>
      <x:c r="C26" s="7" t="str">
        <x:v>上昇</x:v>
      </x:c>
      <x:c r="D26" s="6" t="n">
        <x:v>36000</x:v>
      </x:c>
      <x:c r="E26" s="6" t="n">
        <x:v>64500</x:v>
      </x:c>
      <x:c r="F26" s="6" t="n">
        <x:f>D26-E26</x:f>
        <x:v>-28500</x:v>
      </x:c>
      <x:c r="G26" s="6" t="n">
        <x:f>G25+F26</x:f>
        <x:v>865900</x:v>
      </x:c>
      <x:c r="H26" s="6" t="n">
        <x:v>-40500</x:v>
      </x:c>
      <x:c r="I26" s="6" t="n">
        <x:v>48500</x:v>
      </x:c>
      <x:c r="J26" s="6" t="n">
        <x:v>14</x:v>
      </x:c>
      <x:c r="K26" s="6" t="n">
        <x:v>7000</x:v>
      </x:c>
      <x:c r="L26" s="6" t="n">
        <x:v>-35500</x:v>
      </x:c>
    </x:row>
    <x:row r="27" ht="25" customHeight="1">
      <x:c r="A27" s="2" t="str">
        <x:v>2026-10-20_Night</x:v>
      </x:c>
      <x:c r="B27" s="7" t="str">
        <x:v>旧完了場</x:v>
      </x:c>
      <x:c r="C27" s="7" t="str">
        <x:v>上昇</x:v>
      </x:c>
      <x:c r="D27" s="6" t="n">
        <x:v>73500</x:v>
      </x:c>
      <x:c r="E27" s="6" t="n">
        <x:v>68600</x:v>
      </x:c>
      <x:c r="F27" s="6" t="n">
        <x:f>D27-E27</x:f>
        <x:v>4900</x:v>
      </x:c>
      <x:c r="G27" s="6" t="n">
        <x:f>G26+F27</x:f>
        <x:v>870800</x:v>
      </x:c>
      <x:c r="H27" s="6" t="n">
        <x:v>-2000</x:v>
      </x:c>
      <x:c r="I27" s="6" t="n">
        <x:v>128000</x:v>
      </x:c>
      <x:c r="J27" s="6" t="n">
        <x:v>11</x:v>
      </x:c>
      <x:c r="K27" s="6" t="n">
        <x:v>17000</x:v>
      </x:c>
      <x:c r="L27" s="6" t="n">
        <x:v>-12100</x:v>
      </x:c>
    </x:row>
    <x:row r="28" ht="25" customHeight="1">
      <x:c r="A28" s="2" t="str">
        <x:v>2026-10-21_Night</x:v>
      </x:c>
      <x:c r="B28" s="7" t="str">
        <x:v>旧完了場</x:v>
      </x:c>
      <x:c r="C28" s="7" t="str">
        <x:v>上昇</x:v>
      </x:c>
      <x:c r="D28" s="6" t="n">
        <x:v>33600</x:v>
      </x:c>
      <x:c r="E28" s="6" t="n">
        <x:v>17000</x:v>
      </x:c>
      <x:c r="F28" s="6" t="n">
        <x:f>D28-E28</x:f>
        <x:v>16600</x:v>
      </x:c>
      <x:c r="G28" s="6" t="n">
        <x:f>G27+F28</x:f>
        <x:v>887400</x:v>
      </x:c>
      <x:c r="H28" s="6" t="n">
        <x:v>-7000</x:v>
      </x:c>
      <x:c r="I28" s="6" t="n">
        <x:v>55000</x:v>
      </x:c>
      <x:c r="J28" s="6" t="n">
        <x:v>6</x:v>
      </x:c>
      <x:c r="K28" s="6" t="n">
        <x:v>3000</x:v>
      </x:c>
      <x:c r="L28" s="6" t="n">
        <x:v>13600</x:v>
      </x:c>
    </x:row>
    <x:row r="29" ht="25" customHeight="1">
      <x:c r="A29" s="2" t="str">
        <x:v>2026-10-22_Night</x:v>
      </x:c>
      <x:c r="B29" s="7" t="str">
        <x:v>旧完了場</x:v>
      </x:c>
      <x:c r="C29" s="7" t="str">
        <x:v>下落</x:v>
      </x:c>
      <x:c r="D29" s="6" t="n">
        <x:v>76000</x:v>
      </x:c>
      <x:c r="E29" s="6" t="n">
        <x:v>0</x:v>
      </x:c>
      <x:c r="F29" s="6" t="n">
        <x:f>D29-E29</x:f>
        <x:v>76000</x:v>
      </x:c>
      <x:c r="G29" s="6" t="n">
        <x:f>G28+F29</x:f>
        <x:v>963400</x:v>
      </x:c>
      <x:c r="H29" s="6" t="n">
        <x:v>-2000</x:v>
      </x:c>
      <x:c r="I29" s="6" t="n">
        <x:v>28000</x:v>
      </x:c>
      <x:c r="J29" s="6" t="n">
        <x:v>3</x:v>
      </x:c>
      <x:c r="K29" s="6" t="n">
        <x:v>0</x:v>
      </x:c>
      <x:c r="L29" s="6" t="n">
        <x:v>76000</x:v>
      </x:c>
    </x:row>
    <x:row r="30" ht="25" customHeight="1">
      <x:c r="A30" s="2" t="str">
        <x:v>2026-10-23_Night</x:v>
      </x:c>
      <x:c r="B30" s="7" t="str">
        <x:v>旧完了場</x:v>
      </x:c>
      <x:c r="C30" s="7" t="str">
        <x:v>上昇</x:v>
      </x:c>
      <x:c r="D30" s="6" t="n">
        <x:v>27200</x:v>
      </x:c>
      <x:c r="E30" s="6" t="n">
        <x:v>43500</x:v>
      </x:c>
      <x:c r="F30" s="6" t="n">
        <x:f>D30-E30</x:f>
        <x:v>-16300</x:v>
      </x:c>
      <x:c r="G30" s="6" t="n">
        <x:f>G29+F30</x:f>
        <x:v>947100</x:v>
      </x:c>
      <x:c r="H30" s="6" t="n">
        <x:v>-55300</x:v>
      </x:c>
      <x:c r="I30" s="6" t="n">
        <x:v>68500</x:v>
      </x:c>
      <x:c r="J30" s="6" t="n">
        <x:v>11</x:v>
      </x:c>
      <x:c r="K30" s="6" t="n">
        <x:v>-18000</x:v>
      </x:c>
      <x:c r="L30" s="6" t="n">
        <x:v>1700</x:v>
      </x:c>
    </x:row>
    <x:row r="31" ht="25" customHeight="1">
      <x:c r="A31" s="2" t="str">
        <x:v>2026-10-26_Night</x:v>
      </x:c>
      <x:c r="B31" s="7" t="str">
        <x:v>追加完了版</x:v>
      </x:c>
      <x:c r="C31" s="7" t="str">
        <x:v>上昇</x:v>
      </x:c>
      <x:c r="D31" s="6" t="n">
        <x:v>46500</x:v>
      </x:c>
      <x:c r="E31" s="6" t="n">
        <x:v>117100</x:v>
      </x:c>
      <x:c r="F31" s="6" t="n">
        <x:f>D31-E31</x:f>
        <x:v>-70600</x:v>
      </x:c>
      <x:c r="G31" s="6" t="n">
        <x:f>G30+F31</x:f>
        <x:v>876500</x:v>
      </x:c>
      <x:c r="H31" s="6" t="n">
        <x:v>-70600</x:v>
      </x:c>
      <x:c r="I31" s="6" t="n">
        <x:v>126600</x:v>
      </x:c>
      <x:c r="J31" s="6" t="n">
        <x:v>12</x:v>
      </x:c>
      <x:c r="K31" s="6" t="n">
        <x:v>3000</x:v>
      </x:c>
      <x:c r="L31" s="6" t="n">
        <x:v>-73600</x:v>
      </x:c>
    </x:row>
    <x:row r="32" ht="25" customHeight="1">
      <x:c r="A32" s="14" t="str">
        <x:v>累計／場内最悪値</x:v>
      </x:c>
      <x:c r="B32" s="15"/>
      <x:c r="C32" s="15"/>
      <x:c r="D32" s="15" t="n">
        <x:f>SUM(D6:D31)</x:f>
        <x:v>1664700</x:v>
      </x:c>
      <x:c r="E32" s="15" t="n">
        <x:f>SUM(E6:E31)</x:f>
        <x:v>788200</x:v>
      </x:c>
      <x:c r="F32" s="15" t="n">
        <x:f>D32-E32</x:f>
        <x:v>876500</x:v>
      </x:c>
      <x:c r="G32" s="15" t="n">
        <x:f>G31</x:f>
        <x:v>876500</x:v>
      </x:c>
      <x:c r="H32" s="15" t="n">
        <x:f>MIN(H6:H31)</x:f>
        <x:v>-95000</x:v>
      </x:c>
      <x:c r="I32" s="15" t="n">
        <x:f>MAX(I6:I31)</x:f>
        <x:v>188600</x:v>
      </x:c>
      <x:c r="J32" s="15" t="n">
        <x:f>SUM(J6:J31)</x:f>
        <x:v>183</x:v>
      </x:c>
      <x:c r="K32" s="15" t="n">
        <x:f>SUM(K6:K31)</x:f>
        <x:v>66800</x:v>
      </x:c>
      <x:c r="L32" s="15" t="n">
        <x:f>SUM(L6:L31)</x:f>
        <x:v>809700</x:v>
      </x:c>
    </x:row>
  </x:sheetData>
  <x:conditionalFormatting sqref="F6:H31">
    <x:cfRule type="cellIs" dxfId="16" priority="1" operator="lessThan">
      <x:formula>0</x:formula>
    </x:cfRule>
  </x:conditionalFormatting>
  <x:conditionalFormatting sqref="K6:L31">
    <x:cfRule type="cellIs" dxfId="17" priority="2" operator="lessThan">
      <x:formula>0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b1700e6eb0b84911"/>
  </x:tableParts>
</x:worksheet>
</file>

<file path=xl/worksheets/sheet12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25" hidden="0" customWidth="1"/>
    <x:col min="2" max="2" width="15" hidden="0" customWidth="1"/>
    <x:col min="3" max="3" width="10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  <x:col min="12" max="12" width="16" hidden="0" customWidth="1"/>
  </x:cols>
  <x:sheetData>
    <x:row r="1" ht="10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</x:row>
    <x:row r="2" ht="25" customHeight="1">
      <x:c r="A2" s="3" t="str">
        <x:v>日経 N09　夜間損益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</x:row>
    <x:row r="3" ht="25" customHeight="1">
      <x:c r="A3" s="4" t="str">
        <x:v>後半全玉40pt起動40pt追尾</x:v>
      </x:c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</x:row>
    <x:row r="4" ht="25" customHeight="1">
      <x:c r="A4" s="4" t="str">
        <x:v>片側micro100枚＝mini10枚相当・手数料0。途中最悪は確定＋全玉含み、最大下落は当場ピークからの落差。</x:v>
      </x:c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</x:row>
    <x:row r="5" ht="45" customHeight="1">
      <x:c r="A5" s="11" t="str">
        <x:v>セッション</x:v>
      </x:c>
      <x:c r="B5" s="11" t="str">
        <x:v>資料区分</x:v>
      </x:c>
      <x:c r="C5" s="11" t="str">
        <x:v>場の方向</x:v>
      </x:c>
      <x:c r="D5" s="11" t="str">
        <x:v>利益（円）</x:v>
      </x:c>
      <x:c r="E5" s="11" t="str">
        <x:v>損失（円）</x:v>
      </x:c>
      <x:c r="F5" s="11" t="str">
        <x:v>収支（円）</x:v>
      </x:c>
      <x:c r="G5" s="11" t="str">
        <x:v>累計（円）</x:v>
      </x:c>
      <x:c r="H5" s="11" t="str">
        <x:v>途中最悪収支（円）</x:v>
      </x:c>
      <x:c r="I5" s="11" t="str">
        <x:v>最大下落額（円）</x:v>
      </x:c>
      <x:c r="J5" s="11" t="str">
        <x:v>新規回数</x:v>
      </x:c>
      <x:c r="K5" s="11" t="str">
        <x:v>米国前収支（円）</x:v>
      </x:c>
      <x:c r="L5" s="11" t="str">
        <x:v>米国後収支（円）</x:v>
      </x:c>
    </x:row>
    <x:row r="6" ht="25" customHeight="1">
      <x:c r="A6" s="2" t="str">
        <x:v>2026-09-21_Night</x:v>
      </x:c>
      <x:c r="B6" s="7" t="str">
        <x:v>旧完了場</x:v>
      </x:c>
      <x:c r="C6" s="7" t="str">
        <x:v>上昇</x:v>
      </x:c>
      <x:c r="D6" s="6" t="n">
        <x:v>0</x:v>
      </x:c>
      <x:c r="E6" s="6" t="n">
        <x:v>0</x:v>
      </x:c>
      <x:c r="F6" s="6" t="n">
        <x:f>D6-E6</x:f>
        <x:v>0</x:v>
      </x:c>
      <x:c r="G6" s="6" t="n">
        <x:f>F6</x:f>
        <x:v>0</x:v>
      </x:c>
      <x:c r="H6" s="6" t="n">
        <x:v>-2000</x:v>
      </x:c>
      <x:c r="I6" s="6" t="n">
        <x:v>4000</x:v>
      </x:c>
      <x:c r="J6" s="6" t="n">
        <x:v>1</x:v>
      </x:c>
      <x:c r="K6" s="6" t="n">
        <x:v>0</x:v>
      </x:c>
      <x:c r="L6" s="6" t="n">
        <x:v>0</x:v>
      </x:c>
    </x:row>
    <x:row r="7" ht="25" customHeight="1">
      <x:c r="A7" s="2" t="str">
        <x:v>2026-09-22_Night</x:v>
      </x:c>
      <x:c r="B7" s="7" t="str">
        <x:v>旧完了場</x:v>
      </x:c>
      <x:c r="C7" s="7" t="str">
        <x:v>上昇</x:v>
      </x:c>
      <x:c r="D7" s="6" t="n">
        <x:v>4000</x:v>
      </x:c>
      <x:c r="E7" s="6" t="n">
        <x:v>0</x:v>
      </x:c>
      <x:c r="F7" s="6" t="n">
        <x:f>D7-E7</x:f>
        <x:v>4000</x:v>
      </x:c>
      <x:c r="G7" s="6" t="n">
        <x:f>G6+F7</x:f>
        <x:v>4000</x:v>
      </x:c>
      <x:c r="H7" s="6" t="n">
        <x:v>-9000</x:v>
      </x:c>
      <x:c r="I7" s="6" t="n">
        <x:v>11000</x:v>
      </x:c>
      <x:c r="J7" s="6" t="n">
        <x:v>2</x:v>
      </x:c>
      <x:c r="K7" s="6" t="n">
        <x:v>3000</x:v>
      </x:c>
      <x:c r="L7" s="6" t="n">
        <x:v>1000</x:v>
      </x:c>
    </x:row>
    <x:row r="8" ht="25" customHeight="1">
      <x:c r="A8" s="2" t="str">
        <x:v>2026-09-23_Night</x:v>
      </x:c>
      <x:c r="B8" s="7" t="str">
        <x:v>旧完了場</x:v>
      </x:c>
      <x:c r="C8" s="7" t="str">
        <x:v>下落</x:v>
      </x:c>
      <x:c r="D8" s="6" t="n">
        <x:v>44200</x:v>
      </x:c>
      <x:c r="E8" s="6" t="n">
        <x:v>8000</x:v>
      </x:c>
      <x:c r="F8" s="6" t="n">
        <x:f>D8-E8</x:f>
        <x:v>36200</x:v>
      </x:c>
      <x:c r="G8" s="6" t="n">
        <x:f>G7+F8</x:f>
        <x:v>40200</x:v>
      </x:c>
      <x:c r="H8" s="6" t="n">
        <x:v>-30800</x:v>
      </x:c>
      <x:c r="I8" s="6" t="n">
        <x:v>40000</x:v>
      </x:c>
      <x:c r="J8" s="6" t="n">
        <x:v>3</x:v>
      </x:c>
      <x:c r="K8" s="6" t="n">
        <x:v>0</x:v>
      </x:c>
      <x:c r="L8" s="6" t="n">
        <x:v>36200</x:v>
      </x:c>
    </x:row>
    <x:row r="9" ht="25" customHeight="1">
      <x:c r="A9" s="2" t="str">
        <x:v>2026-09-24_Night</x:v>
      </x:c>
      <x:c r="B9" s="7" t="str">
        <x:v>旧完了場</x:v>
      </x:c>
      <x:c r="C9" s="7" t="str">
        <x:v>上昇</x:v>
      </x:c>
      <x:c r="D9" s="6" t="n">
        <x:v>22000</x:v>
      </x:c>
      <x:c r="E9" s="6" t="n">
        <x:v>0</x:v>
      </x:c>
      <x:c r="F9" s="6" t="n">
        <x:f>D9-E9</x:f>
        <x:v>22000</x:v>
      </x:c>
      <x:c r="G9" s="6" t="n">
        <x:f>G8+F9</x:f>
        <x:v>62200</x:v>
      </x:c>
      <x:c r="H9" s="6" t="n">
        <x:v>-17000</x:v>
      </x:c>
      <x:c r="I9" s="6" t="n">
        <x:v>18000</x:v>
      </x:c>
      <x:c r="J9" s="6" t="n">
        <x:v>4</x:v>
      </x:c>
      <x:c r="K9" s="6" t="n">
        <x:v>6000</x:v>
      </x:c>
      <x:c r="L9" s="6" t="n">
        <x:v>16000</x:v>
      </x:c>
    </x:row>
    <x:row r="10" ht="25" customHeight="1">
      <x:c r="A10" s="2" t="str">
        <x:v>2026-09-25_Night</x:v>
      </x:c>
      <x:c r="B10" s="7" t="str">
        <x:v>旧完了場</x:v>
      </x:c>
      <x:c r="C10" s="7" t="str">
        <x:v>上昇</x:v>
      </x:c>
      <x:c r="D10" s="6" t="n">
        <x:v>7000</x:v>
      </x:c>
      <x:c r="E10" s="6" t="n">
        <x:v>0</x:v>
      </x:c>
      <x:c r="F10" s="6" t="n">
        <x:f>D10-E10</x:f>
        <x:v>7000</x:v>
      </x:c>
      <x:c r="G10" s="6" t="n">
        <x:f>G9+F10</x:f>
        <x:v>69200</x:v>
      </x:c>
      <x:c r="H10" s="6" t="n">
        <x:v>-10000</x:v>
      </x:c>
      <x:c r="I10" s="6" t="n">
        <x:v>10000</x:v>
      </x:c>
      <x:c r="J10" s="6" t="n">
        <x:v>2</x:v>
      </x:c>
      <x:c r="K10" s="6" t="n">
        <x:v>0</x:v>
      </x:c>
      <x:c r="L10" s="6" t="n">
        <x:v>7000</x:v>
      </x:c>
    </x:row>
    <x:row r="11" ht="25" customHeight="1">
      <x:c r="A11" s="2" t="str">
        <x:v>2026-09-28_Night</x:v>
      </x:c>
      <x:c r="B11" s="7" t="str">
        <x:v>旧完了場</x:v>
      </x:c>
      <x:c r="C11" s="7" t="str">
        <x:v>横ばい</x:v>
      </x:c>
      <x:c r="D11" s="6" t="n">
        <x:v>6000</x:v>
      </x:c>
      <x:c r="E11" s="6" t="n">
        <x:v>24500</x:v>
      </x:c>
      <x:c r="F11" s="6" t="n">
        <x:f>D11-E11</x:f>
        <x:v>-18500</x:v>
      </x:c>
      <x:c r="G11" s="6" t="n">
        <x:f>G10+F11</x:f>
        <x:v>50700</x:v>
      </x:c>
      <x:c r="H11" s="6" t="n">
        <x:v>-18500</x:v>
      </x:c>
      <x:c r="I11" s="6" t="n">
        <x:v>26500</x:v>
      </x:c>
      <x:c r="J11" s="6" t="n">
        <x:v>5</x:v>
      </x:c>
      <x:c r="K11" s="6" t="n">
        <x:v>6000</x:v>
      </x:c>
      <x:c r="L11" s="6" t="n">
        <x:v>-24500</x:v>
      </x:c>
    </x:row>
    <x:row r="12" ht="25" customHeight="1">
      <x:c r="A12" s="2" t="str">
        <x:v>2026-09-29_Night</x:v>
      </x:c>
      <x:c r="B12" s="7" t="str">
        <x:v>旧完了場</x:v>
      </x:c>
      <x:c r="C12" s="7" t="str">
        <x:v>上昇</x:v>
      </x:c>
      <x:c r="D12" s="6" t="n">
        <x:v>26200</x:v>
      </x:c>
      <x:c r="E12" s="6" t="n">
        <x:v>23400</x:v>
      </x:c>
      <x:c r="F12" s="6" t="n">
        <x:f>D12-E12</x:f>
        <x:v>2800</x:v>
      </x:c>
      <x:c r="G12" s="6" t="n">
        <x:f>G11+F12</x:f>
        <x:v>53500</x:v>
      </x:c>
      <x:c r="H12" s="6" t="n">
        <x:v>-26000</x:v>
      </x:c>
      <x:c r="I12" s="6" t="n">
        <x:v>33400</x:v>
      </x:c>
      <x:c r="J12" s="6" t="n">
        <x:v>6</x:v>
      </x:c>
      <x:c r="K12" s="6" t="n">
        <x:v>0</x:v>
      </x:c>
      <x:c r="L12" s="6" t="n">
        <x:v>2800</x:v>
      </x:c>
    </x:row>
    <x:row r="13" ht="25" customHeight="1">
      <x:c r="A13" s="2" t="str">
        <x:v>2026-09-30_Night</x:v>
      </x:c>
      <x:c r="B13" s="7" t="str">
        <x:v>旧完了場</x:v>
      </x:c>
      <x:c r="C13" s="7" t="str">
        <x:v>下落</x:v>
      </x:c>
      <x:c r="D13" s="6" t="n">
        <x:v>39300</x:v>
      </x:c>
      <x:c r="E13" s="6" t="n">
        <x:v>0</x:v>
      </x:c>
      <x:c r="F13" s="6" t="n">
        <x:f>D13-E13</x:f>
        <x:v>39300</x:v>
      </x:c>
      <x:c r="G13" s="6" t="n">
        <x:f>G12+F13</x:f>
        <x:v>92800</x:v>
      </x:c>
      <x:c r="H13" s="6" t="n">
        <x:v>-14400</x:v>
      </x:c>
      <x:c r="I13" s="6" t="n">
        <x:v>66600</x:v>
      </x:c>
      <x:c r="J13" s="6" t="n">
        <x:v>6</x:v>
      </x:c>
      <x:c r="K13" s="6" t="n">
        <x:v>12900</x:v>
      </x:c>
      <x:c r="L13" s="6" t="n">
        <x:v>26400</x:v>
      </x:c>
    </x:row>
    <x:row r="14" ht="25" customHeight="1">
      <x:c r="A14" s="2" t="str">
        <x:v>2026-10-01_Night</x:v>
      </x:c>
      <x:c r="B14" s="7" t="str">
        <x:v>旧完了場</x:v>
      </x:c>
      <x:c r="C14" s="7" t="str">
        <x:v>上昇</x:v>
      </x:c>
      <x:c r="D14" s="6" t="n">
        <x:v>67800</x:v>
      </x:c>
      <x:c r="E14" s="6" t="n">
        <x:v>32000</x:v>
      </x:c>
      <x:c r="F14" s="6" t="n">
        <x:f>D14-E14</x:f>
        <x:v>35800</x:v>
      </x:c>
      <x:c r="G14" s="6" t="n">
        <x:f>G13+F14</x:f>
        <x:v>128600</x:v>
      </x:c>
      <x:c r="H14" s="6" t="n">
        <x:v>-5600</x:v>
      </x:c>
      <x:c r="I14" s="6" t="n">
        <x:v>56000</x:v>
      </x:c>
      <x:c r="J14" s="6" t="n">
        <x:v>16</x:v>
      </x:c>
      <x:c r="K14" s="6" t="n">
        <x:v>24800</x:v>
      </x:c>
      <x:c r="L14" s="6" t="n">
        <x:v>11000</x:v>
      </x:c>
    </x:row>
    <x:row r="15" ht="25" customHeight="1">
      <x:c r="A15" s="2" t="str">
        <x:v>2026-10-02_Night</x:v>
      </x:c>
      <x:c r="B15" s="7" t="str">
        <x:v>旧完了場</x:v>
      </x:c>
      <x:c r="C15" s="7" t="str">
        <x:v>上昇</x:v>
      </x:c>
      <x:c r="D15" s="6" t="n">
        <x:v>101500</x:v>
      </x:c>
      <x:c r="E15" s="6" t="n">
        <x:v>6300</x:v>
      </x:c>
      <x:c r="F15" s="6" t="n">
        <x:f>D15-E15</x:f>
        <x:v>95200</x:v>
      </x:c>
      <x:c r="G15" s="6" t="n">
        <x:f>G14+F15</x:f>
        <x:v>223800</x:v>
      </x:c>
      <x:c r="H15" s="6" t="n">
        <x:v>-14000</x:v>
      </x:c>
      <x:c r="I15" s="6" t="n">
        <x:v>36200</x:v>
      </x:c>
      <x:c r="J15" s="6" t="n">
        <x:v>15</x:v>
      </x:c>
      <x:c r="K15" s="6" t="n">
        <x:v>0</x:v>
      </x:c>
      <x:c r="L15" s="6" t="n">
        <x:v>95200</x:v>
      </x:c>
    </x:row>
    <x:row r="16" ht="25" customHeight="1">
      <x:c r="A16" s="2" t="str">
        <x:v>2026-10-05_Night</x:v>
      </x:c>
      <x:c r="B16" s="7" t="str">
        <x:v>旧完了場</x:v>
      </x:c>
      <x:c r="C16" s="7" t="str">
        <x:v>下落</x:v>
      </x:c>
      <x:c r="D16" s="6" t="n">
        <x:v>13800</x:v>
      </x:c>
      <x:c r="E16" s="6" t="n">
        <x:v>31600</x:v>
      </x:c>
      <x:c r="F16" s="6" t="n">
        <x:f>D16-E16</x:f>
        <x:v>-17800</x:v>
      </x:c>
      <x:c r="G16" s="6" t="n">
        <x:f>G15+F16</x:f>
        <x:v>206000</x:v>
      </x:c>
      <x:c r="H16" s="6" t="n">
        <x:v>-17800</x:v>
      </x:c>
      <x:c r="I16" s="6" t="n">
        <x:v>37300</x:v>
      </x:c>
      <x:c r="J16" s="6" t="n">
        <x:v>8</x:v>
      </x:c>
      <x:c r="K16" s="6" t="n">
        <x:v>3000</x:v>
      </x:c>
      <x:c r="L16" s="6" t="n">
        <x:v>-20800</x:v>
      </x:c>
    </x:row>
    <x:row r="17" ht="25" customHeight="1">
      <x:c r="A17" s="2" t="str">
        <x:v>2026-10-06_Night</x:v>
      </x:c>
      <x:c r="B17" s="7" t="str">
        <x:v>旧完了場</x:v>
      </x:c>
      <x:c r="C17" s="7" t="str">
        <x:v>横ばい</x:v>
      </x:c>
      <x:c r="D17" s="6" t="n">
        <x:v>1000</x:v>
      </x:c>
      <x:c r="E17" s="6" t="n">
        <x:v>15000</x:v>
      </x:c>
      <x:c r="F17" s="6" t="n">
        <x:f>D17-E17</x:f>
        <x:v>-14000</x:v>
      </x:c>
      <x:c r="G17" s="6" t="n">
        <x:f>G16+F17</x:f>
        <x:v>192000</x:v>
      </x:c>
      <x:c r="H17" s="6" t="n">
        <x:v>-24000</x:v>
      </x:c>
      <x:c r="I17" s="6" t="n">
        <x:v>24000</x:v>
      </x:c>
      <x:c r="J17" s="6" t="n">
        <x:v>4</x:v>
      </x:c>
      <x:c r="K17" s="6" t="n">
        <x:v>0</x:v>
      </x:c>
      <x:c r="L17" s="6" t="n">
        <x:v>-14000</x:v>
      </x:c>
    </x:row>
    <x:row r="18" ht="25" customHeight="1">
      <x:c r="A18" s="2" t="str">
        <x:v>2026-10-07_Night</x:v>
      </x:c>
      <x:c r="B18" s="7" t="str">
        <x:v>旧完了場</x:v>
      </x:c>
      <x:c r="C18" s="7" t="str">
        <x:v>下落</x:v>
      </x:c>
      <x:c r="D18" s="6" t="n">
        <x:v>4000</x:v>
      </x:c>
      <x:c r="E18" s="6" t="n">
        <x:v>67600</x:v>
      </x:c>
      <x:c r="F18" s="6" t="n">
        <x:f>D18-E18</x:f>
        <x:v>-63600</x:v>
      </x:c>
      <x:c r="G18" s="6" t="n">
        <x:f>G17+F18</x:f>
        <x:v>128400</x:v>
      </x:c>
      <x:c r="H18" s="6" t="n">
        <x:v>-66300</x:v>
      </x:c>
      <x:c r="I18" s="6" t="n">
        <x:v>76700</x:v>
      </x:c>
      <x:c r="J18" s="6" t="n">
        <x:v>5</x:v>
      </x:c>
      <x:c r="K18" s="6" t="n">
        <x:v>-31200</x:v>
      </x:c>
      <x:c r="L18" s="6" t="n">
        <x:v>-32400</x:v>
      </x:c>
    </x:row>
    <x:row r="19" ht="25" customHeight="1">
      <x:c r="A19" s="2" t="str">
        <x:v>2026-10-08_Night</x:v>
      </x:c>
      <x:c r="B19" s="7" t="str">
        <x:v>旧完了場</x:v>
      </x:c>
      <x:c r="C19" s="7" t="str">
        <x:v>下落</x:v>
      </x:c>
      <x:c r="D19" s="6" t="n">
        <x:v>97500</x:v>
      </x:c>
      <x:c r="E19" s="6" t="n">
        <x:v>35600</x:v>
      </x:c>
      <x:c r="F19" s="6" t="n">
        <x:f>D19-E19</x:f>
        <x:v>61900</x:v>
      </x:c>
      <x:c r="G19" s="6" t="n">
        <x:f>G18+F19</x:f>
        <x:v>190300</x:v>
      </x:c>
      <x:c r="H19" s="6" t="n">
        <x:v>-74200</x:v>
      </x:c>
      <x:c r="I19" s="6" t="n">
        <x:v>82200</x:v>
      </x:c>
      <x:c r="J19" s="6" t="n">
        <x:v>17</x:v>
      </x:c>
      <x:c r="K19" s="6" t="n">
        <x:v>8000</x:v>
      </x:c>
      <x:c r="L19" s="6" t="n">
        <x:v>53900</x:v>
      </x:c>
    </x:row>
    <x:row r="20" ht="25" customHeight="1">
      <x:c r="A20" s="2" t="str">
        <x:v>2026-10-09_Night</x:v>
      </x:c>
      <x:c r="B20" s="7" t="str">
        <x:v>旧完了場</x:v>
      </x:c>
      <x:c r="C20" s="7" t="str">
        <x:v>下落</x:v>
      </x:c>
      <x:c r="D20" s="6" t="n">
        <x:v>9000</x:v>
      </x:c>
      <x:c r="E20" s="6" t="n">
        <x:v>0</x:v>
      </x:c>
      <x:c r="F20" s="6" t="n">
        <x:f>D20-E20</x:f>
        <x:v>9000</x:v>
      </x:c>
      <x:c r="G20" s="6" t="n">
        <x:f>G19+F20</x:f>
        <x:v>199300</x:v>
      </x:c>
      <x:c r="H20" s="6" t="n">
        <x:v>-2000</x:v>
      </x:c>
      <x:c r="I20" s="6" t="n">
        <x:v>5000</x:v>
      </x:c>
      <x:c r="J20" s="6" t="n">
        <x:v>3</x:v>
      </x:c>
      <x:c r="K20" s="6" t="n">
        <x:v>8000</x:v>
      </x:c>
      <x:c r="L20" s="6" t="n">
        <x:v>1000</x:v>
      </x:c>
    </x:row>
    <x:row r="21" ht="25" customHeight="1">
      <x:c r="A21" s="2" t="str">
        <x:v>2026-10-12_Night</x:v>
      </x:c>
      <x:c r="B21" s="7" t="str">
        <x:v>旧完了場</x:v>
      </x:c>
      <x:c r="C21" s="7" t="str">
        <x:v>下落</x:v>
      </x:c>
      <x:c r="D21" s="6" t="n">
        <x:v>19000</x:v>
      </x:c>
      <x:c r="E21" s="6" t="n">
        <x:v>0</x:v>
      </x:c>
      <x:c r="F21" s="6" t="n">
        <x:f>D21-E21</x:f>
        <x:v>19000</x:v>
      </x:c>
      <x:c r="G21" s="6" t="n">
        <x:f>G20+F21</x:f>
        <x:v>218300</x:v>
      </x:c>
      <x:c r="H21" s="6" t="n">
        <x:v>-2000</x:v>
      </x:c>
      <x:c r="I21" s="6" t="n">
        <x:v>4000</x:v>
      </x:c>
      <x:c r="J21" s="6" t="n">
        <x:v>1</x:v>
      </x:c>
      <x:c r="K21" s="6" t="n">
        <x:v>0</x:v>
      </x:c>
      <x:c r="L21" s="6" t="n">
        <x:v>19000</x:v>
      </x:c>
    </x:row>
    <x:row r="22" ht="25" customHeight="1">
      <x:c r="A22" s="2" t="str">
        <x:v>2026-10-13_Night</x:v>
      </x:c>
      <x:c r="B22" s="7" t="str">
        <x:v>旧完了場</x:v>
      </x:c>
      <x:c r="C22" s="7" t="str">
        <x:v>上昇</x:v>
      </x:c>
      <x:c r="D22" s="6" t="n">
        <x:v>3000</x:v>
      </x:c>
      <x:c r="E22" s="6" t="n">
        <x:v>17000</x:v>
      </x:c>
      <x:c r="F22" s="6" t="n">
        <x:f>D22-E22</x:f>
        <x:v>-14000</x:v>
      </x:c>
      <x:c r="G22" s="6" t="n">
        <x:f>G21+F22</x:f>
        <x:v>204300</x:v>
      </x:c>
      <x:c r="H22" s="6" t="n">
        <x:v>-14000</x:v>
      </x:c>
      <x:c r="I22" s="6" t="n">
        <x:v>18000</x:v>
      </x:c>
      <x:c r="J22" s="6" t="n">
        <x:v>3</x:v>
      </x:c>
      <x:c r="K22" s="6" t="n">
        <x:v>3000</x:v>
      </x:c>
      <x:c r="L22" s="6" t="n">
        <x:v>-17000</x:v>
      </x:c>
    </x:row>
    <x:row r="23" ht="25" customHeight="1">
      <x:c r="A23" s="2" t="str">
        <x:v>2026-10-14_Night</x:v>
      </x:c>
      <x:c r="B23" s="7" t="str">
        <x:v>旧完了場</x:v>
      </x:c>
      <x:c r="C23" s="7" t="str">
        <x:v>下落</x:v>
      </x:c>
      <x:c r="D23" s="6" t="n">
        <x:v>14600</x:v>
      </x:c>
      <x:c r="E23" s="6" t="n">
        <x:v>24300</x:v>
      </x:c>
      <x:c r="F23" s="6" t="n">
        <x:f>D23-E23</x:f>
        <x:v>-9700</x:v>
      </x:c>
      <x:c r="G23" s="6" t="n">
        <x:f>G22+F23</x:f>
        <x:v>194600</x:v>
      </x:c>
      <x:c r="H23" s="6" t="n">
        <x:v>-37300</x:v>
      </x:c>
      <x:c r="I23" s="6" t="n">
        <x:v>43000</x:v>
      </x:c>
      <x:c r="J23" s="6" t="n">
        <x:v>5</x:v>
      </x:c>
      <x:c r="K23" s="6" t="n">
        <x:v>3000</x:v>
      </x:c>
      <x:c r="L23" s="6" t="n">
        <x:v>-12700</x:v>
      </x:c>
    </x:row>
    <x:row r="24" ht="25" customHeight="1">
      <x:c r="A24" s="2" t="str">
        <x:v>2026-10-15_Night</x:v>
      </x:c>
      <x:c r="B24" s="7" t="str">
        <x:v>旧完了場</x:v>
      </x:c>
      <x:c r="C24" s="7" t="str">
        <x:v>上昇</x:v>
      </x:c>
      <x:c r="D24" s="6" t="n">
        <x:v>71300</x:v>
      </x:c>
      <x:c r="E24" s="6" t="n">
        <x:v>38500</x:v>
      </x:c>
      <x:c r="F24" s="6" t="n">
        <x:f>D24-E24</x:f>
        <x:v>32800</x:v>
      </x:c>
      <x:c r="G24" s="6" t="n">
        <x:f>G23+F24</x:f>
        <x:v>227400</x:v>
      </x:c>
      <x:c r="H24" s="6" t="n">
        <x:v>-10200</x:v>
      </x:c>
      <x:c r="I24" s="6" t="n">
        <x:v>76500</x:v>
      </x:c>
      <x:c r="J24" s="6" t="n">
        <x:v>7</x:v>
      </x:c>
      <x:c r="K24" s="6" t="n">
        <x:v>0</x:v>
      </x:c>
      <x:c r="L24" s="6" t="n">
        <x:v>32800</x:v>
      </x:c>
    </x:row>
    <x:row r="25" ht="25" customHeight="1">
      <x:c r="A25" s="2" t="str">
        <x:v>2026-10-16_Night</x:v>
      </x:c>
      <x:c r="B25" s="7" t="str">
        <x:v>旧完了場</x:v>
      </x:c>
      <x:c r="C25" s="7" t="str">
        <x:v>下落</x:v>
      </x:c>
      <x:c r="D25" s="6" t="n">
        <x:v>90400</x:v>
      </x:c>
      <x:c r="E25" s="6" t="n">
        <x:v>66000</x:v>
      </x:c>
      <x:c r="F25" s="6" t="n">
        <x:f>D25-E25</x:f>
        <x:v>24400</x:v>
      </x:c>
      <x:c r="G25" s="6" t="n">
        <x:f>G24+F25</x:f>
        <x:v>251800</x:v>
      </x:c>
      <x:c r="H25" s="6" t="n">
        <x:v>-99700</x:v>
      </x:c>
      <x:c r="I25" s="6" t="n">
        <x:v>101700</x:v>
      </x:c>
      <x:c r="J25" s="6" t="n">
        <x:v>14</x:v>
      </x:c>
      <x:c r="K25" s="6" t="n">
        <x:v>-4000</x:v>
      </x:c>
      <x:c r="L25" s="6" t="n">
        <x:v>28400</x:v>
      </x:c>
    </x:row>
    <x:row r="26" ht="25" customHeight="1">
      <x:c r="A26" s="2" t="str">
        <x:v>2026-10-19_Night</x:v>
      </x:c>
      <x:c r="B26" s="7" t="str">
        <x:v>旧完了場</x:v>
      </x:c>
      <x:c r="C26" s="7" t="str">
        <x:v>上昇</x:v>
      </x:c>
      <x:c r="D26" s="6" t="n">
        <x:v>24300</x:v>
      </x:c>
      <x:c r="E26" s="6" t="n">
        <x:v>91200</x:v>
      </x:c>
      <x:c r="F26" s="6" t="n">
        <x:f>D26-E26</x:f>
        <x:v>-66900</x:v>
      </x:c>
      <x:c r="G26" s="6" t="n">
        <x:f>G25+F26</x:f>
        <x:v>184900</x:v>
      </x:c>
      <x:c r="H26" s="6" t="n">
        <x:v>-89700</x:v>
      </x:c>
      <x:c r="I26" s="6" t="n">
        <x:v>97700</x:v>
      </x:c>
      <x:c r="J26" s="6" t="n">
        <x:v>14</x:v>
      </x:c>
      <x:c r="K26" s="6" t="n">
        <x:v>7000</x:v>
      </x:c>
      <x:c r="L26" s="6" t="n">
        <x:v>-73900</x:v>
      </x:c>
    </x:row>
    <x:row r="27" ht="25" customHeight="1">
      <x:c r="A27" s="2" t="str">
        <x:v>2026-10-20_Night</x:v>
      </x:c>
      <x:c r="B27" s="7" t="str">
        <x:v>旧完了場</x:v>
      </x:c>
      <x:c r="C27" s="7" t="str">
        <x:v>上昇</x:v>
      </x:c>
      <x:c r="D27" s="6" t="n">
        <x:v>92800</x:v>
      </x:c>
      <x:c r="E27" s="6" t="n">
        <x:v>0</x:v>
      </x:c>
      <x:c r="F27" s="6" t="n">
        <x:f>D27-E27</x:f>
        <x:v>92800</x:v>
      </x:c>
      <x:c r="G27" s="6" t="n">
        <x:f>G26+F27</x:f>
        <x:v>277700</x:v>
      </x:c>
      <x:c r="H27" s="6" t="n">
        <x:v>-4200</x:v>
      </x:c>
      <x:c r="I27" s="6" t="n">
        <x:v>39200</x:v>
      </x:c>
      <x:c r="J27" s="6" t="n">
        <x:v>11</x:v>
      </x:c>
      <x:c r="K27" s="6" t="n">
        <x:v>24700</x:v>
      </x:c>
      <x:c r="L27" s="6" t="n">
        <x:v>68100</x:v>
      </x:c>
    </x:row>
    <x:row r="28" ht="25" customHeight="1">
      <x:c r="A28" s="2" t="str">
        <x:v>2026-10-21_Night</x:v>
      </x:c>
      <x:c r="B28" s="7" t="str">
        <x:v>旧完了場</x:v>
      </x:c>
      <x:c r="C28" s="7" t="str">
        <x:v>上昇</x:v>
      </x:c>
      <x:c r="D28" s="6" t="n">
        <x:v>24000</x:v>
      </x:c>
      <x:c r="E28" s="6" t="n">
        <x:v>0</x:v>
      </x:c>
      <x:c r="F28" s="6" t="n">
        <x:f>D28-E28</x:f>
        <x:v>24000</x:v>
      </x:c>
      <x:c r="G28" s="6" t="n">
        <x:f>G27+F28</x:f>
        <x:v>301700</x:v>
      </x:c>
      <x:c r="H28" s="6" t="n">
        <x:v>-7000</x:v>
      </x:c>
      <x:c r="I28" s="6" t="n">
        <x:v>15000</x:v>
      </x:c>
      <x:c r="J28" s="6" t="n">
        <x:v>6</x:v>
      </x:c>
      <x:c r="K28" s="6" t="n">
        <x:v>3000</x:v>
      </x:c>
      <x:c r="L28" s="6" t="n">
        <x:v>21000</x:v>
      </x:c>
    </x:row>
    <x:row r="29" ht="25" customHeight="1">
      <x:c r="A29" s="2" t="str">
        <x:v>2026-10-22_Night</x:v>
      </x:c>
      <x:c r="B29" s="7" t="str">
        <x:v>旧完了場</x:v>
      </x:c>
      <x:c r="C29" s="7" t="str">
        <x:v>下落</x:v>
      </x:c>
      <x:c r="D29" s="6" t="n">
        <x:v>77600</x:v>
      </x:c>
      <x:c r="E29" s="6" t="n">
        <x:v>0</x:v>
      </x:c>
      <x:c r="F29" s="6" t="n">
        <x:f>D29-E29</x:f>
        <x:v>77600</x:v>
      </x:c>
      <x:c r="G29" s="6" t="n">
        <x:f>G28+F29</x:f>
        <x:v>379300</x:v>
      </x:c>
      <x:c r="H29" s="6" t="n">
        <x:v>-9200</x:v>
      </x:c>
      <x:c r="I29" s="6" t="n">
        <x:v>36800</x:v>
      </x:c>
      <x:c r="J29" s="6" t="n">
        <x:v>3</x:v>
      </x:c>
      <x:c r="K29" s="6" t="n">
        <x:v>0</x:v>
      </x:c>
      <x:c r="L29" s="6" t="n">
        <x:v>77600</x:v>
      </x:c>
    </x:row>
    <x:row r="30" ht="25" customHeight="1">
      <x:c r="A30" s="2" t="str">
        <x:v>2026-10-23_Night</x:v>
      </x:c>
      <x:c r="B30" s="7" t="str">
        <x:v>旧完了場</x:v>
      </x:c>
      <x:c r="C30" s="7" t="str">
        <x:v>上昇</x:v>
      </x:c>
      <x:c r="D30" s="6" t="n">
        <x:v>57700</x:v>
      </x:c>
      <x:c r="E30" s="6" t="n">
        <x:v>43000</x:v>
      </x:c>
      <x:c r="F30" s="6" t="n">
        <x:f>D30-E30</x:f>
        <x:v>14700</x:v>
      </x:c>
      <x:c r="G30" s="6" t="n">
        <x:f>G29+F30</x:f>
        <x:v>394000</x:v>
      </x:c>
      <x:c r="H30" s="6" t="n">
        <x:v>-36600</x:v>
      </x:c>
      <x:c r="I30" s="6" t="n">
        <x:v>43600</x:v>
      </x:c>
      <x:c r="J30" s="6" t="n">
        <x:v>11</x:v>
      </x:c>
      <x:c r="K30" s="6" t="n">
        <x:v>-10800</x:v>
      </x:c>
      <x:c r="L30" s="6" t="n">
        <x:v>25500</x:v>
      </x:c>
    </x:row>
    <x:row r="31" ht="25" customHeight="1">
      <x:c r="A31" s="2" t="str">
        <x:v>2026-10-26_Night</x:v>
      </x:c>
      <x:c r="B31" s="7" t="str">
        <x:v>追加完了版</x:v>
      </x:c>
      <x:c r="C31" s="7" t="str">
        <x:v>上昇</x:v>
      </x:c>
      <x:c r="D31" s="6" t="n">
        <x:v>54700</x:v>
      </x:c>
      <x:c r="E31" s="6" t="n">
        <x:v>94100</x:v>
      </x:c>
      <x:c r="F31" s="6" t="n">
        <x:f>D31-E31</x:f>
        <x:v>-39400</x:v>
      </x:c>
      <x:c r="G31" s="6" t="n">
        <x:f>G30+F31</x:f>
        <x:v>354600</x:v>
      </x:c>
      <x:c r="H31" s="6" t="n">
        <x:v>-42400</x:v>
      </x:c>
      <x:c r="I31" s="6" t="n">
        <x:v>72600</x:v>
      </x:c>
      <x:c r="J31" s="6" t="n">
        <x:v>12</x:v>
      </x:c>
      <x:c r="K31" s="6" t="n">
        <x:v>3000</x:v>
      </x:c>
      <x:c r="L31" s="6" t="n">
        <x:v>-42400</x:v>
      </x:c>
    </x:row>
    <x:row r="32" ht="25" customHeight="1">
      <x:c r="A32" s="14" t="str">
        <x:v>累計／場内最悪値</x:v>
      </x:c>
      <x:c r="B32" s="15"/>
      <x:c r="C32" s="15"/>
      <x:c r="D32" s="15" t="n">
        <x:f>SUM(D6:D31)</x:f>
        <x:v>972700</x:v>
      </x:c>
      <x:c r="E32" s="15" t="n">
        <x:f>SUM(E6:E31)</x:f>
        <x:v>618100</x:v>
      </x:c>
      <x:c r="F32" s="15" t="n">
        <x:f>D32-E32</x:f>
        <x:v>354600</x:v>
      </x:c>
      <x:c r="G32" s="15" t="n">
        <x:f>G31</x:f>
        <x:v>354600</x:v>
      </x:c>
      <x:c r="H32" s="15" t="n">
        <x:f>MIN(H6:H31)</x:f>
        <x:v>-99700</x:v>
      </x:c>
      <x:c r="I32" s="15" t="n">
        <x:f>MAX(I6:I31)</x:f>
        <x:v>101700</x:v>
      </x:c>
      <x:c r="J32" s="15" t="n">
        <x:f>SUM(J6:J31)</x:f>
        <x:v>184</x:v>
      </x:c>
      <x:c r="K32" s="15" t="n">
        <x:f>SUM(K6:K31)</x:f>
        <x:v>69400</x:v>
      </x:c>
      <x:c r="L32" s="15" t="n">
        <x:f>SUM(L6:L31)</x:f>
        <x:v>285200</x:v>
      </x:c>
    </x:row>
  </x:sheetData>
  <x:conditionalFormatting sqref="F6:H31">
    <x:cfRule type="cellIs" dxfId="18" priority="1" operator="lessThan">
      <x:formula>0</x:formula>
    </x:cfRule>
  </x:conditionalFormatting>
  <x:conditionalFormatting sqref="K6:L31">
    <x:cfRule type="cellIs" dxfId="19" priority="2" operator="lessThan">
      <x:formula>0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2b986b9305d043ed"/>
  </x:tableParts>
</x:worksheet>
</file>

<file path=xl/worksheets/sheet13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25" hidden="0" customWidth="1"/>
    <x:col min="2" max="2" width="15" hidden="0" customWidth="1"/>
    <x:col min="3" max="3" width="10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  <x:col min="12" max="12" width="16" hidden="0" customWidth="1"/>
  </x:cols>
  <x:sheetData>
    <x:row r="1" ht="10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</x:row>
    <x:row r="2" ht="25" customHeight="1">
      <x:c r="A2" s="3" t="str">
        <x:v>日経 N10　夜間損益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</x:row>
    <x:row r="3" ht="25" customHeight="1">
      <x:c r="A3" s="4" t="str">
        <x:v>後半全玉20pt起動20pt追尾</x:v>
      </x:c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</x:row>
    <x:row r="4" ht="25" customHeight="1">
      <x:c r="A4" s="4" t="str">
        <x:v>片側micro100枚＝mini10枚相当・手数料0。途中最悪は確定＋全玉含み、最大下落は当場ピークからの落差。</x:v>
      </x:c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</x:row>
    <x:row r="5" ht="45" customHeight="1">
      <x:c r="A5" s="11" t="str">
        <x:v>セッション</x:v>
      </x:c>
      <x:c r="B5" s="11" t="str">
        <x:v>資料区分</x:v>
      </x:c>
      <x:c r="C5" s="11" t="str">
        <x:v>場の方向</x:v>
      </x:c>
      <x:c r="D5" s="11" t="str">
        <x:v>利益（円）</x:v>
      </x:c>
      <x:c r="E5" s="11" t="str">
        <x:v>損失（円）</x:v>
      </x:c>
      <x:c r="F5" s="11" t="str">
        <x:v>収支（円）</x:v>
      </x:c>
      <x:c r="G5" s="11" t="str">
        <x:v>累計（円）</x:v>
      </x:c>
      <x:c r="H5" s="11" t="str">
        <x:v>途中最悪収支（円）</x:v>
      </x:c>
      <x:c r="I5" s="11" t="str">
        <x:v>最大下落額（円）</x:v>
      </x:c>
      <x:c r="J5" s="11" t="str">
        <x:v>新規回数</x:v>
      </x:c>
      <x:c r="K5" s="11" t="str">
        <x:v>米国前収支（円）</x:v>
      </x:c>
      <x:c r="L5" s="11" t="str">
        <x:v>米国後収支（円）</x:v>
      </x:c>
    </x:row>
    <x:row r="6" ht="25" customHeight="1">
      <x:c r="A6" s="2" t="str">
        <x:v>2026-09-21_Night</x:v>
      </x:c>
      <x:c r="B6" s="7" t="str">
        <x:v>旧完了場</x:v>
      </x:c>
      <x:c r="C6" s="7" t="str">
        <x:v>上昇</x:v>
      </x:c>
      <x:c r="D6" s="6" t="n">
        <x:v>2000</x:v>
      </x:c>
      <x:c r="E6" s="6" t="n">
        <x:v>0</x:v>
      </x:c>
      <x:c r="F6" s="6" t="n">
        <x:f>D6-E6</x:f>
        <x:v>2000</x:v>
      </x:c>
      <x:c r="G6" s="6" t="n">
        <x:f>F6</x:f>
        <x:v>2000</x:v>
      </x:c>
      <x:c r="H6" s="6" t="n">
        <x:v>-2000</x:v>
      </x:c>
      <x:c r="I6" s="6" t="n">
        <x:v>2000</x:v>
      </x:c>
      <x:c r="J6" s="6" t="n">
        <x:v>1</x:v>
      </x:c>
      <x:c r="K6" s="6" t="n">
        <x:v>0</x:v>
      </x:c>
      <x:c r="L6" s="6" t="n">
        <x:v>2000</x:v>
      </x:c>
    </x:row>
    <x:row r="7" ht="25" customHeight="1">
      <x:c r="A7" s="2" t="str">
        <x:v>2026-09-22_Night</x:v>
      </x:c>
      <x:c r="B7" s="7" t="str">
        <x:v>旧完了場</x:v>
      </x:c>
      <x:c r="C7" s="7" t="str">
        <x:v>上昇</x:v>
      </x:c>
      <x:c r="D7" s="6" t="n">
        <x:v>4000</x:v>
      </x:c>
      <x:c r="E7" s="6" t="n">
        <x:v>0</x:v>
      </x:c>
      <x:c r="F7" s="6" t="n">
        <x:f>D7-E7</x:f>
        <x:v>4000</x:v>
      </x:c>
      <x:c r="G7" s="6" t="n">
        <x:f>G6+F7</x:f>
        <x:v>6000</x:v>
      </x:c>
      <x:c r="H7" s="6" t="n">
        <x:v>-9000</x:v>
      </x:c>
      <x:c r="I7" s="6" t="n">
        <x:v>11000</x:v>
      </x:c>
      <x:c r="J7" s="6" t="n">
        <x:v>2</x:v>
      </x:c>
      <x:c r="K7" s="6" t="n">
        <x:v>3000</x:v>
      </x:c>
      <x:c r="L7" s="6" t="n">
        <x:v>1000</x:v>
      </x:c>
    </x:row>
    <x:row r="8" ht="25" customHeight="1">
      <x:c r="A8" s="2" t="str">
        <x:v>2026-09-23_Night</x:v>
      </x:c>
      <x:c r="B8" s="7" t="str">
        <x:v>旧完了場</x:v>
      </x:c>
      <x:c r="C8" s="7" t="str">
        <x:v>下落</x:v>
      </x:c>
      <x:c r="D8" s="6" t="n">
        <x:v>64200</x:v>
      </x:c>
      <x:c r="E8" s="6" t="n">
        <x:v>8000</x:v>
      </x:c>
      <x:c r="F8" s="6" t="n">
        <x:f>D8-E8</x:f>
        <x:v>56200</x:v>
      </x:c>
      <x:c r="G8" s="6" t="n">
        <x:f>G7+F8</x:f>
        <x:v>62200</x:v>
      </x:c>
      <x:c r="H8" s="6" t="n">
        <x:v>-30800</x:v>
      </x:c>
      <x:c r="I8" s="6" t="n">
        <x:v>30800</x:v>
      </x:c>
      <x:c r="J8" s="6" t="n">
        <x:v>3</x:v>
      </x:c>
      <x:c r="K8" s="6" t="n">
        <x:v>0</x:v>
      </x:c>
      <x:c r="L8" s="6" t="n">
        <x:v>56200</x:v>
      </x:c>
    </x:row>
    <x:row r="9" ht="25" customHeight="1">
      <x:c r="A9" s="2" t="str">
        <x:v>2026-09-24_Night</x:v>
      </x:c>
      <x:c r="B9" s="7" t="str">
        <x:v>旧完了場</x:v>
      </x:c>
      <x:c r="C9" s="7" t="str">
        <x:v>上昇</x:v>
      </x:c>
      <x:c r="D9" s="6" t="n">
        <x:v>9000</x:v>
      </x:c>
      <x:c r="E9" s="6" t="n">
        <x:v>0</x:v>
      </x:c>
      <x:c r="F9" s="6" t="n">
        <x:f>D9-E9</x:f>
        <x:v>9000</x:v>
      </x:c>
      <x:c r="G9" s="6" t="n">
        <x:f>G8+F9</x:f>
        <x:v>71200</x:v>
      </x:c>
      <x:c r="H9" s="6" t="n">
        <x:v>-17000</x:v>
      </x:c>
      <x:c r="I9" s="6" t="n">
        <x:v>18000</x:v>
      </x:c>
      <x:c r="J9" s="6" t="n">
        <x:v>4</x:v>
      </x:c>
      <x:c r="K9" s="6" t="n">
        <x:v>6000</x:v>
      </x:c>
      <x:c r="L9" s="6" t="n">
        <x:v>3000</x:v>
      </x:c>
    </x:row>
    <x:row r="10" ht="25" customHeight="1">
      <x:c r="A10" s="2" t="str">
        <x:v>2026-09-25_Night</x:v>
      </x:c>
      <x:c r="B10" s="7" t="str">
        <x:v>旧完了場</x:v>
      </x:c>
      <x:c r="C10" s="7" t="str">
        <x:v>上昇</x:v>
      </x:c>
      <x:c r="D10" s="6" t="n">
        <x:v>6000</x:v>
      </x:c>
      <x:c r="E10" s="6" t="n">
        <x:v>0</x:v>
      </x:c>
      <x:c r="F10" s="6" t="n">
        <x:f>D10-E10</x:f>
        <x:v>6000</x:v>
      </x:c>
      <x:c r="G10" s="6" t="n">
        <x:f>G9+F10</x:f>
        <x:v>77200</x:v>
      </x:c>
      <x:c r="H10" s="6" t="n">
        <x:v>-10000</x:v>
      </x:c>
      <x:c r="I10" s="6" t="n">
        <x:v>10000</x:v>
      </x:c>
      <x:c r="J10" s="6" t="n">
        <x:v>2</x:v>
      </x:c>
      <x:c r="K10" s="6" t="n">
        <x:v>0</x:v>
      </x:c>
      <x:c r="L10" s="6" t="n">
        <x:v>6000</x:v>
      </x:c>
    </x:row>
    <x:row r="11" ht="25" customHeight="1">
      <x:c r="A11" s="2" t="str">
        <x:v>2026-09-28_Night</x:v>
      </x:c>
      <x:c r="B11" s="7" t="str">
        <x:v>旧完了場</x:v>
      </x:c>
      <x:c r="C11" s="7" t="str">
        <x:v>横ばい</x:v>
      </x:c>
      <x:c r="D11" s="6" t="n">
        <x:v>6000</x:v>
      </x:c>
      <x:c r="E11" s="6" t="n">
        <x:v>22500</x:v>
      </x:c>
      <x:c r="F11" s="6" t="n">
        <x:f>D11-E11</x:f>
        <x:v>-16500</x:v>
      </x:c>
      <x:c r="G11" s="6" t="n">
        <x:f>G10+F11</x:f>
        <x:v>60700</x:v>
      </x:c>
      <x:c r="H11" s="6" t="n">
        <x:v>-16500</x:v>
      </x:c>
      <x:c r="I11" s="6" t="n">
        <x:v>24500</x:v>
      </x:c>
      <x:c r="J11" s="6" t="n">
        <x:v>5</x:v>
      </x:c>
      <x:c r="K11" s="6" t="n">
        <x:v>6000</x:v>
      </x:c>
      <x:c r="L11" s="6" t="n">
        <x:v>-22500</x:v>
      </x:c>
    </x:row>
    <x:row r="12" ht="25" customHeight="1">
      <x:c r="A12" s="2" t="str">
        <x:v>2026-09-29_Night</x:v>
      </x:c>
      <x:c r="B12" s="7" t="str">
        <x:v>旧完了場</x:v>
      </x:c>
      <x:c r="C12" s="7" t="str">
        <x:v>上昇</x:v>
      </x:c>
      <x:c r="D12" s="6" t="n">
        <x:v>5800</x:v>
      </x:c>
      <x:c r="E12" s="6" t="n">
        <x:v>23400</x:v>
      </x:c>
      <x:c r="F12" s="6" t="n">
        <x:f>D12-E12</x:f>
        <x:v>-17600</x:v>
      </x:c>
      <x:c r="G12" s="6" t="n">
        <x:f>G11+F12</x:f>
        <x:v>43100</x:v>
      </x:c>
      <x:c r="H12" s="6" t="n">
        <x:v>-37400</x:v>
      </x:c>
      <x:c r="I12" s="6" t="n">
        <x:v>38400</x:v>
      </x:c>
      <x:c r="J12" s="6" t="n">
        <x:v>6</x:v>
      </x:c>
      <x:c r="K12" s="6" t="n">
        <x:v>0</x:v>
      </x:c>
      <x:c r="L12" s="6" t="n">
        <x:v>-17600</x:v>
      </x:c>
    </x:row>
    <x:row r="13" ht="25" customHeight="1">
      <x:c r="A13" s="2" t="str">
        <x:v>2026-09-30_Night</x:v>
      </x:c>
      <x:c r="B13" s="7" t="str">
        <x:v>旧完了場</x:v>
      </x:c>
      <x:c r="C13" s="7" t="str">
        <x:v>下落</x:v>
      </x:c>
      <x:c r="D13" s="6" t="n">
        <x:v>20700</x:v>
      </x:c>
      <x:c r="E13" s="6" t="n">
        <x:v>0</x:v>
      </x:c>
      <x:c r="F13" s="6" t="n">
        <x:f>D13-E13</x:f>
        <x:v>20700</x:v>
      </x:c>
      <x:c r="G13" s="6" t="n">
        <x:f>G12+F13</x:f>
        <x:v>63800</x:v>
      </x:c>
      <x:c r="H13" s="6" t="n">
        <x:v>-24600</x:v>
      </x:c>
      <x:c r="I13" s="6" t="n">
        <x:v>49200</x:v>
      </x:c>
      <x:c r="J13" s="6" t="n">
        <x:v>6</x:v>
      </x:c>
      <x:c r="K13" s="6" t="n">
        <x:v>12900</x:v>
      </x:c>
      <x:c r="L13" s="6" t="n">
        <x:v>7800</x:v>
      </x:c>
    </x:row>
    <x:row r="14" ht="25" customHeight="1">
      <x:c r="A14" s="2" t="str">
        <x:v>2026-10-01_Night</x:v>
      </x:c>
      <x:c r="B14" s="7" t="str">
        <x:v>旧完了場</x:v>
      </x:c>
      <x:c r="C14" s="7" t="str">
        <x:v>上昇</x:v>
      </x:c>
      <x:c r="D14" s="6" t="n">
        <x:v>41800</x:v>
      </x:c>
      <x:c r="E14" s="6" t="n">
        <x:v>32000</x:v>
      </x:c>
      <x:c r="F14" s="6" t="n">
        <x:f>D14-E14</x:f>
        <x:v>9800</x:v>
      </x:c>
      <x:c r="G14" s="6" t="n">
        <x:f>G13+F14</x:f>
        <x:v>73600</x:v>
      </x:c>
      <x:c r="H14" s="6" t="n">
        <x:v>-20200</x:v>
      </x:c>
      <x:c r="I14" s="6" t="n">
        <x:v>61000</x:v>
      </x:c>
      <x:c r="J14" s="6" t="n">
        <x:v>16</x:v>
      </x:c>
      <x:c r="K14" s="6" t="n">
        <x:v>24800</x:v>
      </x:c>
      <x:c r="L14" s="6" t="n">
        <x:v>-15000</x:v>
      </x:c>
    </x:row>
    <x:row r="15" ht="25" customHeight="1">
      <x:c r="A15" s="2" t="str">
        <x:v>2026-10-02_Night</x:v>
      </x:c>
      <x:c r="B15" s="7" t="str">
        <x:v>旧完了場</x:v>
      </x:c>
      <x:c r="C15" s="7" t="str">
        <x:v>上昇</x:v>
      </x:c>
      <x:c r="D15" s="6" t="n">
        <x:v>49200</x:v>
      </x:c>
      <x:c r="E15" s="6" t="n">
        <x:v>4500</x:v>
      </x:c>
      <x:c r="F15" s="6" t="n">
        <x:f>D15-E15</x:f>
        <x:v>44700</x:v>
      </x:c>
      <x:c r="G15" s="6" t="n">
        <x:f>G14+F15</x:f>
        <x:v>118300</x:v>
      </x:c>
      <x:c r="H15" s="6" t="n">
        <x:v>-14000</x:v>
      </x:c>
      <x:c r="I15" s="6" t="n">
        <x:v>25000</x:v>
      </x:c>
      <x:c r="J15" s="6" t="n">
        <x:v>15</x:v>
      </x:c>
      <x:c r="K15" s="6" t="n">
        <x:v>0</x:v>
      </x:c>
      <x:c r="L15" s="6" t="n">
        <x:v>44700</x:v>
      </x:c>
    </x:row>
    <x:row r="16" ht="25" customHeight="1">
      <x:c r="A16" s="2" t="str">
        <x:v>2026-10-05_Night</x:v>
      </x:c>
      <x:c r="B16" s="7" t="str">
        <x:v>旧完了場</x:v>
      </x:c>
      <x:c r="C16" s="7" t="str">
        <x:v>下落</x:v>
      </x:c>
      <x:c r="D16" s="6" t="n">
        <x:v>13300</x:v>
      </x:c>
      <x:c r="E16" s="6" t="n">
        <x:v>0</x:v>
      </x:c>
      <x:c r="F16" s="6" t="n">
        <x:f>D16-E16</x:f>
        <x:v>13300</x:v>
      </x:c>
      <x:c r="G16" s="6" t="n">
        <x:f>G15+F16</x:f>
        <x:v>131600</x:v>
      </x:c>
      <x:c r="H16" s="6" t="n">
        <x:v>-10800</x:v>
      </x:c>
      <x:c r="I16" s="6" t="n">
        <x:v>21000</x:v>
      </x:c>
      <x:c r="J16" s="6" t="n">
        <x:v>8</x:v>
      </x:c>
      <x:c r="K16" s="6" t="n">
        <x:v>3000</x:v>
      </x:c>
      <x:c r="L16" s="6" t="n">
        <x:v>10300</x:v>
      </x:c>
    </x:row>
    <x:row r="17" ht="25" customHeight="1">
      <x:c r="A17" s="2" t="str">
        <x:v>2026-10-06_Night</x:v>
      </x:c>
      <x:c r="B17" s="7" t="str">
        <x:v>旧完了場</x:v>
      </x:c>
      <x:c r="C17" s="7" t="str">
        <x:v>横ばい</x:v>
      </x:c>
      <x:c r="D17" s="6" t="n">
        <x:v>1000</x:v>
      </x:c>
      <x:c r="E17" s="6" t="n">
        <x:v>15000</x:v>
      </x:c>
      <x:c r="F17" s="6" t="n">
        <x:f>D17-E17</x:f>
        <x:v>-14000</x:v>
      </x:c>
      <x:c r="G17" s="6" t="n">
        <x:f>G16+F17</x:f>
        <x:v>117600</x:v>
      </x:c>
      <x:c r="H17" s="6" t="n">
        <x:v>-23000</x:v>
      </x:c>
      <x:c r="I17" s="6" t="n">
        <x:v>23000</x:v>
      </x:c>
      <x:c r="J17" s="6" t="n">
        <x:v>4</x:v>
      </x:c>
      <x:c r="K17" s="6" t="n">
        <x:v>0</x:v>
      </x:c>
      <x:c r="L17" s="6" t="n">
        <x:v>-14000</x:v>
      </x:c>
    </x:row>
    <x:row r="18" ht="25" customHeight="1">
      <x:c r="A18" s="2" t="str">
        <x:v>2026-10-07_Night</x:v>
      </x:c>
      <x:c r="B18" s="7" t="str">
        <x:v>旧完了場</x:v>
      </x:c>
      <x:c r="C18" s="7" t="str">
        <x:v>下落</x:v>
      </x:c>
      <x:c r="D18" s="6" t="n">
        <x:v>4000</x:v>
      </x:c>
      <x:c r="E18" s="6" t="n">
        <x:v>62200</x:v>
      </x:c>
      <x:c r="F18" s="6" t="n">
        <x:f>D18-E18</x:f>
        <x:v>-58200</x:v>
      </x:c>
      <x:c r="G18" s="6" t="n">
        <x:f>G17+F18</x:f>
        <x:v>59400</x:v>
      </x:c>
      <x:c r="H18" s="6" t="n">
        <x:v>-60900</x:v>
      </x:c>
      <x:c r="I18" s="6" t="n">
        <x:v>71300</x:v>
      </x:c>
      <x:c r="J18" s="6" t="n">
        <x:v>5</x:v>
      </x:c>
      <x:c r="K18" s="6" t="n">
        <x:v>-31200</x:v>
      </x:c>
      <x:c r="L18" s="6" t="n">
        <x:v>-27000</x:v>
      </x:c>
    </x:row>
    <x:row r="19" ht="25" customHeight="1">
      <x:c r="A19" s="2" t="str">
        <x:v>2026-10-08_Night</x:v>
      </x:c>
      <x:c r="B19" s="7" t="str">
        <x:v>旧完了場</x:v>
      </x:c>
      <x:c r="C19" s="7" t="str">
        <x:v>下落</x:v>
      </x:c>
      <x:c r="D19" s="6" t="n">
        <x:v>52900</x:v>
      </x:c>
      <x:c r="E19" s="6" t="n">
        <x:v>8000</x:v>
      </x:c>
      <x:c r="F19" s="6" t="n">
        <x:f>D19-E19</x:f>
        <x:v>44900</x:v>
      </x:c>
      <x:c r="G19" s="6" t="n">
        <x:f>G18+F19</x:f>
        <x:v>104300</x:v>
      </x:c>
      <x:c r="H19" s="6" t="n">
        <x:v>-74200</x:v>
      </x:c>
      <x:c r="I19" s="6" t="n">
        <x:v>82200</x:v>
      </x:c>
      <x:c r="J19" s="6" t="n">
        <x:v>17</x:v>
      </x:c>
      <x:c r="K19" s="6" t="n">
        <x:v>8000</x:v>
      </x:c>
      <x:c r="L19" s="6" t="n">
        <x:v>36900</x:v>
      </x:c>
    </x:row>
    <x:row r="20" ht="25" customHeight="1">
      <x:c r="A20" s="2" t="str">
        <x:v>2026-10-09_Night</x:v>
      </x:c>
      <x:c r="B20" s="7" t="str">
        <x:v>旧完了場</x:v>
      </x:c>
      <x:c r="C20" s="7" t="str">
        <x:v>下落</x:v>
      </x:c>
      <x:c r="D20" s="6" t="n">
        <x:v>8000</x:v>
      </x:c>
      <x:c r="E20" s="6" t="n">
        <x:v>0</x:v>
      </x:c>
      <x:c r="F20" s="6" t="n">
        <x:f>D20-E20</x:f>
        <x:v>8000</x:v>
      </x:c>
      <x:c r="G20" s="6" t="n">
        <x:f>G19+F20</x:f>
        <x:v>112300</x:v>
      </x:c>
      <x:c r="H20" s="6" t="n">
        <x:v>-2000</x:v>
      </x:c>
      <x:c r="I20" s="6" t="n">
        <x:v>5000</x:v>
      </x:c>
      <x:c r="J20" s="6" t="n">
        <x:v>3</x:v>
      </x:c>
      <x:c r="K20" s="6" t="n">
        <x:v>8000</x:v>
      </x:c>
      <x:c r="L20" s="6" t="n">
        <x:v>0</x:v>
      </x:c>
    </x:row>
    <x:row r="21" ht="25" customHeight="1">
      <x:c r="A21" s="2" t="str">
        <x:v>2026-10-12_Night</x:v>
      </x:c>
      <x:c r="B21" s="7" t="str">
        <x:v>旧完了場</x:v>
      </x:c>
      <x:c r="C21" s="7" t="str">
        <x:v>下落</x:v>
      </x:c>
      <x:c r="D21" s="6" t="n">
        <x:v>0</x:v>
      </x:c>
      <x:c r="E21" s="6" t="n">
        <x:v>0</x:v>
      </x:c>
      <x:c r="F21" s="6" t="n">
        <x:f>D21-E21</x:f>
        <x:v>0</x:v>
      </x:c>
      <x:c r="G21" s="6" t="n">
        <x:f>G20+F21</x:f>
        <x:v>112300</x:v>
      </x:c>
      <x:c r="H21" s="6" t="n">
        <x:v>-2000</x:v>
      </x:c>
      <x:c r="I21" s="6" t="n">
        <x:v>2000</x:v>
      </x:c>
      <x:c r="J21" s="6" t="n">
        <x:v>1</x:v>
      </x:c>
      <x:c r="K21" s="6" t="n">
        <x:v>0</x:v>
      </x:c>
      <x:c r="L21" s="6" t="n">
        <x:v>0</x:v>
      </x:c>
    </x:row>
    <x:row r="22" ht="25" customHeight="1">
      <x:c r="A22" s="2" t="str">
        <x:v>2026-10-13_Night</x:v>
      </x:c>
      <x:c r="B22" s="7" t="str">
        <x:v>旧完了場</x:v>
      </x:c>
      <x:c r="C22" s="7" t="str">
        <x:v>上昇</x:v>
      </x:c>
      <x:c r="D22" s="6" t="n">
        <x:v>3000</x:v>
      </x:c>
      <x:c r="E22" s="6" t="n">
        <x:v>17000</x:v>
      </x:c>
      <x:c r="F22" s="6" t="n">
        <x:f>D22-E22</x:f>
        <x:v>-14000</x:v>
      </x:c>
      <x:c r="G22" s="6" t="n">
        <x:f>G21+F22</x:f>
        <x:v>98300</x:v>
      </x:c>
      <x:c r="H22" s="6" t="n">
        <x:v>-14000</x:v>
      </x:c>
      <x:c r="I22" s="6" t="n">
        <x:v>18000</x:v>
      </x:c>
      <x:c r="J22" s="6" t="n">
        <x:v>3</x:v>
      </x:c>
      <x:c r="K22" s="6" t="n">
        <x:v>3000</x:v>
      </x:c>
      <x:c r="L22" s="6" t="n">
        <x:v>-17000</x:v>
      </x:c>
    </x:row>
    <x:row r="23" ht="25" customHeight="1">
      <x:c r="A23" s="2" t="str">
        <x:v>2026-10-14_Night</x:v>
      </x:c>
      <x:c r="B23" s="7" t="str">
        <x:v>旧完了場</x:v>
      </x:c>
      <x:c r="C23" s="7" t="str">
        <x:v>下落</x:v>
      </x:c>
      <x:c r="D23" s="6" t="n">
        <x:v>7600</x:v>
      </x:c>
      <x:c r="E23" s="6" t="n">
        <x:v>24300</x:v>
      </x:c>
      <x:c r="F23" s="6" t="n">
        <x:f>D23-E23</x:f>
        <x:v>-16700</x:v>
      </x:c>
      <x:c r="G23" s="6" t="n">
        <x:f>G22+F23</x:f>
        <x:v>81600</x:v>
      </x:c>
      <x:c r="H23" s="6" t="n">
        <x:v>-37300</x:v>
      </x:c>
      <x:c r="I23" s="6" t="n">
        <x:v>43000</x:v>
      </x:c>
      <x:c r="J23" s="6" t="n">
        <x:v>5</x:v>
      </x:c>
      <x:c r="K23" s="6" t="n">
        <x:v>3000</x:v>
      </x:c>
      <x:c r="L23" s="6" t="n">
        <x:v>-19700</x:v>
      </x:c>
    </x:row>
    <x:row r="24" ht="25" customHeight="1">
      <x:c r="A24" s="2" t="str">
        <x:v>2026-10-15_Night</x:v>
      </x:c>
      <x:c r="B24" s="7" t="str">
        <x:v>旧完了場</x:v>
      </x:c>
      <x:c r="C24" s="7" t="str">
        <x:v>上昇</x:v>
      </x:c>
      <x:c r="D24" s="6" t="n">
        <x:v>37700</x:v>
      </x:c>
      <x:c r="E24" s="6" t="n">
        <x:v>30000</x:v>
      </x:c>
      <x:c r="F24" s="6" t="n">
        <x:f>D24-E24</x:f>
        <x:v>7700</x:v>
      </x:c>
      <x:c r="G24" s="6" t="n">
        <x:f>G23+F24</x:f>
        <x:v>89300</x:v>
      </x:c>
      <x:c r="H24" s="6" t="n">
        <x:v>-40800</x:v>
      </x:c>
      <x:c r="I24" s="6" t="n">
        <x:v>66300</x:v>
      </x:c>
      <x:c r="J24" s="6" t="n">
        <x:v>7</x:v>
      </x:c>
      <x:c r="K24" s="6" t="n">
        <x:v>0</x:v>
      </x:c>
      <x:c r="L24" s="6" t="n">
        <x:v>7700</x:v>
      </x:c>
    </x:row>
    <x:row r="25" ht="25" customHeight="1">
      <x:c r="A25" s="2" t="str">
        <x:v>2026-10-16_Night</x:v>
      </x:c>
      <x:c r="B25" s="7" t="str">
        <x:v>旧完了場</x:v>
      </x:c>
      <x:c r="C25" s="7" t="str">
        <x:v>下落</x:v>
      </x:c>
      <x:c r="D25" s="6" t="n">
        <x:v>32000</x:v>
      </x:c>
      <x:c r="E25" s="6" t="n">
        <x:v>4000</x:v>
      </x:c>
      <x:c r="F25" s="6" t="n">
        <x:f>D25-E25</x:f>
        <x:v>28000</x:v>
      </x:c>
      <x:c r="G25" s="6" t="n">
        <x:f>G24+F25</x:f>
        <x:v>117300</x:v>
      </x:c>
      <x:c r="H25" s="6" t="n">
        <x:v>-89700</x:v>
      </x:c>
      <x:c r="I25" s="6" t="n">
        <x:v>91700</x:v>
      </x:c>
      <x:c r="J25" s="6" t="n">
        <x:v>14</x:v>
      </x:c>
      <x:c r="K25" s="6" t="n">
        <x:v>-4000</x:v>
      </x:c>
      <x:c r="L25" s="6" t="n">
        <x:v>32000</x:v>
      </x:c>
    </x:row>
    <x:row r="26" ht="25" customHeight="1">
      <x:c r="A26" s="2" t="str">
        <x:v>2026-10-19_Night</x:v>
      </x:c>
      <x:c r="B26" s="7" t="str">
        <x:v>旧完了場</x:v>
      </x:c>
      <x:c r="C26" s="7" t="str">
        <x:v>上昇</x:v>
      </x:c>
      <x:c r="D26" s="6" t="n">
        <x:v>26900</x:v>
      </x:c>
      <x:c r="E26" s="6" t="n">
        <x:v>94100</x:v>
      </x:c>
      <x:c r="F26" s="6" t="n">
        <x:f>D26-E26</x:f>
        <x:v>-67200</x:v>
      </x:c>
      <x:c r="G26" s="6" t="n">
        <x:f>G25+F26</x:f>
        <x:v>50100</x:v>
      </x:c>
      <x:c r="H26" s="6" t="n">
        <x:v>-93200</x:v>
      </x:c>
      <x:c r="I26" s="6" t="n">
        <x:v>101200</x:v>
      </x:c>
      <x:c r="J26" s="6" t="n">
        <x:v>14</x:v>
      </x:c>
      <x:c r="K26" s="6" t="n">
        <x:v>7000</x:v>
      </x:c>
      <x:c r="L26" s="6" t="n">
        <x:v>-74200</x:v>
      </x:c>
    </x:row>
    <x:row r="27" ht="25" customHeight="1">
      <x:c r="A27" s="2" t="str">
        <x:v>2026-10-20_Night</x:v>
      </x:c>
      <x:c r="B27" s="7" t="str">
        <x:v>旧完了場</x:v>
      </x:c>
      <x:c r="C27" s="7" t="str">
        <x:v>上昇</x:v>
      </x:c>
      <x:c r="D27" s="6" t="n">
        <x:v>50000</x:v>
      </x:c>
      <x:c r="E27" s="6" t="n">
        <x:v>0</x:v>
      </x:c>
      <x:c r="F27" s="6" t="n">
        <x:f>D27-E27</x:f>
        <x:v>50000</x:v>
      </x:c>
      <x:c r="G27" s="6" t="n">
        <x:f>G26+F27</x:f>
        <x:v>100100</x:v>
      </x:c>
      <x:c r="H27" s="6" t="n">
        <x:v>-4200</x:v>
      </x:c>
      <x:c r="I27" s="6" t="n">
        <x:v>29200</x:v>
      </x:c>
      <x:c r="J27" s="6" t="n">
        <x:v>11</x:v>
      </x:c>
      <x:c r="K27" s="6" t="n">
        <x:v>24700</x:v>
      </x:c>
      <x:c r="L27" s="6" t="n">
        <x:v>25300</x:v>
      </x:c>
    </x:row>
    <x:row r="28" ht="25" customHeight="1">
      <x:c r="A28" s="2" t="str">
        <x:v>2026-10-21_Night</x:v>
      </x:c>
      <x:c r="B28" s="7" t="str">
        <x:v>旧完了場</x:v>
      </x:c>
      <x:c r="C28" s="7" t="str">
        <x:v>上昇</x:v>
      </x:c>
      <x:c r="D28" s="6" t="n">
        <x:v>11000</x:v>
      </x:c>
      <x:c r="E28" s="6" t="n">
        <x:v>0</x:v>
      </x:c>
      <x:c r="F28" s="6" t="n">
        <x:f>D28-E28</x:f>
        <x:v>11000</x:v>
      </x:c>
      <x:c r="G28" s="6" t="n">
        <x:f>G27+F28</x:f>
        <x:v>111100</x:v>
      </x:c>
      <x:c r="H28" s="6" t="n">
        <x:v>-7000</x:v>
      </x:c>
      <x:c r="I28" s="6" t="n">
        <x:v>13000</x:v>
      </x:c>
      <x:c r="J28" s="6" t="n">
        <x:v>6</x:v>
      </x:c>
      <x:c r="K28" s="6" t="n">
        <x:v>3000</x:v>
      </x:c>
      <x:c r="L28" s="6" t="n">
        <x:v>8000</x:v>
      </x:c>
    </x:row>
    <x:row r="29" ht="25" customHeight="1">
      <x:c r="A29" s="2" t="str">
        <x:v>2026-10-22_Night</x:v>
      </x:c>
      <x:c r="B29" s="7" t="str">
        <x:v>旧完了場</x:v>
      </x:c>
      <x:c r="C29" s="7" t="str">
        <x:v>下落</x:v>
      </x:c>
      <x:c r="D29" s="6" t="n">
        <x:v>74600</x:v>
      </x:c>
      <x:c r="E29" s="6" t="n">
        <x:v>0</x:v>
      </x:c>
      <x:c r="F29" s="6" t="n">
        <x:f>D29-E29</x:f>
        <x:v>74600</x:v>
      </x:c>
      <x:c r="G29" s="6" t="n">
        <x:f>G28+F29</x:f>
        <x:v>185700</x:v>
      </x:c>
      <x:c r="H29" s="6" t="n">
        <x:v>-9200</x:v>
      </x:c>
      <x:c r="I29" s="6" t="n">
        <x:v>20400</x:v>
      </x:c>
      <x:c r="J29" s="6" t="n">
        <x:v>3</x:v>
      </x:c>
      <x:c r="K29" s="6" t="n">
        <x:v>0</x:v>
      </x:c>
      <x:c r="L29" s="6" t="n">
        <x:v>74600</x:v>
      </x:c>
    </x:row>
    <x:row r="30" ht="25" customHeight="1">
      <x:c r="A30" s="2" t="str">
        <x:v>2026-10-23_Night</x:v>
      </x:c>
      <x:c r="B30" s="7" t="str">
        <x:v>旧完了場</x:v>
      </x:c>
      <x:c r="C30" s="7" t="str">
        <x:v>上昇</x:v>
      </x:c>
      <x:c r="D30" s="6" t="n">
        <x:v>36500</x:v>
      </x:c>
      <x:c r="E30" s="6" t="n">
        <x:v>43000</x:v>
      </x:c>
      <x:c r="F30" s="6" t="n">
        <x:f>D30-E30</x:f>
        <x:v>-6500</x:v>
      </x:c>
      <x:c r="G30" s="6" t="n">
        <x:f>G29+F30</x:f>
        <x:v>179200</x:v>
      </x:c>
      <x:c r="H30" s="6" t="n">
        <x:v>-36600</x:v>
      </x:c>
      <x:c r="I30" s="6" t="n">
        <x:v>43600</x:v>
      </x:c>
      <x:c r="J30" s="6" t="n">
        <x:v>11</x:v>
      </x:c>
      <x:c r="K30" s="6" t="n">
        <x:v>-10800</x:v>
      </x:c>
      <x:c r="L30" s="6" t="n">
        <x:v>4300</x:v>
      </x:c>
    </x:row>
    <x:row r="31" ht="25" customHeight="1">
      <x:c r="A31" s="2" t="str">
        <x:v>2026-10-26_Night</x:v>
      </x:c>
      <x:c r="B31" s="7" t="str">
        <x:v>追加完了版</x:v>
      </x:c>
      <x:c r="C31" s="7" t="str">
        <x:v>上昇</x:v>
      </x:c>
      <x:c r="D31" s="6" t="n">
        <x:v>35100</x:v>
      </x:c>
      <x:c r="E31" s="6" t="n">
        <x:v>62100</x:v>
      </x:c>
      <x:c r="F31" s="6" t="n">
        <x:f>D31-E31</x:f>
        <x:v>-27000</x:v>
      </x:c>
      <x:c r="G31" s="6" t="n">
        <x:f>G30+F31</x:f>
        <x:v>152200</x:v>
      </x:c>
      <x:c r="H31" s="6" t="n">
        <x:v>-41700</x:v>
      </x:c>
      <x:c r="I31" s="6" t="n">
        <x:v>76300</x:v>
      </x:c>
      <x:c r="J31" s="6" t="n">
        <x:v>12</x:v>
      </x:c>
      <x:c r="K31" s="6" t="n">
        <x:v>3000</x:v>
      </x:c>
      <x:c r="L31" s="6" t="n">
        <x:v>-30000</x:v>
      </x:c>
    </x:row>
    <x:row r="32" ht="25" customHeight="1">
      <x:c r="A32" s="14" t="str">
        <x:v>累計／場内最悪値</x:v>
      </x:c>
      <x:c r="B32" s="15"/>
      <x:c r="C32" s="15"/>
      <x:c r="D32" s="15" t="n">
        <x:f>SUM(D6:D31)</x:f>
        <x:v>602300</x:v>
      </x:c>
      <x:c r="E32" s="15" t="n">
        <x:f>SUM(E6:E31)</x:f>
        <x:v>450100</x:v>
      </x:c>
      <x:c r="F32" s="15" t="n">
        <x:f>D32-E32</x:f>
        <x:v>152200</x:v>
      </x:c>
      <x:c r="G32" s="15" t="n">
        <x:f>G31</x:f>
        <x:v>152200</x:v>
      </x:c>
      <x:c r="H32" s="15" t="n">
        <x:f>MIN(H6:H31)</x:f>
        <x:v>-93200</x:v>
      </x:c>
      <x:c r="I32" s="15" t="n">
        <x:f>MAX(I6:I31)</x:f>
        <x:v>101200</x:v>
      </x:c>
      <x:c r="J32" s="15" t="n">
        <x:f>SUM(J6:J31)</x:f>
        <x:v>184</x:v>
      </x:c>
      <x:c r="K32" s="15" t="n">
        <x:f>SUM(K6:K31)</x:f>
        <x:v>69400</x:v>
      </x:c>
      <x:c r="L32" s="15" t="n">
        <x:f>SUM(L6:L31)</x:f>
        <x:v>82800</x:v>
      </x:c>
    </x:row>
  </x:sheetData>
  <x:conditionalFormatting sqref="F6:H31">
    <x:cfRule type="cellIs" dxfId="20" priority="1" operator="lessThan">
      <x:formula>0</x:formula>
    </x:cfRule>
  </x:conditionalFormatting>
  <x:conditionalFormatting sqref="K6:L31">
    <x:cfRule type="cellIs" dxfId="21" priority="2" operator="lessThan">
      <x:formula>0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219103a49daa4339"/>
  </x:tableParts>
</x:worksheet>
</file>

<file path=xl/worksheets/sheet14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25" hidden="0" customWidth="1"/>
    <x:col min="2" max="2" width="15" hidden="0" customWidth="1"/>
    <x:col min="3" max="3" width="10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  <x:col min="12" max="12" width="16" hidden="0" customWidth="1"/>
  </x:cols>
  <x:sheetData>
    <x:row r="1" ht="10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</x:row>
    <x:row r="2" ht="25" customHeight="1">
      <x:c r="A2" s="3" t="str">
        <x:v>日経 N11　夜間損益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</x:row>
    <x:row r="3" ht="25" customHeight="1">
      <x:c r="A3" s="4" t="str">
        <x:v>前半80pt逆行と反対支持5秒で返済</x:v>
      </x:c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</x:row>
    <x:row r="4" ht="25" customHeight="1">
      <x:c r="A4" s="4" t="str">
        <x:v>片側micro100枚＝mini10枚相当・手数料0。途中最悪は確定＋全玉含み、最大下落は当場ピークからの落差。</x:v>
      </x:c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</x:row>
    <x:row r="5" ht="45" customHeight="1">
      <x:c r="A5" s="11" t="str">
        <x:v>セッション</x:v>
      </x:c>
      <x:c r="B5" s="11" t="str">
        <x:v>資料区分</x:v>
      </x:c>
      <x:c r="C5" s="11" t="str">
        <x:v>場の方向</x:v>
      </x:c>
      <x:c r="D5" s="11" t="str">
        <x:v>利益（円）</x:v>
      </x:c>
      <x:c r="E5" s="11" t="str">
        <x:v>損失（円）</x:v>
      </x:c>
      <x:c r="F5" s="11" t="str">
        <x:v>収支（円）</x:v>
      </x:c>
      <x:c r="G5" s="11" t="str">
        <x:v>累計（円）</x:v>
      </x:c>
      <x:c r="H5" s="11" t="str">
        <x:v>途中最悪収支（円）</x:v>
      </x:c>
      <x:c r="I5" s="11" t="str">
        <x:v>最大下落額（円）</x:v>
      </x:c>
      <x:c r="J5" s="11" t="str">
        <x:v>新規回数</x:v>
      </x:c>
      <x:c r="K5" s="11" t="str">
        <x:v>米国前収支（円）</x:v>
      </x:c>
      <x:c r="L5" s="11" t="str">
        <x:v>米国後収支（円）</x:v>
      </x:c>
    </x:row>
    <x:row r="6" ht="25" customHeight="1">
      <x:c r="A6" s="2" t="str">
        <x:v>2026-09-21_Night</x:v>
      </x:c>
      <x:c r="B6" s="7" t="str">
        <x:v>旧完了場</x:v>
      </x:c>
      <x:c r="C6" s="7" t="str">
        <x:v>上昇</x:v>
      </x:c>
      <x:c r="D6" s="6" t="n">
        <x:v>0</x:v>
      </x:c>
      <x:c r="E6" s="6" t="n">
        <x:v>9000</x:v>
      </x:c>
      <x:c r="F6" s="6" t="n">
        <x:f>D6-E6</x:f>
        <x:v>-9000</x:v>
      </x:c>
      <x:c r="G6" s="6" t="n">
        <x:f>F6</x:f>
        <x:v>-9000</x:v>
      </x:c>
      <x:c r="H6" s="6" t="n">
        <x:v>-9000</x:v>
      </x:c>
      <x:c r="I6" s="6" t="n">
        <x:v>13000</x:v>
      </x:c>
      <x:c r="J6" s="6" t="n">
        <x:v>1</x:v>
      </x:c>
      <x:c r="K6" s="6" t="n">
        <x:v>0</x:v>
      </x:c>
      <x:c r="L6" s="6" t="n">
        <x:v>-9000</x:v>
      </x:c>
    </x:row>
    <x:row r="7" ht="25" customHeight="1">
      <x:c r="A7" s="2" t="str">
        <x:v>2026-09-22_Night</x:v>
      </x:c>
      <x:c r="B7" s="7" t="str">
        <x:v>旧完了場</x:v>
      </x:c>
      <x:c r="C7" s="7" t="str">
        <x:v>上昇</x:v>
      </x:c>
      <x:c r="D7" s="6" t="n">
        <x:v>7800</x:v>
      </x:c>
      <x:c r="E7" s="6" t="n">
        <x:v>0</x:v>
      </x:c>
      <x:c r="F7" s="6" t="n">
        <x:f>D7-E7</x:f>
        <x:v>7800</x:v>
      </x:c>
      <x:c r="G7" s="6" t="n">
        <x:f>G6+F7</x:f>
        <x:v>-1200</x:v>
      </x:c>
      <x:c r="H7" s="6" t="n">
        <x:v>-9000</x:v>
      </x:c>
      <x:c r="I7" s="6" t="n">
        <x:v>11000</x:v>
      </x:c>
      <x:c r="J7" s="6" t="n">
        <x:v>2</x:v>
      </x:c>
      <x:c r="K7" s="6" t="n">
        <x:v>3000</x:v>
      </x:c>
      <x:c r="L7" s="6" t="n">
        <x:v>4800</x:v>
      </x:c>
    </x:row>
    <x:row r="8" ht="25" customHeight="1">
      <x:c r="A8" s="2" t="str">
        <x:v>2026-09-23_Night</x:v>
      </x:c>
      <x:c r="B8" s="7" t="str">
        <x:v>旧完了場</x:v>
      </x:c>
      <x:c r="C8" s="7" t="str">
        <x:v>下落</x:v>
      </x:c>
      <x:c r="D8" s="6" t="n">
        <x:v>24200</x:v>
      </x:c>
      <x:c r="E8" s="6" t="n">
        <x:v>8000</x:v>
      </x:c>
      <x:c r="F8" s="6" t="n">
        <x:f>D8-E8</x:f>
        <x:v>16200</x:v>
      </x:c>
      <x:c r="G8" s="6" t="n">
        <x:f>G7+F8</x:f>
        <x:v>15000</x:v>
      </x:c>
      <x:c r="H8" s="6" t="n">
        <x:v>-30800</x:v>
      </x:c>
      <x:c r="I8" s="6" t="n">
        <x:v>80000</x:v>
      </x:c>
      <x:c r="J8" s="6" t="n">
        <x:v>3</x:v>
      </x:c>
      <x:c r="K8" s="6" t="n">
        <x:v>0</x:v>
      </x:c>
      <x:c r="L8" s="6" t="n">
        <x:v>16200</x:v>
      </x:c>
    </x:row>
    <x:row r="9" ht="25" customHeight="1">
      <x:c r="A9" s="2" t="str">
        <x:v>2026-09-24_Night</x:v>
      </x:c>
      <x:c r="B9" s="7" t="str">
        <x:v>旧完了場</x:v>
      </x:c>
      <x:c r="C9" s="7" t="str">
        <x:v>上昇</x:v>
      </x:c>
      <x:c r="D9" s="6" t="n">
        <x:v>26000</x:v>
      </x:c>
      <x:c r="E9" s="6" t="n">
        <x:v>0</x:v>
      </x:c>
      <x:c r="F9" s="6" t="n">
        <x:f>D9-E9</x:f>
        <x:v>26000</x:v>
      </x:c>
      <x:c r="G9" s="6" t="n">
        <x:f>G8+F9</x:f>
        <x:v>41000</x:v>
      </x:c>
      <x:c r="H9" s="6" t="n">
        <x:v>-17000</x:v>
      </x:c>
      <x:c r="I9" s="6" t="n">
        <x:v>24000</x:v>
      </x:c>
      <x:c r="J9" s="6" t="n">
        <x:v>4</x:v>
      </x:c>
      <x:c r="K9" s="6" t="n">
        <x:v>6000</x:v>
      </x:c>
      <x:c r="L9" s="6" t="n">
        <x:v>20000</x:v>
      </x:c>
    </x:row>
    <x:row r="10" ht="25" customHeight="1">
      <x:c r="A10" s="2" t="str">
        <x:v>2026-09-25_Night</x:v>
      </x:c>
      <x:c r="B10" s="7" t="str">
        <x:v>旧完了場</x:v>
      </x:c>
      <x:c r="C10" s="7" t="str">
        <x:v>上昇</x:v>
      </x:c>
      <x:c r="D10" s="6" t="n">
        <x:v>3400</x:v>
      </x:c>
      <x:c r="E10" s="6" t="n">
        <x:v>16000</x:v>
      </x:c>
      <x:c r="F10" s="6" t="n">
        <x:f>D10-E10</x:f>
        <x:v>-12600</x:v>
      </x:c>
      <x:c r="G10" s="6" t="n">
        <x:f>G9+F10</x:f>
        <x:v>28400</x:v>
      </x:c>
      <x:c r="H10" s="6" t="n">
        <x:v>-12600</x:v>
      </x:c>
      <x:c r="I10" s="6" t="n">
        <x:v>19600</x:v>
      </x:c>
      <x:c r="J10" s="6" t="n">
        <x:v>2</x:v>
      </x:c>
      <x:c r="K10" s="6" t="n">
        <x:v>0</x:v>
      </x:c>
      <x:c r="L10" s="6" t="n">
        <x:v>-12600</x:v>
      </x:c>
    </x:row>
    <x:row r="11" ht="25" customHeight="1">
      <x:c r="A11" s="2" t="str">
        <x:v>2026-09-28_Night</x:v>
      </x:c>
      <x:c r="B11" s="7" t="str">
        <x:v>旧完了場</x:v>
      </x:c>
      <x:c r="C11" s="7" t="str">
        <x:v>横ばい</x:v>
      </x:c>
      <x:c r="D11" s="6" t="n">
        <x:v>6500</x:v>
      </x:c>
      <x:c r="E11" s="6" t="n">
        <x:v>20000</x:v>
      </x:c>
      <x:c r="F11" s="6" t="n">
        <x:f>D11-E11</x:f>
        <x:v>-13500</x:v>
      </x:c>
      <x:c r="G11" s="6" t="n">
        <x:f>G10+F11</x:f>
        <x:v>14900</x:v>
      </x:c>
      <x:c r="H11" s="6" t="n">
        <x:v>-19000</x:v>
      </x:c>
      <x:c r="I11" s="6" t="n">
        <x:v>27000</x:v>
      </x:c>
      <x:c r="J11" s="6" t="n">
        <x:v>5</x:v>
      </x:c>
      <x:c r="K11" s="6" t="n">
        <x:v>6000</x:v>
      </x:c>
      <x:c r="L11" s="6" t="n">
        <x:v>-19500</x:v>
      </x:c>
    </x:row>
    <x:row r="12" ht="25" customHeight="1">
      <x:c r="A12" s="2" t="str">
        <x:v>2026-09-29_Night</x:v>
      </x:c>
      <x:c r="B12" s="7" t="str">
        <x:v>旧完了場</x:v>
      </x:c>
      <x:c r="C12" s="7" t="str">
        <x:v>上昇</x:v>
      </x:c>
      <x:c r="D12" s="6" t="n">
        <x:v>30100</x:v>
      </x:c>
      <x:c r="E12" s="6" t="n">
        <x:v>23400</x:v>
      </x:c>
      <x:c r="F12" s="6" t="n">
        <x:f>D12-E12</x:f>
        <x:v>6700</x:v>
      </x:c>
      <x:c r="G12" s="6" t="n">
        <x:f>G11+F12</x:f>
        <x:v>21600</x:v>
      </x:c>
      <x:c r="H12" s="6" t="n">
        <x:v>-16700</x:v>
      </x:c>
      <x:c r="I12" s="6" t="n">
        <x:v>66600</x:v>
      </x:c>
      <x:c r="J12" s="6" t="n">
        <x:v>6</x:v>
      </x:c>
      <x:c r="K12" s="6" t="n">
        <x:v>0</x:v>
      </x:c>
      <x:c r="L12" s="6" t="n">
        <x:v>6700</x:v>
      </x:c>
    </x:row>
    <x:row r="13" ht="25" customHeight="1">
      <x:c r="A13" s="2" t="str">
        <x:v>2026-09-30_Night</x:v>
      </x:c>
      <x:c r="B13" s="7" t="str">
        <x:v>旧完了場</x:v>
      </x:c>
      <x:c r="C13" s="7" t="str">
        <x:v>下落</x:v>
      </x:c>
      <x:c r="D13" s="6" t="n">
        <x:v>119200</x:v>
      </x:c>
      <x:c r="E13" s="6" t="n">
        <x:v>13000</x:v>
      </x:c>
      <x:c r="F13" s="6" t="n">
        <x:f>D13-E13</x:f>
        <x:v>106200</x:v>
      </x:c>
      <x:c r="G13" s="6" t="n">
        <x:f>G12+F13</x:f>
        <x:v>127800</x:v>
      </x:c>
      <x:c r="H13" s="6" t="n">
        <x:v>-31400</x:v>
      </x:c>
      <x:c r="I13" s="6" t="n">
        <x:v>96400</x:v>
      </x:c>
      <x:c r="J13" s="6" t="n">
        <x:v>5</x:v>
      </x:c>
      <x:c r="K13" s="6" t="n">
        <x:v>-4100</x:v>
      </x:c>
      <x:c r="L13" s="6" t="n">
        <x:v>110300</x:v>
      </x:c>
    </x:row>
    <x:row r="14" ht="25" customHeight="1">
      <x:c r="A14" s="2" t="str">
        <x:v>2026-10-01_Night</x:v>
      </x:c>
      <x:c r="B14" s="7" t="str">
        <x:v>旧完了場</x:v>
      </x:c>
      <x:c r="C14" s="7" t="str">
        <x:v>上昇</x:v>
      </x:c>
      <x:c r="D14" s="6" t="n">
        <x:v>176300</x:v>
      </x:c>
      <x:c r="E14" s="6" t="n">
        <x:v>61000</x:v>
      </x:c>
      <x:c r="F14" s="6" t="n">
        <x:f>D14-E14</x:f>
        <x:v>115300</x:v>
      </x:c>
      <x:c r="G14" s="6" t="n">
        <x:f>G13+F14</x:f>
        <x:v>243100</x:v>
      </x:c>
      <x:c r="H14" s="6" t="n">
        <x:v>-43700</x:v>
      </x:c>
      <x:c r="I14" s="6" t="n">
        <x:v>97000</x:v>
      </x:c>
      <x:c r="J14" s="6" t="n">
        <x:v>16</x:v>
      </x:c>
      <x:c r="K14" s="6" t="n">
        <x:v>24800</x:v>
      </x:c>
      <x:c r="L14" s="6" t="n">
        <x:v>90500</x:v>
      </x:c>
    </x:row>
    <x:row r="15" ht="25" customHeight="1">
      <x:c r="A15" s="2" t="str">
        <x:v>2026-10-02_Night</x:v>
      </x:c>
      <x:c r="B15" s="7" t="str">
        <x:v>旧完了場</x:v>
      </x:c>
      <x:c r="C15" s="7" t="str">
        <x:v>上昇</x:v>
      </x:c>
      <x:c r="D15" s="6" t="n">
        <x:v>212400</x:v>
      </x:c>
      <x:c r="E15" s="6" t="n">
        <x:v>19000</x:v>
      </x:c>
      <x:c r="F15" s="6" t="n">
        <x:f>D15-E15</x:f>
        <x:v>193400</x:v>
      </x:c>
      <x:c r="G15" s="6" t="n">
        <x:f>G14+F15</x:f>
        <x:v>436500</x:v>
      </x:c>
      <x:c r="H15" s="6" t="n">
        <x:v>-14000</x:v>
      </x:c>
      <x:c r="I15" s="6" t="n">
        <x:v>135400</x:v>
      </x:c>
      <x:c r="J15" s="6" t="n">
        <x:v>15</x:v>
      </x:c>
      <x:c r="K15" s="6" t="n">
        <x:v>0</x:v>
      </x:c>
      <x:c r="L15" s="6" t="n">
        <x:v>193400</x:v>
      </x:c>
    </x:row>
    <x:row r="16" ht="25" customHeight="1">
      <x:c r="A16" s="2" t="str">
        <x:v>2026-10-05_Night</x:v>
      </x:c>
      <x:c r="B16" s="7" t="str">
        <x:v>旧完了場</x:v>
      </x:c>
      <x:c r="C16" s="7" t="str">
        <x:v>下落</x:v>
      </x:c>
      <x:c r="D16" s="6" t="n">
        <x:v>99900</x:v>
      </x:c>
      <x:c r="E16" s="6" t="n">
        <x:v>31600</x:v>
      </x:c>
      <x:c r="F16" s="6" t="n">
        <x:f>D16-E16</x:f>
        <x:v>68300</x:v>
      </x:c>
      <x:c r="G16" s="6" t="n">
        <x:f>G15+F16</x:f>
        <x:v>504800</x:v>
      </x:c>
      <x:c r="H16" s="6" t="n">
        <x:v>-37800</x:v>
      </x:c>
      <x:c r="I16" s="6" t="n">
        <x:v>100300</x:v>
      </x:c>
      <x:c r="J16" s="6" t="n">
        <x:v>8</x:v>
      </x:c>
      <x:c r="K16" s="6" t="n">
        <x:v>3000</x:v>
      </x:c>
      <x:c r="L16" s="6" t="n">
        <x:v>65300</x:v>
      </x:c>
    </x:row>
    <x:row r="17" ht="25" customHeight="1">
      <x:c r="A17" s="2" t="str">
        <x:v>2026-10-06_Night</x:v>
      </x:c>
      <x:c r="B17" s="7" t="str">
        <x:v>旧完了場</x:v>
      </x:c>
      <x:c r="C17" s="7" t="str">
        <x:v>横ばい</x:v>
      </x:c>
      <x:c r="D17" s="6" t="n">
        <x:v>33000</x:v>
      </x:c>
      <x:c r="E17" s="6" t="n">
        <x:v>15000</x:v>
      </x:c>
      <x:c r="F17" s="6" t="n">
        <x:f>D17-E17</x:f>
        <x:v>18000</x:v>
      </x:c>
      <x:c r="G17" s="6" t="n">
        <x:f>G16+F17</x:f>
        <x:v>522800</x:v>
      </x:c>
      <x:c r="H17" s="6" t="n">
        <x:v>-28000</x:v>
      </x:c>
      <x:c r="I17" s="6" t="n">
        <x:v>28000</x:v>
      </x:c>
      <x:c r="J17" s="6" t="n">
        <x:v>4</x:v>
      </x:c>
      <x:c r="K17" s="6" t="n">
        <x:v>0</x:v>
      </x:c>
      <x:c r="L17" s="6" t="n">
        <x:v>18000</x:v>
      </x:c>
    </x:row>
    <x:row r="18" ht="25" customHeight="1">
      <x:c r="A18" s="2" t="str">
        <x:v>2026-10-07_Night</x:v>
      </x:c>
      <x:c r="B18" s="7" t="str">
        <x:v>旧完了場</x:v>
      </x:c>
      <x:c r="C18" s="7" t="str">
        <x:v>下落</x:v>
      </x:c>
      <x:c r="D18" s="6" t="n">
        <x:v>4000</x:v>
      </x:c>
      <x:c r="E18" s="6" t="n">
        <x:v>94600</x:v>
      </x:c>
      <x:c r="F18" s="6" t="n">
        <x:f>D18-E18</x:f>
        <x:v>-90600</x:v>
      </x:c>
      <x:c r="G18" s="6" t="n">
        <x:f>G17+F18</x:f>
        <x:v>432200</x:v>
      </x:c>
      <x:c r="H18" s="6" t="n">
        <x:v>-96000</x:v>
      </x:c>
      <x:c r="I18" s="6" t="n">
        <x:v>106400</x:v>
      </x:c>
      <x:c r="J18" s="6" t="n">
        <x:v>5</x:v>
      </x:c>
      <x:c r="K18" s="6" t="n">
        <x:v>-31200</x:v>
      </x:c>
      <x:c r="L18" s="6" t="n">
        <x:v>-59400</x:v>
      </x:c>
    </x:row>
    <x:row r="19" ht="25" customHeight="1">
      <x:c r="A19" s="2" t="str">
        <x:v>2026-10-08_Night</x:v>
      </x:c>
      <x:c r="B19" s="7" t="str">
        <x:v>旧完了場</x:v>
      </x:c>
      <x:c r="C19" s="7" t="str">
        <x:v>下落</x:v>
      </x:c>
      <x:c r="D19" s="6" t="n">
        <x:v>630400</x:v>
      </x:c>
      <x:c r="E19" s="6" t="n">
        <x:v>17200</x:v>
      </x:c>
      <x:c r="F19" s="6" t="n">
        <x:f>D19-E19</x:f>
        <x:v>613200</x:v>
      </x:c>
      <x:c r="G19" s="6" t="n">
        <x:f>G18+F19</x:f>
        <x:v>1045400</x:v>
      </x:c>
      <x:c r="H19" s="6" t="n">
        <x:v>-74200</x:v>
      </x:c>
      <x:c r="I19" s="6" t="n">
        <x:v>196600</x:v>
      </x:c>
      <x:c r="J19" s="6" t="n">
        <x:v>16</x:v>
      </x:c>
      <x:c r="K19" s="6" t="n">
        <x:v>8000</x:v>
      </x:c>
      <x:c r="L19" s="6" t="n">
        <x:v>605200</x:v>
      </x:c>
    </x:row>
    <x:row r="20" ht="25" customHeight="1">
      <x:c r="A20" s="2" t="str">
        <x:v>2026-10-09_Night</x:v>
      </x:c>
      <x:c r="B20" s="7" t="str">
        <x:v>旧完了場</x:v>
      </x:c>
      <x:c r="C20" s="7" t="str">
        <x:v>下落</x:v>
      </x:c>
      <x:c r="D20" s="6" t="n">
        <x:v>10800</x:v>
      </x:c>
      <x:c r="E20" s="6" t="n">
        <x:v>0</x:v>
      </x:c>
      <x:c r="F20" s="6" t="n">
        <x:f>D20-E20</x:f>
        <x:v>10800</x:v>
      </x:c>
      <x:c r="G20" s="6" t="n">
        <x:f>G19+F20</x:f>
        <x:v>1056200</x:v>
      </x:c>
      <x:c r="H20" s="6" t="n">
        <x:v>-2000</x:v>
      </x:c>
      <x:c r="I20" s="6" t="n">
        <x:v>12000</x:v>
      </x:c>
      <x:c r="J20" s="6" t="n">
        <x:v>3</x:v>
      </x:c>
      <x:c r="K20" s="6" t="n">
        <x:v>8000</x:v>
      </x:c>
      <x:c r="L20" s="6" t="n">
        <x:v>2800</x:v>
      </x:c>
    </x:row>
    <x:row r="21" ht="25" customHeight="1">
      <x:c r="A21" s="2" t="str">
        <x:v>2026-10-12_Night</x:v>
      </x:c>
      <x:c r="B21" s="7" t="str">
        <x:v>旧完了場</x:v>
      </x:c>
      <x:c r="C21" s="7" t="str">
        <x:v>下落</x:v>
      </x:c>
      <x:c r="D21" s="6" t="n">
        <x:v>16400</x:v>
      </x:c>
      <x:c r="E21" s="6" t="n">
        <x:v>0</x:v>
      </x:c>
      <x:c r="F21" s="6" t="n">
        <x:f>D21-E21</x:f>
        <x:v>16400</x:v>
      </x:c>
      <x:c r="G21" s="6" t="n">
        <x:f>G20+F21</x:f>
        <x:v>1072600</x:v>
      </x:c>
      <x:c r="H21" s="6" t="n">
        <x:v>-2000</x:v>
      </x:c>
      <x:c r="I21" s="6" t="n">
        <x:v>6600</x:v>
      </x:c>
      <x:c r="J21" s="6" t="n">
        <x:v>1</x:v>
      </x:c>
      <x:c r="K21" s="6" t="n">
        <x:v>0</x:v>
      </x:c>
      <x:c r="L21" s="6" t="n">
        <x:v>16400</x:v>
      </x:c>
    </x:row>
    <x:row r="22" ht="25" customHeight="1">
      <x:c r="A22" s="2" t="str">
        <x:v>2026-10-13_Night</x:v>
      </x:c>
      <x:c r="B22" s="7" t="str">
        <x:v>旧完了場</x:v>
      </x:c>
      <x:c r="C22" s="7" t="str">
        <x:v>上昇</x:v>
      </x:c>
      <x:c r="D22" s="6" t="n">
        <x:v>3000</x:v>
      </x:c>
      <x:c r="E22" s="6" t="n">
        <x:v>17000</x:v>
      </x:c>
      <x:c r="F22" s="6" t="n">
        <x:f>D22-E22</x:f>
        <x:v>-14000</x:v>
      </x:c>
      <x:c r="G22" s="6" t="n">
        <x:f>G21+F22</x:f>
        <x:v>1058600</x:v>
      </x:c>
      <x:c r="H22" s="6" t="n">
        <x:v>-14000</x:v>
      </x:c>
      <x:c r="I22" s="6" t="n">
        <x:v>18000</x:v>
      </x:c>
      <x:c r="J22" s="6" t="n">
        <x:v>3</x:v>
      </x:c>
      <x:c r="K22" s="6" t="n">
        <x:v>3000</x:v>
      </x:c>
      <x:c r="L22" s="6" t="n">
        <x:v>-17000</x:v>
      </x:c>
    </x:row>
    <x:row r="23" ht="25" customHeight="1">
      <x:c r="A23" s="2" t="str">
        <x:v>2026-10-14_Night</x:v>
      </x:c>
      <x:c r="B23" s="7" t="str">
        <x:v>旧完了場</x:v>
      </x:c>
      <x:c r="C23" s="7" t="str">
        <x:v>下落</x:v>
      </x:c>
      <x:c r="D23" s="6" t="n">
        <x:v>42400</x:v>
      </x:c>
      <x:c r="E23" s="6" t="n">
        <x:v>101900</x:v>
      </x:c>
      <x:c r="F23" s="6" t="n">
        <x:f>D23-E23</x:f>
        <x:v>-59500</x:v>
      </x:c>
      <x:c r="G23" s="6" t="n">
        <x:f>G22+F23</x:f>
        <x:v>999100</x:v>
      </x:c>
      <x:c r="H23" s="6" t="n">
        <x:v>-84900</x:v>
      </x:c>
      <x:c r="I23" s="6" t="n">
        <x:v>90800</x:v>
      </x:c>
      <x:c r="J23" s="6" t="n">
        <x:v>5</x:v>
      </x:c>
      <x:c r="K23" s="6" t="n">
        <x:v>3000</x:v>
      </x:c>
      <x:c r="L23" s="6" t="n">
        <x:v>-62500</x:v>
      </x:c>
    </x:row>
    <x:row r="24" ht="25" customHeight="1">
      <x:c r="A24" s="2" t="str">
        <x:v>2026-10-15_Night</x:v>
      </x:c>
      <x:c r="B24" s="7" t="str">
        <x:v>旧完了場</x:v>
      </x:c>
      <x:c r="C24" s="7" t="str">
        <x:v>上昇</x:v>
      </x:c>
      <x:c r="D24" s="6" t="n">
        <x:v>110000</x:v>
      </x:c>
      <x:c r="E24" s="6" t="n">
        <x:v>41500</x:v>
      </x:c>
      <x:c r="F24" s="6" t="n">
        <x:f>D24-E24</x:f>
        <x:v>68500</x:v>
      </x:c>
      <x:c r="G24" s="6" t="n">
        <x:f>G23+F24</x:f>
        <x:v>1067600</x:v>
      </x:c>
      <x:c r="H24" s="6" t="n">
        <x:v>-13000</x:v>
      </x:c>
      <x:c r="I24" s="6" t="n">
        <x:v>226000</x:v>
      </x:c>
      <x:c r="J24" s="6" t="n">
        <x:v>7</x:v>
      </x:c>
      <x:c r="K24" s="6" t="n">
        <x:v>0</x:v>
      </x:c>
      <x:c r="L24" s="6" t="n">
        <x:v>68500</x:v>
      </x:c>
    </x:row>
    <x:row r="25" ht="25" customHeight="1">
      <x:c r="A25" s="2" t="str">
        <x:v>2026-10-16_Night</x:v>
      </x:c>
      <x:c r="B25" s="7" t="str">
        <x:v>旧完了場</x:v>
      </x:c>
      <x:c r="C25" s="7" t="str">
        <x:v>下落</x:v>
      </x:c>
      <x:c r="D25" s="6" t="n">
        <x:v>181600</x:v>
      </x:c>
      <x:c r="E25" s="6" t="n">
        <x:v>213900</x:v>
      </x:c>
      <x:c r="F25" s="6" t="n">
        <x:f>D25-E25</x:f>
        <x:v>-32300</x:v>
      </x:c>
      <x:c r="G25" s="6" t="n">
        <x:f>G24+F25</x:f>
        <x:v>1035300</x:v>
      </x:c>
      <x:c r="H25" s="6" t="n">
        <x:v>-207900</x:v>
      </x:c>
      <x:c r="I25" s="6" t="n">
        <x:v>287700</x:v>
      </x:c>
      <x:c r="J25" s="6" t="n">
        <x:v>14</x:v>
      </x:c>
      <x:c r="K25" s="6" t="n">
        <x:v>-4000</x:v>
      </x:c>
      <x:c r="L25" s="6" t="n">
        <x:v>-28300</x:v>
      </x:c>
    </x:row>
    <x:row r="26" ht="25" customHeight="1">
      <x:c r="A26" s="2" t="str">
        <x:v>2026-10-19_Night</x:v>
      </x:c>
      <x:c r="B26" s="7" t="str">
        <x:v>旧完了場</x:v>
      </x:c>
      <x:c r="C26" s="7" t="str">
        <x:v>上昇</x:v>
      </x:c>
      <x:c r="D26" s="6" t="n">
        <x:v>108000</x:v>
      </x:c>
      <x:c r="E26" s="6" t="n">
        <x:v>201100</x:v>
      </x:c>
      <x:c r="F26" s="6" t="n">
        <x:f>D26-E26</x:f>
        <x:v>-93100</x:v>
      </x:c>
      <x:c r="G26" s="6" t="n">
        <x:f>G25+F26</x:f>
        <x:v>942200</x:v>
      </x:c>
      <x:c r="H26" s="6" t="n">
        <x:v>-107100</x:v>
      </x:c>
      <x:c r="I26" s="6" t="n">
        <x:v>173000</x:v>
      </x:c>
      <x:c r="J26" s="6" t="n">
        <x:v>14</x:v>
      </x:c>
      <x:c r="K26" s="6" t="n">
        <x:v>7000</x:v>
      </x:c>
      <x:c r="L26" s="6" t="n">
        <x:v>-100100</x:v>
      </x:c>
    </x:row>
    <x:row r="27" ht="25" customHeight="1">
      <x:c r="A27" s="2" t="str">
        <x:v>2026-10-20_Night</x:v>
      </x:c>
      <x:c r="B27" s="7" t="str">
        <x:v>旧完了場</x:v>
      </x:c>
      <x:c r="C27" s="7" t="str">
        <x:v>上昇</x:v>
      </x:c>
      <x:c r="D27" s="6" t="n">
        <x:v>152800</x:v>
      </x:c>
      <x:c r="E27" s="6" t="n">
        <x:v>68600</x:v>
      </x:c>
      <x:c r="F27" s="6" t="n">
        <x:f>D27-E27</x:f>
        <x:v>84200</x:v>
      </x:c>
      <x:c r="G27" s="6" t="n">
        <x:f>G26+F27</x:f>
        <x:v>1026400</x:v>
      </x:c>
      <x:c r="H27" s="6" t="n">
        <x:v>-4200</x:v>
      </x:c>
      <x:c r="I27" s="6" t="n">
        <x:v>128000</x:v>
      </x:c>
      <x:c r="J27" s="6" t="n">
        <x:v>11</x:v>
      </x:c>
      <x:c r="K27" s="6" t="n">
        <x:v>24700</x:v>
      </x:c>
      <x:c r="L27" s="6" t="n">
        <x:v>59500</x:v>
      </x:c>
    </x:row>
    <x:row r="28" ht="25" customHeight="1">
      <x:c r="A28" s="2" t="str">
        <x:v>2026-10-21_Night</x:v>
      </x:c>
      <x:c r="B28" s="7" t="str">
        <x:v>旧完了場</x:v>
      </x:c>
      <x:c r="C28" s="7" t="str">
        <x:v>上昇</x:v>
      </x:c>
      <x:c r="D28" s="6" t="n">
        <x:v>33600</x:v>
      </x:c>
      <x:c r="E28" s="6" t="n">
        <x:v>17000</x:v>
      </x:c>
      <x:c r="F28" s="6" t="n">
        <x:f>D28-E28</x:f>
        <x:v>16600</x:v>
      </x:c>
      <x:c r="G28" s="6" t="n">
        <x:f>G27+F28</x:f>
        <x:v>1043000</x:v>
      </x:c>
      <x:c r="H28" s="6" t="n">
        <x:v>-7000</x:v>
      </x:c>
      <x:c r="I28" s="6" t="n">
        <x:v>55000</x:v>
      </x:c>
      <x:c r="J28" s="6" t="n">
        <x:v>6</x:v>
      </x:c>
      <x:c r="K28" s="6" t="n">
        <x:v>3000</x:v>
      </x:c>
      <x:c r="L28" s="6" t="n">
        <x:v>13600</x:v>
      </x:c>
    </x:row>
    <x:row r="29" ht="25" customHeight="1">
      <x:c r="A29" s="2" t="str">
        <x:v>2026-10-22_Night</x:v>
      </x:c>
      <x:c r="B29" s="7" t="str">
        <x:v>旧完了場</x:v>
      </x:c>
      <x:c r="C29" s="7" t="str">
        <x:v>下落</x:v>
      </x:c>
      <x:c r="D29" s="6" t="n">
        <x:v>277600</x:v>
      </x:c>
      <x:c r="E29" s="6" t="n">
        <x:v>0</x:v>
      </x:c>
      <x:c r="F29" s="6" t="n">
        <x:f>D29-E29</x:f>
        <x:v>277600</x:v>
      </x:c>
      <x:c r="G29" s="6" t="n">
        <x:f>G28+F29</x:f>
        <x:v>1320600</x:v>
      </x:c>
      <x:c r="H29" s="6" t="n">
        <x:v>-9200</x:v>
      </x:c>
      <x:c r="I29" s="6" t="n">
        <x:v>128800</x:v>
      </x:c>
      <x:c r="J29" s="6" t="n">
        <x:v>3</x:v>
      </x:c>
      <x:c r="K29" s="6" t="n">
        <x:v>0</x:v>
      </x:c>
      <x:c r="L29" s="6" t="n">
        <x:v>277600</x:v>
      </x:c>
    </x:row>
    <x:row r="30" ht="25" customHeight="1">
      <x:c r="A30" s="2" t="str">
        <x:v>2026-10-23_Night</x:v>
      </x:c>
      <x:c r="B30" s="7" t="str">
        <x:v>旧完了場</x:v>
      </x:c>
      <x:c r="C30" s="7" t="str">
        <x:v>上昇</x:v>
      </x:c>
      <x:c r="D30" s="6" t="n">
        <x:v>54500</x:v>
      </x:c>
      <x:c r="E30" s="6" t="n">
        <x:v>43500</x:v>
      </x:c>
      <x:c r="F30" s="6" t="n">
        <x:f>D30-E30</x:f>
        <x:v>11000</x:v>
      </x:c>
      <x:c r="G30" s="6" t="n">
        <x:f>G29+F30</x:f>
        <x:v>1331600</x:v>
      </x:c>
      <x:c r="H30" s="6" t="n">
        <x:v>-63100</x:v>
      </x:c>
      <x:c r="I30" s="6" t="n">
        <x:v>102900</x:v>
      </x:c>
      <x:c r="J30" s="6" t="n">
        <x:v>11</x:v>
      </x:c>
      <x:c r="K30" s="6" t="n">
        <x:v>-10800</x:v>
      </x:c>
      <x:c r="L30" s="6" t="n">
        <x:v>21800</x:v>
      </x:c>
    </x:row>
    <x:row r="31" ht="25" customHeight="1">
      <x:c r="A31" s="2" t="str">
        <x:v>2026-10-26_Night</x:v>
      </x:c>
      <x:c r="B31" s="7" t="str">
        <x:v>追加完了版</x:v>
      </x:c>
      <x:c r="C31" s="7" t="str">
        <x:v>上昇</x:v>
      </x:c>
      <x:c r="D31" s="6" t="n">
        <x:v>137600</x:v>
      </x:c>
      <x:c r="E31" s="6" t="n">
        <x:v>156100</x:v>
      </x:c>
      <x:c r="F31" s="6" t="n">
        <x:f>D31-E31</x:f>
        <x:v>-18500</x:v>
      </x:c>
      <x:c r="G31" s="6" t="n">
        <x:f>G30+F31</x:f>
        <x:v>1313100</x:v>
      </x:c>
      <x:c r="H31" s="6" t="n">
        <x:v>-26400</x:v>
      </x:c>
      <x:c r="I31" s="6" t="n">
        <x:v>249600</x:v>
      </x:c>
      <x:c r="J31" s="6" t="n">
        <x:v>12</x:v>
      </x:c>
      <x:c r="K31" s="6" t="n">
        <x:v>3000</x:v>
      </x:c>
      <x:c r="L31" s="6" t="n">
        <x:v>-21500</x:v>
      </x:c>
    </x:row>
    <x:row r="32" ht="25" customHeight="1">
      <x:c r="A32" s="14" t="str">
        <x:v>累計／場内最悪値</x:v>
      </x:c>
      <x:c r="B32" s="15"/>
      <x:c r="C32" s="15"/>
      <x:c r="D32" s="15" t="n">
        <x:f>SUM(D6:D31)</x:f>
        <x:v>2501500</x:v>
      </x:c>
      <x:c r="E32" s="15" t="n">
        <x:f>SUM(E6:E31)</x:f>
        <x:v>1188400</x:v>
      </x:c>
      <x:c r="F32" s="15" t="n">
        <x:f>D32-E32</x:f>
        <x:v>1313100</x:v>
      </x:c>
      <x:c r="G32" s="15" t="n">
        <x:f>G31</x:f>
        <x:v>1313100</x:v>
      </x:c>
      <x:c r="H32" s="15" t="n">
        <x:f>MIN(H6:H31)</x:f>
        <x:v>-207900</x:v>
      </x:c>
      <x:c r="I32" s="15" t="n">
        <x:f>MAX(I6:I31)</x:f>
        <x:v>287700</x:v>
      </x:c>
      <x:c r="J32" s="15" t="n">
        <x:f>SUM(J6:J31)</x:f>
        <x:v>182</x:v>
      </x:c>
      <x:c r="K32" s="15" t="n">
        <x:f>SUM(K6:K31)</x:f>
        <x:v>52400</x:v>
      </x:c>
      <x:c r="L32" s="15" t="n">
        <x:f>SUM(L6:L31)</x:f>
        <x:v>1260700</x:v>
      </x:c>
    </x:row>
  </x:sheetData>
  <x:conditionalFormatting sqref="F6:H31">
    <x:cfRule type="cellIs" dxfId="22" priority="1" operator="lessThan">
      <x:formula>0</x:formula>
    </x:cfRule>
  </x:conditionalFormatting>
  <x:conditionalFormatting sqref="K6:L31">
    <x:cfRule type="cellIs" dxfId="23" priority="2" operator="lessThan">
      <x:formula>0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e81f2363101a44b5"/>
  </x:tableParts>
</x:worksheet>
</file>

<file path=xl/worksheets/sheet15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25" hidden="0" customWidth="1"/>
    <x:col min="2" max="2" width="15" hidden="0" customWidth="1"/>
    <x:col min="3" max="3" width="10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</x:cols>
  <x:sheetData>
    <x:row r="1" ht="10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</x:row>
    <x:row r="2" ht="25" customHeight="1">
      <x:c r="A2" s="3" t="str">
        <x:v>日経 S01　日中損益</x:v>
      </x:c>
      <x:c r="B2" s="2"/>
      <x:c r="C2" s="2"/>
      <x:c r="D2" s="2"/>
      <x:c r="E2" s="2"/>
      <x:c r="F2" s="2"/>
      <x:c r="G2" s="2"/>
      <x:c r="H2" s="2"/>
      <x:c r="I2" s="2"/>
      <x:c r="J2" s="2"/>
    </x:row>
    <x:row r="3" ht="25" customHeight="1">
      <x:c r="A3" s="4" t="str">
        <x:v>別入口の親利益保護と再参加抑止</x:v>
      </x:c>
      <x:c r="B3" s="2"/>
      <x:c r="C3" s="2"/>
      <x:c r="D3" s="2"/>
      <x:c r="E3" s="2"/>
      <x:c r="F3" s="2"/>
      <x:c r="G3" s="2"/>
      <x:c r="H3" s="2"/>
      <x:c r="I3" s="2"/>
      <x:c r="J3" s="2"/>
    </x:row>
    <x:row r="4" ht="25" customHeight="1">
      <x:c r="A4" s="4" t="str">
        <x:v>片側micro100枚＝mini10枚相当・手数料0。途中最悪は確定＋全玉含み、最大下落は当場ピークからの落差。</x:v>
      </x:c>
      <x:c r="B4" s="2"/>
      <x:c r="C4" s="2"/>
      <x:c r="D4" s="2"/>
      <x:c r="E4" s="2"/>
      <x:c r="F4" s="2"/>
      <x:c r="G4" s="2"/>
      <x:c r="H4" s="2"/>
      <x:c r="I4" s="2"/>
      <x:c r="J4" s="2"/>
    </x:row>
    <x:row r="5" ht="45" customHeight="1">
      <x:c r="A5" s="11" t="str">
        <x:v>セッション</x:v>
      </x:c>
      <x:c r="B5" s="11" t="str">
        <x:v>資料区分</x:v>
      </x:c>
      <x:c r="C5" s="11" t="str">
        <x:v>場の方向</x:v>
      </x:c>
      <x:c r="D5" s="11" t="str">
        <x:v>利益（円）</x:v>
      </x:c>
      <x:c r="E5" s="11" t="str">
        <x:v>損失（円）</x:v>
      </x:c>
      <x:c r="F5" s="11" t="str">
        <x:v>収支（円）</x:v>
      </x:c>
      <x:c r="G5" s="11" t="str">
        <x:v>累計（円）</x:v>
      </x:c>
      <x:c r="H5" s="11" t="str">
        <x:v>途中最悪収支（円）</x:v>
      </x:c>
      <x:c r="I5" s="11" t="str">
        <x:v>最大下落額（円）</x:v>
      </x:c>
      <x:c r="J5" s="11" t="str">
        <x:v>新規回数</x:v>
      </x:c>
    </x:row>
    <x:row r="6" ht="25" customHeight="1">
      <x:c r="A6" s="2" t="str">
        <x:v>2026-09-21_Day</x:v>
      </x:c>
      <x:c r="B6" s="7" t="str">
        <x:v>旧完了場</x:v>
      </x:c>
      <x:c r="C6" s="7" t="str">
        <x:v>上昇</x:v>
      </x:c>
      <x:c r="D6" s="6" t="n">
        <x:v>30000</x:v>
      </x:c>
      <x:c r="E6" s="6" t="n">
        <x:v>0</x:v>
      </x:c>
      <x:c r="F6" s="6" t="n">
        <x:f>D6-E6</x:f>
        <x:v>30000</x:v>
      </x:c>
      <x:c r="G6" s="6" t="n">
        <x:f>F6</x:f>
        <x:v>30000</x:v>
      </x:c>
      <x:c r="H6" s="6" t="n">
        <x:v>-24000</x:v>
      </x:c>
      <x:c r="I6" s="6" t="n">
        <x:v>60000</x:v>
      </x:c>
      <x:c r="J6" s="6" t="n">
        <x:v>2</x:v>
      </x:c>
    </x:row>
    <x:row r="7" ht="25" customHeight="1">
      <x:c r="A7" s="2" t="str">
        <x:v>2026-09-22_Day</x:v>
      </x:c>
      <x:c r="B7" s="7" t="str">
        <x:v>旧完了場</x:v>
      </x:c>
      <x:c r="C7" s="7" t="str">
        <x:v>下落</x:v>
      </x:c>
      <x:c r="D7" s="6" t="n">
        <x:v>0</x:v>
      </x:c>
      <x:c r="E7" s="6" t="n">
        <x:v>70000</x:v>
      </x:c>
      <x:c r="F7" s="6" t="n">
        <x:f>D7-E7</x:f>
        <x:v>-70000</x:v>
      </x:c>
      <x:c r="G7" s="6" t="n">
        <x:f>G6+F7</x:f>
        <x:v>-40000</x:v>
      </x:c>
      <x:c r="H7" s="6" t="n">
        <x:v>-70000</x:v>
      </x:c>
      <x:c r="I7" s="6" t="n">
        <x:v>80000</x:v>
      </x:c>
      <x:c r="J7" s="6" t="n">
        <x:v>2</x:v>
      </x:c>
    </x:row>
    <x:row r="8" ht="25" customHeight="1">
      <x:c r="A8" s="2" t="str">
        <x:v>2026-09-23_Day</x:v>
      </x:c>
      <x:c r="B8" s="7" t="str">
        <x:v>旧完了場</x:v>
      </x:c>
      <x:c r="C8" s="7" t="str">
        <x:v>下落</x:v>
      </x:c>
      <x:c r="D8" s="6" t="n">
        <x:v>50000</x:v>
      </x:c>
      <x:c r="E8" s="6" t="n">
        <x:v>0</x:v>
      </x:c>
      <x:c r="F8" s="6" t="n">
        <x:f>D8-E8</x:f>
        <x:v>50000</x:v>
      </x:c>
      <x:c r="G8" s="6" t="n">
        <x:f>G7+F8</x:f>
        <x:v>10000</x:v>
      </x:c>
      <x:c r="H8" s="6" t="n">
        <x:v>-15000</x:v>
      </x:c>
      <x:c r="I8" s="6" t="n">
        <x:v>40000</x:v>
      </x:c>
      <x:c r="J8" s="6" t="n">
        <x:v>1</x:v>
      </x:c>
    </x:row>
    <x:row r="9" ht="25" customHeight="1">
      <x:c r="A9" s="2" t="str">
        <x:v>2026-09-24_Day</x:v>
      </x:c>
      <x:c r="B9" s="7" t="str">
        <x:v>旧完了場</x:v>
      </x:c>
      <x:c r="C9" s="7" t="str">
        <x:v>下落</x:v>
      </x:c>
      <x:c r="D9" s="6" t="n">
        <x:v>175000</x:v>
      </x:c>
      <x:c r="E9" s="6" t="n">
        <x:v>60000</x:v>
      </x:c>
      <x:c r="F9" s="6" t="n">
        <x:f>D9-E9</x:f>
        <x:v>115000</x:v>
      </x:c>
      <x:c r="G9" s="6" t="n">
        <x:f>G8+F9</x:f>
        <x:v>125000</x:v>
      </x:c>
      <x:c r="H9" s="6" t="n">
        <x:v>-14000</x:v>
      </x:c>
      <x:c r="I9" s="6" t="n">
        <x:v>143000</x:v>
      </x:c>
      <x:c r="J9" s="6" t="n">
        <x:v>8</x:v>
      </x:c>
    </x:row>
    <x:row r="10" ht="25" customHeight="1">
      <x:c r="A10" s="2" t="str">
        <x:v>2026-09-25_Day</x:v>
      </x:c>
      <x:c r="B10" s="7" t="str">
        <x:v>旧完了場</x:v>
      </x:c>
      <x:c r="C10" s="7" t="str">
        <x:v>上昇</x:v>
      </x:c>
      <x:c r="D10" s="6" t="n">
        <x:v>151000</x:v>
      </x:c>
      <x:c r="E10" s="6" t="n">
        <x:v>16000</x:v>
      </x:c>
      <x:c r="F10" s="6" t="n">
        <x:f>D10-E10</x:f>
        <x:v>135000</x:v>
      </x:c>
      <x:c r="G10" s="6" t="n">
        <x:f>G9+F10</x:f>
        <x:v>260000</x:v>
      </x:c>
      <x:c r="H10" s="6" t="n">
        <x:v>-10000</x:v>
      </x:c>
      <x:c r="I10" s="6" t="n">
        <x:v>81000</x:v>
      </x:c>
      <x:c r="J10" s="6" t="n">
        <x:v>5</x:v>
      </x:c>
    </x:row>
    <x:row r="11" ht="25" customHeight="1">
      <x:c r="A11" s="2" t="str">
        <x:v>2026-09-28_Day</x:v>
      </x:c>
      <x:c r="B11" s="7" t="str">
        <x:v>旧完了場</x:v>
      </x:c>
      <x:c r="C11" s="7" t="str">
        <x:v>下落</x:v>
      </x:c>
      <x:c r="D11" s="6" t="n">
        <x:v>125000</x:v>
      </x:c>
      <x:c r="E11" s="6" t="n">
        <x:v>137000</x:v>
      </x:c>
      <x:c r="F11" s="6" t="n">
        <x:f>D11-E11</x:f>
        <x:v>-12000</x:v>
      </x:c>
      <x:c r="G11" s="6" t="n">
        <x:f>G10+F11</x:f>
        <x:v>248000</x:v>
      </x:c>
      <x:c r="H11" s="6" t="n">
        <x:v>-101000</x:v>
      </x:c>
      <x:c r="I11" s="6" t="n">
        <x:v>145000</x:v>
      </x:c>
      <x:c r="J11" s="6" t="n">
        <x:v>9</x:v>
      </x:c>
    </x:row>
    <x:row r="12" ht="25" customHeight="1">
      <x:c r="A12" s="2" t="str">
        <x:v>2026-09-29_Day</x:v>
      </x:c>
      <x:c r="B12" s="7" t="str">
        <x:v>旧完了場</x:v>
      </x:c>
      <x:c r="C12" s="7" t="str">
        <x:v>下落</x:v>
      </x:c>
      <x:c r="D12" s="6" t="n">
        <x:v>206000</x:v>
      </x:c>
      <x:c r="E12" s="6" t="n">
        <x:v>125000</x:v>
      </x:c>
      <x:c r="F12" s="6" t="n">
        <x:f>D12-E12</x:f>
        <x:v>81000</x:v>
      </x:c>
      <x:c r="G12" s="6" t="n">
        <x:f>G11+F12</x:f>
        <x:v>329000</x:v>
      </x:c>
      <x:c r="H12" s="6" t="n">
        <x:v>-125000</x:v>
      </x:c>
      <x:c r="I12" s="6" t="n">
        <x:v>218000</x:v>
      </x:c>
      <x:c r="J12" s="6" t="n">
        <x:v>14</x:v>
      </x:c>
    </x:row>
    <x:row r="13" ht="25" customHeight="1">
      <x:c r="A13" s="2" t="str">
        <x:v>2026-09-30_Day</x:v>
      </x:c>
      <x:c r="B13" s="7" t="str">
        <x:v>旧完了場</x:v>
      </x:c>
      <x:c r="C13" s="7" t="str">
        <x:v>上昇</x:v>
      </x:c>
      <x:c r="D13" s="6" t="n">
        <x:v>194000</x:v>
      </x:c>
      <x:c r="E13" s="6" t="n">
        <x:v>75000</x:v>
      </x:c>
      <x:c r="F13" s="6" t="n">
        <x:f>D13-E13</x:f>
        <x:v>119000</x:v>
      </x:c>
      <x:c r="G13" s="6" t="n">
        <x:f>G12+F13</x:f>
        <x:v>448000</x:v>
      </x:c>
      <x:c r="H13" s="6" t="n">
        <x:v>-72000</x:v>
      </x:c>
      <x:c r="I13" s="6" t="n">
        <x:v>91000</x:v>
      </x:c>
      <x:c r="J13" s="6" t="n">
        <x:v>6</x:v>
      </x:c>
    </x:row>
    <x:row r="14" ht="25" customHeight="1">
      <x:c r="A14" s="2" t="str">
        <x:v>2026-10-01_Day</x:v>
      </x:c>
      <x:c r="B14" s="7" t="str">
        <x:v>旧完了場</x:v>
      </x:c>
      <x:c r="C14" s="7" t="str">
        <x:v>上昇</x:v>
      </x:c>
      <x:c r="D14" s="6" t="n">
        <x:v>248000</x:v>
      </x:c>
      <x:c r="E14" s="6" t="n">
        <x:v>110000</x:v>
      </x:c>
      <x:c r="F14" s="6" t="n">
        <x:f>D14-E14</x:f>
        <x:v>138000</x:v>
      </x:c>
      <x:c r="G14" s="6" t="n">
        <x:f>G13+F14</x:f>
        <x:v>586000</x:v>
      </x:c>
      <x:c r="H14" s="6" t="n">
        <x:v>-72000</x:v>
      </x:c>
      <x:c r="I14" s="6" t="n">
        <x:v>90000</x:v>
      </x:c>
      <x:c r="J14" s="6" t="n">
        <x:v>5</x:v>
      </x:c>
    </x:row>
    <x:row r="15" ht="25" customHeight="1">
      <x:c r="A15" s="2" t="str">
        <x:v>2026-10-02_Day</x:v>
      </x:c>
      <x:c r="B15" s="7" t="str">
        <x:v>旧完了場</x:v>
      </x:c>
      <x:c r="C15" s="7" t="str">
        <x:v>上昇</x:v>
      </x:c>
      <x:c r="D15" s="6" t="n">
        <x:v>31000</x:v>
      </x:c>
      <x:c r="E15" s="6" t="n">
        <x:v>73000</x:v>
      </x:c>
      <x:c r="F15" s="6" t="n">
        <x:f>D15-E15</x:f>
        <x:v>-42000</x:v>
      </x:c>
      <x:c r="G15" s="6" t="n">
        <x:f>G14+F15</x:f>
        <x:v>544000</x:v>
      </x:c>
      <x:c r="H15" s="6" t="n">
        <x:v>-81000</x:v>
      </x:c>
      <x:c r="I15" s="6" t="n">
        <x:v>159000</x:v>
      </x:c>
      <x:c r="J15" s="6" t="n">
        <x:v>9</x:v>
      </x:c>
    </x:row>
    <x:row r="16" ht="25" customHeight="1">
      <x:c r="A16" s="2" t="str">
        <x:v>2026-10-05_Day</x:v>
      </x:c>
      <x:c r="B16" s="7" t="str">
        <x:v>旧完了場</x:v>
      </x:c>
      <x:c r="C16" s="7" t="str">
        <x:v>上昇</x:v>
      </x:c>
      <x:c r="D16" s="6" t="n">
        <x:v>86000</x:v>
      </x:c>
      <x:c r="E16" s="6" t="n">
        <x:v>156000</x:v>
      </x:c>
      <x:c r="F16" s="6" t="n">
        <x:f>D16-E16</x:f>
        <x:v>-70000</x:v>
      </x:c>
      <x:c r="G16" s="6" t="n">
        <x:f>G15+F16</x:f>
        <x:v>474000</x:v>
      </x:c>
      <x:c r="H16" s="6" t="n">
        <x:v>-115000</x:v>
      </x:c>
      <x:c r="I16" s="6" t="n">
        <x:v>165000</x:v>
      </x:c>
      <x:c r="J16" s="6" t="n">
        <x:v>12</x:v>
      </x:c>
    </x:row>
    <x:row r="17" ht="25" customHeight="1">
      <x:c r="A17" s="2" t="str">
        <x:v>2026-10-06_Day</x:v>
      </x:c>
      <x:c r="B17" s="7" t="str">
        <x:v>旧完了場</x:v>
      </x:c>
      <x:c r="C17" s="7" t="str">
        <x:v>上昇</x:v>
      </x:c>
      <x:c r="D17" s="6" t="n">
        <x:v>142000</x:v>
      </x:c>
      <x:c r="E17" s="6" t="n">
        <x:v>160000</x:v>
      </x:c>
      <x:c r="F17" s="6" t="n">
        <x:f>D17-E17</x:f>
        <x:v>-18000</x:v>
      </x:c>
      <x:c r="G17" s="6" t="n">
        <x:f>G16+F17</x:f>
        <x:v>456000</x:v>
      </x:c>
      <x:c r="H17" s="6" t="n">
        <x:v>-74000</x:v>
      </x:c>
      <x:c r="I17" s="6" t="n">
        <x:v>98000</x:v>
      </x:c>
      <x:c r="J17" s="6" t="n">
        <x:v>10</x:v>
      </x:c>
    </x:row>
    <x:row r="18" ht="25" customHeight="1">
      <x:c r="A18" s="2" t="str">
        <x:v>2026-10-07_Day</x:v>
      </x:c>
      <x:c r="B18" s="7" t="str">
        <x:v>旧完了場</x:v>
      </x:c>
      <x:c r="C18" s="7" t="str">
        <x:v>下落</x:v>
      </x:c>
      <x:c r="D18" s="6" t="n">
        <x:v>167000</x:v>
      </x:c>
      <x:c r="E18" s="6" t="n">
        <x:v>46000</x:v>
      </x:c>
      <x:c r="F18" s="6" t="n">
        <x:f>D18-E18</x:f>
        <x:v>121000</x:v>
      </x:c>
      <x:c r="G18" s="6" t="n">
        <x:f>G17+F18</x:f>
        <x:v>577000</x:v>
      </x:c>
      <x:c r="H18" s="6" t="n">
        <x:v>-6000</x:v>
      </x:c>
      <x:c r="I18" s="6" t="n">
        <x:v>62000</x:v>
      </x:c>
      <x:c r="J18" s="6" t="n">
        <x:v>7</x:v>
      </x:c>
    </x:row>
    <x:row r="19" ht="25" customHeight="1">
      <x:c r="A19" s="2" t="str">
        <x:v>2026-10-08_Day</x:v>
      </x:c>
      <x:c r="B19" s="7" t="str">
        <x:v>旧完了場</x:v>
      </x:c>
      <x:c r="C19" s="7" t="str">
        <x:v>下落</x:v>
      </x:c>
      <x:c r="D19" s="6" t="n">
        <x:v>126000</x:v>
      </x:c>
      <x:c r="E19" s="6" t="n">
        <x:v>90000</x:v>
      </x:c>
      <x:c r="F19" s="6" t="n">
        <x:f>D19-E19</x:f>
        <x:v>36000</x:v>
      </x:c>
      <x:c r="G19" s="6" t="n">
        <x:f>G18+F19</x:f>
        <x:v>613000</x:v>
      </x:c>
      <x:c r="H19" s="6" t="n">
        <x:v>-78000</x:v>
      </x:c>
      <x:c r="I19" s="6" t="n">
        <x:v>119000</x:v>
      </x:c>
      <x:c r="J19" s="6" t="n">
        <x:v>7</x:v>
      </x:c>
    </x:row>
    <x:row r="20" ht="25" customHeight="1">
      <x:c r="A20" s="2" t="str">
        <x:v>2026-10-09_Day</x:v>
      </x:c>
      <x:c r="B20" s="7" t="str">
        <x:v>旧完了場</x:v>
      </x:c>
      <x:c r="C20" s="7" t="str">
        <x:v>上昇</x:v>
      </x:c>
      <x:c r="D20" s="6" t="n">
        <x:v>128000</x:v>
      </x:c>
      <x:c r="E20" s="6" t="n">
        <x:v>65000</x:v>
      </x:c>
      <x:c r="F20" s="6" t="n">
        <x:f>D20-E20</x:f>
        <x:v>63000</x:v>
      </x:c>
      <x:c r="G20" s="6" t="n">
        <x:f>G19+F20</x:f>
        <x:v>676000</x:v>
      </x:c>
      <x:c r="H20" s="6" t="n">
        <x:v>-33000</x:v>
      </x:c>
      <x:c r="I20" s="6" t="n">
        <x:v>98000</x:v>
      </x:c>
      <x:c r="J20" s="6" t="n">
        <x:v>9</x:v>
      </x:c>
    </x:row>
    <x:row r="21" ht="25" customHeight="1">
      <x:c r="A21" s="2" t="str">
        <x:v>2026-10-12_Day</x:v>
      </x:c>
      <x:c r="B21" s="7" t="str">
        <x:v>旧完了場</x:v>
      </x:c>
      <x:c r="C21" s="7" t="str">
        <x:v>下落</x:v>
      </x:c>
      <x:c r="D21" s="6" t="n">
        <x:v>65000</x:v>
      </x:c>
      <x:c r="E21" s="6" t="n">
        <x:v>25000</x:v>
      </x:c>
      <x:c r="F21" s="6" t="n">
        <x:f>D21-E21</x:f>
        <x:v>40000</x:v>
      </x:c>
      <x:c r="G21" s="6" t="n">
        <x:f>G20+F21</x:f>
        <x:v>716000</x:v>
      </x:c>
      <x:c r="H21" s="6" t="n">
        <x:v>-31000</x:v>
      </x:c>
      <x:c r="I21" s="6" t="n">
        <x:v>70000</x:v>
      </x:c>
      <x:c r="J21" s="6" t="n">
        <x:v>3</x:v>
      </x:c>
    </x:row>
    <x:row r="22" ht="25" customHeight="1">
      <x:c r="A22" s="2" t="str">
        <x:v>2026-10-13_Day</x:v>
      </x:c>
      <x:c r="B22" s="7" t="str">
        <x:v>旧完了場</x:v>
      </x:c>
      <x:c r="C22" s="7" t="str">
        <x:v>下落</x:v>
      </x:c>
      <x:c r="D22" s="6" t="n">
        <x:v>208000</x:v>
      </x:c>
      <x:c r="E22" s="6" t="n">
        <x:v>151000</x:v>
      </x:c>
      <x:c r="F22" s="6" t="n">
        <x:f>D22-E22</x:f>
        <x:v>57000</x:v>
      </x:c>
      <x:c r="G22" s="6" t="n">
        <x:f>G21+F22</x:f>
        <x:v>773000</x:v>
      </x:c>
      <x:c r="H22" s="6" t="n">
        <x:v>-36000</x:v>
      </x:c>
      <x:c r="I22" s="6" t="n">
        <x:v>113000</x:v>
      </x:c>
      <x:c r="J22" s="6" t="n">
        <x:v>15</x:v>
      </x:c>
    </x:row>
    <x:row r="23" ht="25" customHeight="1">
      <x:c r="A23" s="2" t="str">
        <x:v>2026-10-14_Day</x:v>
      </x:c>
      <x:c r="B23" s="7" t="str">
        <x:v>旧完了場</x:v>
      </x:c>
      <x:c r="C23" s="7" t="str">
        <x:v>上昇</x:v>
      </x:c>
      <x:c r="D23" s="6" t="n">
        <x:v>149000</x:v>
      </x:c>
      <x:c r="E23" s="6" t="n">
        <x:v>48000</x:v>
      </x:c>
      <x:c r="F23" s="6" t="n">
        <x:f>D23-E23</x:f>
        <x:v>101000</x:v>
      </x:c>
      <x:c r="G23" s="6" t="n">
        <x:f>G22+F23</x:f>
        <x:v>874000</x:v>
      </x:c>
      <x:c r="H23" s="6" t="n">
        <x:v>-58000</x:v>
      </x:c>
      <x:c r="I23" s="6" t="n">
        <x:v>75000</x:v>
      </x:c>
      <x:c r="J23" s="6" t="n">
        <x:v>5</x:v>
      </x:c>
    </x:row>
    <x:row r="24" ht="25" customHeight="1">
      <x:c r="A24" s="2" t="str">
        <x:v>2026-10-15_Day</x:v>
      </x:c>
      <x:c r="B24" s="7" t="str">
        <x:v>旧完了場</x:v>
      </x:c>
      <x:c r="C24" s="7" t="str">
        <x:v>下落</x:v>
      </x:c>
      <x:c r="D24" s="6" t="n">
        <x:v>302000</x:v>
      </x:c>
      <x:c r="E24" s="6" t="n">
        <x:v>66000</x:v>
      </x:c>
      <x:c r="F24" s="6" t="n">
        <x:f>D24-E24</x:f>
        <x:v>236000</x:v>
      </x:c>
      <x:c r="G24" s="6" t="n">
        <x:f>G23+F24</x:f>
        <x:v>1110000</x:v>
      </x:c>
      <x:c r="H24" s="6" t="n">
        <x:v>-68000</x:v>
      </x:c>
      <x:c r="I24" s="6" t="n">
        <x:v>118000</x:v>
      </x:c>
      <x:c r="J24" s="6" t="n">
        <x:v>6</x:v>
      </x:c>
    </x:row>
    <x:row r="25" ht="25" customHeight="1">
      <x:c r="A25" s="2" t="str">
        <x:v>2026-10-16_Day</x:v>
      </x:c>
      <x:c r="B25" s="7" t="str">
        <x:v>旧完了場</x:v>
      </x:c>
      <x:c r="C25" s="7" t="str">
        <x:v>上昇</x:v>
      </x:c>
      <x:c r="D25" s="6" t="n">
        <x:v>145000</x:v>
      </x:c>
      <x:c r="E25" s="6" t="n">
        <x:v>218000</x:v>
      </x:c>
      <x:c r="F25" s="6" t="n">
        <x:f>D25-E25</x:f>
        <x:v>-73000</x:v>
      </x:c>
      <x:c r="G25" s="6" t="n">
        <x:f>G24+F25</x:f>
        <x:v>1037000</x:v>
      </x:c>
      <x:c r="H25" s="6" t="n">
        <x:v>-140000</x:v>
      </x:c>
      <x:c r="I25" s="6" t="n">
        <x:v>162000</x:v>
      </x:c>
      <x:c r="J25" s="6" t="n">
        <x:v>14</x:v>
      </x:c>
    </x:row>
    <x:row r="26" ht="25" customHeight="1">
      <x:c r="A26" s="2" t="str">
        <x:v>2026-10-19_Day</x:v>
      </x:c>
      <x:c r="B26" s="7" t="str">
        <x:v>旧完了場</x:v>
      </x:c>
      <x:c r="C26" s="7" t="str">
        <x:v>上昇</x:v>
      </x:c>
      <x:c r="D26" s="6" t="n">
        <x:v>329000</x:v>
      </x:c>
      <x:c r="E26" s="6" t="n">
        <x:v>0</x:v>
      </x:c>
      <x:c r="F26" s="6" t="n">
        <x:f>D26-E26</x:f>
        <x:v>329000</x:v>
      </x:c>
      <x:c r="G26" s="6" t="n">
        <x:f>G25+F26</x:f>
        <x:v>1366000</x:v>
      </x:c>
      <x:c r="H26" s="6" t="n">
        <x:v>-8000</x:v>
      </x:c>
      <x:c r="I26" s="6" t="n">
        <x:v>192000</x:v>
      </x:c>
      <x:c r="J26" s="6" t="n">
        <x:v>4</x:v>
      </x:c>
    </x:row>
    <x:row r="27" ht="25" customHeight="1">
      <x:c r="A27" s="2" t="str">
        <x:v>2026-10-20_Day</x:v>
      </x:c>
      <x:c r="B27" s="7" t="str">
        <x:v>旧完了場</x:v>
      </x:c>
      <x:c r="C27" s="7" t="str">
        <x:v>下落</x:v>
      </x:c>
      <x:c r="D27" s="6" t="n">
        <x:v>203000</x:v>
      </x:c>
      <x:c r="E27" s="6" t="n">
        <x:v>178000</x:v>
      </x:c>
      <x:c r="F27" s="6" t="n">
        <x:f>D27-E27</x:f>
        <x:v>25000</x:v>
      </x:c>
      <x:c r="G27" s="6" t="n">
        <x:f>G26+F27</x:f>
        <x:v>1391000</x:v>
      </x:c>
      <x:c r="H27" s="6" t="n">
        <x:v>-60000</x:v>
      </x:c>
      <x:c r="I27" s="6" t="n">
        <x:v>294000</x:v>
      </x:c>
      <x:c r="J27" s="6" t="n">
        <x:v>13</x:v>
      </x:c>
    </x:row>
    <x:row r="28" ht="25" customHeight="1">
      <x:c r="A28" s="2" t="str">
        <x:v>2026-10-21_Day</x:v>
      </x:c>
      <x:c r="B28" s="7" t="str">
        <x:v>旧完了場</x:v>
      </x:c>
      <x:c r="C28" s="7" t="str">
        <x:v>下落</x:v>
      </x:c>
      <x:c r="D28" s="6" t="n">
        <x:v>80000</x:v>
      </x:c>
      <x:c r="E28" s="6" t="n">
        <x:v>193000</x:v>
      </x:c>
      <x:c r="F28" s="6" t="n">
        <x:f>D28-E28</x:f>
        <x:v>-113000</x:v>
      </x:c>
      <x:c r="G28" s="6" t="n">
        <x:f>G27+F28</x:f>
        <x:v>1278000</x:v>
      </x:c>
      <x:c r="H28" s="6" t="n">
        <x:v>-203000</x:v>
      </x:c>
      <x:c r="I28" s="6" t="n">
        <x:v>216000</x:v>
      </x:c>
      <x:c r="J28" s="6" t="n">
        <x:v>13</x:v>
      </x:c>
    </x:row>
    <x:row r="29" ht="25" customHeight="1">
      <x:c r="A29" s="2" t="str">
        <x:v>2026-10-22_Day</x:v>
      </x:c>
      <x:c r="B29" s="7" t="str">
        <x:v>旧完了場</x:v>
      </x:c>
      <x:c r="C29" s="7" t="str">
        <x:v>下落</x:v>
      </x:c>
      <x:c r="D29" s="6" t="n">
        <x:v>399000</x:v>
      </x:c>
      <x:c r="E29" s="6" t="n">
        <x:v>0</x:v>
      </x:c>
      <x:c r="F29" s="6" t="n">
        <x:f>D29-E29</x:f>
        <x:v>399000</x:v>
      </x:c>
      <x:c r="G29" s="6" t="n">
        <x:f>G28+F29</x:f>
        <x:v>1677000</x:v>
      </x:c>
      <x:c r="H29" s="6" t="n">
        <x:v>-17000</x:v>
      </x:c>
      <x:c r="I29" s="6" t="n">
        <x:v>93000</x:v>
      </x:c>
      <x:c r="J29" s="6" t="n">
        <x:v>3</x:v>
      </x:c>
    </x:row>
    <x:row r="30" ht="25" customHeight="1">
      <x:c r="A30" s="2" t="str">
        <x:v>2026-10-23_Day</x:v>
      </x:c>
      <x:c r="B30" s="7" t="str">
        <x:v>旧完了場</x:v>
      </x:c>
      <x:c r="C30" s="7" t="str">
        <x:v>上昇</x:v>
      </x:c>
      <x:c r="D30" s="6" t="n">
        <x:v>332000</x:v>
      </x:c>
      <x:c r="E30" s="6" t="n">
        <x:v>44000</x:v>
      </x:c>
      <x:c r="F30" s="6" t="n">
        <x:f>D30-E30</x:f>
        <x:v>288000</x:v>
      </x:c>
      <x:c r="G30" s="6" t="n">
        <x:f>G29+F30</x:f>
        <x:v>1965000</x:v>
      </x:c>
      <x:c r="H30" s="6" t="n">
        <x:v>-24000</x:v>
      </x:c>
      <x:c r="I30" s="6" t="n">
        <x:v>82000</x:v>
      </x:c>
      <x:c r="J30" s="6" t="n">
        <x:v>15</x:v>
      </x:c>
    </x:row>
    <x:row r="31" ht="25" customHeight="1">
      <x:c r="A31" s="2" t="str">
        <x:v>2026-10-26_Day</x:v>
      </x:c>
      <x:c r="B31" s="7" t="str">
        <x:v>旧完了場</x:v>
      </x:c>
      <x:c r="C31" s="7" t="str">
        <x:v>下落</x:v>
      </x:c>
      <x:c r="D31" s="6" t="n">
        <x:v>160000</x:v>
      </x:c>
      <x:c r="E31" s="6" t="n">
        <x:v>190000</x:v>
      </x:c>
      <x:c r="F31" s="6" t="n">
        <x:f>D31-E31</x:f>
        <x:v>-30000</x:v>
      </x:c>
      <x:c r="G31" s="6" t="n">
        <x:f>G30+F31</x:f>
        <x:v>1935000</x:v>
      </x:c>
      <x:c r="H31" s="6" t="n">
        <x:v>-126000</x:v>
      </x:c>
      <x:c r="I31" s="6" t="n">
        <x:v>254000</x:v>
      </x:c>
      <x:c r="J31" s="6" t="n">
        <x:v>7</x:v>
      </x:c>
    </x:row>
    <x:row r="32" ht="25" customHeight="1">
      <x:c r="A32" s="14" t="str">
        <x:v>累計／場内最悪値</x:v>
      </x:c>
      <x:c r="B32" s="15"/>
      <x:c r="C32" s="15"/>
      <x:c r="D32" s="15" t="n">
        <x:f>SUM(D6:D31)</x:f>
        <x:v>4231000</x:v>
      </x:c>
      <x:c r="E32" s="15" t="n">
        <x:f>SUM(E6:E31)</x:f>
        <x:v>2296000</x:v>
      </x:c>
      <x:c r="F32" s="15" t="n">
        <x:f>D32-E32</x:f>
        <x:v>1935000</x:v>
      </x:c>
      <x:c r="G32" s="15" t="n">
        <x:f>G31</x:f>
        <x:v>1935000</x:v>
      </x:c>
      <x:c r="H32" s="15" t="n">
        <x:f>MIN(H6:H31)</x:f>
        <x:v>-203000</x:v>
      </x:c>
      <x:c r="I32" s="15" t="n">
        <x:f>MAX(I6:I31)</x:f>
        <x:v>294000</x:v>
      </x:c>
      <x:c r="J32" s="15" t="n">
        <x:f>SUM(J6:J31)</x:f>
        <x:v>204</x:v>
      </x:c>
    </x:row>
  </x:sheetData>
  <x:conditionalFormatting sqref="F6:H31">
    <x:cfRule type="cellIs" dxfId="24" priority="1" operator="lessThan">
      <x:formula>0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e9ab3fc7f60a4111"/>
  </x:tableParts>
</x:worksheet>
</file>

<file path=xl/worksheets/sheet16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25" hidden="0" customWidth="1"/>
    <x:col min="2" max="2" width="15" hidden="0" customWidth="1"/>
    <x:col min="3" max="3" width="10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</x:cols>
  <x:sheetData>
    <x:row r="1" ht="10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</x:row>
    <x:row r="2" ht="25" customHeight="1">
      <x:c r="A2" s="3" t="str">
        <x:v>日経 S01完了確認　日中損益</x:v>
      </x:c>
      <x:c r="B2" s="2"/>
      <x:c r="C2" s="2"/>
      <x:c r="D2" s="2"/>
      <x:c r="E2" s="2"/>
      <x:c r="F2" s="2"/>
      <x:c r="G2" s="2"/>
      <x:c r="H2" s="2"/>
      <x:c r="I2" s="2"/>
      <x:c r="J2" s="2"/>
    </x:row>
    <x:row r="3" ht="25" customHeight="1">
      <x:c r="A3" s="4" t="str">
        <x:v>10/27完了版の確認。S01源の旧prefix一致。</x:v>
      </x:c>
      <x:c r="B3" s="2"/>
      <x:c r="C3" s="2"/>
      <x:c r="D3" s="2"/>
      <x:c r="E3" s="2"/>
      <x:c r="F3" s="2"/>
      <x:c r="G3" s="2"/>
      <x:c r="H3" s="2"/>
      <x:c r="I3" s="2"/>
      <x:c r="J3" s="2"/>
    </x:row>
    <x:row r="4" ht="25" customHeight="1">
      <x:c r="A4" s="4" t="str">
        <x:v>片側micro100枚＝mini10枚相当・手数料0。途中最悪は確定＋全玉含み、最大下落は当場ピークからの落差。</x:v>
      </x:c>
      <x:c r="B4" s="2"/>
      <x:c r="C4" s="2"/>
      <x:c r="D4" s="2"/>
      <x:c r="E4" s="2"/>
      <x:c r="F4" s="2"/>
      <x:c r="G4" s="2"/>
      <x:c r="H4" s="2"/>
      <x:c r="I4" s="2"/>
      <x:c r="J4" s="2"/>
    </x:row>
    <x:row r="5" ht="45" customHeight="1">
      <x:c r="A5" s="11" t="str">
        <x:v>セッション</x:v>
      </x:c>
      <x:c r="B5" s="11" t="str">
        <x:v>資料区分</x:v>
      </x:c>
      <x:c r="C5" s="11" t="str">
        <x:v>場の方向</x:v>
      </x:c>
      <x:c r="D5" s="11" t="str">
        <x:v>利益（円）</x:v>
      </x:c>
      <x:c r="E5" s="11" t="str">
        <x:v>損失（円）</x:v>
      </x:c>
      <x:c r="F5" s="11" t="str">
        <x:v>収支（円）</x:v>
      </x:c>
      <x:c r="G5" s="11" t="str">
        <x:v>累計（円）</x:v>
      </x:c>
      <x:c r="H5" s="11" t="str">
        <x:v>途中最悪収支（円）</x:v>
      </x:c>
      <x:c r="I5" s="11" t="str">
        <x:v>最大下落額（円）</x:v>
      </x:c>
      <x:c r="J5" s="11" t="str">
        <x:v>新規回数</x:v>
      </x:c>
    </x:row>
    <x:row r="6" ht="25" customHeight="1">
      <x:c r="A6" s="2" t="str">
        <x:v>2026-10-27_Day</x:v>
      </x:c>
      <x:c r="B6" s="7" t="str">
        <x:v>追加完了版</x:v>
      </x:c>
      <x:c r="C6" s="7" t="str">
        <x:v>上昇</x:v>
      </x:c>
      <x:c r="D6" s="6" t="n">
        <x:v>121000</x:v>
      </x:c>
      <x:c r="E6" s="6" t="n">
        <x:v>236000</x:v>
      </x:c>
      <x:c r="F6" s="6" t="n">
        <x:f>D6-E6</x:f>
        <x:v>-115000</x:v>
      </x:c>
      <x:c r="G6" s="6" t="n">
        <x:f>F6</x:f>
        <x:v>-115000</x:v>
      </x:c>
      <x:c r="H6" s="6" t="n">
        <x:v>-133000</x:v>
      </x:c>
      <x:c r="I6" s="6" t="n">
        <x:v>193000</x:v>
      </x:c>
      <x:c r="J6" s="6" t="n">
        <x:v>15</x:v>
      </x:c>
    </x:row>
    <x:row r="7" ht="25" customHeight="1">
      <x:c r="A7" s="14" t="str">
        <x:v>累計／場内最悪値</x:v>
      </x:c>
      <x:c r="B7" s="15"/>
      <x:c r="C7" s="15"/>
      <x:c r="D7" s="15" t="n">
        <x:f>SUM(D6:D6)</x:f>
        <x:v>121000</x:v>
      </x:c>
      <x:c r="E7" s="15" t="n">
        <x:f>SUM(E6:E6)</x:f>
        <x:v>236000</x:v>
      </x:c>
      <x:c r="F7" s="15" t="n">
        <x:f>D7-E7</x:f>
        <x:v>-115000</x:v>
      </x:c>
      <x:c r="G7" s="15" t="n">
        <x:f>G6</x:f>
        <x:v>-115000</x:v>
      </x:c>
      <x:c r="H7" s="15" t="n">
        <x:f>MIN(H6:H6)</x:f>
        <x:v>-133000</x:v>
      </x:c>
      <x:c r="I7" s="15" t="n">
        <x:f>MAX(I6:I6)</x:f>
        <x:v>193000</x:v>
      </x:c>
      <x:c r="J7" s="15" t="n">
        <x:f>SUM(J6:J6)</x:f>
        <x:v>15</x:v>
      </x:c>
    </x:row>
  </x:sheetData>
  <x:conditionalFormatting sqref="F6:H6">
    <x:cfRule type="cellIs" dxfId="25" priority="1" operator="lessThan">
      <x:formula>0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b46669bb7da14353"/>
  </x:tableParts>
</x:worksheet>
</file>

<file path=xl/worksheets/sheet17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25" hidden="0" customWidth="1"/>
    <x:col min="2" max="2" width="15" hidden="0" customWidth="1"/>
    <x:col min="3" max="3" width="10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</x:cols>
  <x:sheetData>
    <x:row r="1" ht="10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</x:row>
    <x:row r="2" ht="25" customHeight="1">
      <x:c r="A2" s="3" t="str">
        <x:v>日経 J02　日中損益</x:v>
      </x:c>
      <x:c r="B2" s="2"/>
      <x:c r="C2" s="2"/>
      <x:c r="D2" s="2"/>
      <x:c r="E2" s="2"/>
      <x:c r="F2" s="2"/>
      <x:c r="G2" s="2"/>
      <x:c r="H2" s="2"/>
      <x:c r="I2" s="2"/>
      <x:c r="J2" s="2"/>
    </x:row>
    <x:row r="3" ht="25" customHeight="1">
      <x:c r="A3" s="4" t="str">
        <x:v>S01の初回を最低10microと支持で配分</x:v>
      </x:c>
      <x:c r="B3" s="2"/>
      <x:c r="C3" s="2"/>
      <x:c r="D3" s="2"/>
      <x:c r="E3" s="2"/>
      <x:c r="F3" s="2"/>
      <x:c r="G3" s="2"/>
      <x:c r="H3" s="2"/>
      <x:c r="I3" s="2"/>
      <x:c r="J3" s="2"/>
    </x:row>
    <x:row r="4" ht="25" customHeight="1">
      <x:c r="A4" s="4" t="str">
        <x:v>片側micro100枚＝mini10枚相当・手数料0。途中最悪は確定＋全玉含み、最大下落は当場ピークからの落差。</x:v>
      </x:c>
      <x:c r="B4" s="2"/>
      <x:c r="C4" s="2"/>
      <x:c r="D4" s="2"/>
      <x:c r="E4" s="2"/>
      <x:c r="F4" s="2"/>
      <x:c r="G4" s="2"/>
      <x:c r="H4" s="2"/>
      <x:c r="I4" s="2"/>
      <x:c r="J4" s="2"/>
    </x:row>
    <x:row r="5" ht="45" customHeight="1">
      <x:c r="A5" s="11" t="str">
        <x:v>セッション</x:v>
      </x:c>
      <x:c r="B5" s="11" t="str">
        <x:v>資料区分</x:v>
      </x:c>
      <x:c r="C5" s="11" t="str">
        <x:v>場の方向</x:v>
      </x:c>
      <x:c r="D5" s="11" t="str">
        <x:v>利益（円）</x:v>
      </x:c>
      <x:c r="E5" s="11" t="str">
        <x:v>損失（円）</x:v>
      </x:c>
      <x:c r="F5" s="11" t="str">
        <x:v>収支（円）</x:v>
      </x:c>
      <x:c r="G5" s="11" t="str">
        <x:v>累計（円）</x:v>
      </x:c>
      <x:c r="H5" s="11" t="str">
        <x:v>途中最悪収支（円）</x:v>
      </x:c>
      <x:c r="I5" s="11" t="str">
        <x:v>最大下落額（円）</x:v>
      </x:c>
      <x:c r="J5" s="11" t="str">
        <x:v>新規回数</x:v>
      </x:c>
    </x:row>
    <x:row r="6" ht="25" customHeight="1">
      <x:c r="A6" s="2" t="str">
        <x:v>2026-09-21_Day</x:v>
      </x:c>
      <x:c r="B6" s="7" t="str">
        <x:v>旧完了場</x:v>
      </x:c>
      <x:c r="C6" s="7" t="str">
        <x:v>上昇</x:v>
      </x:c>
      <x:c r="D6" s="6" t="n">
        <x:v>7200</x:v>
      </x:c>
      <x:c r="E6" s="6" t="n">
        <x:v>0</x:v>
      </x:c>
      <x:c r="F6" s="6" t="n">
        <x:f>D6-E6</x:f>
        <x:v>7200</x:v>
      </x:c>
      <x:c r="G6" s="6" t="n">
        <x:f>F6</x:f>
        <x:v>7200</x:v>
      </x:c>
      <x:c r="H6" s="6" t="n">
        <x:v>-12000</x:v>
      </x:c>
      <x:c r="I6" s="6" t="n">
        <x:v>13000</x:v>
      </x:c>
      <x:c r="J6" s="6" t="n">
        <x:v>2</x:v>
      </x:c>
    </x:row>
    <x:row r="7" ht="25" customHeight="1">
      <x:c r="A7" s="2" t="str">
        <x:v>2026-09-22_Day</x:v>
      </x:c>
      <x:c r="B7" s="7" t="str">
        <x:v>旧完了場</x:v>
      </x:c>
      <x:c r="C7" s="7" t="str">
        <x:v>下落</x:v>
      </x:c>
      <x:c r="D7" s="6" t="n">
        <x:v>0</x:v>
      </x:c>
      <x:c r="E7" s="6" t="n">
        <x:v>14000</x:v>
      </x:c>
      <x:c r="F7" s="6" t="n">
        <x:f>D7-E7</x:f>
        <x:v>-14000</x:v>
      </x:c>
      <x:c r="G7" s="6" t="n">
        <x:f>G6+F7</x:f>
        <x:v>-6800</x:v>
      </x:c>
      <x:c r="H7" s="6" t="n">
        <x:v>-14000</x:v>
      </x:c>
      <x:c r="I7" s="6" t="n">
        <x:v>16000</x:v>
      </x:c>
      <x:c r="J7" s="6" t="n">
        <x:v>2</x:v>
      </x:c>
    </x:row>
    <x:row r="8" ht="25" customHeight="1">
      <x:c r="A8" s="2" t="str">
        <x:v>2026-09-23_Day</x:v>
      </x:c>
      <x:c r="B8" s="7" t="str">
        <x:v>旧完了場</x:v>
      </x:c>
      <x:c r="C8" s="7" t="str">
        <x:v>下落</x:v>
      </x:c>
      <x:c r="D8" s="6" t="n">
        <x:v>10000</x:v>
      </x:c>
      <x:c r="E8" s="6" t="n">
        <x:v>0</x:v>
      </x:c>
      <x:c r="F8" s="6" t="n">
        <x:f>D8-E8</x:f>
        <x:v>10000</x:v>
      </x:c>
      <x:c r="G8" s="6" t="n">
        <x:f>G7+F8</x:f>
        <x:v>3200</x:v>
      </x:c>
      <x:c r="H8" s="6" t="n">
        <x:v>-3000</x:v>
      </x:c>
      <x:c r="I8" s="6" t="n">
        <x:v>8000</x:v>
      </x:c>
      <x:c r="J8" s="6" t="n">
        <x:v>1</x:v>
      </x:c>
    </x:row>
    <x:row r="9" ht="25" customHeight="1">
      <x:c r="A9" s="2" t="str">
        <x:v>2026-09-24_Day</x:v>
      </x:c>
      <x:c r="B9" s="7" t="str">
        <x:v>旧完了場</x:v>
      </x:c>
      <x:c r="C9" s="7" t="str">
        <x:v>下落</x:v>
      </x:c>
      <x:c r="D9" s="6" t="n">
        <x:v>234200</x:v>
      </x:c>
      <x:c r="E9" s="6" t="n">
        <x:v>12000</x:v>
      </x:c>
      <x:c r="F9" s="6" t="n">
        <x:f>D9-E9</x:f>
        <x:v>222200</x:v>
      </x:c>
      <x:c r="G9" s="6" t="n">
        <x:f>G8+F9</x:f>
        <x:v>225400</x:v>
      </x:c>
      <x:c r="H9" s="6" t="n">
        <x:v>-18200</x:v>
      </x:c>
      <x:c r="I9" s="6" t="n">
        <x:v>169300</x:v>
      </x:c>
      <x:c r="J9" s="6" t="n">
        <x:v>8</x:v>
      </x:c>
    </x:row>
    <x:row r="10" ht="25" customHeight="1">
      <x:c r="A10" s="2" t="str">
        <x:v>2026-09-25_Day</x:v>
      </x:c>
      <x:c r="B10" s="7" t="str">
        <x:v>旧完了場</x:v>
      </x:c>
      <x:c r="C10" s="7" t="str">
        <x:v>上昇</x:v>
      </x:c>
      <x:c r="D10" s="6" t="n">
        <x:v>149400</x:v>
      </x:c>
      <x:c r="E10" s="6" t="n">
        <x:v>8000</x:v>
      </x:c>
      <x:c r="F10" s="6" t="n">
        <x:f>D10-E10</x:f>
        <x:v>141400</x:v>
      </x:c>
      <x:c r="G10" s="6" t="n">
        <x:f>G9+F10</x:f>
        <x:v>366800</x:v>
      </x:c>
      <x:c r="H10" s="6" t="n">
        <x:v>-58000</x:v>
      </x:c>
      <x:c r="I10" s="6" t="n">
        <x:v>96800</x:v>
      </x:c>
      <x:c r="J10" s="6" t="n">
        <x:v>5</x:v>
      </x:c>
    </x:row>
    <x:row r="11" ht="25" customHeight="1">
      <x:c r="A11" s="2" t="str">
        <x:v>2026-09-28_Day</x:v>
      </x:c>
      <x:c r="B11" s="7" t="str">
        <x:v>旧完了場</x:v>
      </x:c>
      <x:c r="C11" s="7" t="str">
        <x:v>下落</x:v>
      </x:c>
      <x:c r="D11" s="6" t="n">
        <x:v>65900</x:v>
      </x:c>
      <x:c r="E11" s="6" t="n">
        <x:v>46000</x:v>
      </x:c>
      <x:c r="F11" s="6" t="n">
        <x:f>D11-E11</x:f>
        <x:v>19900</x:v>
      </x:c>
      <x:c r="G11" s="6" t="n">
        <x:f>G10+F11</x:f>
        <x:v>386700</x:v>
      </x:c>
      <x:c r="H11" s="6" t="n">
        <x:v>-75200</x:v>
      </x:c>
      <x:c r="I11" s="6" t="n">
        <x:v>89300</x:v>
      </x:c>
      <x:c r="J11" s="6" t="n">
        <x:v>9</x:v>
      </x:c>
    </x:row>
    <x:row r="12" ht="25" customHeight="1">
      <x:c r="A12" s="2" t="str">
        <x:v>2026-09-29_Day</x:v>
      </x:c>
      <x:c r="B12" s="7" t="str">
        <x:v>旧完了場</x:v>
      </x:c>
      <x:c r="C12" s="7" t="str">
        <x:v>下落</x:v>
      </x:c>
      <x:c r="D12" s="6" t="n">
        <x:v>94000</x:v>
      </x:c>
      <x:c r="E12" s="6" t="n">
        <x:v>194800</x:v>
      </x:c>
      <x:c r="F12" s="6" t="n">
        <x:f>D12-E12</x:f>
        <x:v>-100800</x:v>
      </x:c>
      <x:c r="G12" s="6" t="n">
        <x:f>G11+F12</x:f>
        <x:v>285900</x:v>
      </x:c>
      <x:c r="H12" s="6" t="n">
        <x:v>-189200</x:v>
      </x:c>
      <x:c r="I12" s="6" t="n">
        <x:v>207400</x:v>
      </x:c>
      <x:c r="J12" s="6" t="n">
        <x:v>14</x:v>
      </x:c>
    </x:row>
    <x:row r="13" ht="25" customHeight="1">
      <x:c r="A13" s="2" t="str">
        <x:v>2026-09-30_Day</x:v>
      </x:c>
      <x:c r="B13" s="7" t="str">
        <x:v>旧完了場</x:v>
      </x:c>
      <x:c r="C13" s="7" t="str">
        <x:v>上昇</x:v>
      </x:c>
      <x:c r="D13" s="6" t="n">
        <x:v>47500</x:v>
      </x:c>
      <x:c r="E13" s="6" t="n">
        <x:v>25400</x:v>
      </x:c>
      <x:c r="F13" s="6" t="n">
        <x:f>D13-E13</x:f>
        <x:v>22100</x:v>
      </x:c>
      <x:c r="G13" s="6" t="n">
        <x:f>G12+F13</x:f>
        <x:v>308000</x:v>
      </x:c>
      <x:c r="H13" s="6" t="n">
        <x:v>-16900</x:v>
      </x:c>
      <x:c r="I13" s="6" t="n">
        <x:v>26400</x:v>
      </x:c>
      <x:c r="J13" s="6" t="n">
        <x:v>6</x:v>
      </x:c>
    </x:row>
    <x:row r="14" ht="25" customHeight="1">
      <x:c r="A14" s="2" t="str">
        <x:v>2026-10-01_Day</x:v>
      </x:c>
      <x:c r="B14" s="7" t="str">
        <x:v>旧完了場</x:v>
      </x:c>
      <x:c r="C14" s="7" t="str">
        <x:v>上昇</x:v>
      </x:c>
      <x:c r="D14" s="6" t="n">
        <x:v>66000</x:v>
      </x:c>
      <x:c r="E14" s="6" t="n">
        <x:v>142700</x:v>
      </x:c>
      <x:c r="F14" s="6" t="n">
        <x:f>D14-E14</x:f>
        <x:v>-76700</x:v>
      </x:c>
      <x:c r="G14" s="6" t="n">
        <x:f>G13+F14</x:f>
        <x:v>231300</x:v>
      </x:c>
      <x:c r="H14" s="6" t="n">
        <x:v>-92700</x:v>
      </x:c>
      <x:c r="I14" s="6" t="n">
        <x:v>108900</x:v>
      </x:c>
      <x:c r="J14" s="6" t="n">
        <x:v>5</x:v>
      </x:c>
    </x:row>
    <x:row r="15" ht="25" customHeight="1">
      <x:c r="A15" s="2" t="str">
        <x:v>2026-10-02_Day</x:v>
      </x:c>
      <x:c r="B15" s="7" t="str">
        <x:v>旧完了場</x:v>
      </x:c>
      <x:c r="C15" s="7" t="str">
        <x:v>上昇</x:v>
      </x:c>
      <x:c r="D15" s="6" t="n">
        <x:v>19400</x:v>
      </x:c>
      <x:c r="E15" s="6" t="n">
        <x:v>42000</x:v>
      </x:c>
      <x:c r="F15" s="6" t="n">
        <x:f>D15-E15</x:f>
        <x:v>-22600</x:v>
      </x:c>
      <x:c r="G15" s="6" t="n">
        <x:f>G14+F15</x:f>
        <x:v>208700</x:v>
      </x:c>
      <x:c r="H15" s="6" t="n">
        <x:v>-40500</x:v>
      </x:c>
      <x:c r="I15" s="6" t="n">
        <x:v>87300</x:v>
      </x:c>
      <x:c r="J15" s="6" t="n">
        <x:v>9</x:v>
      </x:c>
    </x:row>
    <x:row r="16" ht="25" customHeight="1">
      <x:c r="A16" s="2" t="str">
        <x:v>2026-10-05_Day</x:v>
      </x:c>
      <x:c r="B16" s="7" t="str">
        <x:v>旧完了場</x:v>
      </x:c>
      <x:c r="C16" s="7" t="str">
        <x:v>上昇</x:v>
      </x:c>
      <x:c r="D16" s="6" t="n">
        <x:v>65700</x:v>
      </x:c>
      <x:c r="E16" s="6" t="n">
        <x:v>59400</x:v>
      </x:c>
      <x:c r="F16" s="6" t="n">
        <x:f>D16-E16</x:f>
        <x:v>6300</x:v>
      </x:c>
      <x:c r="G16" s="6" t="n">
        <x:f>G15+F16</x:f>
        <x:v>215000</x:v>
      </x:c>
      <x:c r="H16" s="6" t="n">
        <x:v>-19200</x:v>
      </x:c>
      <x:c r="I16" s="6" t="n">
        <x:v>78700</x:v>
      </x:c>
      <x:c r="J16" s="6" t="n">
        <x:v>12</x:v>
      </x:c>
    </x:row>
    <x:row r="17" ht="25" customHeight="1">
      <x:c r="A17" s="2" t="str">
        <x:v>2026-10-06_Day</x:v>
      </x:c>
      <x:c r="B17" s="7" t="str">
        <x:v>旧完了場</x:v>
      </x:c>
      <x:c r="C17" s="7" t="str">
        <x:v>上昇</x:v>
      </x:c>
      <x:c r="D17" s="6" t="n">
        <x:v>36600</x:v>
      </x:c>
      <x:c r="E17" s="6" t="n">
        <x:v>167200</x:v>
      </x:c>
      <x:c r="F17" s="6" t="n">
        <x:f>D17-E17</x:f>
        <x:v>-130600</x:v>
      </x:c>
      <x:c r="G17" s="6" t="n">
        <x:f>G16+F17</x:f>
        <x:v>84400</x:v>
      </x:c>
      <x:c r="H17" s="6" t="n">
        <x:v>-130600</x:v>
      </x:c>
      <x:c r="I17" s="6" t="n">
        <x:v>170700</x:v>
      </x:c>
      <x:c r="J17" s="6" t="n">
        <x:v>10</x:v>
      </x:c>
    </x:row>
    <x:row r="18" ht="25" customHeight="1">
      <x:c r="A18" s="2" t="str">
        <x:v>2026-10-07_Day</x:v>
      </x:c>
      <x:c r="B18" s="7" t="str">
        <x:v>旧完了場</x:v>
      </x:c>
      <x:c r="C18" s="7" t="str">
        <x:v>下落</x:v>
      </x:c>
      <x:c r="D18" s="6" t="n">
        <x:v>245800</x:v>
      </x:c>
      <x:c r="E18" s="6" t="n">
        <x:v>43300</x:v>
      </x:c>
      <x:c r="F18" s="6" t="n">
        <x:f>D18-E18</x:f>
        <x:v>202500</x:v>
      </x:c>
      <x:c r="G18" s="6" t="n">
        <x:f>G17+F18</x:f>
        <x:v>286900</x:v>
      </x:c>
      <x:c r="H18" s="6" t="n">
        <x:v>-12900</x:v>
      </x:c>
      <x:c r="I18" s="6" t="n">
        <x:v>86300</x:v>
      </x:c>
      <x:c r="J18" s="6" t="n">
        <x:v>7</x:v>
      </x:c>
    </x:row>
    <x:row r="19" ht="25" customHeight="1">
      <x:c r="A19" s="2" t="str">
        <x:v>2026-10-08_Day</x:v>
      </x:c>
      <x:c r="B19" s="7" t="str">
        <x:v>旧完了場</x:v>
      </x:c>
      <x:c r="C19" s="7" t="str">
        <x:v>下落</x:v>
      </x:c>
      <x:c r="D19" s="6" t="n">
        <x:v>35400</x:v>
      </x:c>
      <x:c r="E19" s="6" t="n">
        <x:v>23000</x:v>
      </x:c>
      <x:c r="F19" s="6" t="n">
        <x:f>D19-E19</x:f>
        <x:v>12400</x:v>
      </x:c>
      <x:c r="G19" s="6" t="n">
        <x:f>G18+F19</x:f>
        <x:v>299300</x:v>
      </x:c>
      <x:c r="H19" s="6" t="n">
        <x:v>-27300</x:v>
      </x:c>
      <x:c r="I19" s="6" t="n">
        <x:v>32300</x:v>
      </x:c>
      <x:c r="J19" s="6" t="n">
        <x:v>7</x:v>
      </x:c>
    </x:row>
    <x:row r="20" ht="25" customHeight="1">
      <x:c r="A20" s="2" t="str">
        <x:v>2026-10-09_Day</x:v>
      </x:c>
      <x:c r="B20" s="7" t="str">
        <x:v>旧完了場</x:v>
      </x:c>
      <x:c r="C20" s="7" t="str">
        <x:v>上昇</x:v>
      </x:c>
      <x:c r="D20" s="6" t="n">
        <x:v>58200</x:v>
      </x:c>
      <x:c r="E20" s="6" t="n">
        <x:v>44900</x:v>
      </x:c>
      <x:c r="F20" s="6" t="n">
        <x:f>D20-E20</x:f>
        <x:v>13300</x:v>
      </x:c>
      <x:c r="G20" s="6" t="n">
        <x:f>G19+F20</x:f>
        <x:v>312600</x:v>
      </x:c>
      <x:c r="H20" s="6" t="n">
        <x:v>-101300</x:v>
      </x:c>
      <x:c r="I20" s="6" t="n">
        <x:v>198200</x:v>
      </x:c>
      <x:c r="J20" s="6" t="n">
        <x:v>9</x:v>
      </x:c>
    </x:row>
    <x:row r="21" ht="25" customHeight="1">
      <x:c r="A21" s="2" t="str">
        <x:v>2026-10-12_Day</x:v>
      </x:c>
      <x:c r="B21" s="7" t="str">
        <x:v>旧完了場</x:v>
      </x:c>
      <x:c r="C21" s="7" t="str">
        <x:v>下落</x:v>
      </x:c>
      <x:c r="D21" s="6" t="n">
        <x:v>14200</x:v>
      </x:c>
      <x:c r="E21" s="6" t="n">
        <x:v>5000</x:v>
      </x:c>
      <x:c r="F21" s="6" t="n">
        <x:f>D21-E21</x:f>
        <x:v>9200</x:v>
      </x:c>
      <x:c r="G21" s="6" t="n">
        <x:f>G20+F21</x:f>
        <x:v>321800</x:v>
      </x:c>
      <x:c r="H21" s="6" t="n">
        <x:v>-5000</x:v>
      </x:c>
      <x:c r="I21" s="6" t="n">
        <x:v>14000</x:v>
      </x:c>
      <x:c r="J21" s="6" t="n">
        <x:v>3</x:v>
      </x:c>
    </x:row>
    <x:row r="22" ht="25" customHeight="1">
      <x:c r="A22" s="2" t="str">
        <x:v>2026-10-13_Day</x:v>
      </x:c>
      <x:c r="B22" s="7" t="str">
        <x:v>旧完了場</x:v>
      </x:c>
      <x:c r="C22" s="7" t="str">
        <x:v>下落</x:v>
      </x:c>
      <x:c r="D22" s="6" t="n">
        <x:v>160800</x:v>
      </x:c>
      <x:c r="E22" s="6" t="n">
        <x:v>220600</x:v>
      </x:c>
      <x:c r="F22" s="6" t="n">
        <x:f>D22-E22</x:f>
        <x:v>-59800</x:v>
      </x:c>
      <x:c r="G22" s="6" t="n">
        <x:f>G21+F22</x:f>
        <x:v>262000</x:v>
      </x:c>
      <x:c r="H22" s="6" t="n">
        <x:v>-115500</x:v>
      </x:c>
      <x:c r="I22" s="6" t="n">
        <x:v>222800</x:v>
      </x:c>
      <x:c r="J22" s="6" t="n">
        <x:v>15</x:v>
      </x:c>
    </x:row>
    <x:row r="23" ht="25" customHeight="1">
      <x:c r="A23" s="2" t="str">
        <x:v>2026-10-14_Day</x:v>
      </x:c>
      <x:c r="B23" s="7" t="str">
        <x:v>旧完了場</x:v>
      </x:c>
      <x:c r="C23" s="7" t="str">
        <x:v>上昇</x:v>
      </x:c>
      <x:c r="D23" s="6" t="n">
        <x:v>38700</x:v>
      </x:c>
      <x:c r="E23" s="6" t="n">
        <x:v>99900</x:v>
      </x:c>
      <x:c r="F23" s="6" t="n">
        <x:f>D23-E23</x:f>
        <x:v>-61200</x:v>
      </x:c>
      <x:c r="G23" s="6" t="n">
        <x:f>G22+F23</x:f>
        <x:v>200800</x:v>
      </x:c>
      <x:c r="H23" s="6" t="n">
        <x:v>-101900</x:v>
      </x:c>
      <x:c r="I23" s="6" t="n">
        <x:v>141000</x:v>
      </x:c>
      <x:c r="J23" s="6" t="n">
        <x:v>5</x:v>
      </x:c>
    </x:row>
    <x:row r="24" ht="25" customHeight="1">
      <x:c r="A24" s="2" t="str">
        <x:v>2026-10-15_Day</x:v>
      </x:c>
      <x:c r="B24" s="7" t="str">
        <x:v>旧完了場</x:v>
      </x:c>
      <x:c r="C24" s="7" t="str">
        <x:v>下落</x:v>
      </x:c>
      <x:c r="D24" s="6" t="n">
        <x:v>333100</x:v>
      </x:c>
      <x:c r="E24" s="6" t="n">
        <x:v>33000</x:v>
      </x:c>
      <x:c r="F24" s="6" t="n">
        <x:f>D24-E24</x:f>
        <x:v>300100</x:v>
      </x:c>
      <x:c r="G24" s="6" t="n">
        <x:f>G23+F24</x:f>
        <x:v>500900</x:v>
      </x:c>
      <x:c r="H24" s="6" t="n">
        <x:v>-31500</x:v>
      </x:c>
      <x:c r="I24" s="6" t="n">
        <x:v>161300</x:v>
      </x:c>
      <x:c r="J24" s="6" t="n">
        <x:v>6</x:v>
      </x:c>
    </x:row>
    <x:row r="25" ht="25" customHeight="1">
      <x:c r="A25" s="2" t="str">
        <x:v>2026-10-16_Day</x:v>
      </x:c>
      <x:c r="B25" s="7" t="str">
        <x:v>旧完了場</x:v>
      </x:c>
      <x:c r="C25" s="7" t="str">
        <x:v>上昇</x:v>
      </x:c>
      <x:c r="D25" s="6" t="n">
        <x:v>69100</x:v>
      </x:c>
      <x:c r="E25" s="6" t="n">
        <x:v>153900</x:v>
      </x:c>
      <x:c r="F25" s="6" t="n">
        <x:f>D25-E25</x:f>
        <x:v>-84800</x:v>
      </x:c>
      <x:c r="G25" s="6" t="n">
        <x:f>G24+F25</x:f>
        <x:v>416100</x:v>
      </x:c>
      <x:c r="H25" s="6" t="n">
        <x:v>-98200</x:v>
      </x:c>
      <x:c r="I25" s="6" t="n">
        <x:v>130200</x:v>
      </x:c>
      <x:c r="J25" s="6" t="n">
        <x:v>14</x:v>
      </x:c>
    </x:row>
    <x:row r="26" ht="25" customHeight="1">
      <x:c r="A26" s="2" t="str">
        <x:v>2026-10-19_Day</x:v>
      </x:c>
      <x:c r="B26" s="7" t="str">
        <x:v>旧完了場</x:v>
      </x:c>
      <x:c r="C26" s="7" t="str">
        <x:v>上昇</x:v>
      </x:c>
      <x:c r="D26" s="6" t="n">
        <x:v>564500</x:v>
      </x:c>
      <x:c r="E26" s="6" t="n">
        <x:v>0</x:v>
      </x:c>
      <x:c r="F26" s="6" t="n">
        <x:f>D26-E26</x:f>
        <x:v>564500</x:v>
      </x:c>
      <x:c r="G26" s="6" t="n">
        <x:f>G25+F26</x:f>
        <x:v>980600</x:v>
      </x:c>
      <x:c r="H26" s="6" t="n">
        <x:v>-20800</x:v>
      </x:c>
      <x:c r="I26" s="6" t="n">
        <x:v>259200</x:v>
      </x:c>
      <x:c r="J26" s="6" t="n">
        <x:v>4</x:v>
      </x:c>
    </x:row>
    <x:row r="27" ht="25" customHeight="1">
      <x:c r="A27" s="2" t="str">
        <x:v>2026-10-20_Day</x:v>
      </x:c>
      <x:c r="B27" s="7" t="str">
        <x:v>旧完了場</x:v>
      </x:c>
      <x:c r="C27" s="7" t="str">
        <x:v>下落</x:v>
      </x:c>
      <x:c r="D27" s="6" t="n">
        <x:v>97900</x:v>
      </x:c>
      <x:c r="E27" s="6" t="n">
        <x:v>83900</x:v>
      </x:c>
      <x:c r="F27" s="6" t="n">
        <x:f>D27-E27</x:f>
        <x:v>14000</x:v>
      </x:c>
      <x:c r="G27" s="6" t="n">
        <x:f>G26+F27</x:f>
        <x:v>994600</x:v>
      </x:c>
      <x:c r="H27" s="6" t="n">
        <x:v>-12000</x:v>
      </x:c>
      <x:c r="I27" s="6" t="n">
        <x:v>136700</x:v>
      </x:c>
      <x:c r="J27" s="6" t="n">
        <x:v>13</x:v>
      </x:c>
    </x:row>
    <x:row r="28" ht="25" customHeight="1">
      <x:c r="A28" s="2" t="str">
        <x:v>2026-10-21_Day</x:v>
      </x:c>
      <x:c r="B28" s="7" t="str">
        <x:v>旧完了場</x:v>
      </x:c>
      <x:c r="C28" s="7" t="str">
        <x:v>下落</x:v>
      </x:c>
      <x:c r="D28" s="6" t="n">
        <x:v>54300</x:v>
      </x:c>
      <x:c r="E28" s="6" t="n">
        <x:v>153100</x:v>
      </x:c>
      <x:c r="F28" s="6" t="n">
        <x:f>D28-E28</x:f>
        <x:v>-98800</x:v>
      </x:c>
      <x:c r="G28" s="6" t="n">
        <x:f>G27+F28</x:f>
        <x:v>895800</x:v>
      </x:c>
      <x:c r="H28" s="6" t="n">
        <x:v>-160300</x:v>
      </x:c>
      <x:c r="I28" s="6" t="n">
        <x:v>166800</x:v>
      </x:c>
      <x:c r="J28" s="6" t="n">
        <x:v>13</x:v>
      </x:c>
    </x:row>
    <x:row r="29" ht="25" customHeight="1">
      <x:c r="A29" s="2" t="str">
        <x:v>2026-10-22_Day</x:v>
      </x:c>
      <x:c r="B29" s="7" t="str">
        <x:v>旧完了場</x:v>
      </x:c>
      <x:c r="C29" s="7" t="str">
        <x:v>下落</x:v>
      </x:c>
      <x:c r="D29" s="6" t="n">
        <x:v>259900</x:v>
      </x:c>
      <x:c r="E29" s="6" t="n">
        <x:v>0</x:v>
      </x:c>
      <x:c r="F29" s="6" t="n">
        <x:f>D29-E29</x:f>
        <x:v>259900</x:v>
      </x:c>
      <x:c r="G29" s="6" t="n">
        <x:f>G28+F29</x:f>
        <x:v>1155700</x:v>
      </x:c>
      <x:c r="H29" s="6" t="n">
        <x:v>-17300</x:v>
      </x:c>
      <x:c r="I29" s="6" t="n">
        <x:v>59400</x:v>
      </x:c>
      <x:c r="J29" s="6" t="n">
        <x:v>3</x:v>
      </x:c>
    </x:row>
    <x:row r="30" ht="25" customHeight="1">
      <x:c r="A30" s="2" t="str">
        <x:v>2026-10-23_Day</x:v>
      </x:c>
      <x:c r="B30" s="7" t="str">
        <x:v>旧完了場</x:v>
      </x:c>
      <x:c r="C30" s="7" t="str">
        <x:v>上昇</x:v>
      </x:c>
      <x:c r="D30" s="6" t="n">
        <x:v>341100</x:v>
      </x:c>
      <x:c r="E30" s="6" t="n">
        <x:v>31900</x:v>
      </x:c>
      <x:c r="F30" s="6" t="n">
        <x:f>D30-E30</x:f>
        <x:v>309200</x:v>
      </x:c>
      <x:c r="G30" s="6" t="n">
        <x:f>G29+F30</x:f>
        <x:v>1464900</x:v>
      </x:c>
      <x:c r="H30" s="6" t="n">
        <x:v>-68400</x:v>
      </x:c>
      <x:c r="I30" s="6" t="n">
        <x:v>136800</x:v>
      </x:c>
      <x:c r="J30" s="6" t="n">
        <x:v>15</x:v>
      </x:c>
    </x:row>
    <x:row r="31" ht="25" customHeight="1">
      <x:c r="A31" s="2" t="str">
        <x:v>2026-10-26_Day</x:v>
      </x:c>
      <x:c r="B31" s="7" t="str">
        <x:v>旧完了場</x:v>
      </x:c>
      <x:c r="C31" s="7" t="str">
        <x:v>下落</x:v>
      </x:c>
      <x:c r="D31" s="6" t="n">
        <x:v>390500</x:v>
      </x:c>
      <x:c r="E31" s="6" t="n">
        <x:v>95400</x:v>
      </x:c>
      <x:c r="F31" s="6" t="n">
        <x:f>D31-E31</x:f>
        <x:v>295100</x:v>
      </x:c>
      <x:c r="G31" s="6" t="n">
        <x:f>G30+F31</x:f>
        <x:v>1760000</x:v>
      </x:c>
      <x:c r="H31" s="6" t="n">
        <x:v>-14000</x:v>
      </x:c>
      <x:c r="I31" s="6" t="n">
        <x:v>263800</x:v>
      </x:c>
      <x:c r="J31" s="6" t="n">
        <x:v>7</x:v>
      </x:c>
    </x:row>
    <x:row r="32" ht="25" customHeight="1">
      <x:c r="A32" s="14" t="str">
        <x:v>累計／場内最悪値</x:v>
      </x:c>
      <x:c r="B32" s="15"/>
      <x:c r="C32" s="15"/>
      <x:c r="D32" s="15" t="n">
        <x:f>SUM(D6:D31)</x:f>
        <x:v>3459400</x:v>
      </x:c>
      <x:c r="E32" s="15" t="n">
        <x:f>SUM(E6:E31)</x:f>
        <x:v>1699400</x:v>
      </x:c>
      <x:c r="F32" s="15" t="n">
        <x:f>D32-E32</x:f>
        <x:v>1760000</x:v>
      </x:c>
      <x:c r="G32" s="15" t="n">
        <x:f>G31</x:f>
        <x:v>1760000</x:v>
      </x:c>
      <x:c r="H32" s="15" t="n">
        <x:f>MIN(H6:H31)</x:f>
        <x:v>-189200</x:v>
      </x:c>
      <x:c r="I32" s="15" t="n">
        <x:f>MAX(I6:I31)</x:f>
        <x:v>263800</x:v>
      </x:c>
      <x:c r="J32" s="15" t="n">
        <x:f>SUM(J6:J31)</x:f>
        <x:v>204</x:v>
      </x:c>
    </x:row>
  </x:sheetData>
  <x:conditionalFormatting sqref="F6:H31">
    <x:cfRule type="cellIs" dxfId="26" priority="1" operator="lessThan">
      <x:formula>0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28d762219a524872"/>
  </x:tableParts>
</x:worksheet>
</file>

<file path=xl/worksheets/sheet18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25" hidden="0" customWidth="1"/>
    <x:col min="2" max="2" width="15" hidden="0" customWidth="1"/>
    <x:col min="3" max="3" width="10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</x:cols>
  <x:sheetData>
    <x:row r="1" ht="10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</x:row>
    <x:row r="2" ht="25" customHeight="1">
      <x:c r="A2" s="3" t="str">
        <x:v>日経 J02型完了確認　日中損益</x:v>
      </x:c>
      <x:c r="B2" s="2"/>
      <x:c r="C2" s="2"/>
      <x:c r="D2" s="2"/>
      <x:c r="E2" s="2"/>
      <x:c r="F2" s="2"/>
      <x:c r="G2" s="2"/>
      <x:c r="H2" s="2"/>
      <x:c r="I2" s="2"/>
      <x:c r="J2" s="2"/>
    </x:row>
    <x:row r="3" ht="25" customHeight="1">
      <x:c r="A3" s="4" t="str">
        <x:v>10/27完了版の確認。返済対象追従版。旧J02はFIFO投影で確定/含み配賦が違うため合算しない。</x:v>
      </x:c>
      <x:c r="B3" s="2"/>
      <x:c r="C3" s="2"/>
      <x:c r="D3" s="2"/>
      <x:c r="E3" s="2"/>
      <x:c r="F3" s="2"/>
      <x:c r="G3" s="2"/>
      <x:c r="H3" s="2"/>
      <x:c r="I3" s="2"/>
      <x:c r="J3" s="2"/>
    </x:row>
    <x:row r="4" ht="25" customHeight="1">
      <x:c r="A4" s="4" t="str">
        <x:v>旧J02と返済対象の配賦が異なるため別集計。既知区間の全口座時価は一致。micro100枚上限・費用0。</x:v>
      </x:c>
      <x:c r="B4" s="2"/>
      <x:c r="C4" s="2"/>
      <x:c r="D4" s="2"/>
      <x:c r="E4" s="2"/>
      <x:c r="F4" s="2"/>
      <x:c r="G4" s="2"/>
      <x:c r="H4" s="2"/>
      <x:c r="I4" s="2"/>
      <x:c r="J4" s="2"/>
    </x:row>
    <x:row r="5" ht="45" customHeight="1">
      <x:c r="A5" s="11" t="str">
        <x:v>セッション</x:v>
      </x:c>
      <x:c r="B5" s="11" t="str">
        <x:v>資料区分</x:v>
      </x:c>
      <x:c r="C5" s="11" t="str">
        <x:v>場の方向</x:v>
      </x:c>
      <x:c r="D5" s="11" t="str">
        <x:v>利益（円）</x:v>
      </x:c>
      <x:c r="E5" s="11" t="str">
        <x:v>損失（円）</x:v>
      </x:c>
      <x:c r="F5" s="11" t="str">
        <x:v>収支（円）</x:v>
      </x:c>
      <x:c r="G5" s="11" t="str">
        <x:v>累計（円）</x:v>
      </x:c>
      <x:c r="H5" s="11" t="str">
        <x:v>途中最悪収支（円）</x:v>
      </x:c>
      <x:c r="I5" s="11" t="str">
        <x:v>最大下落額（円）</x:v>
      </x:c>
      <x:c r="J5" s="11" t="str">
        <x:v>新規回数</x:v>
      </x:c>
    </x:row>
    <x:row r="6" ht="25" customHeight="1">
      <x:c r="A6" s="2" t="str">
        <x:v>2026-10-27_Day</x:v>
      </x:c>
      <x:c r="B6" s="7" t="str">
        <x:v>追加完了版</x:v>
      </x:c>
      <x:c r="C6" s="7" t="str">
        <x:v>上昇</x:v>
      </x:c>
      <x:c r="D6" s="6" t="n">
        <x:v>91300</x:v>
      </x:c>
      <x:c r="E6" s="6" t="n">
        <x:v>179700</x:v>
      </x:c>
      <x:c r="F6" s="6" t="n">
        <x:f>D6-E6</x:f>
        <x:v>-88400</x:v>
      </x:c>
      <x:c r="G6" s="6" t="n">
        <x:f>F6</x:f>
        <x:v>-88400</x:v>
      </x:c>
      <x:c r="H6" s="6" t="n">
        <x:v>-106100</x:v>
      </x:c>
      <x:c r="I6" s="6" t="n">
        <x:v>143600</x:v>
      </x:c>
      <x:c r="J6" s="6" t="n">
        <x:v>15</x:v>
      </x:c>
    </x:row>
    <x:row r="7" ht="25" customHeight="1">
      <x:c r="A7" s="14" t="str">
        <x:v>累計／場内最悪値</x:v>
      </x:c>
      <x:c r="B7" s="15"/>
      <x:c r="C7" s="15"/>
      <x:c r="D7" s="15" t="n">
        <x:f>SUM(D6:D6)</x:f>
        <x:v>91300</x:v>
      </x:c>
      <x:c r="E7" s="15" t="n">
        <x:f>SUM(E6:E6)</x:f>
        <x:v>179700</x:v>
      </x:c>
      <x:c r="F7" s="15" t="n">
        <x:f>D7-E7</x:f>
        <x:v>-88400</x:v>
      </x:c>
      <x:c r="G7" s="15" t="n">
        <x:f>G6</x:f>
        <x:v>-88400</x:v>
      </x:c>
      <x:c r="H7" s="15" t="n">
        <x:f>MIN(H6:H6)</x:f>
        <x:v>-106100</x:v>
      </x:c>
      <x:c r="I7" s="15" t="n">
        <x:f>MAX(I6:I6)</x:f>
        <x:v>143600</x:v>
      </x:c>
      <x:c r="J7" s="15" t="n">
        <x:f>SUM(J6:J6)</x:f>
        <x:v>15</x:v>
      </x:c>
    </x:row>
  </x:sheetData>
  <x:conditionalFormatting sqref="F6:H6">
    <x:cfRule type="cellIs" dxfId="27" priority="1" operator="lessThan">
      <x:formula>0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f893af402a094e00"/>
  </x:tableParts>
</x:worksheet>
</file>

<file path=xl/worksheets/sheet19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25" hidden="0" customWidth="1"/>
    <x:col min="2" max="2" width="15" hidden="0" customWidth="1"/>
    <x:col min="3" max="3" width="10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  <x:col min="12" max="12" width="16" hidden="0" customWidth="1"/>
  </x:cols>
  <x:sheetData>
    <x:row r="1" ht="10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</x:row>
    <x:row r="2" ht="25" customHeight="1">
      <x:c r="A2" s="3" t="str">
        <x:v>日経 R00　夜間損益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</x:row>
    <x:row r="3" ht="25" customHeight="1">
      <x:c r="A3" s="4" t="str">
        <x:v>後半支持未知なら元Source初回量を維持</x:v>
      </x:c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</x:row>
    <x:row r="4" ht="25" customHeight="1">
      <x:c r="A4" s="4" t="str">
        <x:v>片側micro100枚＝mini10枚相当・手数料0。途中最悪は確定＋全玉含み、最大下落は当場ピークからの落差。</x:v>
      </x:c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</x:row>
    <x:row r="5" ht="45" customHeight="1">
      <x:c r="A5" s="11" t="str">
        <x:v>セッション</x:v>
      </x:c>
      <x:c r="B5" s="11" t="str">
        <x:v>資料区分</x:v>
      </x:c>
      <x:c r="C5" s="11" t="str">
        <x:v>場の方向</x:v>
      </x:c>
      <x:c r="D5" s="11" t="str">
        <x:v>利益（円）</x:v>
      </x:c>
      <x:c r="E5" s="11" t="str">
        <x:v>損失（円）</x:v>
      </x:c>
      <x:c r="F5" s="11" t="str">
        <x:v>収支（円）</x:v>
      </x:c>
      <x:c r="G5" s="11" t="str">
        <x:v>累計（円）</x:v>
      </x:c>
      <x:c r="H5" s="11" t="str">
        <x:v>途中最悪収支（円）</x:v>
      </x:c>
      <x:c r="I5" s="11" t="str">
        <x:v>最大下落額（円）</x:v>
      </x:c>
      <x:c r="J5" s="11" t="str">
        <x:v>新規回数</x:v>
      </x:c>
      <x:c r="K5" s="11" t="str">
        <x:v>米国前収支（円）</x:v>
      </x:c>
      <x:c r="L5" s="11" t="str">
        <x:v>米国後収支（円）</x:v>
      </x:c>
    </x:row>
    <x:row r="6" ht="25" customHeight="1">
      <x:c r="A6" s="2" t="str">
        <x:v>2026-09-21_Night</x:v>
      </x:c>
      <x:c r="B6" s="7" t="str">
        <x:v>旧完了場</x:v>
      </x:c>
      <x:c r="C6" s="7" t="str">
        <x:v>上昇</x:v>
      </x:c>
      <x:c r="D6" s="6" t="n">
        <x:v>0</x:v>
      </x:c>
      <x:c r="E6" s="6" t="n">
        <x:v>45000</x:v>
      </x:c>
      <x:c r="F6" s="6" t="n">
        <x:f>D6-E6</x:f>
        <x:v>-45000</x:v>
      </x:c>
      <x:c r="G6" s="6" t="n">
        <x:f>F6</x:f>
        <x:v>-45000</x:v>
      </x:c>
      <x:c r="H6" s="6" t="n">
        <x:v>-45000</x:v>
      </x:c>
      <x:c r="I6" s="6" t="n">
        <x:v>65000</x:v>
      </x:c>
      <x:c r="J6" s="6" t="n">
        <x:v>1</x:v>
      </x:c>
      <x:c r="K6" s="6" t="n">
        <x:v>0</x:v>
      </x:c>
      <x:c r="L6" s="6" t="n">
        <x:v>-45000</x:v>
      </x:c>
    </x:row>
    <x:row r="7" ht="25" customHeight="1">
      <x:c r="A7" s="2" t="str">
        <x:v>2026-09-22_Night</x:v>
      </x:c>
      <x:c r="B7" s="7" t="str">
        <x:v>旧完了場</x:v>
      </x:c>
      <x:c r="C7" s="7" t="str">
        <x:v>上昇</x:v>
      </x:c>
      <x:c r="D7" s="6" t="n">
        <x:v>39000</x:v>
      </x:c>
      <x:c r="E7" s="6" t="n">
        <x:v>0</x:v>
      </x:c>
      <x:c r="F7" s="6" t="n">
        <x:f>D7-E7</x:f>
        <x:v>39000</x:v>
      </x:c>
      <x:c r="G7" s="6" t="n">
        <x:f>G6+F7</x:f>
        <x:v>-6000</x:v>
      </x:c>
      <x:c r="H7" s="6" t="n">
        <x:v>-45000</x:v>
      </x:c>
      <x:c r="I7" s="6" t="n">
        <x:v>55000</x:v>
      </x:c>
      <x:c r="J7" s="6" t="n">
        <x:v>2</x:v>
      </x:c>
      <x:c r="K7" s="6" t="n">
        <x:v>15000</x:v>
      </x:c>
      <x:c r="L7" s="6" t="n">
        <x:v>24000</x:v>
      </x:c>
    </x:row>
    <x:row r="8" ht="25" customHeight="1">
      <x:c r="A8" s="2" t="str">
        <x:v>2026-09-23_Night</x:v>
      </x:c>
      <x:c r="B8" s="7" t="str">
        <x:v>旧完了場</x:v>
      </x:c>
      <x:c r="C8" s="7" t="str">
        <x:v>下落</x:v>
      </x:c>
      <x:c r="D8" s="6" t="n">
        <x:v>24200</x:v>
      </x:c>
      <x:c r="E8" s="6" t="n">
        <x:v>40000</x:v>
      </x:c>
      <x:c r="F8" s="6" t="n">
        <x:f>D8-E8</x:f>
        <x:v>-15800</x:v>
      </x:c>
      <x:c r="G8" s="6" t="n">
        <x:f>G7+F8</x:f>
        <x:v>-21800</x:v>
      </x:c>
      <x:c r="H8" s="6" t="n">
        <x:v>-62800</x:v>
      </x:c>
      <x:c r="I8" s="6" t="n">
        <x:v>80000</x:v>
      </x:c>
      <x:c r="J8" s="6" t="n">
        <x:v>3</x:v>
      </x:c>
      <x:c r="K8" s="6" t="n">
        <x:v>0</x:v>
      </x:c>
      <x:c r="L8" s="6" t="n">
        <x:v>-15800</x:v>
      </x:c>
    </x:row>
    <x:row r="9" ht="25" customHeight="1">
      <x:c r="A9" s="2" t="str">
        <x:v>2026-09-24_Night</x:v>
      </x:c>
      <x:c r="B9" s="7" t="str">
        <x:v>旧完了場</x:v>
      </x:c>
      <x:c r="C9" s="7" t="str">
        <x:v>上昇</x:v>
      </x:c>
      <x:c r="D9" s="6" t="n">
        <x:v>50000</x:v>
      </x:c>
      <x:c r="E9" s="6" t="n">
        <x:v>0</x:v>
      </x:c>
      <x:c r="F9" s="6" t="n">
        <x:f>D9-E9</x:f>
        <x:v>50000</x:v>
      </x:c>
      <x:c r="G9" s="6" t="n">
        <x:f>G8+F9</x:f>
        <x:v>28200</x:v>
      </x:c>
      <x:c r="H9" s="6" t="n">
        <x:v>-85000</x:v>
      </x:c>
      <x:c r="I9" s="6" t="n">
        <x:v>90000</x:v>
      </x:c>
      <x:c r="J9" s="6" t="n">
        <x:v>4</x:v>
      </x:c>
      <x:c r="K9" s="6" t="n">
        <x:v>30000</x:v>
      </x:c>
      <x:c r="L9" s="6" t="n">
        <x:v>20000</x:v>
      </x:c>
    </x:row>
    <x:row r="10" ht="25" customHeight="1">
      <x:c r="A10" s="2" t="str">
        <x:v>2026-09-25_Night</x:v>
      </x:c>
      <x:c r="B10" s="7" t="str">
        <x:v>旧完了場</x:v>
      </x:c>
      <x:c r="C10" s="7" t="str">
        <x:v>上昇</x:v>
      </x:c>
      <x:c r="D10" s="6" t="n">
        <x:v>17000</x:v>
      </x:c>
      <x:c r="E10" s="6" t="n">
        <x:v>16000</x:v>
      </x:c>
      <x:c r="F10" s="6" t="n">
        <x:f>D10-E10</x:f>
        <x:v>1000</x:v>
      </x:c>
      <x:c r="G10" s="6" t="n">
        <x:f>G9+F10</x:f>
        <x:v>29200</x:v>
      </x:c>
      <x:c r="H10" s="6" t="n">
        <x:v>-16000</x:v>
      </x:c>
      <x:c r="I10" s="6" t="n">
        <x:v>24000</x:v>
      </x:c>
      <x:c r="J10" s="6" t="n">
        <x:v>2</x:v>
      </x:c>
      <x:c r="K10" s="6" t="n">
        <x:v>0</x:v>
      </x:c>
      <x:c r="L10" s="6" t="n">
        <x:v>1000</x:v>
      </x:c>
    </x:row>
    <x:row r="11" ht="25" customHeight="1">
      <x:c r="A11" s="2" t="str">
        <x:v>2026-09-28_Night</x:v>
      </x:c>
      <x:c r="B11" s="7" t="str">
        <x:v>旧完了場</x:v>
      </x:c>
      <x:c r="C11" s="7" t="str">
        <x:v>横ばい</x:v>
      </x:c>
      <x:c r="D11" s="6" t="n">
        <x:v>4500</x:v>
      </x:c>
      <x:c r="E11" s="6" t="n">
        <x:v>30000</x:v>
      </x:c>
      <x:c r="F11" s="6" t="n">
        <x:f>D11-E11</x:f>
        <x:v>-25500</x:v>
      </x:c>
      <x:c r="G11" s="6" t="n">
        <x:f>G10+F11</x:f>
        <x:v>3700</x:v>
      </x:c>
      <x:c r="H11" s="6" t="n">
        <x:v>-31000</x:v>
      </x:c>
      <x:c r="I11" s="6" t="n">
        <x:v>38000</x:v>
      </x:c>
      <x:c r="J11" s="6" t="n">
        <x:v>5</x:v>
      </x:c>
      <x:c r="K11" s="6" t="n">
        <x:v>4000</x:v>
      </x:c>
      <x:c r="L11" s="6" t="n">
        <x:v>-29500</x:v>
      </x:c>
    </x:row>
    <x:row r="12" ht="25" customHeight="1">
      <x:c r="A12" s="2" t="str">
        <x:v>2026-09-29_Night</x:v>
      </x:c>
      <x:c r="B12" s="7" t="str">
        <x:v>旧完了場</x:v>
      </x:c>
      <x:c r="C12" s="7" t="str">
        <x:v>上昇</x:v>
      </x:c>
      <x:c r="D12" s="6" t="n">
        <x:v>30100</x:v>
      </x:c>
      <x:c r="E12" s="6" t="n">
        <x:v>23400</x:v>
      </x:c>
      <x:c r="F12" s="6" t="n">
        <x:f>D12-E12</x:f>
        <x:v>6700</x:v>
      </x:c>
      <x:c r="G12" s="6" t="n">
        <x:f>G11+F12</x:f>
        <x:v>10400</x:v>
      </x:c>
      <x:c r="H12" s="6" t="n">
        <x:v>-16700</x:v>
      </x:c>
      <x:c r="I12" s="6" t="n">
        <x:v>66600</x:v>
      </x:c>
      <x:c r="J12" s="6" t="n">
        <x:v>6</x:v>
      </x:c>
      <x:c r="K12" s="6" t="n">
        <x:v>0</x:v>
      </x:c>
      <x:c r="L12" s="6" t="n">
        <x:v>6700</x:v>
      </x:c>
    </x:row>
    <x:row r="13" ht="25" customHeight="1">
      <x:c r="A13" s="2" t="str">
        <x:v>2026-09-30_Night</x:v>
      </x:c>
      <x:c r="B13" s="7" t="str">
        <x:v>旧完了場</x:v>
      </x:c>
      <x:c r="C13" s="7" t="str">
        <x:v>下落</x:v>
      </x:c>
      <x:c r="D13" s="6" t="n">
        <x:v>170300</x:v>
      </x:c>
      <x:c r="E13" s="6" t="n">
        <x:v>0</x:v>
      </x:c>
      <x:c r="F13" s="6" t="n">
        <x:f>D13-E13</x:f>
        <x:v>170300</x:v>
      </x:c>
      <x:c r="G13" s="6" t="n">
        <x:f>G12+F13</x:f>
        <x:v>180700</x:v>
      </x:c>
      <x:c r="H13" s="6" t="n">
        <x:v>-75000</x:v>
      </x:c>
      <x:c r="I13" s="6" t="n">
        <x:v>96400</x:v>
      </x:c>
      <x:c r="J13" s="6" t="n">
        <x:v>5</x:v>
      </x:c>
      <x:c r="K13" s="6" t="n">
        <x:v>60000</x:v>
      </x:c>
      <x:c r="L13" s="6" t="n">
        <x:v>110300</x:v>
      </x:c>
    </x:row>
    <x:row r="14" ht="25" customHeight="1">
      <x:c r="A14" s="2" t="str">
        <x:v>2026-10-01_Night</x:v>
      </x:c>
      <x:c r="B14" s="7" t="str">
        <x:v>旧完了場</x:v>
      </x:c>
      <x:c r="C14" s="7" t="str">
        <x:v>上昇</x:v>
      </x:c>
      <x:c r="D14" s="6" t="n">
        <x:v>263000</x:v>
      </x:c>
      <x:c r="E14" s="6" t="n">
        <x:v>61000</x:v>
      </x:c>
      <x:c r="F14" s="6" t="n">
        <x:f>D14-E14</x:f>
        <x:v>202000</x:v>
      </x:c>
      <x:c r="G14" s="6" t="n">
        <x:f>G13+F14</x:f>
        <x:v>382700</x:v>
      </x:c>
      <x:c r="H14" s="6" t="n">
        <x:v>-25000</x:v>
      </x:c>
      <x:c r="I14" s="6" t="n">
        <x:v>114000</x:v>
      </x:c>
      <x:c r="J14" s="6" t="n">
        <x:v>16</x:v>
      </x:c>
      <x:c r="K14" s="6" t="n">
        <x:v>73000</x:v>
      </x:c>
      <x:c r="L14" s="6" t="n">
        <x:v>129000</x:v>
      </x:c>
    </x:row>
    <x:row r="15" ht="25" customHeight="1">
      <x:c r="A15" s="2" t="str">
        <x:v>2026-10-02_Night</x:v>
      </x:c>
      <x:c r="B15" s="7" t="str">
        <x:v>旧完了場</x:v>
      </x:c>
      <x:c r="C15" s="7" t="str">
        <x:v>上昇</x:v>
      </x:c>
      <x:c r="D15" s="6" t="n">
        <x:v>293200</x:v>
      </x:c>
      <x:c r="E15" s="6" t="n">
        <x:v>19000</x:v>
      </x:c>
      <x:c r="F15" s="6" t="n">
        <x:f>D15-E15</x:f>
        <x:v>274200</x:v>
      </x:c>
      <x:c r="G15" s="6" t="n">
        <x:f>G14+F15</x:f>
        <x:v>656900</x:v>
      </x:c>
      <x:c r="H15" s="6" t="n">
        <x:v>-14000</x:v>
      </x:c>
      <x:c r="I15" s="6" t="n">
        <x:v>148200</x:v>
      </x:c>
      <x:c r="J15" s="6" t="n">
        <x:v>15</x:v>
      </x:c>
      <x:c r="K15" s="6" t="n">
        <x:v>0</x:v>
      </x:c>
      <x:c r="L15" s="6" t="n">
        <x:v>274200</x:v>
      </x:c>
    </x:row>
    <x:row r="16" ht="25" customHeight="1">
      <x:c r="A16" s="2" t="str">
        <x:v>2026-10-05_Night</x:v>
      </x:c>
      <x:c r="B16" s="7" t="str">
        <x:v>旧完了場</x:v>
      </x:c>
      <x:c r="C16" s="7" t="str">
        <x:v>下落</x:v>
      </x:c>
      <x:c r="D16" s="6" t="n">
        <x:v>111900</x:v>
      </x:c>
      <x:c r="E16" s="6" t="n">
        <x:v>55600</x:v>
      </x:c>
      <x:c r="F16" s="6" t="n">
        <x:f>D16-E16</x:f>
        <x:v>56300</x:v>
      </x:c>
      <x:c r="G16" s="6" t="n">
        <x:f>G15+F16</x:f>
        <x:v>713200</x:v>
      </x:c>
      <x:c r="H16" s="6" t="n">
        <x:v>-25800</x:v>
      </x:c>
      <x:c r="I16" s="6" t="n">
        <x:v>124300</x:v>
      </x:c>
      <x:c r="J16" s="6" t="n">
        <x:v>8</x:v>
      </x:c>
      <x:c r="K16" s="6" t="n">
        <x:v>15000</x:v>
      </x:c>
      <x:c r="L16" s="6" t="n">
        <x:v>41300</x:v>
      </x:c>
    </x:row>
    <x:row r="17" ht="25" customHeight="1">
      <x:c r="A17" s="2" t="str">
        <x:v>2026-10-06_Night</x:v>
      </x:c>
      <x:c r="B17" s="7" t="str">
        <x:v>旧完了場</x:v>
      </x:c>
      <x:c r="C17" s="7" t="str">
        <x:v>横ばい</x:v>
      </x:c>
      <x:c r="D17" s="6" t="n">
        <x:v>33000</x:v>
      </x:c>
      <x:c r="E17" s="6" t="n">
        <x:v>43000</x:v>
      </x:c>
      <x:c r="F17" s="6" t="n">
        <x:f>D17-E17</x:f>
        <x:v>-10000</x:v>
      </x:c>
      <x:c r="G17" s="6" t="n">
        <x:f>G16+F17</x:f>
        <x:v>703200</x:v>
      </x:c>
      <x:c r="H17" s="6" t="n">
        <x:v>-56000</x:v>
      </x:c>
      <x:c r="I17" s="6" t="n">
        <x:v>56000</x:v>
      </x:c>
      <x:c r="J17" s="6" t="n">
        <x:v>4</x:v>
      </x:c>
      <x:c r="K17" s="6" t="n">
        <x:v>0</x:v>
      </x:c>
      <x:c r="L17" s="6" t="n">
        <x:v>-10000</x:v>
      </x:c>
    </x:row>
    <x:row r="18" ht="25" customHeight="1">
      <x:c r="A18" s="2" t="str">
        <x:v>2026-10-07_Night</x:v>
      </x:c>
      <x:c r="B18" s="7" t="str">
        <x:v>旧完了場</x:v>
      </x:c>
      <x:c r="C18" s="7" t="str">
        <x:v>下落</x:v>
      </x:c>
      <x:c r="D18" s="6" t="n">
        <x:v>20000</x:v>
      </x:c>
      <x:c r="E18" s="6" t="n">
        <x:v>81400</x:v>
      </x:c>
      <x:c r="F18" s="6" t="n">
        <x:f>D18-E18</x:f>
        <x:v>-61400</x:v>
      </x:c>
      <x:c r="G18" s="6" t="n">
        <x:f>G17+F18</x:f>
        <x:v>641800</x:v>
      </x:c>
      <x:c r="H18" s="6" t="n">
        <x:v>-66800</x:v>
      </x:c>
      <x:c r="I18" s="6" t="n">
        <x:v>90800</x:v>
      </x:c>
      <x:c r="J18" s="6" t="n">
        <x:v>5</x:v>
      </x:c>
      <x:c r="K18" s="6" t="n">
        <x:v>-2000</x:v>
      </x:c>
      <x:c r="L18" s="6" t="n">
        <x:v>-59400</x:v>
      </x:c>
    </x:row>
    <x:row r="19" ht="25" customHeight="1">
      <x:c r="A19" s="2" t="str">
        <x:v>2026-10-08_Night</x:v>
      </x:c>
      <x:c r="B19" s="7" t="str">
        <x:v>旧完了場</x:v>
      </x:c>
      <x:c r="C19" s="7" t="str">
        <x:v>下落</x:v>
      </x:c>
      <x:c r="D19" s="6" t="n">
        <x:v>640800</x:v>
      </x:c>
      <x:c r="E19" s="6" t="n">
        <x:v>17200</x:v>
      </x:c>
      <x:c r="F19" s="6" t="n">
        <x:f>D19-E19</x:f>
        <x:v>623600</x:v>
      </x:c>
      <x:c r="G19" s="6" t="n">
        <x:f>G18+F19</x:f>
        <x:v>1265400</x:v>
      </x:c>
      <x:c r="H19" s="6" t="n">
        <x:v>-74200</x:v>
      </x:c>
      <x:c r="I19" s="6" t="n">
        <x:v>204600</x:v>
      </x:c>
      <x:c r="J19" s="6" t="n">
        <x:v>16</x:v>
      </x:c>
      <x:c r="K19" s="6" t="n">
        <x:v>8000</x:v>
      </x:c>
      <x:c r="L19" s="6" t="n">
        <x:v>615600</x:v>
      </x:c>
    </x:row>
    <x:row r="20" ht="25" customHeight="1">
      <x:c r="A20" s="2" t="str">
        <x:v>2026-10-09_Night</x:v>
      </x:c>
      <x:c r="B20" s="7" t="str">
        <x:v>旧完了場</x:v>
      </x:c>
      <x:c r="C20" s="7" t="str">
        <x:v>下落</x:v>
      </x:c>
      <x:c r="D20" s="6" t="n">
        <x:v>54000</x:v>
      </x:c>
      <x:c r="E20" s="6" t="n">
        <x:v>0</x:v>
      </x:c>
      <x:c r="F20" s="6" t="n">
        <x:f>D20-E20</x:f>
        <x:v>54000</x:v>
      </x:c>
      <x:c r="G20" s="6" t="n">
        <x:f>G19+F20</x:f>
        <x:v>1319400</x:v>
      </x:c>
      <x:c r="H20" s="6" t="n">
        <x:v>-10000</x:v>
      </x:c>
      <x:c r="I20" s="6" t="n">
        <x:v>60000</x:v>
      </x:c>
      <x:c r="J20" s="6" t="n">
        <x:v>3</x:v>
      </x:c>
      <x:c r="K20" s="6" t="n">
        <x:v>40000</x:v>
      </x:c>
      <x:c r="L20" s="6" t="n">
        <x:v>14000</x:v>
      </x:c>
    </x:row>
    <x:row r="21" ht="25" customHeight="1">
      <x:c r="A21" s="2" t="str">
        <x:v>2026-10-12_Night</x:v>
      </x:c>
      <x:c r="B21" s="7" t="str">
        <x:v>旧完了場</x:v>
      </x:c>
      <x:c r="C21" s="7" t="str">
        <x:v>下落</x:v>
      </x:c>
      <x:c r="D21" s="6" t="n">
        <x:v>82000</x:v>
      </x:c>
      <x:c r="E21" s="6" t="n">
        <x:v>0</x:v>
      </x:c>
      <x:c r="F21" s="6" t="n">
        <x:f>D21-E21</x:f>
        <x:v>82000</x:v>
      </x:c>
      <x:c r="G21" s="6" t="n">
        <x:f>G20+F21</x:f>
        <x:v>1401400</x:v>
      </x:c>
      <x:c r="H21" s="6" t="n">
        <x:v>-10000</x:v>
      </x:c>
      <x:c r="I21" s="6" t="n">
        <x:v>33000</x:v>
      </x:c>
      <x:c r="J21" s="6" t="n">
        <x:v>1</x:v>
      </x:c>
      <x:c r="K21" s="6" t="n">
        <x:v>0</x:v>
      </x:c>
      <x:c r="L21" s="6" t="n">
        <x:v>82000</x:v>
      </x:c>
    </x:row>
    <x:row r="22" ht="25" customHeight="1">
      <x:c r="A22" s="2" t="str">
        <x:v>2026-10-13_Night</x:v>
      </x:c>
      <x:c r="B22" s="7" t="str">
        <x:v>旧完了場</x:v>
      </x:c>
      <x:c r="C22" s="7" t="str">
        <x:v>上昇</x:v>
      </x:c>
      <x:c r="D22" s="6" t="n">
        <x:v>15000</x:v>
      </x:c>
      <x:c r="E22" s="6" t="n">
        <x:v>53000</x:v>
      </x:c>
      <x:c r="F22" s="6" t="n">
        <x:f>D22-E22</x:f>
        <x:v>-38000</x:v>
      </x:c>
      <x:c r="G22" s="6" t="n">
        <x:f>G21+F22</x:f>
        <x:v>1363400</x:v>
      </x:c>
      <x:c r="H22" s="6" t="n">
        <x:v>-38000</x:v>
      </x:c>
      <x:c r="I22" s="6" t="n">
        <x:v>58000</x:v>
      </x:c>
      <x:c r="J22" s="6" t="n">
        <x:v>3</x:v>
      </x:c>
      <x:c r="K22" s="6" t="n">
        <x:v>15000</x:v>
      </x:c>
      <x:c r="L22" s="6" t="n">
        <x:v>-53000</x:v>
      </x:c>
    </x:row>
    <x:row r="23" ht="25" customHeight="1">
      <x:c r="A23" s="2" t="str">
        <x:v>2026-10-14_Night</x:v>
      </x:c>
      <x:c r="B23" s="7" t="str">
        <x:v>旧完了場</x:v>
      </x:c>
      <x:c r="C23" s="7" t="str">
        <x:v>下落</x:v>
      </x:c>
      <x:c r="D23" s="6" t="n">
        <x:v>212000</x:v>
      </x:c>
      <x:c r="E23" s="6" t="n">
        <x:v>101900</x:v>
      </x:c>
      <x:c r="F23" s="6" t="n">
        <x:f>D23-E23</x:f>
        <x:v>110100</x:v>
      </x:c>
      <x:c r="G23" s="6" t="n">
        <x:f>G22+F23</x:f>
        <x:v>1473500</x:v>
      </x:c>
      <x:c r="H23" s="6" t="n">
        <x:v>-59900</x:v>
      </x:c>
      <x:c r="I23" s="6" t="n">
        <x:v>79900</x:v>
      </x:c>
      <x:c r="J23" s="6" t="n">
        <x:v>5</x:v>
      </x:c>
      <x:c r="K23" s="6" t="n">
        <x:v>15000</x:v>
      </x:c>
      <x:c r="L23" s="6" t="n">
        <x:v>95100</x:v>
      </x:c>
    </x:row>
    <x:row r="24" ht="25" customHeight="1">
      <x:c r="A24" s="2" t="str">
        <x:v>2026-10-15_Night</x:v>
      </x:c>
      <x:c r="B24" s="7" t="str">
        <x:v>旧完了場</x:v>
      </x:c>
      <x:c r="C24" s="7" t="str">
        <x:v>上昇</x:v>
      </x:c>
      <x:c r="D24" s="6" t="n">
        <x:v>110000</x:v>
      </x:c>
      <x:c r="E24" s="6" t="n">
        <x:v>44500</x:v>
      </x:c>
      <x:c r="F24" s="6" t="n">
        <x:f>D24-E24</x:f>
        <x:v>65500</x:v>
      </x:c>
      <x:c r="G24" s="6" t="n">
        <x:f>G23+F24</x:f>
        <x:v>1539000</x:v>
      </x:c>
      <x:c r="H24" s="6" t="n">
        <x:v>-13000</x:v>
      </x:c>
      <x:c r="I24" s="6" t="n">
        <x:v>226000</x:v>
      </x:c>
      <x:c r="J24" s="6" t="n">
        <x:v>7</x:v>
      </x:c>
      <x:c r="K24" s="6" t="n">
        <x:v>0</x:v>
      </x:c>
      <x:c r="L24" s="6" t="n">
        <x:v>65500</x:v>
      </x:c>
    </x:row>
    <x:row r="25" ht="25" customHeight="1">
      <x:c r="A25" s="2" t="str">
        <x:v>2026-10-16_Night</x:v>
      </x:c>
      <x:c r="B25" s="7" t="str">
        <x:v>旧完了場</x:v>
      </x:c>
      <x:c r="C25" s="7" t="str">
        <x:v>下落</x:v>
      </x:c>
      <x:c r="D25" s="6" t="n">
        <x:v>190400</x:v>
      </x:c>
      <x:c r="E25" s="6" t="n">
        <x:v>247900</x:v>
      </x:c>
      <x:c r="F25" s="6" t="n">
        <x:f>D25-E25</x:f>
        <x:v>-57500</x:v>
      </x:c>
      <x:c r="G25" s="6" t="n">
        <x:f>G24+F25</x:f>
        <x:v>1481500</x:v>
      </x:c>
      <x:c r="H25" s="6" t="n">
        <x:v>-247000</x:v>
      </x:c>
      <x:c r="I25" s="6" t="n">
        <x:v>310800</x:v>
      </x:c>
      <x:c r="J25" s="6" t="n">
        <x:v>14</x:v>
      </x:c>
      <x:c r="K25" s="6" t="n">
        <x:v>-20000</x:v>
      </x:c>
      <x:c r="L25" s="6" t="n">
        <x:v>-37500</x:v>
      </x:c>
    </x:row>
    <x:row r="26" ht="25" customHeight="1">
      <x:c r="A26" s="2" t="str">
        <x:v>2026-10-19_Night</x:v>
      </x:c>
      <x:c r="B26" s="7" t="str">
        <x:v>旧完了場</x:v>
      </x:c>
      <x:c r="C26" s="7" t="str">
        <x:v>上昇</x:v>
      </x:c>
      <x:c r="D26" s="6" t="n">
        <x:v>172000</x:v>
      </x:c>
      <x:c r="E26" s="6" t="n">
        <x:v>201100</x:v>
      </x:c>
      <x:c r="F26" s="6" t="n">
        <x:f>D26-E26</x:f>
        <x:v>-29100</x:v>
      </x:c>
      <x:c r="G26" s="6" t="n">
        <x:f>G25+F26</x:f>
        <x:v>1452400</x:v>
      </x:c>
      <x:c r="H26" s="6" t="n">
        <x:v>-89100</x:v>
      </x:c>
      <x:c r="I26" s="6" t="n">
        <x:v>185000</x:v>
      </x:c>
      <x:c r="J26" s="6" t="n">
        <x:v>14</x:v>
      </x:c>
      <x:c r="K26" s="6" t="n">
        <x:v>35000</x:v>
      </x:c>
      <x:c r="L26" s="6" t="n">
        <x:v>-64100</x:v>
      </x:c>
    </x:row>
    <x:row r="27" ht="25" customHeight="1">
      <x:c r="A27" s="2" t="str">
        <x:v>2026-10-20_Night</x:v>
      </x:c>
      <x:c r="B27" s="7" t="str">
        <x:v>旧完了場</x:v>
      </x:c>
      <x:c r="C27" s="7" t="str">
        <x:v>上昇</x:v>
      </x:c>
      <x:c r="D27" s="6" t="n">
        <x:v>185100</x:v>
      </x:c>
      <x:c r="E27" s="6" t="n">
        <x:v>68600</x:v>
      </x:c>
      <x:c r="F27" s="6" t="n">
        <x:f>D27-E27</x:f>
        <x:v>116500</x:v>
      </x:c>
      <x:c r="G27" s="6" t="n">
        <x:f>G26+F27</x:f>
        <x:v>1568900</x:v>
      </x:c>
      <x:c r="H27" s="6" t="n">
        <x:v>-10000</x:v>
      </x:c>
      <x:c r="I27" s="6" t="n">
        <x:v>128000</x:v>
      </x:c>
      <x:c r="J27" s="6" t="n">
        <x:v>11</x:v>
      </x:c>
      <x:c r="K27" s="6" t="n">
        <x:v>57000</x:v>
      </x:c>
      <x:c r="L27" s="6" t="n">
        <x:v>59500</x:v>
      </x:c>
    </x:row>
    <x:row r="28" ht="25" customHeight="1">
      <x:c r="A28" s="2" t="str">
        <x:v>2026-10-21_Night</x:v>
      </x:c>
      <x:c r="B28" s="7" t="str">
        <x:v>旧完了場</x:v>
      </x:c>
      <x:c r="C28" s="7" t="str">
        <x:v>上昇</x:v>
      </x:c>
      <x:c r="D28" s="6" t="n">
        <x:v>45600</x:v>
      </x:c>
      <x:c r="E28" s="6" t="n">
        <x:v>85000</x:v>
      </x:c>
      <x:c r="F28" s="6" t="n">
        <x:f>D28-E28</x:f>
        <x:v>-39400</x:v>
      </x:c>
      <x:c r="G28" s="6" t="n">
        <x:f>G27+F28</x:f>
        <x:v>1529500</x:v>
      </x:c>
      <x:c r="H28" s="6" t="n">
        <x:v>-39400</x:v>
      </x:c>
      <x:c r="I28" s="6" t="n">
        <x:v>131000</x:v>
      </x:c>
      <x:c r="J28" s="6" t="n">
        <x:v>6</x:v>
      </x:c>
      <x:c r="K28" s="6" t="n">
        <x:v>15000</x:v>
      </x:c>
      <x:c r="L28" s="6" t="n">
        <x:v>-54400</x:v>
      </x:c>
    </x:row>
    <x:row r="29" ht="25" customHeight="1">
      <x:c r="A29" s="2" t="str">
        <x:v>2026-10-22_Night</x:v>
      </x:c>
      <x:c r="B29" s="7" t="str">
        <x:v>旧完了場</x:v>
      </x:c>
      <x:c r="C29" s="7" t="str">
        <x:v>下落</x:v>
      </x:c>
      <x:c r="D29" s="6" t="n">
        <x:v>357600</x:v>
      </x:c>
      <x:c r="E29" s="6" t="n">
        <x:v>0</x:v>
      </x:c>
      <x:c r="F29" s="6" t="n">
        <x:f>D29-E29</x:f>
        <x:v>357600</x:v>
      </x:c>
      <x:c r="G29" s="6" t="n">
        <x:f>G28+F29</x:f>
        <x:v>1887100</x:v>
      </x:c>
      <x:c r="H29" s="6" t="n">
        <x:v>-9200</x:v>
      </x:c>
      <x:c r="I29" s="6" t="n">
        <x:v>132400</x:v>
      </x:c>
      <x:c r="J29" s="6" t="n">
        <x:v>3</x:v>
      </x:c>
      <x:c r="K29" s="6" t="n">
        <x:v>0</x:v>
      </x:c>
      <x:c r="L29" s="6" t="n">
        <x:v>357600</x:v>
      </x:c>
    </x:row>
    <x:row r="30" ht="25" customHeight="1">
      <x:c r="A30" s="2" t="str">
        <x:v>2026-10-23_Night</x:v>
      </x:c>
      <x:c r="B30" s="7" t="str">
        <x:v>旧完了場</x:v>
      </x:c>
      <x:c r="C30" s="7" t="str">
        <x:v>上昇</x:v>
      </x:c>
      <x:c r="D30" s="6" t="n">
        <x:v>59300</x:v>
      </x:c>
      <x:c r="E30" s="6" t="n">
        <x:v>51000</x:v>
      </x:c>
      <x:c r="F30" s="6" t="n">
        <x:f>D30-E30</x:f>
        <x:v>8300</x:v>
      </x:c>
      <x:c r="G30" s="6" t="n">
        <x:f>G29+F30</x:f>
        <x:v>1895400</x:v>
      </x:c>
      <x:c r="H30" s="6" t="n">
        <x:v>-65800</x:v>
      </x:c>
      <x:c r="I30" s="6" t="n">
        <x:v>118400</x:v>
      </x:c>
      <x:c r="J30" s="6" t="n">
        <x:v>11</x:v>
      </x:c>
      <x:c r="K30" s="6" t="n">
        <x:v>-6000</x:v>
      </x:c>
      <x:c r="L30" s="6" t="n">
        <x:v>14300</x:v>
      </x:c>
    </x:row>
    <x:row r="31" ht="25" customHeight="1">
      <x:c r="A31" s="2" t="str">
        <x:v>2026-10-26_Night</x:v>
      </x:c>
      <x:c r="B31" s="7" t="str">
        <x:v>追加完了版</x:v>
      </x:c>
      <x:c r="C31" s="7" t="str">
        <x:v>上昇</x:v>
      </x:c>
      <x:c r="D31" s="6" t="n">
        <x:v>149600</x:v>
      </x:c>
      <x:c r="E31" s="6" t="n">
        <x:v>156100</x:v>
      </x:c>
      <x:c r="F31" s="6" t="n">
        <x:f>D31-E31</x:f>
        <x:v>-6500</x:v>
      </x:c>
      <x:c r="G31" s="6" t="n">
        <x:f>G30+F31</x:f>
        <x:v>1888900</x:v>
      </x:c>
      <x:c r="H31" s="6" t="n">
        <x:v>-15000</x:v>
      </x:c>
      <x:c r="I31" s="6" t="n">
        <x:v>249600</x:v>
      </x:c>
      <x:c r="J31" s="6" t="n">
        <x:v>12</x:v>
      </x:c>
      <x:c r="K31" s="6" t="n">
        <x:v>15000</x:v>
      </x:c>
      <x:c r="L31" s="6" t="n">
        <x:v>-21500</x:v>
      </x:c>
    </x:row>
    <x:row r="32" ht="25" customHeight="1">
      <x:c r="A32" s="14" t="str">
        <x:v>累計／場内最悪値</x:v>
      </x:c>
      <x:c r="B32" s="15"/>
      <x:c r="C32" s="15"/>
      <x:c r="D32" s="15" t="n">
        <x:f>SUM(D6:D31)</x:f>
        <x:v>3329600</x:v>
      </x:c>
      <x:c r="E32" s="15" t="n">
        <x:f>SUM(E6:E31)</x:f>
        <x:v>1440700</x:v>
      </x:c>
      <x:c r="F32" s="15" t="n">
        <x:f>D32-E32</x:f>
        <x:v>1888900</x:v>
      </x:c>
      <x:c r="G32" s="15" t="n">
        <x:f>G31</x:f>
        <x:v>1888900</x:v>
      </x:c>
      <x:c r="H32" s="15" t="n">
        <x:f>MIN(H6:H31)</x:f>
        <x:v>-247000</x:v>
      </x:c>
      <x:c r="I32" s="15" t="n">
        <x:f>MAX(I6:I31)</x:f>
        <x:v>310800</x:v>
      </x:c>
      <x:c r="J32" s="15" t="n">
        <x:f>SUM(J6:J31)</x:f>
        <x:v>182</x:v>
      </x:c>
      <x:c r="K32" s="15" t="n">
        <x:f>SUM(K6:K31)</x:f>
        <x:v>369000</x:v>
      </x:c>
      <x:c r="L32" s="15" t="n">
        <x:f>SUM(L6:L31)</x:f>
        <x:v>1519900</x:v>
      </x:c>
    </x:row>
  </x:sheetData>
  <x:conditionalFormatting sqref="F6:H31">
    <x:cfRule type="cellIs" dxfId="28" priority="1" operator="lessThan">
      <x:formula>0</x:formula>
    </x:cfRule>
  </x:conditionalFormatting>
  <x:conditionalFormatting sqref="K6:L31">
    <x:cfRule type="cellIs" dxfId="29" priority="2" operator="lessThan">
      <x:formula>0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43fa0978b6384172"/>
  </x:tableParts>
</x:worksheet>
</file>

<file path=xl/worksheets/sheet20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25" hidden="0" customWidth="1"/>
    <x:col min="2" max="2" width="15" hidden="0" customWidth="1"/>
    <x:col min="3" max="3" width="10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  <x:col min="12" max="12" width="16" hidden="0" customWidth="1"/>
  </x:cols>
  <x:sheetData>
    <x:row r="1" ht="10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</x:row>
    <x:row r="2" ht="25" customHeight="1">
      <x:c r="A2" s="3" t="str">
        <x:v>日経 R01　夜間損益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</x:row>
    <x:row r="3" ht="25" customHeight="1">
      <x:c r="A3" s="4" t="str">
        <x:v>R00＋後半超過分だけ40pt起動40pt追尾</x:v>
      </x:c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</x:row>
    <x:row r="4" ht="25" customHeight="1">
      <x:c r="A4" s="4" t="str">
        <x:v>片側micro100枚＝mini10枚相当・手数料0。途中最悪は確定＋全玉含み、最大下落は当場ピークからの落差。</x:v>
      </x:c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</x:row>
    <x:row r="5" ht="45" customHeight="1">
      <x:c r="A5" s="11" t="str">
        <x:v>セッション</x:v>
      </x:c>
      <x:c r="B5" s="11" t="str">
        <x:v>資料区分</x:v>
      </x:c>
      <x:c r="C5" s="11" t="str">
        <x:v>場の方向</x:v>
      </x:c>
      <x:c r="D5" s="11" t="str">
        <x:v>利益（円）</x:v>
      </x:c>
      <x:c r="E5" s="11" t="str">
        <x:v>損失（円）</x:v>
      </x:c>
      <x:c r="F5" s="11" t="str">
        <x:v>収支（円）</x:v>
      </x:c>
      <x:c r="G5" s="11" t="str">
        <x:v>累計（円）</x:v>
      </x:c>
      <x:c r="H5" s="11" t="str">
        <x:v>途中最悪収支（円）</x:v>
      </x:c>
      <x:c r="I5" s="11" t="str">
        <x:v>最大下落額（円）</x:v>
      </x:c>
      <x:c r="J5" s="11" t="str">
        <x:v>新規回数</x:v>
      </x:c>
      <x:c r="K5" s="11" t="str">
        <x:v>米国前収支（円）</x:v>
      </x:c>
      <x:c r="L5" s="11" t="str">
        <x:v>米国後収支（円）</x:v>
      </x:c>
    </x:row>
    <x:row r="6" ht="25" customHeight="1">
      <x:c r="A6" s="2" t="str">
        <x:v>2026-09-21_Night</x:v>
      </x:c>
      <x:c r="B6" s="7" t="str">
        <x:v>旧完了場</x:v>
      </x:c>
      <x:c r="C6" s="7" t="str">
        <x:v>上昇</x:v>
      </x:c>
      <x:c r="D6" s="6" t="n">
        <x:v>0</x:v>
      </x:c>
      <x:c r="E6" s="6" t="n">
        <x:v>45000</x:v>
      </x:c>
      <x:c r="F6" s="6" t="n">
        <x:f>D6-E6</x:f>
        <x:v>-45000</x:v>
      </x:c>
      <x:c r="G6" s="6" t="n">
        <x:f>F6</x:f>
        <x:v>-45000</x:v>
      </x:c>
      <x:c r="H6" s="6" t="n">
        <x:v>-45000</x:v>
      </x:c>
      <x:c r="I6" s="6" t="n">
        <x:v>65000</x:v>
      </x:c>
      <x:c r="J6" s="6" t="n">
        <x:v>1</x:v>
      </x:c>
      <x:c r="K6" s="6" t="n">
        <x:v>0</x:v>
      </x:c>
      <x:c r="L6" s="6" t="n">
        <x:v>-45000</x:v>
      </x:c>
    </x:row>
    <x:row r="7" ht="25" customHeight="1">
      <x:c r="A7" s="2" t="str">
        <x:v>2026-09-22_Night</x:v>
      </x:c>
      <x:c r="B7" s="7" t="str">
        <x:v>旧完了場</x:v>
      </x:c>
      <x:c r="C7" s="7" t="str">
        <x:v>上昇</x:v>
      </x:c>
      <x:c r="D7" s="6" t="n">
        <x:v>39000</x:v>
      </x:c>
      <x:c r="E7" s="6" t="n">
        <x:v>0</x:v>
      </x:c>
      <x:c r="F7" s="6" t="n">
        <x:f>D7-E7</x:f>
        <x:v>39000</x:v>
      </x:c>
      <x:c r="G7" s="6" t="n">
        <x:f>G6+F7</x:f>
        <x:v>-6000</x:v>
      </x:c>
      <x:c r="H7" s="6" t="n">
        <x:v>-45000</x:v>
      </x:c>
      <x:c r="I7" s="6" t="n">
        <x:v>55000</x:v>
      </x:c>
      <x:c r="J7" s="6" t="n">
        <x:v>2</x:v>
      </x:c>
      <x:c r="K7" s="6" t="n">
        <x:v>15000</x:v>
      </x:c>
      <x:c r="L7" s="6" t="n">
        <x:v>24000</x:v>
      </x:c>
    </x:row>
    <x:row r="8" ht="25" customHeight="1">
      <x:c r="A8" s="2" t="str">
        <x:v>2026-09-23_Night</x:v>
      </x:c>
      <x:c r="B8" s="7" t="str">
        <x:v>旧完了場</x:v>
      </x:c>
      <x:c r="C8" s="7" t="str">
        <x:v>下落</x:v>
      </x:c>
      <x:c r="D8" s="6" t="n">
        <x:v>40200</x:v>
      </x:c>
      <x:c r="E8" s="6" t="n">
        <x:v>40000</x:v>
      </x:c>
      <x:c r="F8" s="6" t="n">
        <x:f>D8-E8</x:f>
        <x:v>200</x:v>
      </x:c>
      <x:c r="G8" s="6" t="n">
        <x:f>G7+F8</x:f>
        <x:v>-5800</x:v>
      </x:c>
      <x:c r="H8" s="6" t="n">
        <x:v>-62800</x:v>
      </x:c>
      <x:c r="I8" s="6" t="n">
        <x:v>62800</x:v>
      </x:c>
      <x:c r="J8" s="6" t="n">
        <x:v>3</x:v>
      </x:c>
      <x:c r="K8" s="6" t="n">
        <x:v>0</x:v>
      </x:c>
      <x:c r="L8" s="6" t="n">
        <x:v>200</x:v>
      </x:c>
    </x:row>
    <x:row r="9" ht="25" customHeight="1">
      <x:c r="A9" s="2" t="str">
        <x:v>2026-09-24_Night</x:v>
      </x:c>
      <x:c r="B9" s="7" t="str">
        <x:v>旧完了場</x:v>
      </x:c>
      <x:c r="C9" s="7" t="str">
        <x:v>上昇</x:v>
      </x:c>
      <x:c r="D9" s="6" t="n">
        <x:v>50000</x:v>
      </x:c>
      <x:c r="E9" s="6" t="n">
        <x:v>0</x:v>
      </x:c>
      <x:c r="F9" s="6" t="n">
        <x:f>D9-E9</x:f>
        <x:v>50000</x:v>
      </x:c>
      <x:c r="G9" s="6" t="n">
        <x:f>G8+F9</x:f>
        <x:v>44200</x:v>
      </x:c>
      <x:c r="H9" s="6" t="n">
        <x:v>-85000</x:v>
      </x:c>
      <x:c r="I9" s="6" t="n">
        <x:v>90000</x:v>
      </x:c>
      <x:c r="J9" s="6" t="n">
        <x:v>4</x:v>
      </x:c>
      <x:c r="K9" s="6" t="n">
        <x:v>30000</x:v>
      </x:c>
      <x:c r="L9" s="6" t="n">
        <x:v>20000</x:v>
      </x:c>
    </x:row>
    <x:row r="10" ht="25" customHeight="1">
      <x:c r="A10" s="2" t="str">
        <x:v>2026-09-25_Night</x:v>
      </x:c>
      <x:c r="B10" s="7" t="str">
        <x:v>旧完了場</x:v>
      </x:c>
      <x:c r="C10" s="7" t="str">
        <x:v>上昇</x:v>
      </x:c>
      <x:c r="D10" s="6" t="n">
        <x:v>17000</x:v>
      </x:c>
      <x:c r="E10" s="6" t="n">
        <x:v>16000</x:v>
      </x:c>
      <x:c r="F10" s="6" t="n">
        <x:f>D10-E10</x:f>
        <x:v>1000</x:v>
      </x:c>
      <x:c r="G10" s="6" t="n">
        <x:f>G9+F10</x:f>
        <x:v>45200</x:v>
      </x:c>
      <x:c r="H10" s="6" t="n">
        <x:v>-16000</x:v>
      </x:c>
      <x:c r="I10" s="6" t="n">
        <x:v>24000</x:v>
      </x:c>
      <x:c r="J10" s="6" t="n">
        <x:v>2</x:v>
      </x:c>
      <x:c r="K10" s="6" t="n">
        <x:v>0</x:v>
      </x:c>
      <x:c r="L10" s="6" t="n">
        <x:v>1000</x:v>
      </x:c>
    </x:row>
    <x:row r="11" ht="25" customHeight="1">
      <x:c r="A11" s="2" t="str">
        <x:v>2026-09-28_Night</x:v>
      </x:c>
      <x:c r="B11" s="7" t="str">
        <x:v>旧完了場</x:v>
      </x:c>
      <x:c r="C11" s="7" t="str">
        <x:v>横ばい</x:v>
      </x:c>
      <x:c r="D11" s="6" t="n">
        <x:v>4500</x:v>
      </x:c>
      <x:c r="E11" s="6" t="n">
        <x:v>30000</x:v>
      </x:c>
      <x:c r="F11" s="6" t="n">
        <x:f>D11-E11</x:f>
        <x:v>-25500</x:v>
      </x:c>
      <x:c r="G11" s="6" t="n">
        <x:f>G10+F11</x:f>
        <x:v>19700</x:v>
      </x:c>
      <x:c r="H11" s="6" t="n">
        <x:v>-31000</x:v>
      </x:c>
      <x:c r="I11" s="6" t="n">
        <x:v>38000</x:v>
      </x:c>
      <x:c r="J11" s="6" t="n">
        <x:v>5</x:v>
      </x:c>
      <x:c r="K11" s="6" t="n">
        <x:v>4000</x:v>
      </x:c>
      <x:c r="L11" s="6" t="n">
        <x:v>-29500</x:v>
      </x:c>
    </x:row>
    <x:row r="12" ht="25" customHeight="1">
      <x:c r="A12" s="2" t="str">
        <x:v>2026-09-29_Night</x:v>
      </x:c>
      <x:c r="B12" s="7" t="str">
        <x:v>旧完了場</x:v>
      </x:c>
      <x:c r="C12" s="7" t="str">
        <x:v>上昇</x:v>
      </x:c>
      <x:c r="D12" s="6" t="n">
        <x:v>45300</x:v>
      </x:c>
      <x:c r="E12" s="6" t="n">
        <x:v>23400</x:v>
      </x:c>
      <x:c r="F12" s="6" t="n">
        <x:f>D12-E12</x:f>
        <x:v>21900</x:v>
      </x:c>
      <x:c r="G12" s="6" t="n">
        <x:f>G11+F12</x:f>
        <x:v>41600</x:v>
      </x:c>
      <x:c r="H12" s="6" t="n">
        <x:v>-16700</x:v>
      </x:c>
      <x:c r="I12" s="6" t="n">
        <x:v>41000</x:v>
      </x:c>
      <x:c r="J12" s="6" t="n">
        <x:v>6</x:v>
      </x:c>
      <x:c r="K12" s="6" t="n">
        <x:v>0</x:v>
      </x:c>
      <x:c r="L12" s="6" t="n">
        <x:v>21900</x:v>
      </x:c>
    </x:row>
    <x:row r="13" ht="25" customHeight="1">
      <x:c r="A13" s="2" t="str">
        <x:v>2026-09-30_Night</x:v>
      </x:c>
      <x:c r="B13" s="7" t="str">
        <x:v>旧完了場</x:v>
      </x:c>
      <x:c r="C13" s="7" t="str">
        <x:v>下落</x:v>
      </x:c>
      <x:c r="D13" s="6" t="n">
        <x:v>119400</x:v>
      </x:c>
      <x:c r="E13" s="6" t="n">
        <x:v>0</x:v>
      </x:c>
      <x:c r="F13" s="6" t="n">
        <x:f>D13-E13</x:f>
        <x:v>119400</x:v>
      </x:c>
      <x:c r="G13" s="6" t="n">
        <x:f>G12+F13</x:f>
        <x:v>161000</x:v>
      </x:c>
      <x:c r="H13" s="6" t="n">
        <x:v>-75000</x:v>
      </x:c>
      <x:c r="I13" s="6" t="n">
        <x:v>100700</x:v>
      </x:c>
      <x:c r="J13" s="6" t="n">
        <x:v>6</x:v>
      </x:c>
      <x:c r="K13" s="6" t="n">
        <x:v>60000</x:v>
      </x:c>
      <x:c r="L13" s="6" t="n">
        <x:v>59400</x:v>
      </x:c>
    </x:row>
    <x:row r="14" ht="25" customHeight="1">
      <x:c r="A14" s="2" t="str">
        <x:v>2026-10-01_Night</x:v>
      </x:c>
      <x:c r="B14" s="7" t="str">
        <x:v>旧完了場</x:v>
      </x:c>
      <x:c r="C14" s="7" t="str">
        <x:v>上昇</x:v>
      </x:c>
      <x:c r="D14" s="6" t="n">
        <x:v>263000</x:v>
      </x:c>
      <x:c r="E14" s="6" t="n">
        <x:v>61000</x:v>
      </x:c>
      <x:c r="F14" s="6" t="n">
        <x:f>D14-E14</x:f>
        <x:v>202000</x:v>
      </x:c>
      <x:c r="G14" s="6" t="n">
        <x:f>G13+F14</x:f>
        <x:v>363000</x:v>
      </x:c>
      <x:c r="H14" s="6" t="n">
        <x:v>-25000</x:v>
      </x:c>
      <x:c r="I14" s="6" t="n">
        <x:v>114000</x:v>
      </x:c>
      <x:c r="J14" s="6" t="n">
        <x:v>16</x:v>
      </x:c>
      <x:c r="K14" s="6" t="n">
        <x:v>73000</x:v>
      </x:c>
      <x:c r="L14" s="6" t="n">
        <x:v>129000</x:v>
      </x:c>
    </x:row>
    <x:row r="15" ht="25" customHeight="1">
      <x:c r="A15" s="2" t="str">
        <x:v>2026-10-02_Night</x:v>
      </x:c>
      <x:c r="B15" s="7" t="str">
        <x:v>旧完了場</x:v>
      </x:c>
      <x:c r="C15" s="7" t="str">
        <x:v>上昇</x:v>
      </x:c>
      <x:c r="D15" s="6" t="n">
        <x:v>257500</x:v>
      </x:c>
      <x:c r="E15" s="6" t="n">
        <x:v>19000</x:v>
      </x:c>
      <x:c r="F15" s="6" t="n">
        <x:f>D15-E15</x:f>
        <x:v>238500</x:v>
      </x:c>
      <x:c r="G15" s="6" t="n">
        <x:f>G14+F15</x:f>
        <x:v>601500</x:v>
      </x:c>
      <x:c r="H15" s="6" t="n">
        <x:v>-14000</x:v>
      </x:c>
      <x:c r="I15" s="6" t="n">
        <x:v>144300</x:v>
      </x:c>
      <x:c r="J15" s="6" t="n">
        <x:v>15</x:v>
      </x:c>
      <x:c r="K15" s="6" t="n">
        <x:v>0</x:v>
      </x:c>
      <x:c r="L15" s="6" t="n">
        <x:v>238500</x:v>
      </x:c>
    </x:row>
    <x:row r="16" ht="25" customHeight="1">
      <x:c r="A16" s="2" t="str">
        <x:v>2026-10-05_Night</x:v>
      </x:c>
      <x:c r="B16" s="7" t="str">
        <x:v>旧完了場</x:v>
      </x:c>
      <x:c r="C16" s="7" t="str">
        <x:v>下落</x:v>
      </x:c>
      <x:c r="D16" s="6" t="n">
        <x:v>109300</x:v>
      </x:c>
      <x:c r="E16" s="6" t="n">
        <x:v>55600</x:v>
      </x:c>
      <x:c r="F16" s="6" t="n">
        <x:f>D16-E16</x:f>
        <x:v>53700</x:v>
      </x:c>
      <x:c r="G16" s="6" t="n">
        <x:f>G15+F16</x:f>
        <x:v>655200</x:v>
      </x:c>
      <x:c r="H16" s="6" t="n">
        <x:v>-25800</x:v>
      </x:c>
      <x:c r="I16" s="6" t="n">
        <x:v>116900</x:v>
      </x:c>
      <x:c r="J16" s="6" t="n">
        <x:v>8</x:v>
      </x:c>
      <x:c r="K16" s="6" t="n">
        <x:v>15000</x:v>
      </x:c>
      <x:c r="L16" s="6" t="n">
        <x:v>38700</x:v>
      </x:c>
    </x:row>
    <x:row r="17" ht="25" customHeight="1">
      <x:c r="A17" s="2" t="str">
        <x:v>2026-10-06_Night</x:v>
      </x:c>
      <x:c r="B17" s="7" t="str">
        <x:v>旧完了場</x:v>
      </x:c>
      <x:c r="C17" s="7" t="str">
        <x:v>横ばい</x:v>
      </x:c>
      <x:c r="D17" s="6" t="n">
        <x:v>33000</x:v>
      </x:c>
      <x:c r="E17" s="6" t="n">
        <x:v>43000</x:v>
      </x:c>
      <x:c r="F17" s="6" t="n">
        <x:f>D17-E17</x:f>
        <x:v>-10000</x:v>
      </x:c>
      <x:c r="G17" s="6" t="n">
        <x:f>G16+F17</x:f>
        <x:v>645200</x:v>
      </x:c>
      <x:c r="H17" s="6" t="n">
        <x:v>-56000</x:v>
      </x:c>
      <x:c r="I17" s="6" t="n">
        <x:v>56000</x:v>
      </x:c>
      <x:c r="J17" s="6" t="n">
        <x:v>4</x:v>
      </x:c>
      <x:c r="K17" s="6" t="n">
        <x:v>0</x:v>
      </x:c>
      <x:c r="L17" s="6" t="n">
        <x:v>-10000</x:v>
      </x:c>
    </x:row>
    <x:row r="18" ht="25" customHeight="1">
      <x:c r="A18" s="2" t="str">
        <x:v>2026-10-07_Night</x:v>
      </x:c>
      <x:c r="B18" s="7" t="str">
        <x:v>旧完了場</x:v>
      </x:c>
      <x:c r="C18" s="7" t="str">
        <x:v>下落</x:v>
      </x:c>
      <x:c r="D18" s="6" t="n">
        <x:v>20000</x:v>
      </x:c>
      <x:c r="E18" s="6" t="n">
        <x:v>74400</x:v>
      </x:c>
      <x:c r="F18" s="6" t="n">
        <x:f>D18-E18</x:f>
        <x:v>-54400</x:v>
      </x:c>
      <x:c r="G18" s="6" t="n">
        <x:f>G17+F18</x:f>
        <x:v>590800</x:v>
      </x:c>
      <x:c r="H18" s="6" t="n">
        <x:v>-59100</x:v>
      </x:c>
      <x:c r="I18" s="6" t="n">
        <x:v>83100</x:v>
      </x:c>
      <x:c r="J18" s="6" t="n">
        <x:v>5</x:v>
      </x:c>
      <x:c r="K18" s="6" t="n">
        <x:v>-2000</x:v>
      </x:c>
      <x:c r="L18" s="6" t="n">
        <x:v>-52400</x:v>
      </x:c>
    </x:row>
    <x:row r="19" ht="25" customHeight="1">
      <x:c r="A19" s="2" t="str">
        <x:v>2026-10-08_Night</x:v>
      </x:c>
      <x:c r="B19" s="7" t="str">
        <x:v>旧完了場</x:v>
      </x:c>
      <x:c r="C19" s="7" t="str">
        <x:v>下落</x:v>
      </x:c>
      <x:c r="D19" s="6" t="n">
        <x:v>327300</x:v>
      </x:c>
      <x:c r="E19" s="6" t="n">
        <x:v>27600</x:v>
      </x:c>
      <x:c r="F19" s="6" t="n">
        <x:f>D19-E19</x:f>
        <x:v>299700</x:v>
      </x:c>
      <x:c r="G19" s="6" t="n">
        <x:f>G18+F19</x:f>
        <x:v>890500</x:v>
      </x:c>
      <x:c r="H19" s="6" t="n">
        <x:v>-74200</x:v>
      </x:c>
      <x:c r="I19" s="6" t="n">
        <x:v>90800</x:v>
      </x:c>
      <x:c r="J19" s="6" t="n">
        <x:v>17</x:v>
      </x:c>
      <x:c r="K19" s="6" t="n">
        <x:v>8000</x:v>
      </x:c>
      <x:c r="L19" s="6" t="n">
        <x:v>291700</x:v>
      </x:c>
    </x:row>
    <x:row r="20" ht="25" customHeight="1">
      <x:c r="A20" s="2" t="str">
        <x:v>2026-10-09_Night</x:v>
      </x:c>
      <x:c r="B20" s="7" t="str">
        <x:v>旧完了場</x:v>
      </x:c>
      <x:c r="C20" s="7" t="str">
        <x:v>下落</x:v>
      </x:c>
      <x:c r="D20" s="6" t="n">
        <x:v>54000</x:v>
      </x:c>
      <x:c r="E20" s="6" t="n">
        <x:v>0</x:v>
      </x:c>
      <x:c r="F20" s="6" t="n">
        <x:f>D20-E20</x:f>
        <x:v>54000</x:v>
      </x:c>
      <x:c r="G20" s="6" t="n">
        <x:f>G19+F20</x:f>
        <x:v>944500</x:v>
      </x:c>
      <x:c r="H20" s="6" t="n">
        <x:v>-10000</x:v>
      </x:c>
      <x:c r="I20" s="6" t="n">
        <x:v>60000</x:v>
      </x:c>
      <x:c r="J20" s="6" t="n">
        <x:v>3</x:v>
      </x:c>
      <x:c r="K20" s="6" t="n">
        <x:v>40000</x:v>
      </x:c>
      <x:c r="L20" s="6" t="n">
        <x:v>14000</x:v>
      </x:c>
    </x:row>
    <x:row r="21" ht="25" customHeight="1">
      <x:c r="A21" s="2" t="str">
        <x:v>2026-10-12_Night</x:v>
      </x:c>
      <x:c r="B21" s="7" t="str">
        <x:v>旧完了場</x:v>
      </x:c>
      <x:c r="C21" s="7" t="str">
        <x:v>下落</x:v>
      </x:c>
      <x:c r="D21" s="6" t="n">
        <x:v>82000</x:v>
      </x:c>
      <x:c r="E21" s="6" t="n">
        <x:v>0</x:v>
      </x:c>
      <x:c r="F21" s="6" t="n">
        <x:f>D21-E21</x:f>
        <x:v>82000</x:v>
      </x:c>
      <x:c r="G21" s="6" t="n">
        <x:f>G20+F21</x:f>
        <x:v>1026500</x:v>
      </x:c>
      <x:c r="H21" s="6" t="n">
        <x:v>-10000</x:v>
      </x:c>
      <x:c r="I21" s="6" t="n">
        <x:v>33000</x:v>
      </x:c>
      <x:c r="J21" s="6" t="n">
        <x:v>1</x:v>
      </x:c>
      <x:c r="K21" s="6" t="n">
        <x:v>0</x:v>
      </x:c>
      <x:c r="L21" s="6" t="n">
        <x:v>82000</x:v>
      </x:c>
    </x:row>
    <x:row r="22" ht="25" customHeight="1">
      <x:c r="A22" s="2" t="str">
        <x:v>2026-10-13_Night</x:v>
      </x:c>
      <x:c r="B22" s="7" t="str">
        <x:v>旧完了場</x:v>
      </x:c>
      <x:c r="C22" s="7" t="str">
        <x:v>上昇</x:v>
      </x:c>
      <x:c r="D22" s="6" t="n">
        <x:v>15000</x:v>
      </x:c>
      <x:c r="E22" s="6" t="n">
        <x:v>53000</x:v>
      </x:c>
      <x:c r="F22" s="6" t="n">
        <x:f>D22-E22</x:f>
        <x:v>-38000</x:v>
      </x:c>
      <x:c r="G22" s="6" t="n">
        <x:f>G21+F22</x:f>
        <x:v>988500</x:v>
      </x:c>
      <x:c r="H22" s="6" t="n">
        <x:v>-38000</x:v>
      </x:c>
      <x:c r="I22" s="6" t="n">
        <x:v>58000</x:v>
      </x:c>
      <x:c r="J22" s="6" t="n">
        <x:v>3</x:v>
      </x:c>
      <x:c r="K22" s="6" t="n">
        <x:v>15000</x:v>
      </x:c>
      <x:c r="L22" s="6" t="n">
        <x:v>-53000</x:v>
      </x:c>
    </x:row>
    <x:row r="23" ht="25" customHeight="1">
      <x:c r="A23" s="2" t="str">
        <x:v>2026-10-14_Night</x:v>
      </x:c>
      <x:c r="B23" s="7" t="str">
        <x:v>旧完了場</x:v>
      </x:c>
      <x:c r="C23" s="7" t="str">
        <x:v>下落</x:v>
      </x:c>
      <x:c r="D23" s="6" t="n">
        <x:v>212000</x:v>
      </x:c>
      <x:c r="E23" s="6" t="n">
        <x:v>65700</x:v>
      </x:c>
      <x:c r="F23" s="6" t="n">
        <x:f>D23-E23</x:f>
        <x:v>146300</x:v>
      </x:c>
      <x:c r="G23" s="6" t="n">
        <x:f>G22+F23</x:f>
        <x:v>1134800</x:v>
      </x:c>
      <x:c r="H23" s="6" t="n">
        <x:v>-49700</x:v>
      </x:c>
      <x:c r="I23" s="6" t="n">
        <x:v>69700</x:v>
      </x:c>
      <x:c r="J23" s="6" t="n">
        <x:v>5</x:v>
      </x:c>
      <x:c r="K23" s="6" t="n">
        <x:v>15000</x:v>
      </x:c>
      <x:c r="L23" s="6" t="n">
        <x:v>131300</x:v>
      </x:c>
    </x:row>
    <x:row r="24" ht="25" customHeight="1">
      <x:c r="A24" s="2" t="str">
        <x:v>2026-10-15_Night</x:v>
      </x:c>
      <x:c r="B24" s="7" t="str">
        <x:v>旧完了場</x:v>
      </x:c>
      <x:c r="C24" s="7" t="str">
        <x:v>上昇</x:v>
      </x:c>
      <x:c r="D24" s="6" t="n">
        <x:v>128300</x:v>
      </x:c>
      <x:c r="E24" s="6" t="n">
        <x:v>44500</x:v>
      </x:c>
      <x:c r="F24" s="6" t="n">
        <x:f>D24-E24</x:f>
        <x:v>83800</x:v>
      </x:c>
      <x:c r="G24" s="6" t="n">
        <x:f>G23+F24</x:f>
        <x:v>1218600</x:v>
      </x:c>
      <x:c r="H24" s="6" t="n">
        <x:v>-10200</x:v>
      </x:c>
      <x:c r="I24" s="6" t="n">
        <x:v>106400</x:v>
      </x:c>
      <x:c r="J24" s="6" t="n">
        <x:v>7</x:v>
      </x:c>
      <x:c r="K24" s="6" t="n">
        <x:v>0</x:v>
      </x:c>
      <x:c r="L24" s="6" t="n">
        <x:v>83800</x:v>
      </x:c>
    </x:row>
    <x:row r="25" ht="25" customHeight="1">
      <x:c r="A25" s="2" t="str">
        <x:v>2026-10-16_Night</x:v>
      </x:c>
      <x:c r="B25" s="7" t="str">
        <x:v>旧完了場</x:v>
      </x:c>
      <x:c r="C25" s="7" t="str">
        <x:v>下落</x:v>
      </x:c>
      <x:c r="D25" s="6" t="n">
        <x:v>131500</x:v>
      </x:c>
      <x:c r="E25" s="6" t="n">
        <x:v>141200</x:v>
      </x:c>
      <x:c r="F25" s="6" t="n">
        <x:f>D25-E25</x:f>
        <x:v>-9700</x:v>
      </x:c>
      <x:c r="G25" s="6" t="n">
        <x:f>G24+F25</x:f>
        <x:v>1208900</x:v>
      </x:c>
      <x:c r="H25" s="6" t="n">
        <x:v>-142000</x:v>
      </x:c>
      <x:c r="I25" s="6" t="n">
        <x:v>152000</x:v>
      </x:c>
      <x:c r="J25" s="6" t="n">
        <x:v>14</x:v>
      </x:c>
      <x:c r="K25" s="6" t="n">
        <x:v>-20000</x:v>
      </x:c>
      <x:c r="L25" s="6" t="n">
        <x:v>10300</x:v>
      </x:c>
    </x:row>
    <x:row r="26" ht="25" customHeight="1">
      <x:c r="A26" s="2" t="str">
        <x:v>2026-10-19_Night</x:v>
      </x:c>
      <x:c r="B26" s="7" t="str">
        <x:v>旧完了場</x:v>
      </x:c>
      <x:c r="C26" s="7" t="str">
        <x:v>上昇</x:v>
      </x:c>
      <x:c r="D26" s="6" t="n">
        <x:v>127800</x:v>
      </x:c>
      <x:c r="E26" s="6" t="n">
        <x:v>137100</x:v>
      </x:c>
      <x:c r="F26" s="6" t="n">
        <x:f>D26-E26</x:f>
        <x:v>-9300</x:v>
      </x:c>
      <x:c r="G26" s="6" t="n">
        <x:f>G25+F26</x:f>
        <x:v>1199600</x:v>
      </x:c>
      <x:c r="H26" s="6" t="n">
        <x:v>-79100</x:v>
      </x:c>
      <x:c r="I26" s="6" t="n">
        <x:v>119100</x:v>
      </x:c>
      <x:c r="J26" s="6" t="n">
        <x:v>14</x:v>
      </x:c>
      <x:c r="K26" s="6" t="n">
        <x:v>35000</x:v>
      </x:c>
      <x:c r="L26" s="6" t="n">
        <x:v>-44300</x:v>
      </x:c>
    </x:row>
    <x:row r="27" ht="25" customHeight="1">
      <x:c r="A27" s="2" t="str">
        <x:v>2026-10-20_Night</x:v>
      </x:c>
      <x:c r="B27" s="7" t="str">
        <x:v>旧完了場</x:v>
      </x:c>
      <x:c r="C27" s="7" t="str">
        <x:v>上昇</x:v>
      </x:c>
      <x:c r="D27" s="6" t="n">
        <x:v>168000</x:v>
      </x:c>
      <x:c r="E27" s="6" t="n">
        <x:v>12900</x:v>
      </x:c>
      <x:c r="F27" s="6" t="n">
        <x:f>D27-E27</x:f>
        <x:v>155100</x:v>
      </x:c>
      <x:c r="G27" s="6" t="n">
        <x:f>G26+F27</x:f>
        <x:v>1354700</x:v>
      </x:c>
      <x:c r="H27" s="6" t="n">
        <x:v>-10000</x:v>
      </x:c>
      <x:c r="I27" s="6" t="n">
        <x:v>74400</x:v>
      </x:c>
      <x:c r="J27" s="6" t="n">
        <x:v>11</x:v>
      </x:c>
      <x:c r="K27" s="6" t="n">
        <x:v>57000</x:v>
      </x:c>
      <x:c r="L27" s="6" t="n">
        <x:v>98100</x:v>
      </x:c>
    </x:row>
    <x:row r="28" ht="25" customHeight="1">
      <x:c r="A28" s="2" t="str">
        <x:v>2026-10-21_Night</x:v>
      </x:c>
      <x:c r="B28" s="7" t="str">
        <x:v>旧完了場</x:v>
      </x:c>
      <x:c r="C28" s="7" t="str">
        <x:v>上昇</x:v>
      </x:c>
      <x:c r="D28" s="6" t="n">
        <x:v>45600</x:v>
      </x:c>
      <x:c r="E28" s="6" t="n">
        <x:v>85000</x:v>
      </x:c>
      <x:c r="F28" s="6" t="n">
        <x:f>D28-E28</x:f>
        <x:v>-39400</x:v>
      </x:c>
      <x:c r="G28" s="6" t="n">
        <x:f>G27+F28</x:f>
        <x:v>1315300</x:v>
      </x:c>
      <x:c r="H28" s="6" t="n">
        <x:v>-39400</x:v>
      </x:c>
      <x:c r="I28" s="6" t="n">
        <x:v>131000</x:v>
      </x:c>
      <x:c r="J28" s="6" t="n">
        <x:v>6</x:v>
      </x:c>
      <x:c r="K28" s="6" t="n">
        <x:v>15000</x:v>
      </x:c>
      <x:c r="L28" s="6" t="n">
        <x:v>-54400</x:v>
      </x:c>
    </x:row>
    <x:row r="29" ht="25" customHeight="1">
      <x:c r="A29" s="2" t="str">
        <x:v>2026-10-22_Night</x:v>
      </x:c>
      <x:c r="B29" s="7" t="str">
        <x:v>旧完了場</x:v>
      </x:c>
      <x:c r="C29" s="7" t="str">
        <x:v>下落</x:v>
      </x:c>
      <x:c r="D29" s="6" t="n">
        <x:v>213600</x:v>
      </x:c>
      <x:c r="E29" s="6" t="n">
        <x:v>0</x:v>
      </x:c>
      <x:c r="F29" s="6" t="n">
        <x:f>D29-E29</x:f>
        <x:v>213600</x:v>
      </x:c>
      <x:c r="G29" s="6" t="n">
        <x:f>G28+F29</x:f>
        <x:v>1528900</x:v>
      </x:c>
      <x:c r="H29" s="6" t="n">
        <x:v>-9200</x:v>
      </x:c>
      <x:c r="I29" s="6" t="n">
        <x:v>64000</x:v>
      </x:c>
      <x:c r="J29" s="6" t="n">
        <x:v>3</x:v>
      </x:c>
      <x:c r="K29" s="6" t="n">
        <x:v>0</x:v>
      </x:c>
      <x:c r="L29" s="6" t="n">
        <x:v>213600</x:v>
      </x:c>
    </x:row>
    <x:row r="30" ht="25" customHeight="1">
      <x:c r="A30" s="2" t="str">
        <x:v>2026-10-23_Night</x:v>
      </x:c>
      <x:c r="B30" s="7" t="str">
        <x:v>旧完了場</x:v>
      </x:c>
      <x:c r="C30" s="7" t="str">
        <x:v>上昇</x:v>
      </x:c>
      <x:c r="D30" s="6" t="n">
        <x:v>58400</x:v>
      </x:c>
      <x:c r="E30" s="6" t="n">
        <x:v>51000</x:v>
      </x:c>
      <x:c r="F30" s="6" t="n">
        <x:f>D30-E30</x:f>
        <x:v>7400</x:v>
      </x:c>
      <x:c r="G30" s="6" t="n">
        <x:f>G29+F30</x:f>
        <x:v>1536300</x:v>
      </x:c>
      <x:c r="H30" s="6" t="n">
        <x:v>-31600</x:v>
      </x:c>
      <x:c r="I30" s="6" t="n">
        <x:v>84200</x:v>
      </x:c>
      <x:c r="J30" s="6" t="n">
        <x:v>11</x:v>
      </x:c>
      <x:c r="K30" s="6" t="n">
        <x:v>-6000</x:v>
      </x:c>
      <x:c r="L30" s="6" t="n">
        <x:v>13400</x:v>
      </x:c>
    </x:row>
    <x:row r="31" ht="25" customHeight="1">
      <x:c r="A31" s="2" t="str">
        <x:v>2026-10-26_Night</x:v>
      </x:c>
      <x:c r="B31" s="7" t="str">
        <x:v>追加完了版</x:v>
      </x:c>
      <x:c r="C31" s="7" t="str">
        <x:v>上昇</x:v>
      </x:c>
      <x:c r="D31" s="6" t="n">
        <x:v>97700</x:v>
      </x:c>
      <x:c r="E31" s="6" t="n">
        <x:v>127100</x:v>
      </x:c>
      <x:c r="F31" s="6" t="n">
        <x:f>D31-E31</x:f>
        <x:v>-29400</x:v>
      </x:c>
      <x:c r="G31" s="6" t="n">
        <x:f>G30+F31</x:f>
        <x:v>1506900</x:v>
      </x:c>
      <x:c r="H31" s="6" t="n">
        <x:v>-29400</x:v>
      </x:c>
      <x:c r="I31" s="6" t="n">
        <x:v>156100</x:v>
      </x:c>
      <x:c r="J31" s="6" t="n">
        <x:v>12</x:v>
      </x:c>
      <x:c r="K31" s="6" t="n">
        <x:v>15000</x:v>
      </x:c>
      <x:c r="L31" s="6" t="n">
        <x:v>-44400</x:v>
      </x:c>
    </x:row>
    <x:row r="32" ht="25" customHeight="1">
      <x:c r="A32" s="14" t="str">
        <x:v>累計／場内最悪値</x:v>
      </x:c>
      <x:c r="B32" s="15"/>
      <x:c r="C32" s="15"/>
      <x:c r="D32" s="15" t="n">
        <x:f>SUM(D6:D31)</x:f>
        <x:v>2659400</x:v>
      </x:c>
      <x:c r="E32" s="15" t="n">
        <x:f>SUM(E6:E31)</x:f>
        <x:v>1152500</x:v>
      </x:c>
      <x:c r="F32" s="15" t="n">
        <x:f>D32-E32</x:f>
        <x:v>1506900</x:v>
      </x:c>
      <x:c r="G32" s="15" t="n">
        <x:f>G31</x:f>
        <x:v>1506900</x:v>
      </x:c>
      <x:c r="H32" s="15" t="n">
        <x:f>MIN(H6:H31)</x:f>
        <x:v>-142000</x:v>
      </x:c>
      <x:c r="I32" s="15" t="n">
        <x:f>MAX(I6:I31)</x:f>
        <x:v>156100</x:v>
      </x:c>
      <x:c r="J32" s="15" t="n">
        <x:f>SUM(J6:J31)</x:f>
        <x:v>184</x:v>
      </x:c>
      <x:c r="K32" s="15" t="n">
        <x:f>SUM(K6:K31)</x:f>
        <x:v>369000</x:v>
      </x:c>
      <x:c r="L32" s="15" t="n">
        <x:f>SUM(L6:L31)</x:f>
        <x:v>1137900</x:v>
      </x:c>
    </x:row>
  </x:sheetData>
  <x:conditionalFormatting sqref="F6:H31">
    <x:cfRule type="cellIs" dxfId="30" priority="1" operator="lessThan">
      <x:formula>0</x:formula>
    </x:cfRule>
  </x:conditionalFormatting>
  <x:conditionalFormatting sqref="K6:L31">
    <x:cfRule type="cellIs" dxfId="31" priority="2" operator="lessThan">
      <x:formula>0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e716ea5e3ebc47e0"/>
  </x:tableParts>
</x:worksheet>
</file>

<file path=xl/worksheets/sheet21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25" hidden="0" customWidth="1"/>
    <x:col min="2" max="2" width="15" hidden="0" customWidth="1"/>
    <x:col min="3" max="3" width="10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  <x:col min="12" max="12" width="16" hidden="0" customWidth="1"/>
  </x:cols>
  <x:sheetData>
    <x:row r="1" ht="10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</x:row>
    <x:row r="2" ht="25" customHeight="1">
      <x:c r="A2" s="3" t="str">
        <x:v>日経 R02　夜間損益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</x:row>
    <x:row r="3" ht="25" customHeight="1">
      <x:c r="A3" s="4" t="str">
        <x:v>R00＋後半超過分だけ80pt起動40pt追尾</x:v>
      </x:c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</x:row>
    <x:row r="4" ht="25" customHeight="1">
      <x:c r="A4" s="4" t="str">
        <x:v>片側micro100枚＝mini10枚相当・手数料0。途中最悪は確定＋全玉含み、最大下落は当場ピークからの落差。</x:v>
      </x:c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</x:row>
    <x:row r="5" ht="45" customHeight="1">
      <x:c r="A5" s="11" t="str">
        <x:v>セッション</x:v>
      </x:c>
      <x:c r="B5" s="11" t="str">
        <x:v>資料区分</x:v>
      </x:c>
      <x:c r="C5" s="11" t="str">
        <x:v>場の方向</x:v>
      </x:c>
      <x:c r="D5" s="11" t="str">
        <x:v>利益（円）</x:v>
      </x:c>
      <x:c r="E5" s="11" t="str">
        <x:v>損失（円）</x:v>
      </x:c>
      <x:c r="F5" s="11" t="str">
        <x:v>収支（円）</x:v>
      </x:c>
      <x:c r="G5" s="11" t="str">
        <x:v>累計（円）</x:v>
      </x:c>
      <x:c r="H5" s="11" t="str">
        <x:v>途中最悪収支（円）</x:v>
      </x:c>
      <x:c r="I5" s="11" t="str">
        <x:v>最大下落額（円）</x:v>
      </x:c>
      <x:c r="J5" s="11" t="str">
        <x:v>新規回数</x:v>
      </x:c>
      <x:c r="K5" s="11" t="str">
        <x:v>米国前収支（円）</x:v>
      </x:c>
      <x:c r="L5" s="11" t="str">
        <x:v>米国後収支（円）</x:v>
      </x:c>
    </x:row>
    <x:row r="6" ht="25" customHeight="1">
      <x:c r="A6" s="2" t="str">
        <x:v>2026-09-21_Night</x:v>
      </x:c>
      <x:c r="B6" s="7" t="str">
        <x:v>旧完了場</x:v>
      </x:c>
      <x:c r="C6" s="7" t="str">
        <x:v>上昇</x:v>
      </x:c>
      <x:c r="D6" s="6" t="n">
        <x:v>0</x:v>
      </x:c>
      <x:c r="E6" s="6" t="n">
        <x:v>45000</x:v>
      </x:c>
      <x:c r="F6" s="6" t="n">
        <x:f>D6-E6</x:f>
        <x:v>-45000</x:v>
      </x:c>
      <x:c r="G6" s="6" t="n">
        <x:f>F6</x:f>
        <x:v>-45000</x:v>
      </x:c>
      <x:c r="H6" s="6" t="n">
        <x:v>-45000</x:v>
      </x:c>
      <x:c r="I6" s="6" t="n">
        <x:v>65000</x:v>
      </x:c>
      <x:c r="J6" s="6" t="n">
        <x:v>1</x:v>
      </x:c>
      <x:c r="K6" s="6" t="n">
        <x:v>0</x:v>
      </x:c>
      <x:c r="L6" s="6" t="n">
        <x:v>-45000</x:v>
      </x:c>
    </x:row>
    <x:row r="7" ht="25" customHeight="1">
      <x:c r="A7" s="2" t="str">
        <x:v>2026-09-22_Night</x:v>
      </x:c>
      <x:c r="B7" s="7" t="str">
        <x:v>旧完了場</x:v>
      </x:c>
      <x:c r="C7" s="7" t="str">
        <x:v>上昇</x:v>
      </x:c>
      <x:c r="D7" s="6" t="n">
        <x:v>39000</x:v>
      </x:c>
      <x:c r="E7" s="6" t="n">
        <x:v>0</x:v>
      </x:c>
      <x:c r="F7" s="6" t="n">
        <x:f>D7-E7</x:f>
        <x:v>39000</x:v>
      </x:c>
      <x:c r="G7" s="6" t="n">
        <x:f>G6+F7</x:f>
        <x:v>-6000</x:v>
      </x:c>
      <x:c r="H7" s="6" t="n">
        <x:v>-45000</x:v>
      </x:c>
      <x:c r="I7" s="6" t="n">
        <x:v>55000</x:v>
      </x:c>
      <x:c r="J7" s="6" t="n">
        <x:v>2</x:v>
      </x:c>
      <x:c r="K7" s="6" t="n">
        <x:v>15000</x:v>
      </x:c>
      <x:c r="L7" s="6" t="n">
        <x:v>24000</x:v>
      </x:c>
    </x:row>
    <x:row r="8" ht="25" customHeight="1">
      <x:c r="A8" s="2" t="str">
        <x:v>2026-09-23_Night</x:v>
      </x:c>
      <x:c r="B8" s="7" t="str">
        <x:v>旧完了場</x:v>
      </x:c>
      <x:c r="C8" s="7" t="str">
        <x:v>下落</x:v>
      </x:c>
      <x:c r="D8" s="6" t="n">
        <x:v>31600</x:v>
      </x:c>
      <x:c r="E8" s="6" t="n">
        <x:v>40000</x:v>
      </x:c>
      <x:c r="F8" s="6" t="n">
        <x:f>D8-E8</x:f>
        <x:v>-8400</x:v>
      </x:c>
      <x:c r="G8" s="6" t="n">
        <x:f>G7+F8</x:f>
        <x:v>-14400</x:v>
      </x:c>
      <x:c r="H8" s="6" t="n">
        <x:v>-62800</x:v>
      </x:c>
      <x:c r="I8" s="6" t="n">
        <x:v>62800</x:v>
      </x:c>
      <x:c r="J8" s="6" t="n">
        <x:v>3</x:v>
      </x:c>
      <x:c r="K8" s="6" t="n">
        <x:v>0</x:v>
      </x:c>
      <x:c r="L8" s="6" t="n">
        <x:v>-8400</x:v>
      </x:c>
    </x:row>
    <x:row r="9" ht="25" customHeight="1">
      <x:c r="A9" s="2" t="str">
        <x:v>2026-09-24_Night</x:v>
      </x:c>
      <x:c r="B9" s="7" t="str">
        <x:v>旧完了場</x:v>
      </x:c>
      <x:c r="C9" s="7" t="str">
        <x:v>上昇</x:v>
      </x:c>
      <x:c r="D9" s="6" t="n">
        <x:v>50000</x:v>
      </x:c>
      <x:c r="E9" s="6" t="n">
        <x:v>0</x:v>
      </x:c>
      <x:c r="F9" s="6" t="n">
        <x:f>D9-E9</x:f>
        <x:v>50000</x:v>
      </x:c>
      <x:c r="G9" s="6" t="n">
        <x:f>G8+F9</x:f>
        <x:v>35600</x:v>
      </x:c>
      <x:c r="H9" s="6" t="n">
        <x:v>-85000</x:v>
      </x:c>
      <x:c r="I9" s="6" t="n">
        <x:v>90000</x:v>
      </x:c>
      <x:c r="J9" s="6" t="n">
        <x:v>4</x:v>
      </x:c>
      <x:c r="K9" s="6" t="n">
        <x:v>30000</x:v>
      </x:c>
      <x:c r="L9" s="6" t="n">
        <x:v>20000</x:v>
      </x:c>
    </x:row>
    <x:row r="10" ht="25" customHeight="1">
      <x:c r="A10" s="2" t="str">
        <x:v>2026-09-25_Night</x:v>
      </x:c>
      <x:c r="B10" s="7" t="str">
        <x:v>旧完了場</x:v>
      </x:c>
      <x:c r="C10" s="7" t="str">
        <x:v>上昇</x:v>
      </x:c>
      <x:c r="D10" s="6" t="n">
        <x:v>17000</x:v>
      </x:c>
      <x:c r="E10" s="6" t="n">
        <x:v>16000</x:v>
      </x:c>
      <x:c r="F10" s="6" t="n">
        <x:f>D10-E10</x:f>
        <x:v>1000</x:v>
      </x:c>
      <x:c r="G10" s="6" t="n">
        <x:f>G9+F10</x:f>
        <x:v>36600</x:v>
      </x:c>
      <x:c r="H10" s="6" t="n">
        <x:v>-16000</x:v>
      </x:c>
      <x:c r="I10" s="6" t="n">
        <x:v>24000</x:v>
      </x:c>
      <x:c r="J10" s="6" t="n">
        <x:v>2</x:v>
      </x:c>
      <x:c r="K10" s="6" t="n">
        <x:v>0</x:v>
      </x:c>
      <x:c r="L10" s="6" t="n">
        <x:v>1000</x:v>
      </x:c>
    </x:row>
    <x:row r="11" ht="25" customHeight="1">
      <x:c r="A11" s="2" t="str">
        <x:v>2026-09-28_Night</x:v>
      </x:c>
      <x:c r="B11" s="7" t="str">
        <x:v>旧完了場</x:v>
      </x:c>
      <x:c r="C11" s="7" t="str">
        <x:v>横ばい</x:v>
      </x:c>
      <x:c r="D11" s="6" t="n">
        <x:v>4500</x:v>
      </x:c>
      <x:c r="E11" s="6" t="n">
        <x:v>30000</x:v>
      </x:c>
      <x:c r="F11" s="6" t="n">
        <x:f>D11-E11</x:f>
        <x:v>-25500</x:v>
      </x:c>
      <x:c r="G11" s="6" t="n">
        <x:f>G10+F11</x:f>
        <x:v>11100</x:v>
      </x:c>
      <x:c r="H11" s="6" t="n">
        <x:v>-31000</x:v>
      </x:c>
      <x:c r="I11" s="6" t="n">
        <x:v>38000</x:v>
      </x:c>
      <x:c r="J11" s="6" t="n">
        <x:v>5</x:v>
      </x:c>
      <x:c r="K11" s="6" t="n">
        <x:v>4000</x:v>
      </x:c>
      <x:c r="L11" s="6" t="n">
        <x:v>-29500</x:v>
      </x:c>
    </x:row>
    <x:row r="12" ht="25" customHeight="1">
      <x:c r="A12" s="2" t="str">
        <x:v>2026-09-29_Night</x:v>
      </x:c>
      <x:c r="B12" s="7" t="str">
        <x:v>旧完了場</x:v>
      </x:c>
      <x:c r="C12" s="7" t="str">
        <x:v>上昇</x:v>
      </x:c>
      <x:c r="D12" s="6" t="n">
        <x:v>45300</x:v>
      </x:c>
      <x:c r="E12" s="6" t="n">
        <x:v>23400</x:v>
      </x:c>
      <x:c r="F12" s="6" t="n">
        <x:f>D12-E12</x:f>
        <x:v>21900</x:v>
      </x:c>
      <x:c r="G12" s="6" t="n">
        <x:f>G11+F12</x:f>
        <x:v>33000</x:v>
      </x:c>
      <x:c r="H12" s="6" t="n">
        <x:v>-16700</x:v>
      </x:c>
      <x:c r="I12" s="6" t="n">
        <x:v>41000</x:v>
      </x:c>
      <x:c r="J12" s="6" t="n">
        <x:v>6</x:v>
      </x:c>
      <x:c r="K12" s="6" t="n">
        <x:v>0</x:v>
      </x:c>
      <x:c r="L12" s="6" t="n">
        <x:v>21900</x:v>
      </x:c>
    </x:row>
    <x:row r="13" ht="25" customHeight="1">
      <x:c r="A13" s="2" t="str">
        <x:v>2026-09-30_Night</x:v>
      </x:c>
      <x:c r="B13" s="7" t="str">
        <x:v>旧完了場</x:v>
      </x:c>
      <x:c r="C13" s="7" t="str">
        <x:v>下落</x:v>
      </x:c>
      <x:c r="D13" s="6" t="n">
        <x:v>136300</x:v>
      </x:c>
      <x:c r="E13" s="6" t="n">
        <x:v>0</x:v>
      </x:c>
      <x:c r="F13" s="6" t="n">
        <x:f>D13-E13</x:f>
        <x:v>136300</x:v>
      </x:c>
      <x:c r="G13" s="6" t="n">
        <x:f>G12+F13</x:f>
        <x:v>169300</x:v>
      </x:c>
      <x:c r="H13" s="6" t="n">
        <x:v>-75000</x:v>
      </x:c>
      <x:c r="I13" s="6" t="n">
        <x:v>95000</x:v>
      </x:c>
      <x:c r="J13" s="6" t="n">
        <x:v>6</x:v>
      </x:c>
      <x:c r="K13" s="6" t="n">
        <x:v>60000</x:v>
      </x:c>
      <x:c r="L13" s="6" t="n">
        <x:v>76300</x:v>
      </x:c>
    </x:row>
    <x:row r="14" ht="25" customHeight="1">
      <x:c r="A14" s="2" t="str">
        <x:v>2026-10-01_Night</x:v>
      </x:c>
      <x:c r="B14" s="7" t="str">
        <x:v>旧完了場</x:v>
      </x:c>
      <x:c r="C14" s="7" t="str">
        <x:v>上昇</x:v>
      </x:c>
      <x:c r="D14" s="6" t="n">
        <x:v>263000</x:v>
      </x:c>
      <x:c r="E14" s="6" t="n">
        <x:v>61000</x:v>
      </x:c>
      <x:c r="F14" s="6" t="n">
        <x:f>D14-E14</x:f>
        <x:v>202000</x:v>
      </x:c>
      <x:c r="G14" s="6" t="n">
        <x:f>G13+F14</x:f>
        <x:v>371300</x:v>
      </x:c>
      <x:c r="H14" s="6" t="n">
        <x:v>-25000</x:v>
      </x:c>
      <x:c r="I14" s="6" t="n">
        <x:v>114000</x:v>
      </x:c>
      <x:c r="J14" s="6" t="n">
        <x:v>16</x:v>
      </x:c>
      <x:c r="K14" s="6" t="n">
        <x:v>73000</x:v>
      </x:c>
      <x:c r="L14" s="6" t="n">
        <x:v>129000</x:v>
      </x:c>
    </x:row>
    <x:row r="15" ht="25" customHeight="1">
      <x:c r="A15" s="2" t="str">
        <x:v>2026-10-02_Night</x:v>
      </x:c>
      <x:c r="B15" s="7" t="str">
        <x:v>旧完了場</x:v>
      </x:c>
      <x:c r="C15" s="7" t="str">
        <x:v>上昇</x:v>
      </x:c>
      <x:c r="D15" s="6" t="n">
        <x:v>257500</x:v>
      </x:c>
      <x:c r="E15" s="6" t="n">
        <x:v>19000</x:v>
      </x:c>
      <x:c r="F15" s="6" t="n">
        <x:f>D15-E15</x:f>
        <x:v>238500</x:v>
      </x:c>
      <x:c r="G15" s="6" t="n">
        <x:f>G14+F15</x:f>
        <x:v>609800</x:v>
      </x:c>
      <x:c r="H15" s="6" t="n">
        <x:v>-14000</x:v>
      </x:c>
      <x:c r="I15" s="6" t="n">
        <x:v>144300</x:v>
      </x:c>
      <x:c r="J15" s="6" t="n">
        <x:v>15</x:v>
      </x:c>
      <x:c r="K15" s="6" t="n">
        <x:v>0</x:v>
      </x:c>
      <x:c r="L15" s="6" t="n">
        <x:v>238500</x:v>
      </x:c>
    </x:row>
    <x:row r="16" ht="25" customHeight="1">
      <x:c r="A16" s="2" t="str">
        <x:v>2026-10-05_Night</x:v>
      </x:c>
      <x:c r="B16" s="7" t="str">
        <x:v>旧完了場</x:v>
      </x:c>
      <x:c r="C16" s="7" t="str">
        <x:v>下落</x:v>
      </x:c>
      <x:c r="D16" s="6" t="n">
        <x:v>109300</x:v>
      </x:c>
      <x:c r="E16" s="6" t="n">
        <x:v>55600</x:v>
      </x:c>
      <x:c r="F16" s="6" t="n">
        <x:f>D16-E16</x:f>
        <x:v>53700</x:v>
      </x:c>
      <x:c r="G16" s="6" t="n">
        <x:f>G15+F16</x:f>
        <x:v>663500</x:v>
      </x:c>
      <x:c r="H16" s="6" t="n">
        <x:v>-25800</x:v>
      </x:c>
      <x:c r="I16" s="6" t="n">
        <x:v>116900</x:v>
      </x:c>
      <x:c r="J16" s="6" t="n">
        <x:v>8</x:v>
      </x:c>
      <x:c r="K16" s="6" t="n">
        <x:v>15000</x:v>
      </x:c>
      <x:c r="L16" s="6" t="n">
        <x:v>38700</x:v>
      </x:c>
    </x:row>
    <x:row r="17" ht="25" customHeight="1">
      <x:c r="A17" s="2" t="str">
        <x:v>2026-10-06_Night</x:v>
      </x:c>
      <x:c r="B17" s="7" t="str">
        <x:v>旧完了場</x:v>
      </x:c>
      <x:c r="C17" s="7" t="str">
        <x:v>横ばい</x:v>
      </x:c>
      <x:c r="D17" s="6" t="n">
        <x:v>33000</x:v>
      </x:c>
      <x:c r="E17" s="6" t="n">
        <x:v>43000</x:v>
      </x:c>
      <x:c r="F17" s="6" t="n">
        <x:f>D17-E17</x:f>
        <x:v>-10000</x:v>
      </x:c>
      <x:c r="G17" s="6" t="n">
        <x:f>G16+F17</x:f>
        <x:v>653500</x:v>
      </x:c>
      <x:c r="H17" s="6" t="n">
        <x:v>-56000</x:v>
      </x:c>
      <x:c r="I17" s="6" t="n">
        <x:v>56000</x:v>
      </x:c>
      <x:c r="J17" s="6" t="n">
        <x:v>4</x:v>
      </x:c>
      <x:c r="K17" s="6" t="n">
        <x:v>0</x:v>
      </x:c>
      <x:c r="L17" s="6" t="n">
        <x:v>-10000</x:v>
      </x:c>
    </x:row>
    <x:row r="18" ht="25" customHeight="1">
      <x:c r="A18" s="2" t="str">
        <x:v>2026-10-07_Night</x:v>
      </x:c>
      <x:c r="B18" s="7" t="str">
        <x:v>旧完了場</x:v>
      </x:c>
      <x:c r="C18" s="7" t="str">
        <x:v>下落</x:v>
      </x:c>
      <x:c r="D18" s="6" t="n">
        <x:v>20000</x:v>
      </x:c>
      <x:c r="E18" s="6" t="n">
        <x:v>81400</x:v>
      </x:c>
      <x:c r="F18" s="6" t="n">
        <x:f>D18-E18</x:f>
        <x:v>-61400</x:v>
      </x:c>
      <x:c r="G18" s="6" t="n">
        <x:f>G17+F18</x:f>
        <x:v>592100</x:v>
      </x:c>
      <x:c r="H18" s="6" t="n">
        <x:v>-66800</x:v>
      </x:c>
      <x:c r="I18" s="6" t="n">
        <x:v>90800</x:v>
      </x:c>
      <x:c r="J18" s="6" t="n">
        <x:v>5</x:v>
      </x:c>
      <x:c r="K18" s="6" t="n">
        <x:v>-2000</x:v>
      </x:c>
      <x:c r="L18" s="6" t="n">
        <x:v>-59400</x:v>
      </x:c>
    </x:row>
    <x:row r="19" ht="25" customHeight="1">
      <x:c r="A19" s="2" t="str">
        <x:v>2026-10-08_Night</x:v>
      </x:c>
      <x:c r="B19" s="7" t="str">
        <x:v>旧完了場</x:v>
      </x:c>
      <x:c r="C19" s="7" t="str">
        <x:v>下落</x:v>
      </x:c>
      <x:c r="D19" s="6" t="n">
        <x:v>414700</x:v>
      </x:c>
      <x:c r="E19" s="6" t="n">
        <x:v>27600</x:v>
      </x:c>
      <x:c r="F19" s="6" t="n">
        <x:f>D19-E19</x:f>
        <x:v>387100</x:v>
      </x:c>
      <x:c r="G19" s="6" t="n">
        <x:f>G18+F19</x:f>
        <x:v>979200</x:v>
      </x:c>
      <x:c r="H19" s="6" t="n">
        <x:v>-74200</x:v>
      </x:c>
      <x:c r="I19" s="6" t="n">
        <x:v>90000</x:v>
      </x:c>
      <x:c r="J19" s="6" t="n">
        <x:v>16</x:v>
      </x:c>
      <x:c r="K19" s="6" t="n">
        <x:v>8000</x:v>
      </x:c>
      <x:c r="L19" s="6" t="n">
        <x:v>379100</x:v>
      </x:c>
    </x:row>
    <x:row r="20" ht="25" customHeight="1">
      <x:c r="A20" s="2" t="str">
        <x:v>2026-10-09_Night</x:v>
      </x:c>
      <x:c r="B20" s="7" t="str">
        <x:v>旧完了場</x:v>
      </x:c>
      <x:c r="C20" s="7" t="str">
        <x:v>下落</x:v>
      </x:c>
      <x:c r="D20" s="6" t="n">
        <x:v>54000</x:v>
      </x:c>
      <x:c r="E20" s="6" t="n">
        <x:v>0</x:v>
      </x:c>
      <x:c r="F20" s="6" t="n">
        <x:f>D20-E20</x:f>
        <x:v>54000</x:v>
      </x:c>
      <x:c r="G20" s="6" t="n">
        <x:f>G19+F20</x:f>
        <x:v>1033200</x:v>
      </x:c>
      <x:c r="H20" s="6" t="n">
        <x:v>-10000</x:v>
      </x:c>
      <x:c r="I20" s="6" t="n">
        <x:v>60000</x:v>
      </x:c>
      <x:c r="J20" s="6" t="n">
        <x:v>3</x:v>
      </x:c>
      <x:c r="K20" s="6" t="n">
        <x:v>40000</x:v>
      </x:c>
      <x:c r="L20" s="6" t="n">
        <x:v>14000</x:v>
      </x:c>
    </x:row>
    <x:row r="21" ht="25" customHeight="1">
      <x:c r="A21" s="2" t="str">
        <x:v>2026-10-12_Night</x:v>
      </x:c>
      <x:c r="B21" s="7" t="str">
        <x:v>旧完了場</x:v>
      </x:c>
      <x:c r="C21" s="7" t="str">
        <x:v>下落</x:v>
      </x:c>
      <x:c r="D21" s="6" t="n">
        <x:v>82000</x:v>
      </x:c>
      <x:c r="E21" s="6" t="n">
        <x:v>0</x:v>
      </x:c>
      <x:c r="F21" s="6" t="n">
        <x:f>D21-E21</x:f>
        <x:v>82000</x:v>
      </x:c>
      <x:c r="G21" s="6" t="n">
        <x:f>G20+F21</x:f>
        <x:v>1115200</x:v>
      </x:c>
      <x:c r="H21" s="6" t="n">
        <x:v>-10000</x:v>
      </x:c>
      <x:c r="I21" s="6" t="n">
        <x:v>33000</x:v>
      </x:c>
      <x:c r="J21" s="6" t="n">
        <x:v>1</x:v>
      </x:c>
      <x:c r="K21" s="6" t="n">
        <x:v>0</x:v>
      </x:c>
      <x:c r="L21" s="6" t="n">
        <x:v>82000</x:v>
      </x:c>
    </x:row>
    <x:row r="22" ht="25" customHeight="1">
      <x:c r="A22" s="2" t="str">
        <x:v>2026-10-13_Night</x:v>
      </x:c>
      <x:c r="B22" s="7" t="str">
        <x:v>旧完了場</x:v>
      </x:c>
      <x:c r="C22" s="7" t="str">
        <x:v>上昇</x:v>
      </x:c>
      <x:c r="D22" s="6" t="n">
        <x:v>15000</x:v>
      </x:c>
      <x:c r="E22" s="6" t="n">
        <x:v>53000</x:v>
      </x:c>
      <x:c r="F22" s="6" t="n">
        <x:f>D22-E22</x:f>
        <x:v>-38000</x:v>
      </x:c>
      <x:c r="G22" s="6" t="n">
        <x:f>G21+F22</x:f>
        <x:v>1077200</x:v>
      </x:c>
      <x:c r="H22" s="6" t="n">
        <x:v>-38000</x:v>
      </x:c>
      <x:c r="I22" s="6" t="n">
        <x:v>58000</x:v>
      </x:c>
      <x:c r="J22" s="6" t="n">
        <x:v>3</x:v>
      </x:c>
      <x:c r="K22" s="6" t="n">
        <x:v>15000</x:v>
      </x:c>
      <x:c r="L22" s="6" t="n">
        <x:v>-53000</x:v>
      </x:c>
    </x:row>
    <x:row r="23" ht="25" customHeight="1">
      <x:c r="A23" s="2" t="str">
        <x:v>2026-10-14_Night</x:v>
      </x:c>
      <x:c r="B23" s="7" t="str">
        <x:v>旧完了場</x:v>
      </x:c>
      <x:c r="C23" s="7" t="str">
        <x:v>下落</x:v>
      </x:c>
      <x:c r="D23" s="6" t="n">
        <x:v>212000</x:v>
      </x:c>
      <x:c r="E23" s="6" t="n">
        <x:v>81500</x:v>
      </x:c>
      <x:c r="F23" s="6" t="n">
        <x:f>D23-E23</x:f>
        <x:v>130500</x:v>
      </x:c>
      <x:c r="G23" s="6" t="n">
        <x:f>G22+F23</x:f>
        <x:v>1207700</x:v>
      </x:c>
      <x:c r="H23" s="6" t="n">
        <x:v>-39500</x:v>
      </x:c>
      <x:c r="I23" s="6" t="n">
        <x:v>59500</x:v>
      </x:c>
      <x:c r="J23" s="6" t="n">
        <x:v>5</x:v>
      </x:c>
      <x:c r="K23" s="6" t="n">
        <x:v>15000</x:v>
      </x:c>
      <x:c r="L23" s="6" t="n">
        <x:v>115500</x:v>
      </x:c>
    </x:row>
    <x:row r="24" ht="25" customHeight="1">
      <x:c r="A24" s="2" t="str">
        <x:v>2026-10-15_Night</x:v>
      </x:c>
      <x:c r="B24" s="7" t="str">
        <x:v>旧完了場</x:v>
      </x:c>
      <x:c r="C24" s="7" t="str">
        <x:v>上昇</x:v>
      </x:c>
      <x:c r="D24" s="6" t="n">
        <x:v>75000</x:v>
      </x:c>
      <x:c r="E24" s="6" t="n">
        <x:v>44500</x:v>
      </x:c>
      <x:c r="F24" s="6" t="n">
        <x:f>D24-E24</x:f>
        <x:v>30500</x:v>
      </x:c>
      <x:c r="G24" s="6" t="n">
        <x:f>G23+F24</x:f>
        <x:v>1238200</x:v>
      </x:c>
      <x:c r="H24" s="6" t="n">
        <x:v>-48000</x:v>
      </x:c>
      <x:c r="I24" s="6" t="n">
        <x:v>159700</x:v>
      </x:c>
      <x:c r="J24" s="6" t="n">
        <x:v>7</x:v>
      </x:c>
      <x:c r="K24" s="6" t="n">
        <x:v>0</x:v>
      </x:c>
      <x:c r="L24" s="6" t="n">
        <x:v>30500</x:v>
      </x:c>
    </x:row>
    <x:row r="25" ht="25" customHeight="1">
      <x:c r="A25" s="2" t="str">
        <x:v>2026-10-16_Night</x:v>
      </x:c>
      <x:c r="B25" s="7" t="str">
        <x:v>旧完了場</x:v>
      </x:c>
      <x:c r="C25" s="7" t="str">
        <x:v>下落</x:v>
      </x:c>
      <x:c r="D25" s="6" t="n">
        <x:v>168300</x:v>
      </x:c>
      <x:c r="E25" s="6" t="n">
        <x:v>121400</x:v>
      </x:c>
      <x:c r="F25" s="6" t="n">
        <x:f>D25-E25</x:f>
        <x:v>46900</x:v>
      </x:c>
      <x:c r="G25" s="6" t="n">
        <x:f>G24+F25</x:f>
        <x:v>1285100</x:v>
      </x:c>
      <x:c r="H25" s="6" t="n">
        <x:v>-128600</x:v>
      </x:c>
      <x:c r="I25" s="6" t="n">
        <x:v>138600</x:v>
      </x:c>
      <x:c r="J25" s="6" t="n">
        <x:v>14</x:v>
      </x:c>
      <x:c r="K25" s="6" t="n">
        <x:v>-20000</x:v>
      </x:c>
      <x:c r="L25" s="6" t="n">
        <x:v>66900</x:v>
      </x:c>
    </x:row>
    <x:row r="26" ht="25" customHeight="1">
      <x:c r="A26" s="2" t="str">
        <x:v>2026-10-19_Night</x:v>
      </x:c>
      <x:c r="B26" s="7" t="str">
        <x:v>旧完了場</x:v>
      </x:c>
      <x:c r="C26" s="7" t="str">
        <x:v>上昇</x:v>
      </x:c>
      <x:c r="D26" s="6" t="n">
        <x:v>147300</x:v>
      </x:c>
      <x:c r="E26" s="6" t="n">
        <x:v>113100</x:v>
      </x:c>
      <x:c r="F26" s="6" t="n">
        <x:f>D26-E26</x:f>
        <x:v>34200</x:v>
      </x:c>
      <x:c r="G26" s="6" t="n">
        <x:f>G25+F26</x:f>
        <x:v>1319300</x:v>
      </x:c>
      <x:c r="H26" s="6" t="n">
        <x:v>-79100</x:v>
      </x:c>
      <x:c r="I26" s="6" t="n">
        <x:v>119100</x:v>
      </x:c>
      <x:c r="J26" s="6" t="n">
        <x:v>14</x:v>
      </x:c>
      <x:c r="K26" s="6" t="n">
        <x:v>35000</x:v>
      </x:c>
      <x:c r="L26" s="6" t="n">
        <x:v>-800</x:v>
      </x:c>
    </x:row>
    <x:row r="27" ht="25" customHeight="1">
      <x:c r="A27" s="2" t="str">
        <x:v>2026-10-20_Night</x:v>
      </x:c>
      <x:c r="B27" s="7" t="str">
        <x:v>旧完了場</x:v>
      </x:c>
      <x:c r="C27" s="7" t="str">
        <x:v>上昇</x:v>
      </x:c>
      <x:c r="D27" s="6" t="n">
        <x:v>157200</x:v>
      </x:c>
      <x:c r="E27" s="6" t="n">
        <x:v>9200</x:v>
      </x:c>
      <x:c r="F27" s="6" t="n">
        <x:f>D27-E27</x:f>
        <x:v>148000</x:v>
      </x:c>
      <x:c r="G27" s="6" t="n">
        <x:f>G26+F27</x:f>
        <x:v>1467300</x:v>
      </x:c>
      <x:c r="H27" s="6" t="n">
        <x:v>-10000</x:v>
      </x:c>
      <x:c r="I27" s="6" t="n">
        <x:v>87600</x:v>
      </x:c>
      <x:c r="J27" s="6" t="n">
        <x:v>11</x:v>
      </x:c>
      <x:c r="K27" s="6" t="n">
        <x:v>57000</x:v>
      </x:c>
      <x:c r="L27" s="6" t="n">
        <x:v>91000</x:v>
      </x:c>
    </x:row>
    <x:row r="28" ht="25" customHeight="1">
      <x:c r="A28" s="2" t="str">
        <x:v>2026-10-21_Night</x:v>
      </x:c>
      <x:c r="B28" s="7" t="str">
        <x:v>旧完了場</x:v>
      </x:c>
      <x:c r="C28" s="7" t="str">
        <x:v>上昇</x:v>
      </x:c>
      <x:c r="D28" s="6" t="n">
        <x:v>45600</x:v>
      </x:c>
      <x:c r="E28" s="6" t="n">
        <x:v>85000</x:v>
      </x:c>
      <x:c r="F28" s="6" t="n">
        <x:f>D28-E28</x:f>
        <x:v>-39400</x:v>
      </x:c>
      <x:c r="G28" s="6" t="n">
        <x:f>G27+F28</x:f>
        <x:v>1427900</x:v>
      </x:c>
      <x:c r="H28" s="6" t="n">
        <x:v>-39400</x:v>
      </x:c>
      <x:c r="I28" s="6" t="n">
        <x:v>131000</x:v>
      </x:c>
      <x:c r="J28" s="6" t="n">
        <x:v>6</x:v>
      </x:c>
      <x:c r="K28" s="6" t="n">
        <x:v>15000</x:v>
      </x:c>
      <x:c r="L28" s="6" t="n">
        <x:v>-54400</x:v>
      </x:c>
    </x:row>
    <x:row r="29" ht="25" customHeight="1">
      <x:c r="A29" s="2" t="str">
        <x:v>2026-10-22_Night</x:v>
      </x:c>
      <x:c r="B29" s="7" t="str">
        <x:v>旧完了場</x:v>
      </x:c>
      <x:c r="C29" s="7" t="str">
        <x:v>下落</x:v>
      </x:c>
      <x:c r="D29" s="6" t="n">
        <x:v>218200</x:v>
      </x:c>
      <x:c r="E29" s="6" t="n">
        <x:v>0</x:v>
      </x:c>
      <x:c r="F29" s="6" t="n">
        <x:f>D29-E29</x:f>
        <x:v>218200</x:v>
      </x:c>
      <x:c r="G29" s="6" t="n">
        <x:f>G28+F29</x:f>
        <x:v>1646100</x:v>
      </x:c>
      <x:c r="H29" s="6" t="n">
        <x:v>-9200</x:v>
      </x:c>
      <x:c r="I29" s="6" t="n">
        <x:v>64000</x:v>
      </x:c>
      <x:c r="J29" s="6" t="n">
        <x:v>3</x:v>
      </x:c>
      <x:c r="K29" s="6" t="n">
        <x:v>0</x:v>
      </x:c>
      <x:c r="L29" s="6" t="n">
        <x:v>218200</x:v>
      </x:c>
    </x:row>
    <x:row r="30" ht="25" customHeight="1">
      <x:c r="A30" s="2" t="str">
        <x:v>2026-10-23_Night</x:v>
      </x:c>
      <x:c r="B30" s="7" t="str">
        <x:v>旧完了場</x:v>
      </x:c>
      <x:c r="C30" s="7" t="str">
        <x:v>上昇</x:v>
      </x:c>
      <x:c r="D30" s="6" t="n">
        <x:v>65600</x:v>
      </x:c>
      <x:c r="E30" s="6" t="n">
        <x:v>51000</x:v>
      </x:c>
      <x:c r="F30" s="6" t="n">
        <x:f>D30-E30</x:f>
        <x:v>14600</x:v>
      </x:c>
      <x:c r="G30" s="6" t="n">
        <x:f>G29+F30</x:f>
        <x:v>1660700</x:v>
      </x:c>
      <x:c r="H30" s="6" t="n">
        <x:v>-65800</x:v>
      </x:c>
      <x:c r="I30" s="6" t="n">
        <x:v>118400</x:v>
      </x:c>
      <x:c r="J30" s="6" t="n">
        <x:v>11</x:v>
      </x:c>
      <x:c r="K30" s="6" t="n">
        <x:v>-6000</x:v>
      </x:c>
      <x:c r="L30" s="6" t="n">
        <x:v>20600</x:v>
      </x:c>
    </x:row>
    <x:row r="31" ht="25" customHeight="1">
      <x:c r="A31" s="2" t="str">
        <x:v>2026-10-26_Night</x:v>
      </x:c>
      <x:c r="B31" s="7" t="str">
        <x:v>追加完了版</x:v>
      </x:c>
      <x:c r="C31" s="7" t="str">
        <x:v>上昇</x:v>
      </x:c>
      <x:c r="D31" s="6" t="n">
        <x:v>109600</x:v>
      </x:c>
      <x:c r="E31" s="6" t="n">
        <x:v>156100</x:v>
      </x:c>
      <x:c r="F31" s="6" t="n">
        <x:f>D31-E31</x:f>
        <x:v>-46500</x:v>
      </x:c>
      <x:c r="G31" s="6" t="n">
        <x:f>G30+F31</x:f>
        <x:v>1614200</x:v>
      </x:c>
      <x:c r="H31" s="6" t="n">
        <x:v>-46500</x:v>
      </x:c>
      <x:c r="I31" s="6" t="n">
        <x:v>191900</x:v>
      </x:c>
      <x:c r="J31" s="6" t="n">
        <x:v>12</x:v>
      </x:c>
      <x:c r="K31" s="6" t="n">
        <x:v>15000</x:v>
      </x:c>
      <x:c r="L31" s="6" t="n">
        <x:v>-61500</x:v>
      </x:c>
    </x:row>
    <x:row r="32" ht="25" customHeight="1">
      <x:c r="A32" s="14" t="str">
        <x:v>累計／場内最悪値</x:v>
      </x:c>
      <x:c r="B32" s="15"/>
      <x:c r="C32" s="15"/>
      <x:c r="D32" s="15" t="n">
        <x:f>SUM(D6:D31)</x:f>
        <x:v>2771000</x:v>
      </x:c>
      <x:c r="E32" s="15" t="n">
        <x:f>SUM(E6:E31)</x:f>
        <x:v>1156800</x:v>
      </x:c>
      <x:c r="F32" s="15" t="n">
        <x:f>D32-E32</x:f>
        <x:v>1614200</x:v>
      </x:c>
      <x:c r="G32" s="15" t="n">
        <x:f>G31</x:f>
        <x:v>1614200</x:v>
      </x:c>
      <x:c r="H32" s="15" t="n">
        <x:f>MIN(H6:H31)</x:f>
        <x:v>-128600</x:v>
      </x:c>
      <x:c r="I32" s="15" t="n">
        <x:f>MAX(I6:I31)</x:f>
        <x:v>191900</x:v>
      </x:c>
      <x:c r="J32" s="15" t="n">
        <x:f>SUM(J6:J31)</x:f>
        <x:v>183</x:v>
      </x:c>
      <x:c r="K32" s="15" t="n">
        <x:f>SUM(K6:K31)</x:f>
        <x:v>369000</x:v>
      </x:c>
      <x:c r="L32" s="15" t="n">
        <x:f>SUM(L6:L31)</x:f>
        <x:v>1245200</x:v>
      </x:c>
    </x:row>
  </x:sheetData>
  <x:conditionalFormatting sqref="F6:H31">
    <x:cfRule type="cellIs" dxfId="32" priority="1" operator="lessThan">
      <x:formula>0</x:formula>
    </x:cfRule>
  </x:conditionalFormatting>
  <x:conditionalFormatting sqref="K6:L31">
    <x:cfRule type="cellIs" dxfId="33" priority="2" operator="lessThan">
      <x:formula>0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c048eb11b27c4055"/>
  </x:tableParts>
</x:worksheet>
</file>

<file path=xl/worksheets/sheet22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25" hidden="0" customWidth="1"/>
    <x:col min="2" max="2" width="15" hidden="0" customWidth="1"/>
    <x:col min="3" max="3" width="10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  <x:col min="12" max="12" width="16" hidden="0" customWidth="1"/>
  </x:cols>
  <x:sheetData>
    <x:row r="1" ht="10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</x:row>
    <x:row r="2" ht="25" customHeight="1">
      <x:c r="A2" s="3" t="str">
        <x:v>日経 R03　夜間損益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</x:row>
    <x:row r="3" ht="25" customHeight="1">
      <x:c r="A3" s="4" t="str">
        <x:v>R02＋後半超過分80pt逆行と逆支持5秒</x:v>
      </x:c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</x:row>
    <x:row r="4" ht="25" customHeight="1">
      <x:c r="A4" s="4" t="str">
        <x:v>片側micro100枚＝mini10枚相当・手数料0。途中最悪は確定＋全玉含み、最大下落は当場ピークからの落差。</x:v>
      </x:c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</x:row>
    <x:row r="5" ht="45" customHeight="1">
      <x:c r="A5" s="11" t="str">
        <x:v>セッション</x:v>
      </x:c>
      <x:c r="B5" s="11" t="str">
        <x:v>資料区分</x:v>
      </x:c>
      <x:c r="C5" s="11" t="str">
        <x:v>場の方向</x:v>
      </x:c>
      <x:c r="D5" s="11" t="str">
        <x:v>利益（円）</x:v>
      </x:c>
      <x:c r="E5" s="11" t="str">
        <x:v>損失（円）</x:v>
      </x:c>
      <x:c r="F5" s="11" t="str">
        <x:v>収支（円）</x:v>
      </x:c>
      <x:c r="G5" s="11" t="str">
        <x:v>累計（円）</x:v>
      </x:c>
      <x:c r="H5" s="11" t="str">
        <x:v>途中最悪収支（円）</x:v>
      </x:c>
      <x:c r="I5" s="11" t="str">
        <x:v>最大下落額（円）</x:v>
      </x:c>
      <x:c r="J5" s="11" t="str">
        <x:v>新規回数</x:v>
      </x:c>
      <x:c r="K5" s="11" t="str">
        <x:v>米国前収支（円）</x:v>
      </x:c>
      <x:c r="L5" s="11" t="str">
        <x:v>米国後収支（円）</x:v>
      </x:c>
    </x:row>
    <x:row r="6" ht="25" customHeight="1">
      <x:c r="A6" s="2" t="str">
        <x:v>2026-09-21_Night</x:v>
      </x:c>
      <x:c r="B6" s="7" t="str">
        <x:v>旧完了場</x:v>
      </x:c>
      <x:c r="C6" s="7" t="str">
        <x:v>上昇</x:v>
      </x:c>
      <x:c r="D6" s="6" t="n">
        <x:v>0</x:v>
      </x:c>
      <x:c r="E6" s="6" t="n">
        <x:v>45000</x:v>
      </x:c>
      <x:c r="F6" s="6" t="n">
        <x:f>D6-E6</x:f>
        <x:v>-45000</x:v>
      </x:c>
      <x:c r="G6" s="6" t="n">
        <x:f>F6</x:f>
        <x:v>-45000</x:v>
      </x:c>
      <x:c r="H6" s="6" t="n">
        <x:v>-45000</x:v>
      </x:c>
      <x:c r="I6" s="6" t="n">
        <x:v>65000</x:v>
      </x:c>
      <x:c r="J6" s="6" t="n">
        <x:v>1</x:v>
      </x:c>
      <x:c r="K6" s="6" t="n">
        <x:v>0</x:v>
      </x:c>
      <x:c r="L6" s="6" t="n">
        <x:v>-45000</x:v>
      </x:c>
    </x:row>
    <x:row r="7" ht="25" customHeight="1">
      <x:c r="A7" s="2" t="str">
        <x:v>2026-09-22_Night</x:v>
      </x:c>
      <x:c r="B7" s="7" t="str">
        <x:v>旧完了場</x:v>
      </x:c>
      <x:c r="C7" s="7" t="str">
        <x:v>上昇</x:v>
      </x:c>
      <x:c r="D7" s="6" t="n">
        <x:v>39000</x:v>
      </x:c>
      <x:c r="E7" s="6" t="n">
        <x:v>0</x:v>
      </x:c>
      <x:c r="F7" s="6" t="n">
        <x:f>D7-E7</x:f>
        <x:v>39000</x:v>
      </x:c>
      <x:c r="G7" s="6" t="n">
        <x:f>G6+F7</x:f>
        <x:v>-6000</x:v>
      </x:c>
      <x:c r="H7" s="6" t="n">
        <x:v>-45000</x:v>
      </x:c>
      <x:c r="I7" s="6" t="n">
        <x:v>55000</x:v>
      </x:c>
      <x:c r="J7" s="6" t="n">
        <x:v>2</x:v>
      </x:c>
      <x:c r="K7" s="6" t="n">
        <x:v>15000</x:v>
      </x:c>
      <x:c r="L7" s="6" t="n">
        <x:v>24000</x:v>
      </x:c>
    </x:row>
    <x:row r="8" ht="25" customHeight="1">
      <x:c r="A8" s="2" t="str">
        <x:v>2026-09-23_Night</x:v>
      </x:c>
      <x:c r="B8" s="7" t="str">
        <x:v>旧完了場</x:v>
      </x:c>
      <x:c r="C8" s="7" t="str">
        <x:v>下落</x:v>
      </x:c>
      <x:c r="D8" s="6" t="n">
        <x:v>31600</x:v>
      </x:c>
      <x:c r="E8" s="6" t="n">
        <x:v>40000</x:v>
      </x:c>
      <x:c r="F8" s="6" t="n">
        <x:f>D8-E8</x:f>
        <x:v>-8400</x:v>
      </x:c>
      <x:c r="G8" s="6" t="n">
        <x:f>G7+F8</x:f>
        <x:v>-14400</x:v>
      </x:c>
      <x:c r="H8" s="6" t="n">
        <x:v>-62800</x:v>
      </x:c>
      <x:c r="I8" s="6" t="n">
        <x:v>62800</x:v>
      </x:c>
      <x:c r="J8" s="6" t="n">
        <x:v>3</x:v>
      </x:c>
      <x:c r="K8" s="6" t="n">
        <x:v>0</x:v>
      </x:c>
      <x:c r="L8" s="6" t="n">
        <x:v>-8400</x:v>
      </x:c>
    </x:row>
    <x:row r="9" ht="25" customHeight="1">
      <x:c r="A9" s="2" t="str">
        <x:v>2026-09-24_Night</x:v>
      </x:c>
      <x:c r="B9" s="7" t="str">
        <x:v>旧完了場</x:v>
      </x:c>
      <x:c r="C9" s="7" t="str">
        <x:v>上昇</x:v>
      </x:c>
      <x:c r="D9" s="6" t="n">
        <x:v>50000</x:v>
      </x:c>
      <x:c r="E9" s="6" t="n">
        <x:v>0</x:v>
      </x:c>
      <x:c r="F9" s="6" t="n">
        <x:f>D9-E9</x:f>
        <x:v>50000</x:v>
      </x:c>
      <x:c r="G9" s="6" t="n">
        <x:f>G8+F9</x:f>
        <x:v>35600</x:v>
      </x:c>
      <x:c r="H9" s="6" t="n">
        <x:v>-85000</x:v>
      </x:c>
      <x:c r="I9" s="6" t="n">
        <x:v>90000</x:v>
      </x:c>
      <x:c r="J9" s="6" t="n">
        <x:v>4</x:v>
      </x:c>
      <x:c r="K9" s="6" t="n">
        <x:v>30000</x:v>
      </x:c>
      <x:c r="L9" s="6" t="n">
        <x:v>20000</x:v>
      </x:c>
    </x:row>
    <x:row r="10" ht="25" customHeight="1">
      <x:c r="A10" s="2" t="str">
        <x:v>2026-09-25_Night</x:v>
      </x:c>
      <x:c r="B10" s="7" t="str">
        <x:v>旧完了場</x:v>
      </x:c>
      <x:c r="C10" s="7" t="str">
        <x:v>上昇</x:v>
      </x:c>
      <x:c r="D10" s="6" t="n">
        <x:v>17000</x:v>
      </x:c>
      <x:c r="E10" s="6" t="n">
        <x:v>16000</x:v>
      </x:c>
      <x:c r="F10" s="6" t="n">
        <x:f>D10-E10</x:f>
        <x:v>1000</x:v>
      </x:c>
      <x:c r="G10" s="6" t="n">
        <x:f>G9+F10</x:f>
        <x:v>36600</x:v>
      </x:c>
      <x:c r="H10" s="6" t="n">
        <x:v>-16000</x:v>
      </x:c>
      <x:c r="I10" s="6" t="n">
        <x:v>24000</x:v>
      </x:c>
      <x:c r="J10" s="6" t="n">
        <x:v>2</x:v>
      </x:c>
      <x:c r="K10" s="6" t="n">
        <x:v>0</x:v>
      </x:c>
      <x:c r="L10" s="6" t="n">
        <x:v>1000</x:v>
      </x:c>
    </x:row>
    <x:row r="11" ht="25" customHeight="1">
      <x:c r="A11" s="2" t="str">
        <x:v>2026-09-28_Night</x:v>
      </x:c>
      <x:c r="B11" s="7" t="str">
        <x:v>旧完了場</x:v>
      </x:c>
      <x:c r="C11" s="7" t="str">
        <x:v>横ばい</x:v>
      </x:c>
      <x:c r="D11" s="6" t="n">
        <x:v>4500</x:v>
      </x:c>
      <x:c r="E11" s="6" t="n">
        <x:v>30000</x:v>
      </x:c>
      <x:c r="F11" s="6" t="n">
        <x:f>D11-E11</x:f>
        <x:v>-25500</x:v>
      </x:c>
      <x:c r="G11" s="6" t="n">
        <x:f>G10+F11</x:f>
        <x:v>11100</x:v>
      </x:c>
      <x:c r="H11" s="6" t="n">
        <x:v>-31000</x:v>
      </x:c>
      <x:c r="I11" s="6" t="n">
        <x:v>38000</x:v>
      </x:c>
      <x:c r="J11" s="6" t="n">
        <x:v>5</x:v>
      </x:c>
      <x:c r="K11" s="6" t="n">
        <x:v>4000</x:v>
      </x:c>
      <x:c r="L11" s="6" t="n">
        <x:v>-29500</x:v>
      </x:c>
    </x:row>
    <x:row r="12" ht="25" customHeight="1">
      <x:c r="A12" s="2" t="str">
        <x:v>2026-09-29_Night</x:v>
      </x:c>
      <x:c r="B12" s="7" t="str">
        <x:v>旧完了場</x:v>
      </x:c>
      <x:c r="C12" s="7" t="str">
        <x:v>上昇</x:v>
      </x:c>
      <x:c r="D12" s="6" t="n">
        <x:v>45300</x:v>
      </x:c>
      <x:c r="E12" s="6" t="n">
        <x:v>22900</x:v>
      </x:c>
      <x:c r="F12" s="6" t="n">
        <x:f>D12-E12</x:f>
        <x:v>22400</x:v>
      </x:c>
      <x:c r="G12" s="6" t="n">
        <x:f>G11+F12</x:f>
        <x:v>33500</x:v>
      </x:c>
      <x:c r="H12" s="6" t="n">
        <x:v>-16200</x:v>
      </x:c>
      <x:c r="I12" s="6" t="n">
        <x:v>41000</x:v>
      </x:c>
      <x:c r="J12" s="6" t="n">
        <x:v>6</x:v>
      </x:c>
      <x:c r="K12" s="6" t="n">
        <x:v>0</x:v>
      </x:c>
      <x:c r="L12" s="6" t="n">
        <x:v>22400</x:v>
      </x:c>
    </x:row>
    <x:row r="13" ht="25" customHeight="1">
      <x:c r="A13" s="2" t="str">
        <x:v>2026-09-30_Night</x:v>
      </x:c>
      <x:c r="B13" s="7" t="str">
        <x:v>旧完了場</x:v>
      </x:c>
      <x:c r="C13" s="7" t="str">
        <x:v>下落</x:v>
      </x:c>
      <x:c r="D13" s="6" t="n">
        <x:v>136300</x:v>
      </x:c>
      <x:c r="E13" s="6" t="n">
        <x:v>0</x:v>
      </x:c>
      <x:c r="F13" s="6" t="n">
        <x:f>D13-E13</x:f>
        <x:v>136300</x:v>
      </x:c>
      <x:c r="G13" s="6" t="n">
        <x:f>G12+F13</x:f>
        <x:v>169800</x:v>
      </x:c>
      <x:c r="H13" s="6" t="n">
        <x:v>-75000</x:v>
      </x:c>
      <x:c r="I13" s="6" t="n">
        <x:v>95000</x:v>
      </x:c>
      <x:c r="J13" s="6" t="n">
        <x:v>6</x:v>
      </x:c>
      <x:c r="K13" s="6" t="n">
        <x:v>60000</x:v>
      </x:c>
      <x:c r="L13" s="6" t="n">
        <x:v>76300</x:v>
      </x:c>
    </x:row>
    <x:row r="14" ht="25" customHeight="1">
      <x:c r="A14" s="2" t="str">
        <x:v>2026-10-01_Night</x:v>
      </x:c>
      <x:c r="B14" s="7" t="str">
        <x:v>旧完了場</x:v>
      </x:c>
      <x:c r="C14" s="7" t="str">
        <x:v>上昇</x:v>
      </x:c>
      <x:c r="D14" s="6" t="n">
        <x:v>263000</x:v>
      </x:c>
      <x:c r="E14" s="6" t="n">
        <x:v>61000</x:v>
      </x:c>
      <x:c r="F14" s="6" t="n">
        <x:f>D14-E14</x:f>
        <x:v>202000</x:v>
      </x:c>
      <x:c r="G14" s="6" t="n">
        <x:f>G13+F14</x:f>
        <x:v>371800</x:v>
      </x:c>
      <x:c r="H14" s="6" t="n">
        <x:v>-25000</x:v>
      </x:c>
      <x:c r="I14" s="6" t="n">
        <x:v>114000</x:v>
      </x:c>
      <x:c r="J14" s="6" t="n">
        <x:v>16</x:v>
      </x:c>
      <x:c r="K14" s="6" t="n">
        <x:v>73000</x:v>
      </x:c>
      <x:c r="L14" s="6" t="n">
        <x:v>129000</x:v>
      </x:c>
    </x:row>
    <x:row r="15" ht="25" customHeight="1">
      <x:c r="A15" s="2" t="str">
        <x:v>2026-10-02_Night</x:v>
      </x:c>
      <x:c r="B15" s="7" t="str">
        <x:v>旧完了場</x:v>
      </x:c>
      <x:c r="C15" s="7" t="str">
        <x:v>上昇</x:v>
      </x:c>
      <x:c r="D15" s="6" t="n">
        <x:v>253900</x:v>
      </x:c>
      <x:c r="E15" s="6" t="n">
        <x:v>19000</x:v>
      </x:c>
      <x:c r="F15" s="6" t="n">
        <x:f>D15-E15</x:f>
        <x:v>234900</x:v>
      </x:c>
      <x:c r="G15" s="6" t="n">
        <x:f>G14+F15</x:f>
        <x:v>606700</x:v>
      </x:c>
      <x:c r="H15" s="6" t="n">
        <x:v>-14000</x:v>
      </x:c>
      <x:c r="I15" s="6" t="n">
        <x:v>144300</x:v>
      </x:c>
      <x:c r="J15" s="6" t="n">
        <x:v>15</x:v>
      </x:c>
      <x:c r="K15" s="6" t="n">
        <x:v>0</x:v>
      </x:c>
      <x:c r="L15" s="6" t="n">
        <x:v>234900</x:v>
      </x:c>
    </x:row>
    <x:row r="16" ht="25" customHeight="1">
      <x:c r="A16" s="2" t="str">
        <x:v>2026-10-05_Night</x:v>
      </x:c>
      <x:c r="B16" s="7" t="str">
        <x:v>旧完了場</x:v>
      </x:c>
      <x:c r="C16" s="7" t="str">
        <x:v>下落</x:v>
      </x:c>
      <x:c r="D16" s="6" t="n">
        <x:v>101700</x:v>
      </x:c>
      <x:c r="E16" s="6" t="n">
        <x:v>55600</x:v>
      </x:c>
      <x:c r="F16" s="6" t="n">
        <x:f>D16-E16</x:f>
        <x:v>46100</x:v>
      </x:c>
      <x:c r="G16" s="6" t="n">
        <x:f>G15+F16</x:f>
        <x:v>652800</x:v>
      </x:c>
      <x:c r="H16" s="6" t="n">
        <x:v>-25800</x:v>
      </x:c>
      <x:c r="I16" s="6" t="n">
        <x:v>116900</x:v>
      </x:c>
      <x:c r="J16" s="6" t="n">
        <x:v>8</x:v>
      </x:c>
      <x:c r="K16" s="6" t="n">
        <x:v>15000</x:v>
      </x:c>
      <x:c r="L16" s="6" t="n">
        <x:v>31100</x:v>
      </x:c>
    </x:row>
    <x:row r="17" ht="25" customHeight="1">
      <x:c r="A17" s="2" t="str">
        <x:v>2026-10-06_Night</x:v>
      </x:c>
      <x:c r="B17" s="7" t="str">
        <x:v>旧完了場</x:v>
      </x:c>
      <x:c r="C17" s="7" t="str">
        <x:v>横ばい</x:v>
      </x:c>
      <x:c r="D17" s="6" t="n">
        <x:v>33000</x:v>
      </x:c>
      <x:c r="E17" s="6" t="n">
        <x:v>43000</x:v>
      </x:c>
      <x:c r="F17" s="6" t="n">
        <x:f>D17-E17</x:f>
        <x:v>-10000</x:v>
      </x:c>
      <x:c r="G17" s="6" t="n">
        <x:f>G16+F17</x:f>
        <x:v>642800</x:v>
      </x:c>
      <x:c r="H17" s="6" t="n">
        <x:v>-56000</x:v>
      </x:c>
      <x:c r="I17" s="6" t="n">
        <x:v>56000</x:v>
      </x:c>
      <x:c r="J17" s="6" t="n">
        <x:v>4</x:v>
      </x:c>
      <x:c r="K17" s="6" t="n">
        <x:v>0</x:v>
      </x:c>
      <x:c r="L17" s="6" t="n">
        <x:v>-10000</x:v>
      </x:c>
    </x:row>
    <x:row r="18" ht="25" customHeight="1">
      <x:c r="A18" s="2" t="str">
        <x:v>2026-10-07_Night</x:v>
      </x:c>
      <x:c r="B18" s="7" t="str">
        <x:v>旧完了場</x:v>
      </x:c>
      <x:c r="C18" s="7" t="str">
        <x:v>下落</x:v>
      </x:c>
      <x:c r="D18" s="6" t="n">
        <x:v>20000</x:v>
      </x:c>
      <x:c r="E18" s="6" t="n">
        <x:v>81400</x:v>
      </x:c>
      <x:c r="F18" s="6" t="n">
        <x:f>D18-E18</x:f>
        <x:v>-61400</x:v>
      </x:c>
      <x:c r="G18" s="6" t="n">
        <x:f>G17+F18</x:f>
        <x:v>581400</x:v>
      </x:c>
      <x:c r="H18" s="6" t="n">
        <x:v>-66800</x:v>
      </x:c>
      <x:c r="I18" s="6" t="n">
        <x:v>90800</x:v>
      </x:c>
      <x:c r="J18" s="6" t="n">
        <x:v>5</x:v>
      </x:c>
      <x:c r="K18" s="6" t="n">
        <x:v>-2000</x:v>
      </x:c>
      <x:c r="L18" s="6" t="n">
        <x:v>-59400</x:v>
      </x:c>
    </x:row>
    <x:row r="19" ht="25" customHeight="1">
      <x:c r="A19" s="2" t="str">
        <x:v>2026-10-08_Night</x:v>
      </x:c>
      <x:c r="B19" s="7" t="str">
        <x:v>旧完了場</x:v>
      </x:c>
      <x:c r="C19" s="7" t="str">
        <x:v>下落</x:v>
      </x:c>
      <x:c r="D19" s="6" t="n">
        <x:v>343100</x:v>
      </x:c>
      <x:c r="E19" s="6" t="n">
        <x:v>26300</x:v>
      </x:c>
      <x:c r="F19" s="6" t="n">
        <x:f>D19-E19</x:f>
        <x:v>316800</x:v>
      </x:c>
      <x:c r="G19" s="6" t="n">
        <x:f>G18+F19</x:f>
        <x:v>898200</x:v>
      </x:c>
      <x:c r="H19" s="6" t="n">
        <x:v>-74200</x:v>
      </x:c>
      <x:c r="I19" s="6" t="n">
        <x:v>94800</x:v>
      </x:c>
      <x:c r="J19" s="6" t="n">
        <x:v>17</x:v>
      </x:c>
      <x:c r="K19" s="6" t="n">
        <x:v>8000</x:v>
      </x:c>
      <x:c r="L19" s="6" t="n">
        <x:v>308800</x:v>
      </x:c>
    </x:row>
    <x:row r="20" ht="25" customHeight="1">
      <x:c r="A20" s="2" t="str">
        <x:v>2026-10-09_Night</x:v>
      </x:c>
      <x:c r="B20" s="7" t="str">
        <x:v>旧完了場</x:v>
      </x:c>
      <x:c r="C20" s="7" t="str">
        <x:v>下落</x:v>
      </x:c>
      <x:c r="D20" s="6" t="n">
        <x:v>54000</x:v>
      </x:c>
      <x:c r="E20" s="6" t="n">
        <x:v>0</x:v>
      </x:c>
      <x:c r="F20" s="6" t="n">
        <x:f>D20-E20</x:f>
        <x:v>54000</x:v>
      </x:c>
      <x:c r="G20" s="6" t="n">
        <x:f>G19+F20</x:f>
        <x:v>952200</x:v>
      </x:c>
      <x:c r="H20" s="6" t="n">
        <x:v>-10000</x:v>
      </x:c>
      <x:c r="I20" s="6" t="n">
        <x:v>60000</x:v>
      </x:c>
      <x:c r="J20" s="6" t="n">
        <x:v>3</x:v>
      </x:c>
      <x:c r="K20" s="6" t="n">
        <x:v>40000</x:v>
      </x:c>
      <x:c r="L20" s="6" t="n">
        <x:v>14000</x:v>
      </x:c>
    </x:row>
    <x:row r="21" ht="25" customHeight="1">
      <x:c r="A21" s="2" t="str">
        <x:v>2026-10-12_Night</x:v>
      </x:c>
      <x:c r="B21" s="7" t="str">
        <x:v>旧完了場</x:v>
      </x:c>
      <x:c r="C21" s="7" t="str">
        <x:v>下落</x:v>
      </x:c>
      <x:c r="D21" s="6" t="n">
        <x:v>82000</x:v>
      </x:c>
      <x:c r="E21" s="6" t="n">
        <x:v>0</x:v>
      </x:c>
      <x:c r="F21" s="6" t="n">
        <x:f>D21-E21</x:f>
        <x:v>82000</x:v>
      </x:c>
      <x:c r="G21" s="6" t="n">
        <x:f>G20+F21</x:f>
        <x:v>1034200</x:v>
      </x:c>
      <x:c r="H21" s="6" t="n">
        <x:v>-10000</x:v>
      </x:c>
      <x:c r="I21" s="6" t="n">
        <x:v>33000</x:v>
      </x:c>
      <x:c r="J21" s="6" t="n">
        <x:v>1</x:v>
      </x:c>
      <x:c r="K21" s="6" t="n">
        <x:v>0</x:v>
      </x:c>
      <x:c r="L21" s="6" t="n">
        <x:v>82000</x:v>
      </x:c>
    </x:row>
    <x:row r="22" ht="25" customHeight="1">
      <x:c r="A22" s="2" t="str">
        <x:v>2026-10-13_Night</x:v>
      </x:c>
      <x:c r="B22" s="7" t="str">
        <x:v>旧完了場</x:v>
      </x:c>
      <x:c r="C22" s="7" t="str">
        <x:v>上昇</x:v>
      </x:c>
      <x:c r="D22" s="6" t="n">
        <x:v>15000</x:v>
      </x:c>
      <x:c r="E22" s="6" t="n">
        <x:v>53000</x:v>
      </x:c>
      <x:c r="F22" s="6" t="n">
        <x:f>D22-E22</x:f>
        <x:v>-38000</x:v>
      </x:c>
      <x:c r="G22" s="6" t="n">
        <x:f>G21+F22</x:f>
        <x:v>996200</x:v>
      </x:c>
      <x:c r="H22" s="6" t="n">
        <x:v>-38000</x:v>
      </x:c>
      <x:c r="I22" s="6" t="n">
        <x:v>58000</x:v>
      </x:c>
      <x:c r="J22" s="6" t="n">
        <x:v>3</x:v>
      </x:c>
      <x:c r="K22" s="6" t="n">
        <x:v>15000</x:v>
      </x:c>
      <x:c r="L22" s="6" t="n">
        <x:v>-53000</x:v>
      </x:c>
    </x:row>
    <x:row r="23" ht="25" customHeight="1">
      <x:c r="A23" s="2" t="str">
        <x:v>2026-10-14_Night</x:v>
      </x:c>
      <x:c r="B23" s="7" t="str">
        <x:v>旧完了場</x:v>
      </x:c>
      <x:c r="C23" s="7" t="str">
        <x:v>下落</x:v>
      </x:c>
      <x:c r="D23" s="6" t="n">
        <x:v>212000</x:v>
      </x:c>
      <x:c r="E23" s="6" t="n">
        <x:v>94000</x:v>
      </x:c>
      <x:c r="F23" s="6" t="n">
        <x:f>D23-E23</x:f>
        <x:v>118000</x:v>
      </x:c>
      <x:c r="G23" s="6" t="n">
        <x:f>G22+F23</x:f>
        <x:v>1114200</x:v>
      </x:c>
      <x:c r="H23" s="6" t="n">
        <x:v>-52000</x:v>
      </x:c>
      <x:c r="I23" s="6" t="n">
        <x:v>72000</x:v>
      </x:c>
      <x:c r="J23" s="6" t="n">
        <x:v>5</x:v>
      </x:c>
      <x:c r="K23" s="6" t="n">
        <x:v>15000</x:v>
      </x:c>
      <x:c r="L23" s="6" t="n">
        <x:v>103000</x:v>
      </x:c>
    </x:row>
    <x:row r="24" ht="25" customHeight="1">
      <x:c r="A24" s="2" t="str">
        <x:v>2026-10-15_Night</x:v>
      </x:c>
      <x:c r="B24" s="7" t="str">
        <x:v>旧完了場</x:v>
      </x:c>
      <x:c r="C24" s="7" t="str">
        <x:v>上昇</x:v>
      </x:c>
      <x:c r="D24" s="6" t="n">
        <x:v>75000</x:v>
      </x:c>
      <x:c r="E24" s="6" t="n">
        <x:v>44500</x:v>
      </x:c>
      <x:c r="F24" s="6" t="n">
        <x:f>D24-E24</x:f>
        <x:v>30500</x:v>
      </x:c>
      <x:c r="G24" s="6" t="n">
        <x:f>G23+F24</x:f>
        <x:v>1144700</x:v>
      </x:c>
      <x:c r="H24" s="6" t="n">
        <x:v>-48000</x:v>
      </x:c>
      <x:c r="I24" s="6" t="n">
        <x:v>129200</x:v>
      </x:c>
      <x:c r="J24" s="6" t="n">
        <x:v>7</x:v>
      </x:c>
      <x:c r="K24" s="6" t="n">
        <x:v>0</x:v>
      </x:c>
      <x:c r="L24" s="6" t="n">
        <x:v>30500</x:v>
      </x:c>
    </x:row>
    <x:row r="25" ht="25" customHeight="1">
      <x:c r="A25" s="2" t="str">
        <x:v>2026-10-16_Night</x:v>
      </x:c>
      <x:c r="B25" s="7" t="str">
        <x:v>旧完了場</x:v>
      </x:c>
      <x:c r="C25" s="7" t="str">
        <x:v>下落</x:v>
      </x:c>
      <x:c r="D25" s="6" t="n">
        <x:v>162900</x:v>
      </x:c>
      <x:c r="E25" s="6" t="n">
        <x:v>208400</x:v>
      </x:c>
      <x:c r="F25" s="6" t="n">
        <x:f>D25-E25</x:f>
        <x:v>-45500</x:v>
      </x:c>
      <x:c r="G25" s="6" t="n">
        <x:f>G24+F25</x:f>
        <x:v>1099200</x:v>
      </x:c>
      <x:c r="H25" s="6" t="n">
        <x:v>-209200</x:v>
      </x:c>
      <x:c r="I25" s="6" t="n">
        <x:v>219200</x:v>
      </x:c>
      <x:c r="J25" s="6" t="n">
        <x:v>14</x:v>
      </x:c>
      <x:c r="K25" s="6" t="n">
        <x:v>-20000</x:v>
      </x:c>
      <x:c r="L25" s="6" t="n">
        <x:v>-25500</x:v>
      </x:c>
    </x:row>
    <x:row r="26" ht="25" customHeight="1">
      <x:c r="A26" s="2" t="str">
        <x:v>2026-10-19_Night</x:v>
      </x:c>
      <x:c r="B26" s="7" t="str">
        <x:v>旧完了場</x:v>
      </x:c>
      <x:c r="C26" s="7" t="str">
        <x:v>上昇</x:v>
      </x:c>
      <x:c r="D26" s="6" t="n">
        <x:v>147300</x:v>
      </x:c>
      <x:c r="E26" s="6" t="n">
        <x:v>112300</x:v>
      </x:c>
      <x:c r="F26" s="6" t="n">
        <x:f>D26-E26</x:f>
        <x:v>35000</x:v>
      </x:c>
      <x:c r="G26" s="6" t="n">
        <x:f>G25+F26</x:f>
        <x:v>1134200</x:v>
      </x:c>
      <x:c r="H26" s="6" t="n">
        <x:v>-78300</x:v>
      </x:c>
      <x:c r="I26" s="6" t="n">
        <x:v>118300</x:v>
      </x:c>
      <x:c r="J26" s="6" t="n">
        <x:v>14</x:v>
      </x:c>
      <x:c r="K26" s="6" t="n">
        <x:v>35000</x:v>
      </x:c>
      <x:c r="L26" s="6" t="n">
        <x:v>0</x:v>
      </x:c>
    </x:row>
    <x:row r="27" ht="25" customHeight="1">
      <x:c r="A27" s="2" t="str">
        <x:v>2026-10-20_Night</x:v>
      </x:c>
      <x:c r="B27" s="7" t="str">
        <x:v>旧完了場</x:v>
      </x:c>
      <x:c r="C27" s="7" t="str">
        <x:v>上昇</x:v>
      </x:c>
      <x:c r="D27" s="6" t="n">
        <x:v>157200</x:v>
      </x:c>
      <x:c r="E27" s="6" t="n">
        <x:v>9200</x:v>
      </x:c>
      <x:c r="F27" s="6" t="n">
        <x:f>D27-E27</x:f>
        <x:v>148000</x:v>
      </x:c>
      <x:c r="G27" s="6" t="n">
        <x:f>G26+F27</x:f>
        <x:v>1282200</x:v>
      </x:c>
      <x:c r="H27" s="6" t="n">
        <x:v>-10000</x:v>
      </x:c>
      <x:c r="I27" s="6" t="n">
        <x:v>87600</x:v>
      </x:c>
      <x:c r="J27" s="6" t="n">
        <x:v>11</x:v>
      </x:c>
      <x:c r="K27" s="6" t="n">
        <x:v>57000</x:v>
      </x:c>
      <x:c r="L27" s="6" t="n">
        <x:v>91000</x:v>
      </x:c>
    </x:row>
    <x:row r="28" ht="25" customHeight="1">
      <x:c r="A28" s="2" t="str">
        <x:v>2026-10-21_Night</x:v>
      </x:c>
      <x:c r="B28" s="7" t="str">
        <x:v>旧完了場</x:v>
      </x:c>
      <x:c r="C28" s="7" t="str">
        <x:v>上昇</x:v>
      </x:c>
      <x:c r="D28" s="6" t="n">
        <x:v>45600</x:v>
      </x:c>
      <x:c r="E28" s="6" t="n">
        <x:v>85000</x:v>
      </x:c>
      <x:c r="F28" s="6" t="n">
        <x:f>D28-E28</x:f>
        <x:v>-39400</x:v>
      </x:c>
      <x:c r="G28" s="6" t="n">
        <x:f>G27+F28</x:f>
        <x:v>1242800</x:v>
      </x:c>
      <x:c r="H28" s="6" t="n">
        <x:v>-39400</x:v>
      </x:c>
      <x:c r="I28" s="6" t="n">
        <x:v>131000</x:v>
      </x:c>
      <x:c r="J28" s="6" t="n">
        <x:v>6</x:v>
      </x:c>
      <x:c r="K28" s="6" t="n">
        <x:v>15000</x:v>
      </x:c>
      <x:c r="L28" s="6" t="n">
        <x:v>-54400</x:v>
      </x:c>
    </x:row>
    <x:row r="29" ht="25" customHeight="1">
      <x:c r="A29" s="2" t="str">
        <x:v>2026-10-22_Night</x:v>
      </x:c>
      <x:c r="B29" s="7" t="str">
        <x:v>旧完了場</x:v>
      </x:c>
      <x:c r="C29" s="7" t="str">
        <x:v>下落</x:v>
      </x:c>
      <x:c r="D29" s="6" t="n">
        <x:v>218200</x:v>
      </x:c>
      <x:c r="E29" s="6" t="n">
        <x:v>0</x:v>
      </x:c>
      <x:c r="F29" s="6" t="n">
        <x:f>D29-E29</x:f>
        <x:v>218200</x:v>
      </x:c>
      <x:c r="G29" s="6" t="n">
        <x:f>G28+F29</x:f>
        <x:v>1461000</x:v>
      </x:c>
      <x:c r="H29" s="6" t="n">
        <x:v>-9200</x:v>
      </x:c>
      <x:c r="I29" s="6" t="n">
        <x:v>64000</x:v>
      </x:c>
      <x:c r="J29" s="6" t="n">
        <x:v>3</x:v>
      </x:c>
      <x:c r="K29" s="6" t="n">
        <x:v>0</x:v>
      </x:c>
      <x:c r="L29" s="6" t="n">
        <x:v>218200</x:v>
      </x:c>
    </x:row>
    <x:row r="30" ht="25" customHeight="1">
      <x:c r="A30" s="2" t="str">
        <x:v>2026-10-23_Night</x:v>
      </x:c>
      <x:c r="B30" s="7" t="str">
        <x:v>旧完了場</x:v>
      </x:c>
      <x:c r="C30" s="7" t="str">
        <x:v>上昇</x:v>
      </x:c>
      <x:c r="D30" s="6" t="n">
        <x:v>65600</x:v>
      </x:c>
      <x:c r="E30" s="6" t="n">
        <x:v>51000</x:v>
      </x:c>
      <x:c r="F30" s="6" t="n">
        <x:f>D30-E30</x:f>
        <x:v>14600</x:v>
      </x:c>
      <x:c r="G30" s="6" t="n">
        <x:f>G29+F30</x:f>
        <x:v>1475600</x:v>
      </x:c>
      <x:c r="H30" s="6" t="n">
        <x:v>-65800</x:v>
      </x:c>
      <x:c r="I30" s="6" t="n">
        <x:v>118400</x:v>
      </x:c>
      <x:c r="J30" s="6" t="n">
        <x:v>11</x:v>
      </x:c>
      <x:c r="K30" s="6" t="n">
        <x:v>-6000</x:v>
      </x:c>
      <x:c r="L30" s="6" t="n">
        <x:v>20600</x:v>
      </x:c>
    </x:row>
    <x:row r="31" ht="25" customHeight="1">
      <x:c r="A31" s="2" t="str">
        <x:v>2026-10-26_Night</x:v>
      </x:c>
      <x:c r="B31" s="7" t="str">
        <x:v>追加完了版</x:v>
      </x:c>
      <x:c r="C31" s="7" t="str">
        <x:v>上昇</x:v>
      </x:c>
      <x:c r="D31" s="6" t="n">
        <x:v>109600</x:v>
      </x:c>
      <x:c r="E31" s="6" t="n">
        <x:v>156100</x:v>
      </x:c>
      <x:c r="F31" s="6" t="n">
        <x:f>D31-E31</x:f>
        <x:v>-46500</x:v>
      </x:c>
      <x:c r="G31" s="6" t="n">
        <x:f>G30+F31</x:f>
        <x:v>1429100</x:v>
      </x:c>
      <x:c r="H31" s="6" t="n">
        <x:v>-46500</x:v>
      </x:c>
      <x:c r="I31" s="6" t="n">
        <x:v>191900</x:v>
      </x:c>
      <x:c r="J31" s="6" t="n">
        <x:v>12</x:v>
      </x:c>
      <x:c r="K31" s="6" t="n">
        <x:v>15000</x:v>
      </x:c>
      <x:c r="L31" s="6" t="n">
        <x:v>-61500</x:v>
      </x:c>
    </x:row>
    <x:row r="32" ht="25" customHeight="1">
      <x:c r="A32" s="14" t="str">
        <x:v>累計／場内最悪値</x:v>
      </x:c>
      <x:c r="B32" s="15"/>
      <x:c r="C32" s="15"/>
      <x:c r="D32" s="15" t="n">
        <x:f>SUM(D6:D31)</x:f>
        <x:v>2682800</x:v>
      </x:c>
      <x:c r="E32" s="15" t="n">
        <x:f>SUM(E6:E31)</x:f>
        <x:v>1253700</x:v>
      </x:c>
      <x:c r="F32" s="15" t="n">
        <x:f>D32-E32</x:f>
        <x:v>1429100</x:v>
      </x:c>
      <x:c r="G32" s="15" t="n">
        <x:f>G31</x:f>
        <x:v>1429100</x:v>
      </x:c>
      <x:c r="H32" s="15" t="n">
        <x:f>MIN(H6:H31)</x:f>
        <x:v>-209200</x:v>
      </x:c>
      <x:c r="I32" s="15" t="n">
        <x:f>MAX(I6:I31)</x:f>
        <x:v>219200</x:v>
      </x:c>
      <x:c r="J32" s="15" t="n">
        <x:f>SUM(J6:J31)</x:f>
        <x:v>184</x:v>
      </x:c>
      <x:c r="K32" s="15" t="n">
        <x:f>SUM(K6:K31)</x:f>
        <x:v>369000</x:v>
      </x:c>
      <x:c r="L32" s="15" t="n">
        <x:f>SUM(L6:L31)</x:f>
        <x:v>1060100</x:v>
      </x:c>
    </x:row>
  </x:sheetData>
  <x:conditionalFormatting sqref="F6:H31">
    <x:cfRule type="cellIs" dxfId="34" priority="1" operator="lessThan">
      <x:formula>0</x:formula>
    </x:cfRule>
  </x:conditionalFormatting>
  <x:conditionalFormatting sqref="K6:L31">
    <x:cfRule type="cellIs" dxfId="35" priority="2" operator="lessThan">
      <x:formula>0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3c414ac04063455b"/>
  </x:tableParts>
</x:worksheet>
</file>