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4b44d01dcb4e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比較" sheetId="1" r:id="Rcaf6b00940b64640"/>
    <x:sheet xmlns:r="http://schemas.openxmlformats.org/officeDocument/2006/relationships" name="昼夜比較" sheetId="2" r:id="R3c49fa92f2254915"/>
    <x:sheet xmlns:r="http://schemas.openxmlformats.org/officeDocument/2006/relationships" name="具体損失時間" sheetId="3" r:id="R306142bc31b347b7"/>
    <x:sheet xmlns:r="http://schemas.openxmlformats.org/officeDocument/2006/relationships" name="日経_B5" sheetId="4" r:id="R087c772c645244ee"/>
    <x:sheet xmlns:r="http://schemas.openxmlformats.org/officeDocument/2006/relationships" name="日経_S36" sheetId="5" r:id="Re185645d9ccb4888"/>
    <x:sheet xmlns:r="http://schemas.openxmlformats.org/officeDocument/2006/relationships" name="日経_M1" sheetId="6" r:id="Re78cdcec28934e6a"/>
    <x:sheet xmlns:r="http://schemas.openxmlformats.org/officeDocument/2006/relationships" name="日経_M2" sheetId="7" r:id="R35f4d189319b4771"/>
    <x:sheet xmlns:r="http://schemas.openxmlformats.org/officeDocument/2006/relationships" name="TOPIX_B5" sheetId="8" r:id="R2210135adb5043b8"/>
    <x:sheet xmlns:r="http://schemas.openxmlformats.org/officeDocument/2006/relationships" name="TOPIX_C33" sheetId="9" r:id="R7a8fe56ed0604319"/>
    <x:sheet xmlns:r="http://schemas.openxmlformats.org/officeDocument/2006/relationships" name="TOPIX_M1" sheetId="10" r:id="R4a5099699d804fca"/>
    <x:sheet xmlns:r="http://schemas.openxmlformats.org/officeDocument/2006/relationships" name="TOPIX_M2" sheetId="11" r:id="Rd52b7ec6fc914f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[Red](#,##0);&quot;-&quot;"/>
    <x:numFmt numFmtId="201" formatCode="yyyy/mm/dd hh:mm:ss"/>
    <x:numFmt numFmtId="202" formatCode="#,##0"/>
    <x:numFmt numFmtId="203" formatCode="yyyy/mm/dd hh:mm"/>
    <x:numFmt numFmtId="204" formatCode="0.0"/>
  </x:numFmts>
  <x:fonts count="6">
    <x:font>
      <x:sz val="11"/>
      <x:name val="Carlito"/>
    </x:font>
    <x:font>
      <x:sz val="10"/>
      <x:color rgb="FF172B44"/>
      <x:name val="Yu Gothic"/>
    </x:font>
    <x:font>
      <x:b/>
      <x:sz val="14"/>
      <x:color rgb="FF172B44"/>
      <x:name val="Yu Gothic"/>
    </x:font>
    <x:font>
      <x:sz val="10"/>
      <x:color rgb="FF52667C"/>
      <x:name val="Yu Gothic"/>
    </x:font>
    <x:font>
      <x:b/>
      <x:sz val="10"/>
      <x:color rgb="FFFFFFFF"/>
      <x:name val="Yu Gothic"/>
    </x:font>
    <x:font>
      <x:b/>
      <x:sz val="12"/>
      <x:color rgb="FF172B44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54567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7B91A7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4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  <x:dxfs count="18"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805000"/>
      </x:font>
      <x:fill>
        <x:patternFill patternType="solid">
          <x:bgColor rgb="FFFFF0C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e0740b26764315" /><Relationship Type="http://schemas.openxmlformats.org/officeDocument/2006/relationships/theme" Target="/xl/theme/theme1.xml" Id="Rac11613c88444911" /><Relationship Type="http://schemas.openxmlformats.org/officeDocument/2006/relationships/sharedStrings" Target="/xl/sharedStrings.xml" Id="R4862e24b1a6f4bd2" /><Relationship Type="http://schemas.openxmlformats.org/officeDocument/2006/relationships/worksheet" Target="/xl/worksheets/sheet1.xml" Id="Rcaf6b00940b64640" /><Relationship Type="http://schemas.openxmlformats.org/officeDocument/2006/relationships/worksheet" Target="/xl/worksheets/sheet2.xml" Id="R3c49fa92f2254915" /><Relationship Type="http://schemas.openxmlformats.org/officeDocument/2006/relationships/worksheet" Target="/xl/worksheets/sheet3.xml" Id="R306142bc31b347b7" /><Relationship Type="http://schemas.openxmlformats.org/officeDocument/2006/relationships/worksheet" Target="/xl/worksheets/sheet4.xml" Id="R087c772c645244ee" /><Relationship Type="http://schemas.openxmlformats.org/officeDocument/2006/relationships/worksheet" Target="/xl/worksheets/sheet5.xml" Id="Re185645d9ccb4888" /><Relationship Type="http://schemas.openxmlformats.org/officeDocument/2006/relationships/worksheet" Target="/xl/worksheets/sheet6.xml" Id="Re78cdcec28934e6a" /><Relationship Type="http://schemas.openxmlformats.org/officeDocument/2006/relationships/worksheet" Target="/xl/worksheets/sheet7.xml" Id="R35f4d189319b4771" /><Relationship Type="http://schemas.openxmlformats.org/officeDocument/2006/relationships/worksheet" Target="/xl/worksheets/sheet8.xml" Id="R2210135adb5043b8" /><Relationship Type="http://schemas.openxmlformats.org/officeDocument/2006/relationships/worksheet" Target="/xl/worksheets/sheet9.xml" Id="R7a8fe56ed0604319" /><Relationship Type="http://schemas.openxmlformats.org/officeDocument/2006/relationships/worksheet" Target="/xl/worksheets/sheet10.xml" Id="R4a5099699d804fca" /><Relationship Type="http://schemas.openxmlformats.org/officeDocument/2006/relationships/worksheet" Target="/xl/worksheets/sheet11.xml" Id="Rd52b7ec6fc914f39" /></Relationships>
</file>

<file path=xl/tables/table1.xml><?xml version="1.0" encoding="utf-8"?>
<x:table xmlns:x="http://schemas.openxmlformats.org/spreadsheetml/2006/main" id="10" name="手法の比較" displayName="手法の比較" ref="A6:Q30" headerRowCount="1" totalsRowCount="0" totalsRowShown="0">
  <x:autoFilter ref="A6:Q30"/>
  <x:tableColumns count="17">
    <x:tableColumn id="1" name="商品"/>
    <x:tableColumn id="2" name="手法ID"/>
    <x:tableColumn id="3" name="対象"/>
    <x:tableColumn id="4" name="総利益（円）"/>
    <x:tableColumn id="5" name="総損失（円）"/>
    <x:tableColumn id="6" name="収支（円）"/>
    <x:tableColumn id="7" name="黒字場数"/>
    <x:tableColumn id="8" name="赤字場数"/>
    <x:tableColumn id="9" name="上位3黒字除外（円）"/>
    <x:tableColumn id="10" name="新規回数"/>
    <x:tableColumn id="11" name="最悪収支（円）"/>
    <x:tableColumn id="12" name="平均赤字（円）"/>
    <x:tableColumn id="13" name="初回まで（分）"/>
    <x:tableColumn id="14" name="保有（分）"/>
    <x:tableColumn id="15" name="最大片方向保有"/>
    <x:tableColumn id="16" name="手法名"/>
    <x:tableColumn id="17" name="無取引場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1" name="全条件と区分の比較" displayName="全条件と区分の比較" ref="A35:S770" headerRowCount="1" totalsRowCount="0" totalsRowShown="0">
  <x:autoFilter ref="A35:S770"/>
  <x:tableColumns count="19">
    <x:tableColumn id="1" name="商品"/>
    <x:tableColumn id="2" name="手法ID"/>
    <x:tableColumn id="3" name="対象"/>
    <x:tableColumn id="4" name="総利益（円）"/>
    <x:tableColumn id="5" name="総損失（円）"/>
    <x:tableColumn id="6" name="収支（円）"/>
    <x:tableColumn id="7" name="黒字場数"/>
    <x:tableColumn id="8" name="赤字場数"/>
    <x:tableColumn id="9" name="上位3黒字除外（円）"/>
    <x:tableColumn id="10" name="新規回数"/>
    <x:tableColumn id="11" name="最悪収支（円）"/>
    <x:tableColumn id="12" name="平均赤字（円）"/>
    <x:tableColumn id="13" name="初回まで（分）"/>
    <x:tableColumn id="14" name="保有（分）"/>
    <x:tableColumn id="15" name="最大片方向保有"/>
    <x:tableColumn id="16" name="手法名"/>
    <x:tableColumn id="17" name="無取引場数"/>
    <x:tableColumn id="18" name="区分"/>
    <x:tableColumn id="19" name="対象場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2" name="昼夜別比較" displayName="昼夜別比較" ref="A6:Q54" headerRowCount="1" totalsRowCount="0" totalsRowShown="0">
  <x:autoFilter ref="A6:Q54"/>
  <x:tableColumns count="17">
    <x:tableColumn id="1" name="商品"/>
    <x:tableColumn id="2" name="運用ID"/>
    <x:tableColumn id="3" name="昼夜"/>
    <x:tableColumn id="4" name="対象"/>
    <x:tableColumn id="5" name="実行手法"/>
    <x:tableColumn id="6" name="運用説明"/>
    <x:tableColumn id="7" name="対象場数"/>
    <x:tableColumn id="8" name="利益（円）"/>
    <x:tableColumn id="9" name="損失（円）"/>
    <x:tableColumn id="10" name="収支（円）"/>
    <x:tableColumn id="11" name="新規数"/>
    <x:tableColumn id="12" name="黒字場数"/>
    <x:tableColumn id="13" name="赤字場数"/>
    <x:tableColumn id="14" name="無取引場数"/>
    <x:tableColumn id="15" name="平均赤字（円）"/>
    <x:tableColumn id="16" name="最大赤字（円）"/>
    <x:tableColumn id="17" name="上位3黒字除外（円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具体損失時間の比較" displayName="具体損失時間の比較" ref="A6:H12" headerRowCount="1" totalsRowCount="0" totalsRowShown="0">
  <x:autoFilter ref="A6:H12"/>
  <x:tableColumns count="8">
    <x:tableColumn id="1" name="セッション"/>
    <x:tableColumn id="2" name="商品"/>
    <x:tableColumn id="3" name="原価格時計"/>
    <x:tableColumn id="4" name="原seq（0始まり）"/>
    <x:tableColumn id="5" name="旧収支（円）"/>
    <x:tableColumn id="6" name="改善後収支（円）"/>
    <x:tableColumn id="7" name="差額（円）"/>
    <x:tableColumn id="8" name="観測した問題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" name="日経_B5_セッション会計" displayName="日経_B5_セッション会計" ref="A6:O56" headerRowCount="1" totalsRowCount="0" totalsRowShown="0">
  <x:autoFilter ref="A6:O56"/>
  <x:tableColumns count="15">
    <x:tableColumn id="1" name="手法ID"/>
    <x:tableColumn id="2" name="開始日時"/>
    <x:tableColumn id="3" name="セッション"/>
    <x:tableColumn id="4" name="利益（円）"/>
    <x:tableColumn id="5" name="損失（円）"/>
    <x:tableColumn id="6" name="収支（円）"/>
    <x:tableColumn id="7" name="累計（円）"/>
    <x:tableColumn id="8" name="内数手数料（円）"/>
    <x:tableColumn id="9" name="費用前収支（円）"/>
    <x:tableColumn id="10" name="新規回数"/>
    <x:tableColumn id="11" name="新規枚数"/>
    <x:tableColumn id="12" name="最大片方向保有"/>
    <x:tableColumn id="13" name="評価区分"/>
    <x:tableColumn id="14" name="初回まで（分）"/>
    <x:tableColumn id="15" name="保有（分）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" name="日経_S36_セッション会計" displayName="日経_S36_セッション会計" ref="A6:O56" headerRowCount="1" totalsRowCount="0" totalsRowShown="0">
  <x:autoFilter ref="A6:O56"/>
  <x:tableColumns count="15">
    <x:tableColumn id="1" name="手法ID"/>
    <x:tableColumn id="2" name="開始日時"/>
    <x:tableColumn id="3" name="セッション"/>
    <x:tableColumn id="4" name="利益（円）"/>
    <x:tableColumn id="5" name="損失（円）"/>
    <x:tableColumn id="6" name="収支（円）"/>
    <x:tableColumn id="7" name="累計（円）"/>
    <x:tableColumn id="8" name="内数手数料（円）"/>
    <x:tableColumn id="9" name="費用前収支（円）"/>
    <x:tableColumn id="10" name="新規回数"/>
    <x:tableColumn id="11" name="新規枚数"/>
    <x:tableColumn id="12" name="最大片方向保有"/>
    <x:tableColumn id="13" name="評価区分"/>
    <x:tableColumn id="14" name="初回まで（分）"/>
    <x:tableColumn id="15" name="保有（分）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4" name="日経_M1_セッション会計" displayName="日経_M1_セッション会計" ref="A6:O56" headerRowCount="1" totalsRowCount="0" totalsRowShown="0">
  <x:autoFilter ref="A6:O56"/>
  <x:tableColumns count="15">
    <x:tableColumn id="1" name="手法ID"/>
    <x:tableColumn id="2" name="開始日時"/>
    <x:tableColumn id="3" name="セッション"/>
    <x:tableColumn id="4" name="利益（円）"/>
    <x:tableColumn id="5" name="損失（円）"/>
    <x:tableColumn id="6" name="収支（円）"/>
    <x:tableColumn id="7" name="累計（円）"/>
    <x:tableColumn id="8" name="内数手数料（円）"/>
    <x:tableColumn id="9" name="費用前収支（円）"/>
    <x:tableColumn id="10" name="新規回数"/>
    <x:tableColumn id="11" name="新規枚数"/>
    <x:tableColumn id="12" name="最大片方向保有"/>
    <x:tableColumn id="13" name="評価区分"/>
    <x:tableColumn id="14" name="初回まで（分）"/>
    <x:tableColumn id="15" name="保有（分）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5" name="日経_M2_セッション会計" displayName="日経_M2_セッション会計" ref="A6:O56" headerRowCount="1" totalsRowCount="0" totalsRowShown="0">
  <x:autoFilter ref="A6:O56"/>
  <x:tableColumns count="15">
    <x:tableColumn id="1" name="手法ID"/>
    <x:tableColumn id="2" name="開始日時"/>
    <x:tableColumn id="3" name="セッション"/>
    <x:tableColumn id="4" name="利益（円）"/>
    <x:tableColumn id="5" name="損失（円）"/>
    <x:tableColumn id="6" name="収支（円）"/>
    <x:tableColumn id="7" name="累計（円）"/>
    <x:tableColumn id="8" name="内数手数料（円）"/>
    <x:tableColumn id="9" name="費用前収支（円）"/>
    <x:tableColumn id="10" name="新規回数"/>
    <x:tableColumn id="11" name="新規枚数"/>
    <x:tableColumn id="12" name="最大片方向保有"/>
    <x:tableColumn id="13" name="評価区分"/>
    <x:tableColumn id="14" name="初回まで（分）"/>
    <x:tableColumn id="15" name="保有（分）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6" name="TOPIX_B5_セッション会計" displayName="TOPIX_B5_セッション会計" ref="A6:O56" headerRowCount="1" totalsRowCount="0" totalsRowShown="0">
  <x:autoFilter ref="A6:O56"/>
  <x:tableColumns count="15">
    <x:tableColumn id="1" name="手法ID"/>
    <x:tableColumn id="2" name="開始日時"/>
    <x:tableColumn id="3" name="セッション"/>
    <x:tableColumn id="4" name="利益（円）"/>
    <x:tableColumn id="5" name="損失（円）"/>
    <x:tableColumn id="6" name="収支（円）"/>
    <x:tableColumn id="7" name="累計（円）"/>
    <x:tableColumn id="8" name="内数手数料（円）"/>
    <x:tableColumn id="9" name="費用前収支（円）"/>
    <x:tableColumn id="10" name="新規回数"/>
    <x:tableColumn id="11" name="新規枚数"/>
    <x:tableColumn id="12" name="最大片方向保有"/>
    <x:tableColumn id="13" name="評価区分"/>
    <x:tableColumn id="14" name="初回まで（分）"/>
    <x:tableColumn id="15" name="保有（分）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7" name="TOPIX_C33_セッション会計" displayName="TOPIX_C33_セッション会計" ref="A6:O56" headerRowCount="1" totalsRowCount="0" totalsRowShown="0">
  <x:autoFilter ref="A6:O56"/>
  <x:tableColumns count="15">
    <x:tableColumn id="1" name="手法ID"/>
    <x:tableColumn id="2" name="開始日時"/>
    <x:tableColumn id="3" name="セッション"/>
    <x:tableColumn id="4" name="利益（円）"/>
    <x:tableColumn id="5" name="損失（円）"/>
    <x:tableColumn id="6" name="収支（円）"/>
    <x:tableColumn id="7" name="累計（円）"/>
    <x:tableColumn id="8" name="内数手数料（円）"/>
    <x:tableColumn id="9" name="費用前収支（円）"/>
    <x:tableColumn id="10" name="新規回数"/>
    <x:tableColumn id="11" name="新規枚数"/>
    <x:tableColumn id="12" name="最大片方向保有"/>
    <x:tableColumn id="13" name="評価区分"/>
    <x:tableColumn id="14" name="初回まで（分）"/>
    <x:tableColumn id="15" name="保有（分）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8" name="TOPIX_M1_セッション会計" displayName="TOPIX_M1_セッション会計" ref="A6:O56" headerRowCount="1" totalsRowCount="0" totalsRowShown="0">
  <x:autoFilter ref="A6:O56"/>
  <x:tableColumns count="15">
    <x:tableColumn id="1" name="手法ID"/>
    <x:tableColumn id="2" name="開始日時"/>
    <x:tableColumn id="3" name="セッション"/>
    <x:tableColumn id="4" name="利益（円）"/>
    <x:tableColumn id="5" name="損失（円）"/>
    <x:tableColumn id="6" name="収支（円）"/>
    <x:tableColumn id="7" name="累計（円）"/>
    <x:tableColumn id="8" name="内数手数料（円）"/>
    <x:tableColumn id="9" name="費用前収支（円）"/>
    <x:tableColumn id="10" name="新規回数"/>
    <x:tableColumn id="11" name="新規枚数"/>
    <x:tableColumn id="12" name="最大片方向保有"/>
    <x:tableColumn id="13" name="評価区分"/>
    <x:tableColumn id="14" name="初回まで（分）"/>
    <x:tableColumn id="15" name="保有（分）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9" name="TOPIX_M2_セッション会計" displayName="TOPIX_M2_セッション会計" ref="A6:O56" headerRowCount="1" totalsRowCount="0" totalsRowShown="0">
  <x:autoFilter ref="A6:O56"/>
  <x:tableColumns count="15">
    <x:tableColumn id="1" name="手法ID"/>
    <x:tableColumn id="2" name="開始日時"/>
    <x:tableColumn id="3" name="セッション"/>
    <x:tableColumn id="4" name="利益（円）"/>
    <x:tableColumn id="5" name="損失（円）"/>
    <x:tableColumn id="6" name="収支（円）"/>
    <x:tableColumn id="7" name="累計（円）"/>
    <x:tableColumn id="8" name="内数手数料（円）"/>
    <x:tableColumn id="9" name="費用前収支（円）"/>
    <x:tableColumn id="10" name="新規回数"/>
    <x:tableColumn id="11" name="新規枚数"/>
    <x:tableColumn id="12" name="最大片方向保有"/>
    <x:tableColumn id="13" name="評価区分"/>
    <x:tableColumn id="14" name="初回まで（分）"/>
    <x:tableColumn id="15" name="保有（分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2bb4bcd8974be7" /><Relationship Type="http://schemas.openxmlformats.org/officeDocument/2006/relationships/table" Target="/xl/tables/table2.xml" Id="Rdd00e544421141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0bc01f176f8d4c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b5b44ee7037842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72cc11c9bfe448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ef836e25337749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8122180a885642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d8957b8c1ee540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e604f8c70e4c44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054ec45118e1427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01488c89aa6e4a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3b85648756d547d5" /></Relationships>
</file>

<file path=xl/worksheets/sheet1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0" hidden="0" customWidth="1"/>
    <x:col min="5" max="5" width="20" hidden="0" customWidth="1"/>
    <x:col min="6" max="6" width="20" hidden="0" customWidth="1"/>
    <x:col min="7" max="7" width="12" hidden="0" customWidth="1"/>
    <x:col min="8" max="8" width="12" hidden="0" customWidth="1"/>
    <x:col min="9" max="9" width="24" hidden="0" customWidth="1"/>
    <x:col min="10" max="10" width="12" hidden="0" customWidth="1"/>
    <x:col min="11" max="11" width="20" hidden="0" customWidth="1"/>
    <x:col min="12" max="12" width="20" hidden="0" customWidth="1"/>
    <x:col min="13" max="13" width="17" hidden="0" customWidth="1"/>
    <x:col min="14" max="14" width="17" hidden="0" customWidth="1"/>
    <x:col min="15" max="15" width="17" hidden="0" customWidth="1"/>
    <x:col min="16" max="16" width="62" hidden="0" customWidth="1"/>
    <x:col min="17" max="17" width="14" hidden="0" customWidth="1"/>
    <x:col min="18" max="18" width="14" hidden="0" customWidth="1"/>
    <x:col min="19" max="19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4" t="str">
        <x:v>原板診断を受けた改善手法の比較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  <x:c r="P2" s="2"/>
      <x:c r="Q2" s="2"/>
    </x:row>
    <x:row r="3" ht="22" customHeight="1">
      <x:c r="A3" s="7" t="str">
        <x:v>日経mini・TOPIXminiは片方向上限10枚。金額は円・手数料後。候補を先に表示しています。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54" customHeight="1">
      <x:c r="A4" s="30" t="str">
        <x:v>全50場は既知。M1/M2は結果を見て昼夜別に選んだ研究内比較案で、独立した未見検証ではありません。日経mini・TOPIXminiは片方向上限10枚。標準手数料込み、ラージ次正常BBOの約定模型。受信時計がないため、時刻と秒数判定は保存価格時計に基づきます。</x:v>
      </x:c>
      <x:c r="B4" s="23"/>
      <x:c r="C4" s="23"/>
      <x:c r="D4" s="23"/>
      <x:c r="E4" s="23"/>
      <x:c r="F4" s="23"/>
      <x:c r="G4" s="23"/>
      <x:c r="H4" s="23"/>
      <x:c r="I4" s="23"/>
      <x:c r="J4" s="23"/>
      <x:c r="K4" s="2"/>
      <x:c r="L4" s="2"/>
      <x:c r="M4" s="2"/>
      <x:c r="N4" s="2"/>
      <x:c r="O4" s="2"/>
      <x:c r="P4" s="2"/>
      <x:c r="Q4" s="2"/>
    </x:row>
    <x:row r="5" ht="22" customHeight="1">
      <x:c r="A5" s="7" t="str">
        <x:v>B5内部は日経：昼T06・夜U06、TOPIX：昼T06・夜T04。初回まで・保有は参加した場の平均（分）。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34" customHeight="1">
      <x:c r="A6" s="16" t="str">
        <x:v>商品</x:v>
      </x:c>
      <x:c r="B6" s="17" t="str">
        <x:v>手法ID</x:v>
      </x:c>
      <x:c r="C6" s="17" t="str">
        <x:v>対象</x:v>
      </x:c>
      <x:c r="D6" s="17" t="str">
        <x:v>総利益（円）</x:v>
      </x:c>
      <x:c r="E6" s="17" t="str">
        <x:v>総損失（円）</x:v>
      </x:c>
      <x:c r="F6" s="17" t="str">
        <x:v>収支（円）</x:v>
      </x:c>
      <x:c r="G6" s="17" t="str">
        <x:v>黒字場数</x:v>
      </x:c>
      <x:c r="H6" s="17" t="str">
        <x:v>赤字場数</x:v>
      </x:c>
      <x:c r="I6" s="17" t="str">
        <x:v>上位3黒字除外（円）</x:v>
      </x:c>
      <x:c r="J6" s="17" t="str">
        <x:v>新規回数</x:v>
      </x:c>
      <x:c r="K6" s="17" t="str">
        <x:v>最悪収支（円）</x:v>
      </x:c>
      <x:c r="L6" s="17" t="str">
        <x:v>平均赤字（円）</x:v>
      </x:c>
      <x:c r="M6" s="17" t="str">
        <x:v>初回まで（分）</x:v>
      </x:c>
      <x:c r="N6" s="17" t="str">
        <x:v>保有（分）</x:v>
      </x:c>
      <x:c r="O6" s="17" t="str">
        <x:v>最大片方向保有</x:v>
      </x:c>
      <x:c r="P6" s="17" t="str">
        <x:v>手法名</x:v>
      </x:c>
      <x:c r="Q6" s="18" t="str">
        <x:v>無取引場数</x:v>
      </x:c>
    </x:row>
    <x:row r="7" ht="22" customHeight="1">
      <x:c r="A7" s="2" t="str">
        <x:v>日経mini</x:v>
      </x:c>
      <x:c r="B7" s="2" t="str">
        <x:v>B5</x:v>
      </x:c>
      <x:c r="C7" s="2" t="str">
        <x:v>全50場</x:v>
      </x:c>
      <x:c r="D7" s="20" t="n">
        <x:f>SUM('日経_B5'!D7:D56)</x:f>
        <x:v>4215188</x:v>
      </x:c>
      <x:c r="E7" s="20" t="n">
        <x:f>SUM('日経_B5'!E7:E56)</x:f>
        <x:v>2149740</x:v>
      </x:c>
      <x:c r="F7" s="20" t="n">
        <x:f>D7-E7</x:f>
        <x:v>2065448</x:v>
      </x:c>
      <x:c r="G7" s="27" t="n">
        <x:f>COUNTIFS('日経_B5'!F7:F56,"&gt;0")</x:f>
        <x:v>32</x:v>
      </x:c>
      <x:c r="H7" s="27" t="n">
        <x:f>COUNTIFS('日経_B5'!F7:F56,"&lt;0")</x:f>
        <x:v>18</x:v>
      </x:c>
      <x:c r="I7" s="20" t="n">
        <x:f>F7-MAX(0,LARGE('日経_B5'!F7:F56,1))-MAX(0,LARGE('日経_B5'!F7:F56,2))-MAX(0,LARGE('日経_B5'!F7:F56,3))</x:f>
        <x:v>1066368</x:v>
      </x:c>
      <x:c r="J7" s="27" t="n">
        <x:f>SUM('日経_B5'!J7:J56)</x:f>
        <x:v>108</x:v>
      </x:c>
      <x:c r="K7" s="20" t="n">
        <x:f>MIN('日経_B5'!F7:F56)</x:f>
        <x:v>-153304</x:v>
      </x:c>
      <x:c r="L7" s="20" t="n">
        <x:f>IF(H7=0,0,-SUMIFS('日経_B5'!F7:F56,'日経_B5'!F7:F56,"&lt;0")/H7)</x:f>
        <x:v>60566.88888888889</x:v>
      </x:c>
      <x:c r="M7" s="28" t="n">
        <x:f>IF(COUNTIFS('日経_B5'!J7:J56,"&gt;0")=0,"",AVERAGEIFS('日経_B5'!N7:N56,'日経_B5'!J7:J56,"&gt;0"))</x:f>
        <x:v>239.14166666666665</x:v>
      </x:c>
      <x:c r="N7" s="28" t="n">
        <x:f>IF(COUNTIFS('日経_B5'!J7:J56,"&gt;0")=0,"",AVERAGEIFS('日経_B5'!O7:O56,'日経_B5'!J7:J56,"&gt;0"))</x:f>
        <x:v>88.34033333333335</x:v>
      </x:c>
      <x:c r="O7" s="27" t="n">
        <x:f>MAX('日経_B5'!L7:L56)</x:f>
        <x:v>5</x:v>
      </x:c>
      <x:c r="P7" s="2" t="str">
        <x:v>従来基準</x:v>
      </x:c>
      <x:c r="Q7" s="22" t="n">
        <x:f>COUNTIFS('日経_B5'!J7:J56,"=0")</x:f>
        <x:v>0</x:v>
      </x:c>
    </x:row>
    <x:row r="8" ht="22" customHeight="1">
      <x:c r="A8" s="2" t="str">
        <x:v>日経mini</x:v>
      </x:c>
      <x:c r="B8" s="2" t="str">
        <x:v>B5</x:v>
      </x:c>
      <x:c r="C8" s="2" t="str">
        <x:v>対照47場</x:v>
      </x:c>
      <x:c r="D8" s="20" t="n">
        <x:f>SUM('日経_B5'!D7:D53)</x:f>
        <x:v>4110572</x:v>
      </x:c>
      <x:c r="E8" s="20" t="n">
        <x:f>SUM('日経_B5'!E7:E53)</x:f>
        <x:v>1993588</x:v>
      </x:c>
      <x:c r="F8" s="20" t="n">
        <x:f>D8-E8</x:f>
        <x:v>2116984</x:v>
      </x:c>
      <x:c r="G8" s="27" t="n">
        <x:f>COUNTIFS('日経_B5'!F7:F53,"&gt;0")</x:f>
        <x:v>31</x:v>
      </x:c>
      <x:c r="H8" s="27" t="n">
        <x:f>COUNTIFS('日経_B5'!F7:F53,"&lt;0")</x:f>
        <x:v>16</x:v>
      </x:c>
      <x:c r="I8" s="20" t="n">
        <x:f>F8-MAX(0,LARGE('日経_B5'!F7:F53,1))-MAX(0,LARGE('日経_B5'!F7:F53,2))-MAX(0,LARGE('日経_B5'!F7:F53,3))</x:f>
        <x:v>1117904</x:v>
      </x:c>
      <x:c r="J8" s="27" t="n">
        <x:f>SUM('日経_B5'!J7:J53)</x:f>
        <x:v>104</x:v>
      </x:c>
      <x:c r="K8" s="20" t="n">
        <x:f>MIN('日経_B5'!F7:F53)</x:f>
        <x:v>-153304</x:v>
      </x:c>
      <x:c r="L8" s="20" t="n">
        <x:f>IF(H8=0,0,-SUMIFS('日経_B5'!F7:F53,'日経_B5'!F7:F53,"&lt;0")/H8)</x:f>
        <x:v>61839.75</x:v>
      </x:c>
      <x:c r="M8" s="28" t="n">
        <x:f>IF(COUNTIFS('日経_B5'!J7:J53,"&gt;0")=0,"",AVERAGEIFS('日経_B5'!N7:N53,'日経_B5'!J7:J53,"&gt;0"))</x:f>
        <x:v>236.14078014184395</x:v>
      </x:c>
      <x:c r="N8" s="28" t="n">
        <x:f>IF(COUNTIFS('日経_B5'!J7:J53,"&gt;0")=0,"",AVERAGEIFS('日経_B5'!O7:O53,'日経_B5'!J7:J53,"&gt;0"))</x:f>
        <x:v>93.3858156028369</x:v>
      </x:c>
      <x:c r="O8" s="27" t="n">
        <x:f>MAX('日経_B5'!L7:L53)</x:f>
        <x:v>5</x:v>
      </x:c>
      <x:c r="P8" s="2" t="str">
        <x:v>従来基準</x:v>
      </x:c>
      <x:c r="Q8" s="22" t="n">
        <x:f>COUNTIFS('日経_B5'!J7:J53,"=0")</x:f>
        <x:v>0</x:v>
      </x:c>
    </x:row>
    <x:row r="9" ht="22" customHeight="1">
      <x:c r="A9" s="2" t="str">
        <x:v>日経mini</x:v>
      </x:c>
      <x:c r="B9" s="2" t="str">
        <x:v>B5</x:v>
      </x:c>
      <x:c r="C9" s="2" t="str">
        <x:v>診断3場</x:v>
      </x:c>
      <x:c r="D9" s="20" t="n">
        <x:f>SUM('日経_B5'!D54:D56)</x:f>
        <x:v>104616</x:v>
      </x:c>
      <x:c r="E9" s="20" t="n">
        <x:f>SUM('日経_B5'!E54:E56)</x:f>
        <x:v>156152</x:v>
      </x:c>
      <x:c r="F9" s="20" t="n">
        <x:f>D9-E9</x:f>
        <x:v>-51536</x:v>
      </x:c>
      <x:c r="G9" s="27" t="n">
        <x:f>COUNTIFS('日経_B5'!F54:F56,"&gt;0")</x:f>
        <x:v>1</x:v>
      </x:c>
      <x:c r="H9" s="27" t="n">
        <x:f>COUNTIFS('日経_B5'!F54:F56,"&lt;0")</x:f>
        <x:v>2</x:v>
      </x:c>
      <x:c r="I9" s="20" t="n">
        <x:f>F9-MAX(0,LARGE('日経_B5'!F54:F56,1))-MAX(0,LARGE('日経_B5'!F54:F56,2))-MAX(0,LARGE('日経_B5'!F54:F56,3))</x:f>
        <x:v>-100768</x:v>
      </x:c>
      <x:c r="J9" s="27" t="n">
        <x:f>SUM('日経_B5'!J54:J56)</x:f>
        <x:v>4</x:v>
      </x:c>
      <x:c r="K9" s="20" t="n">
        <x:f>MIN('日経_B5'!F54:F56)</x:f>
        <x:v>-55384</x:v>
      </x:c>
      <x:c r="L9" s="20" t="n">
        <x:f>IF(H9=0,0,-SUMIFS('日経_B5'!F54:F56,'日経_B5'!F54:F56,"&lt;0")/H9)</x:f>
        <x:v>50384</x:v>
      </x:c>
      <x:c r="M9" s="28" t="n">
        <x:f>IF(COUNTIFS('日経_B5'!J54:J56,"&gt;0")=0,"",AVERAGEIFS('日経_B5'!N54:N56,'日経_B5'!J54:J56,"&gt;0"))</x:f>
        <x:v>286.15555555555557</x:v>
      </x:c>
      <x:c r="N9" s="28" t="n">
        <x:f>IF(COUNTIFS('日経_B5'!J54:J56,"&gt;0")=0,"",AVERAGEIFS('日経_B5'!O54:O56,'日経_B5'!J54:J56,"&gt;0"))</x:f>
        <x:v>9.294444444444444</x:v>
      </x:c>
      <x:c r="O9" s="27" t="n">
        <x:f>MAX('日経_B5'!L54:L56)</x:f>
        <x:v>5</x:v>
      </x:c>
      <x:c r="P9" s="2" t="str">
        <x:v>従来基準</x:v>
      </x:c>
      <x:c r="Q9" s="22" t="n">
        <x:f>COUNTIFS('日経_B5'!J54:J56,"=0")</x:f>
        <x:v>0</x:v>
      </x:c>
    </x:row>
    <x:row r="10" ht="22" customHeight="1">
      <x:c r="A10" s="2" t="str">
        <x:v>日経mini</x:v>
      </x:c>
      <x:c r="B10" s="2" t="str">
        <x:v>S36</x:v>
      </x:c>
      <x:c r="C10" s="2" t="str">
        <x:v>全50場</x:v>
      </x:c>
      <x:c r="D10" s="20" t="n">
        <x:f>SUM('日経_S36'!D7:D56)</x:f>
        <x:v>6598066</x:v>
      </x:c>
      <x:c r="E10" s="20" t="n">
        <x:f>SUM('日経_S36'!E7:E56)</x:f>
        <x:v>4206806</x:v>
      </x:c>
      <x:c r="F10" s="20" t="n">
        <x:f>D10-E10</x:f>
        <x:v>2391260</x:v>
      </x:c>
      <x:c r="G10" s="27" t="n">
        <x:f>COUNTIFS('日経_S36'!F7:F56,"&gt;0")</x:f>
        <x:v>31</x:v>
      </x:c>
      <x:c r="H10" s="27" t="n">
        <x:f>COUNTIFS('日経_S36'!F7:F56,"&lt;0")</x:f>
        <x:v>19</x:v>
      </x:c>
      <x:c r="I10" s="20" t="n">
        <x:f>F10-MAX(0,LARGE('日経_S36'!F7:F56,1))-MAX(0,LARGE('日経_S36'!F7:F56,2))-MAX(0,LARGE('日経_S36'!F7:F56,3))</x:f>
        <x:v>1226860</x:v>
      </x:c>
      <x:c r="J10" s="27" t="n">
        <x:f>SUM('日経_S36'!J7:J56)</x:f>
        <x:v>373</x:v>
      </x:c>
      <x:c r="K10" s="20" t="n">
        <x:f>MIN('日経_S36'!F7:F56)</x:f>
        <x:v>-185148</x:v>
      </x:c>
      <x:c r="L10" s="20" t="n">
        <x:f>IF(H10=0,0,-SUMIFS('日経_S36'!F7:F56,'日経_S36'!F7:F56,"&lt;0")/H10)</x:f>
        <x:v>70166.94736842105</x:v>
      </x:c>
      <x:c r="M10" s="28" t="n">
        <x:f>IF(COUNTIFS('日経_S36'!J7:J56,"&gt;0")=0,"",AVERAGEIFS('日経_S36'!N7:N56,'日経_S36'!J7:J56,"&gt;0"))</x:f>
        <x:v>188.68966666666662</x:v>
      </x:c>
      <x:c r="N10" s="28" t="n">
        <x:f>IF(COUNTIFS('日経_S36'!J7:J56,"&gt;0")=0,"",AVERAGEIFS('日経_S36'!O7:O56,'日経_S36'!J7:J56,"&gt;0"))</x:f>
        <x:v>148.47799999999992</x:v>
      </x:c>
      <x:c r="O10" s="27" t="n">
        <x:f>MAX('日経_S36'!L7:L56)</x:f>
        <x:v>10</x:v>
      </x:c>
      <x:c r="P10" s="2" t="str">
        <x:v>前回の追加手法を独立併用</x:v>
      </x:c>
      <x:c r="Q10" s="22" t="n">
        <x:f>COUNTIFS('日経_S36'!J7:J56,"=0")</x:f>
        <x:v>0</x:v>
      </x:c>
    </x:row>
    <x:row r="11" ht="22" customHeight="1">
      <x:c r="A11" s="2" t="str">
        <x:v>日経mini</x:v>
      </x:c>
      <x:c r="B11" s="2" t="str">
        <x:v>S36</x:v>
      </x:c>
      <x:c r="C11" s="2" t="str">
        <x:v>対照47場</x:v>
      </x:c>
      <x:c r="D11" s="20" t="n">
        <x:f>SUM('日経_S36'!D7:D53)</x:f>
        <x:v>6404986</x:v>
      </x:c>
      <x:c r="E11" s="20" t="n">
        <x:f>SUM('日経_S36'!E7:E53)</x:f>
        <x:v>3889810</x:v>
      </x:c>
      <x:c r="F11" s="20" t="n">
        <x:f>D11-E11</x:f>
        <x:v>2515176</x:v>
      </x:c>
      <x:c r="G11" s="27" t="n">
        <x:f>COUNTIFS('日経_S36'!F7:F53,"&gt;0")</x:f>
        <x:v>31</x:v>
      </x:c>
      <x:c r="H11" s="27" t="n">
        <x:f>COUNTIFS('日経_S36'!F7:F53,"&lt;0")</x:f>
        <x:v>16</x:v>
      </x:c>
      <x:c r="I11" s="20" t="n">
        <x:f>F11-MAX(0,LARGE('日経_S36'!F7:F53,1))-MAX(0,LARGE('日経_S36'!F7:F53,2))-MAX(0,LARGE('日経_S36'!F7:F53,3))</x:f>
        <x:v>1350776</x:v>
      </x:c>
      <x:c r="J11" s="27" t="n">
        <x:f>SUM('日経_S36'!J7:J53)</x:f>
        <x:v>357</x:v>
      </x:c>
      <x:c r="K11" s="20" t="n">
        <x:f>MIN('日経_S36'!F7:F53)</x:f>
        <x:v>-185148</x:v>
      </x:c>
      <x:c r="L11" s="20" t="n">
        <x:f>IF(H11=0,0,-SUMIFS('日経_S36'!F7:F53,'日経_S36'!F7:F53,"&lt;0")/H11)</x:f>
        <x:v>75578.5</x:v>
      </x:c>
      <x:c r="M11" s="28" t="n">
        <x:f>IF(COUNTIFS('日経_S36'!J7:J53,"&gt;0")=0,"",AVERAGEIFS('日経_S36'!N7:N53,'日経_S36'!J7:J53,"&gt;0"))</x:f>
        <x:v>183.38900709219854</x:v>
      </x:c>
      <x:c r="N11" s="28" t="n">
        <x:f>IF(COUNTIFS('日経_S36'!J7:J53,"&gt;0")=0,"",AVERAGEIFS('日経_S36'!O7:O53,'日経_S36'!J7:J53,"&gt;0"))</x:f>
        <x:v>144.42836879432616</x:v>
      </x:c>
      <x:c r="O11" s="27" t="n">
        <x:f>MAX('日経_S36'!L7:L53)</x:f>
        <x:v>10</x:v>
      </x:c>
      <x:c r="P11" s="2" t="str">
        <x:v>前回の追加手法を独立併用</x:v>
      </x:c>
      <x:c r="Q11" s="22" t="n">
        <x:f>COUNTIFS('日経_S36'!J7:J53,"=0")</x:f>
        <x:v>0</x:v>
      </x:c>
    </x:row>
    <x:row r="12" ht="22" customHeight="1">
      <x:c r="A12" s="2" t="str">
        <x:v>日経mini</x:v>
      </x:c>
      <x:c r="B12" s="2" t="str">
        <x:v>S36</x:v>
      </x:c>
      <x:c r="C12" s="2" t="str">
        <x:v>診断3場</x:v>
      </x:c>
      <x:c r="D12" s="20" t="n">
        <x:f>SUM('日経_S36'!D54:D56)</x:f>
        <x:v>193080</x:v>
      </x:c>
      <x:c r="E12" s="20" t="n">
        <x:f>SUM('日経_S36'!E54:E56)</x:f>
        <x:v>316996</x:v>
      </x:c>
      <x:c r="F12" s="20" t="n">
        <x:f>D12-E12</x:f>
        <x:v>-123916</x:v>
      </x:c>
      <x:c r="G12" s="27" t="n">
        <x:f>COUNTIFS('日経_S36'!F54:F56,"&gt;0")</x:f>
        <x:v>0</x:v>
      </x:c>
      <x:c r="H12" s="27" t="n">
        <x:f>COUNTIFS('日経_S36'!F54:F56,"&lt;0")</x:f>
        <x:v>3</x:v>
      </x:c>
      <x:c r="I12" s="20" t="n">
        <x:f>F12-MAX(0,LARGE('日経_S36'!F54:F56,1))-MAX(0,LARGE('日経_S36'!F54:F56,2))-MAX(0,LARGE('日経_S36'!F54:F56,3))</x:f>
        <x:v>-123916</x:v>
      </x:c>
      <x:c r="J12" s="27" t="n">
        <x:f>SUM('日経_S36'!J54:J56)</x:f>
        <x:v>16</x:v>
      </x:c>
      <x:c r="K12" s="20" t="n">
        <x:f>MIN('日経_S36'!F54:F56)</x:f>
        <x:v>-43538</x:v>
      </x:c>
      <x:c r="L12" s="20" t="n">
        <x:f>IF(H12=0,0,-SUMIFS('日経_S36'!F54:F56,'日経_S36'!F54:F56,"&lt;0")/H12)</x:f>
        <x:v>41305.333333333336</x:v>
      </x:c>
      <x:c r="M12" s="28" t="n">
        <x:f>IF(COUNTIFS('日経_S36'!J54:J56,"&gt;0")=0,"",AVERAGEIFS('日経_S36'!N54:N56,'日経_S36'!J54:J56,"&gt;0"))</x:f>
        <x:v>271.73333333333335</x:v>
      </x:c>
      <x:c r="N12" s="28" t="n">
        <x:f>IF(COUNTIFS('日経_S36'!J54:J56,"&gt;0")=0,"",AVERAGEIFS('日経_S36'!O54:O56,'日経_S36'!J54:J56,"&gt;0"))</x:f>
        <x:v>211.92222222222222</x:v>
      </x:c>
      <x:c r="O12" s="27" t="n">
        <x:f>MAX('日経_S36'!L54:L56)</x:f>
        <x:v>5</x:v>
      </x:c>
      <x:c r="P12" s="2" t="str">
        <x:v>前回の追加手法を独立併用</x:v>
      </x:c>
      <x:c r="Q12" s="22" t="n">
        <x:f>COUNTIFS('日経_S36'!J54:J56,"=0")</x:f>
        <x:v>0</x:v>
      </x:c>
    </x:row>
    <x:row r="13" ht="22" customHeight="1">
      <x:c r="A13" s="2" t="str">
        <x:v>日経mini</x:v>
      </x:c>
      <x:c r="B13" s="2" t="str">
        <x:v>M1</x:v>
      </x:c>
      <x:c r="C13" s="2" t="str">
        <x:v>全50場</x:v>
      </x:c>
      <x:c r="D13" s="20" t="n">
        <x:f>SUM('日経_M1'!D7:D56)</x:f>
        <x:v>5892638</x:v>
      </x:c>
      <x:c r="E13" s="20" t="n">
        <x:f>SUM('日経_M1'!E7:E56)</x:f>
        <x:v>3207120</x:v>
      </x:c>
      <x:c r="F13" s="20" t="n">
        <x:f>D13-E13</x:f>
        <x:v>2685518</x:v>
      </x:c>
      <x:c r="G13" s="27" t="n">
        <x:f>COUNTIFS('日経_M1'!F7:F56,"&gt;0")</x:f>
        <x:v>34</x:v>
      </x:c>
      <x:c r="H13" s="27" t="n">
        <x:f>COUNTIFS('日経_M1'!F7:F56,"&lt;0")</x:f>
        <x:v>16</x:v>
      </x:c>
      <x:c r="I13" s="20" t="n">
        <x:f>F13-MAX(0,LARGE('日経_M1'!F7:F56,1))-MAX(0,LARGE('日経_M1'!F7:F56,2))-MAX(0,LARGE('日経_M1'!F7:F56,3))</x:f>
        <x:v>1530276</x:v>
      </x:c>
      <x:c r="J13" s="27" t="n">
        <x:f>SUM('日経_M1'!J7:J56)</x:f>
        <x:v>269</x:v>
      </x:c>
      <x:c r="K13" s="20" t="n">
        <x:f>MIN('日経_M1'!F7:F56)</x:f>
        <x:v>-116462</x:v>
      </x:c>
      <x:c r="L13" s="20" t="n">
        <x:f>IF(H13=0,0,-SUMIFS('日経_M1'!F7:F56,'日経_M1'!F7:F56,"&lt;0")/H13)</x:f>
        <x:v>59247.375</x:v>
      </x:c>
      <x:c r="M13" s="28" t="n">
        <x:f>IF(COUNTIFS('日経_M1'!J7:J56,"&gt;0")=0,"",AVERAGEIFS('日経_M1'!N7:N56,'日経_M1'!J7:J56,"&gt;0"))</x:f>
        <x:v>212.28466666666668</x:v>
      </x:c>
      <x:c r="N13" s="28" t="n">
        <x:f>IF(COUNTIFS('日経_M1'!J7:J56,"&gt;0")=0,"",AVERAGEIFS('日経_M1'!O7:O56,'日経_M1'!J7:J56,"&gt;0"))</x:f>
        <x:v>129.19866666666664</x:v>
      </x:c>
      <x:c r="O13" s="27" t="n">
        <x:f>MAX('日経_M1'!L7:L56)</x:f>
        <x:v>10</x:v>
      </x:c>
      <x:c r="P13" s="2" t="str">
        <x:v>今回の損失削減を重視する昼夜別案</x:v>
      </x:c>
      <x:c r="Q13" s="22" t="n">
        <x:f>COUNTIFS('日経_M1'!J7:J56,"=0")</x:f>
        <x:v>0</x:v>
      </x:c>
    </x:row>
    <x:row r="14" ht="22" customHeight="1">
      <x:c r="A14" s="2" t="str">
        <x:v>日経mini</x:v>
      </x:c>
      <x:c r="B14" s="2" t="str">
        <x:v>M1</x:v>
      </x:c>
      <x:c r="C14" s="2" t="str">
        <x:v>対照47場</x:v>
      </x:c>
      <x:c r="D14" s="20" t="n">
        <x:f>SUM('日経_M1'!D7:D53)</x:f>
        <x:v>5709558</x:v>
      </x:c>
      <x:c r="E14" s="20" t="n">
        <x:f>SUM('日経_M1'!E7:E53)</x:f>
        <x:v>2990506</x:v>
      </x:c>
      <x:c r="F14" s="20" t="n">
        <x:f>D14-E14</x:f>
        <x:v>2719052</x:v>
      </x:c>
      <x:c r="G14" s="27" t="n">
        <x:f>COUNTIFS('日経_M1'!F7:F53,"&gt;0")</x:f>
        <x:v>33</x:v>
      </x:c>
      <x:c r="H14" s="27" t="n">
        <x:f>COUNTIFS('日経_M1'!F7:F53,"&lt;0")</x:f>
        <x:v>14</x:v>
      </x:c>
      <x:c r="I14" s="20" t="n">
        <x:f>F14-MAX(0,LARGE('日経_M1'!F7:F53,1))-MAX(0,LARGE('日経_M1'!F7:F53,2))-MAX(0,LARGE('日経_M1'!F7:F53,3))</x:f>
        <x:v>1563810</x:v>
      </x:c>
      <x:c r="J14" s="27" t="n">
        <x:f>SUM('日経_M1'!J7:J53)</x:f>
        <x:v>257</x:v>
      </x:c>
      <x:c r="K14" s="20" t="n">
        <x:f>MIN('日経_M1'!F7:F53)</x:f>
        <x:v>-116462</x:v>
      </x:c>
      <x:c r="L14" s="20" t="n">
        <x:f>IF(H14=0,0,-SUMIFS('日経_M1'!F7:F53,'日経_M1'!F7:F53,"&lt;0")/H14)</x:f>
        <x:v>61667.57142857143</x:v>
      </x:c>
      <x:c r="M14" s="28" t="n">
        <x:f>IF(COUNTIFS('日経_M1'!J7:J53,"&gt;0")=0,"",AVERAGEIFS('日経_M1'!N7:N53,'日経_M1'!J7:J53,"&gt;0"))</x:f>
        <x:v>208.49007092198582</x:v>
      </x:c>
      <x:c r="N14" s="28" t="n">
        <x:f>IF(COUNTIFS('日経_M1'!J7:J53,"&gt;0")=0,"",AVERAGEIFS('日経_M1'!O7:O53,'日経_M1'!J7:J53,"&gt;0"))</x:f>
        <x:v>132.00177304964535</x:v>
      </x:c>
      <x:c r="O14" s="27" t="n">
        <x:f>MAX('日経_M1'!L7:L53)</x:f>
        <x:v>10</x:v>
      </x:c>
      <x:c r="P14" s="2" t="str">
        <x:v>今回の損失削減を重視する昼夜別案</x:v>
      </x:c>
      <x:c r="Q14" s="22" t="n">
        <x:f>COUNTIFS('日経_M1'!J7:J53,"=0")</x:f>
        <x:v>0</x:v>
      </x:c>
    </x:row>
    <x:row r="15" ht="22" customHeight="1">
      <x:c r="A15" s="2" t="str">
        <x:v>日経mini</x:v>
      </x:c>
      <x:c r="B15" s="2" t="str">
        <x:v>M1</x:v>
      </x:c>
      <x:c r="C15" s="2" t="str">
        <x:v>診断3場</x:v>
      </x:c>
      <x:c r="D15" s="20" t="n">
        <x:f>SUM('日経_M1'!D54:D56)</x:f>
        <x:v>183080</x:v>
      </x:c>
      <x:c r="E15" s="20" t="n">
        <x:f>SUM('日経_M1'!E54:E56)</x:f>
        <x:v>216614</x:v>
      </x:c>
      <x:c r="F15" s="20" t="n">
        <x:f>D15-E15</x:f>
        <x:v>-33534</x:v>
      </x:c>
      <x:c r="G15" s="27" t="n">
        <x:f>COUNTIFS('日経_M1'!F54:F56,"&gt;0")</x:f>
        <x:v>1</x:v>
      </x:c>
      <x:c r="H15" s="27" t="n">
        <x:f>COUNTIFS('日経_M1'!F54:F56,"&lt;0")</x:f>
        <x:v>2</x:v>
      </x:c>
      <x:c r="I15" s="20" t="n">
        <x:f>F15-MAX(0,LARGE('日経_M1'!F54:F56,1))-MAX(0,LARGE('日経_M1'!F54:F56,2))-MAX(0,LARGE('日経_M1'!F54:F56,3))</x:f>
        <x:v>-84612</x:v>
      </x:c>
      <x:c r="J15" s="27" t="n">
        <x:f>SUM('日経_M1'!J54:J56)</x:f>
        <x:v>12</x:v>
      </x:c>
      <x:c r="K15" s="20" t="n">
        <x:f>MIN('日経_M1'!F54:F56)</x:f>
        <x:v>-61538</x:v>
      </x:c>
      <x:c r="L15" s="20" t="n">
        <x:f>IF(H15=0,0,-SUMIFS('日経_M1'!F54:F56,'日経_M1'!F54:F56,"&lt;0")/H15)</x:f>
        <x:v>42306</x:v>
      </x:c>
      <x:c r="M15" s="28" t="n">
        <x:f>IF(COUNTIFS('日経_M1'!J54:J56,"&gt;0")=0,"",AVERAGEIFS('日経_M1'!N54:N56,'日経_M1'!J54:J56,"&gt;0"))</x:f>
        <x:v>271.73333333333335</x:v>
      </x:c>
      <x:c r="N15" s="28" t="n">
        <x:f>IF(COUNTIFS('日経_M1'!J54:J56,"&gt;0")=0,"",AVERAGEIFS('日経_M1'!O54:O56,'日経_M1'!J54:J56,"&gt;0"))</x:f>
        <x:v>85.28333333333333</x:v>
      </x:c>
      <x:c r="O15" s="27" t="n">
        <x:f>MAX('日経_M1'!L54:L56)</x:f>
        <x:v>5</x:v>
      </x:c>
      <x:c r="P15" s="2" t="str">
        <x:v>今回の損失削減を重視する昼夜別案</x:v>
      </x:c>
      <x:c r="Q15" s="22" t="n">
        <x:f>COUNTIFS('日経_M1'!J54:J56,"=0")</x:f>
        <x:v>0</x:v>
      </x:c>
    </x:row>
    <x:row r="16" ht="22" customHeight="1">
      <x:c r="A16" s="2" t="str">
        <x:v>日経mini</x:v>
      </x:c>
      <x:c r="B16" s="2" t="str">
        <x:v>M2</x:v>
      </x:c>
      <x:c r="C16" s="2" t="str">
        <x:v>全50場</x:v>
      </x:c>
      <x:c r="D16" s="20" t="n">
        <x:f>SUM('日経_M2'!D7:D56)</x:f>
        <x:v>5670244</x:v>
      </x:c>
      <x:c r="E16" s="20" t="n">
        <x:f>SUM('日経_M2'!E7:E56)</x:f>
        <x:v>3184276</x:v>
      </x:c>
      <x:c r="F16" s="20" t="n">
        <x:f>D16-E16</x:f>
        <x:v>2485968</x:v>
      </x:c>
      <x:c r="G16" s="27" t="n">
        <x:f>COUNTIFS('日経_M2'!F7:F56,"&gt;0")</x:f>
        <x:v>33</x:v>
      </x:c>
      <x:c r="H16" s="27" t="n">
        <x:f>COUNTIFS('日経_M2'!F7:F56,"&lt;0")</x:f>
        <x:v>17</x:v>
      </x:c>
      <x:c r="I16" s="20" t="n">
        <x:f>F16-MAX(0,LARGE('日経_M2'!F7:F56,1))-MAX(0,LARGE('日経_M2'!F7:F56,2))-MAX(0,LARGE('日経_M2'!F7:F56,3))</x:f>
        <x:v>1353650</x:v>
      </x:c>
      <x:c r="J16" s="27" t="n">
        <x:f>SUM('日経_M2'!J7:J56)</x:f>
        <x:v>246</x:v>
      </x:c>
      <x:c r="K16" s="20" t="n">
        <x:f>MIN('日経_M2'!F7:F56)</x:f>
        <x:v>-106152</x:v>
      </x:c>
      <x:c r="L16" s="20" t="n">
        <x:f>IF(H16=0,0,-SUMIFS('日経_M2'!F7:F56,'日経_M2'!F7:F56,"&lt;0")/H16)</x:f>
        <x:v>55323.17647058824</x:v>
      </x:c>
      <x:c r="M16" s="28" t="n">
        <x:f>IF(COUNTIFS('日経_M2'!J7:J56,"&gt;0")=0,"",AVERAGEIFS('日経_M2'!N7:N56,'日経_M2'!J7:J56,"&gt;0"))</x:f>
        <x:v>223.14166666666665</x:v>
      </x:c>
      <x:c r="N16" s="28" t="n">
        <x:f>IF(COUNTIFS('日経_M2'!J7:J56,"&gt;0")=0,"",AVERAGEIFS('日経_M2'!O7:O56,'日経_M2'!J7:J56,"&gt;0"))</x:f>
        <x:v>125.22066666666667</x:v>
      </x:c>
      <x:c r="O16" s="27" t="n">
        <x:f>MAX('日経_M2'!L7:L56)</x:f>
        <x:v>10</x:v>
      </x:c>
      <x:c r="P16" s="2" t="str">
        <x:v>異なる優先順位の昼夜別案</x:v>
      </x:c>
      <x:c r="Q16" s="22" t="n">
        <x:f>COUNTIFS('日経_M2'!J7:J56,"=0")</x:f>
        <x:v>0</x:v>
      </x:c>
    </x:row>
    <x:row r="17" ht="22" customHeight="1">
      <x:c r="A17" s="2" t="str">
        <x:v>日経mini</x:v>
      </x:c>
      <x:c r="B17" s="2" t="str">
        <x:v>M2</x:v>
      </x:c>
      <x:c r="C17" s="2" t="str">
        <x:v>対照47場</x:v>
      </x:c>
      <x:c r="D17" s="20" t="n">
        <x:f>SUM('日経_M2'!D7:D53)</x:f>
        <x:v>5489010</x:v>
      </x:c>
      <x:c r="E17" s="20" t="n">
        <x:f>SUM('日経_M2'!E7:E53)</x:f>
        <x:v>2951662</x:v>
      </x:c>
      <x:c r="F17" s="20" t="n">
        <x:f>D17-E17</x:f>
        <x:v>2537348</x:v>
      </x:c>
      <x:c r="G17" s="27" t="n">
        <x:f>COUNTIFS('日経_M2'!F7:F53,"&gt;0")</x:f>
        <x:v>32</x:v>
      </x:c>
      <x:c r="H17" s="27" t="n">
        <x:f>COUNTIFS('日経_M2'!F7:F53,"&lt;0")</x:f>
        <x:v>15</x:v>
      </x:c>
      <x:c r="I17" s="20" t="n">
        <x:f>F17-MAX(0,LARGE('日経_M2'!F7:F53,1))-MAX(0,LARGE('日経_M2'!F7:F53,2))-MAX(0,LARGE('日経_M2'!F7:F53,3))</x:f>
        <x:v>1405030</x:v>
      </x:c>
      <x:c r="J17" s="27" t="n">
        <x:f>SUM('日経_M2'!J7:J53)</x:f>
        <x:v>235</x:v>
      </x:c>
      <x:c r="K17" s="20" t="n">
        <x:f>MIN('日経_M2'!F7:F53)</x:f>
        <x:v>-106152</x:v>
      </x:c>
      <x:c r="L17" s="20" t="n">
        <x:f>IF(H17=0,0,-SUMIFS('日経_M2'!F7:F53,'日経_M2'!F7:F53,"&lt;0")/H17)</x:f>
        <x:v>57469.066666666666</x:v>
      </x:c>
      <x:c r="M17" s="28" t="n">
        <x:f>IF(COUNTIFS('日経_M2'!J7:J53,"&gt;0")=0,"",AVERAGEIFS('日経_M2'!N7:N53,'日経_M2'!J7:J53,"&gt;0"))</x:f>
        <x:v>220.04007092198577</x:v>
      </x:c>
      <x:c r="N17" s="28" t="n">
        <x:f>IF(COUNTIFS('日経_M2'!J7:J53,"&gt;0")=0,"",AVERAGEIFS('日経_M2'!O7:O53,'日経_M2'!J7:J53,"&gt;0"))</x:f>
        <x:v>127.89468085106384</x:v>
      </x:c>
      <x:c r="O17" s="27" t="n">
        <x:f>MAX('日経_M2'!L7:L53)</x:f>
        <x:v>10</x:v>
      </x:c>
      <x:c r="P17" s="2" t="str">
        <x:v>異なる優先順位の昼夜別案</x:v>
      </x:c>
      <x:c r="Q17" s="22" t="n">
        <x:f>COUNTIFS('日経_M2'!J7:J53,"=0")</x:f>
        <x:v>0</x:v>
      </x:c>
    </x:row>
    <x:row r="18" ht="22" customHeight="1">
      <x:c r="A18" s="2" t="str">
        <x:v>日経mini</x:v>
      </x:c>
      <x:c r="B18" s="2" t="str">
        <x:v>M2</x:v>
      </x:c>
      <x:c r="C18" s="2" t="str">
        <x:v>診断3場</x:v>
      </x:c>
      <x:c r="D18" s="20" t="n">
        <x:f>SUM('日経_M2'!D54:D56)</x:f>
        <x:v>181234</x:v>
      </x:c>
      <x:c r="E18" s="20" t="n">
        <x:f>SUM('日経_M2'!E54:E56)</x:f>
        <x:v>232614</x:v>
      </x:c>
      <x:c r="F18" s="20" t="n">
        <x:f>D18-E18</x:f>
        <x:v>-51380</x:v>
      </x:c>
      <x:c r="G18" s="27" t="n">
        <x:f>COUNTIFS('日経_M2'!F54:F56,"&gt;0")</x:f>
        <x:v>1</x:v>
      </x:c>
      <x:c r="H18" s="27" t="n">
        <x:f>COUNTIFS('日経_M2'!F54:F56,"&lt;0")</x:f>
        <x:v>2</x:v>
      </x:c>
      <x:c r="I18" s="20" t="n">
        <x:f>F18-MAX(0,LARGE('日経_M2'!F54:F56,1))-MAX(0,LARGE('日経_M2'!F54:F56,2))-MAX(0,LARGE('日経_M2'!F54:F56,3))</x:f>
        <x:v>-78458</x:v>
      </x:c>
      <x:c r="J18" s="27" t="n">
        <x:f>SUM('日経_M2'!J54:J56)</x:f>
        <x:v>11</x:v>
      </x:c>
      <x:c r="K18" s="20" t="n">
        <x:f>MIN('日経_M2'!F54:F56)</x:f>
        <x:v>-55384</x:v>
      </x:c>
      <x:c r="L18" s="20" t="n">
        <x:f>IF(H18=0,0,-SUMIFS('日経_M2'!F54:F56,'日経_M2'!F54:F56,"&lt;0")/H18)</x:f>
        <x:v>39229</x:v>
      </x:c>
      <x:c r="M18" s="28" t="n">
        <x:f>IF(COUNTIFS('日経_M2'!J54:J56,"&gt;0")=0,"",AVERAGEIFS('日経_M2'!N54:N56,'日経_M2'!J54:J56,"&gt;0"))</x:f>
        <x:v>271.73333333333335</x:v>
      </x:c>
      <x:c r="N18" s="28" t="n">
        <x:f>IF(COUNTIFS('日経_M2'!J54:J56,"&gt;0")=0,"",AVERAGEIFS('日経_M2'!O54:O56,'日経_M2'!J54:J56,"&gt;0"))</x:f>
        <x:v>83.32777777777777</x:v>
      </x:c>
      <x:c r="O18" s="27" t="n">
        <x:f>MAX('日経_M2'!L54:L56)</x:f>
        <x:v>5</x:v>
      </x:c>
      <x:c r="P18" s="2" t="str">
        <x:v>異なる優先順位の昼夜別案</x:v>
      </x:c>
      <x:c r="Q18" s="22" t="n">
        <x:f>COUNTIFS('日経_M2'!J54:J56,"=0")</x:f>
        <x:v>0</x:v>
      </x:c>
    </x:row>
    <x:row r="19" ht="22" customHeight="1">
      <x:c r="A19" s="2" t="str">
        <x:v>TOPIXmini</x:v>
      </x:c>
      <x:c r="B19" s="2" t="str">
        <x:v>B5</x:v>
      </x:c>
      <x:c r="C19" s="2" t="str">
        <x:v>全50場</x:v>
      </x:c>
      <x:c r="D19" s="20" t="n">
        <x:f>SUM('TOPIX_B5'!D7:D56)</x:f>
        <x:v>2221536</x:v>
      </x:c>
      <x:c r="E19" s="20" t="n">
        <x:f>SUM('TOPIX_B5'!E7:E56)</x:f>
        <x:v>1466251</x:v>
      </x:c>
      <x:c r="F19" s="20" t="n">
        <x:f>D19-E19</x:f>
        <x:v>755285</x:v>
      </x:c>
      <x:c r="G19" s="27" t="n">
        <x:f>COUNTIFS('TOPIX_B5'!F7:F56,"&gt;0")</x:f>
        <x:v>38</x:v>
      </x:c>
      <x:c r="H19" s="27" t="n">
        <x:f>COUNTIFS('TOPIX_B5'!F7:F56,"&lt;0")</x:f>
        <x:v>12</x:v>
      </x:c>
      <x:c r="I19" s="20" t="n">
        <x:f>F19-MAX(0,LARGE('TOPIX_B5'!F7:F56,1))-MAX(0,LARGE('TOPIX_B5'!F7:F56,2))-MAX(0,LARGE('TOPIX_B5'!F7:F56,3))</x:f>
        <x:v>454208</x:v>
      </x:c>
      <x:c r="J19" s="27" t="n">
        <x:f>SUM('TOPIX_B5'!J7:J56)</x:f>
        <x:v>119</x:v>
      </x:c>
      <x:c r="K19" s="20" t="n">
        <x:f>MIN('TOPIX_B5'!F7:F56)</x:f>
        <x:v>-131254</x:v>
      </x:c>
      <x:c r="L19" s="20" t="n">
        <x:f>IF(H19=0,0,-SUMIFS('TOPIX_B5'!F7:F56,'TOPIX_B5'!F7:F56,"&lt;0")/H19)</x:f>
        <x:v>48392.25</x:v>
      </x:c>
      <x:c r="M19" s="28" t="n">
        <x:f>IF(COUNTIFS('TOPIX_B5'!J7:J56,"&gt;0")=0,"",AVERAGEIFS('TOPIX_B5'!N7:N56,'TOPIX_B5'!J7:J56,"&gt;0"))</x:f>
        <x:v>248.86666666666662</x:v>
      </x:c>
      <x:c r="N19" s="28" t="n">
        <x:f>IF(COUNTIFS('TOPIX_B5'!J7:J56,"&gt;0")=0,"",AVERAGEIFS('TOPIX_B5'!O7:O56,'TOPIX_B5'!J7:J56,"&gt;0"))</x:f>
        <x:v>113.57999999999998</x:v>
      </x:c>
      <x:c r="O19" s="27" t="n">
        <x:f>MAX('TOPIX_B5'!L7:L56)</x:f>
        <x:v>5</x:v>
      </x:c>
      <x:c r="P19" s="2" t="str">
        <x:v>従来基準</x:v>
      </x:c>
      <x:c r="Q19" s="22" t="n">
        <x:f>COUNTIFS('TOPIX_B5'!J7:J56,"=0")</x:f>
        <x:v>0</x:v>
      </x:c>
    </x:row>
    <x:row r="20" ht="22" customHeight="1">
      <x:c r="A20" s="2" t="str">
        <x:v>TOPIXmini</x:v>
      </x:c>
      <x:c r="B20" s="2" t="str">
        <x:v>B5</x:v>
      </x:c>
      <x:c r="C20" s="2" t="str">
        <x:v>対照47場</x:v>
      </x:c>
      <x:c r="D20" s="20" t="n">
        <x:f>SUM('TOPIX_B5'!D7:D53)</x:f>
        <x:v>2123208</x:v>
      </x:c>
      <x:c r="E20" s="20" t="n">
        <x:f>SUM('TOPIX_B5'!E7:E53)</x:f>
        <x:v>1299161</x:v>
      </x:c>
      <x:c r="F20" s="20" t="n">
        <x:f>D20-E20</x:f>
        <x:v>824047</x:v>
      </x:c>
      <x:c r="G20" s="27" t="n">
        <x:f>COUNTIFS('TOPIX_B5'!F7:F53,"&gt;0")</x:f>
        <x:v>36</x:v>
      </x:c>
      <x:c r="H20" s="27" t="n">
        <x:f>COUNTIFS('TOPIX_B5'!F7:F53,"&lt;0")</x:f>
        <x:v>11</x:v>
      </x:c>
      <x:c r="I20" s="20" t="n">
        <x:f>F20-MAX(0,LARGE('TOPIX_B5'!F7:F53,1))-MAX(0,LARGE('TOPIX_B5'!F7:F53,2))-MAX(0,LARGE('TOPIX_B5'!F7:F53,3))</x:f>
        <x:v>522970</x:v>
      </x:c>
      <x:c r="J20" s="27" t="n">
        <x:f>SUM('TOPIX_B5'!J7:J53)</x:f>
        <x:v>110</x:v>
      </x:c>
      <x:c r="K20" s="20" t="n">
        <x:f>MIN('TOPIX_B5'!F7:F53)</x:f>
        <x:v>-79172</x:v>
      </x:c>
      <x:c r="L20" s="20" t="n">
        <x:f>IF(H20=0,0,-SUMIFS('TOPIX_B5'!F7:F53,'TOPIX_B5'!F7:F53,"&lt;0")/H20)</x:f>
        <x:v>40859.36363636364</x:v>
      </x:c>
      <x:c r="M20" s="28" t="n">
        <x:f>IF(COUNTIFS('TOPIX_B5'!J7:J53,"&gt;0")=0,"",AVERAGEIFS('TOPIX_B5'!N7:N53,'TOPIX_B5'!J7:J53,"&gt;0"))</x:f>
        <x:v>246.12127659574463</x:v>
      </x:c>
      <x:c r="N20" s="28" t="n">
        <x:f>IF(COUNTIFS('TOPIX_B5'!J7:J53,"&gt;0")=0,"",AVERAGEIFS('TOPIX_B5'!O7:O53,'TOPIX_B5'!J7:J53,"&gt;0"))</x:f>
        <x:v>117.50496453900708</x:v>
      </x:c>
      <x:c r="O20" s="27" t="n">
        <x:f>MAX('TOPIX_B5'!L7:L53)</x:f>
        <x:v>5</x:v>
      </x:c>
      <x:c r="P20" s="2" t="str">
        <x:v>従来基準</x:v>
      </x:c>
      <x:c r="Q20" s="22" t="n">
        <x:f>COUNTIFS('TOPIX_B5'!J7:J53,"=0")</x:f>
        <x:v>0</x:v>
      </x:c>
    </x:row>
    <x:row r="21" ht="22" customHeight="1">
      <x:c r="A21" s="2" t="str">
        <x:v>TOPIXmini</x:v>
      </x:c>
      <x:c r="B21" s="2" t="str">
        <x:v>B5</x:v>
      </x:c>
      <x:c r="C21" s="2" t="str">
        <x:v>診断3場</x:v>
      </x:c>
      <x:c r="D21" s="20" t="n">
        <x:f>SUM('TOPIX_B5'!D54:D56)</x:f>
        <x:v>98328</x:v>
      </x:c>
      <x:c r="E21" s="20" t="n">
        <x:f>SUM('TOPIX_B5'!E54:E56)</x:f>
        <x:v>167090</x:v>
      </x:c>
      <x:c r="F21" s="20" t="n">
        <x:f>D21-E21</x:f>
        <x:v>-68762</x:v>
      </x:c>
      <x:c r="G21" s="27" t="n">
        <x:f>COUNTIFS('TOPIX_B5'!F54:F56,"&gt;0")</x:f>
        <x:v>2</x:v>
      </x:c>
      <x:c r="H21" s="27" t="n">
        <x:f>COUNTIFS('TOPIX_B5'!F54:F56,"&lt;0")</x:f>
        <x:v>1</x:v>
      </x:c>
      <x:c r="I21" s="20" t="n">
        <x:f>F21-MAX(0,LARGE('TOPIX_B5'!F54:F56,1))-MAX(0,LARGE('TOPIX_B5'!F54:F56,2))-MAX(0,LARGE('TOPIX_B5'!F54:F56,3))</x:f>
        <x:v>-131254</x:v>
      </x:c>
      <x:c r="J21" s="27" t="n">
        <x:f>SUM('TOPIX_B5'!J54:J56)</x:f>
        <x:v>9</x:v>
      </x:c>
      <x:c r="K21" s="20" t="n">
        <x:f>MIN('TOPIX_B5'!F54:F56)</x:f>
        <x:v>-131254</x:v>
      </x:c>
      <x:c r="L21" s="20" t="n">
        <x:f>IF(H21=0,0,-SUMIFS('TOPIX_B5'!F54:F56,'TOPIX_B5'!F54:F56,"&lt;0")/H21)</x:f>
        <x:v>131254</x:v>
      </x:c>
      <x:c r="M21" s="28" t="n">
        <x:f>IF(COUNTIFS('TOPIX_B5'!J54:J56,"&gt;0")=0,"",AVERAGEIFS('TOPIX_B5'!N54:N56,'TOPIX_B5'!J54:J56,"&gt;0"))</x:f>
        <x:v>291.8777777777778</x:v>
      </x:c>
      <x:c r="N21" s="28" t="n">
        <x:f>IF(COUNTIFS('TOPIX_B5'!J54:J56,"&gt;0")=0,"",AVERAGEIFS('TOPIX_B5'!O54:O56,'TOPIX_B5'!J54:J56,"&gt;0"))</x:f>
        <x:v>52.088888888888896</x:v>
      </x:c>
      <x:c r="O21" s="27" t="n">
        <x:f>MAX('TOPIX_B5'!L54:L56)</x:f>
        <x:v>5</x:v>
      </x:c>
      <x:c r="P21" s="2" t="str">
        <x:v>従来基準</x:v>
      </x:c>
      <x:c r="Q21" s="22" t="n">
        <x:f>COUNTIFS('TOPIX_B5'!J54:J56,"=0")</x:f>
        <x:v>0</x:v>
      </x:c>
    </x:row>
    <x:row r="22" ht="22" customHeight="1">
      <x:c r="A22" s="2" t="str">
        <x:v>TOPIXmini</x:v>
      </x:c>
      <x:c r="B22" s="2" t="str">
        <x:v>C33</x:v>
      </x:c>
      <x:c r="C22" s="2" t="str">
        <x:v>全50場</x:v>
      </x:c>
      <x:c r="D22" s="20" t="n">
        <x:f>SUM('TOPIX_C33'!D7:D56)</x:f>
        <x:v>2507746</x:v>
      </x:c>
      <x:c r="E22" s="20" t="n">
        <x:f>SUM('TOPIX_C33'!E7:E56)</x:f>
        <x:v>1522042</x:v>
      </x:c>
      <x:c r="F22" s="20" t="n">
        <x:f>D22-E22</x:f>
        <x:v>985704</x:v>
      </x:c>
      <x:c r="G22" s="27" t="n">
        <x:f>COUNTIFS('TOPIX_C33'!F7:F56,"&gt;0")</x:f>
        <x:v>39</x:v>
      </x:c>
      <x:c r="H22" s="27" t="n">
        <x:f>COUNTIFS('TOPIX_C33'!F7:F56,"&lt;0")</x:f>
        <x:v>11</x:v>
      </x:c>
      <x:c r="I22" s="20" t="n">
        <x:f>F22-MAX(0,LARGE('TOPIX_C33'!F7:F56,1))-MAX(0,LARGE('TOPIX_C33'!F7:F56,2))-MAX(0,LARGE('TOPIX_C33'!F7:F56,3))</x:f>
        <x:v>603622</x:v>
      </x:c>
      <x:c r="J22" s="27" t="n">
        <x:f>SUM('TOPIX_C33'!J7:J56)</x:f>
        <x:v>194</x:v>
      </x:c>
      <x:c r="K22" s="20" t="n">
        <x:f>MIN('TOPIX_C33'!F7:F56)</x:f>
        <x:v>-68328</x:v>
      </x:c>
      <x:c r="L22" s="20" t="n">
        <x:f>IF(H22=0,0,-SUMIFS('TOPIX_C33'!F7:F56,'TOPIX_C33'!F7:F56,"&lt;0")/H22)</x:f>
        <x:v>30242.81818181818</x:v>
      </x:c>
      <x:c r="M22" s="28" t="n">
        <x:f>IF(COUNTIFS('TOPIX_C33'!J7:J56,"&gt;0")=0,"",AVERAGEIFS('TOPIX_C33'!N7:N56,'TOPIX_C33'!J7:J56,"&gt;0"))</x:f>
        <x:v>185.33866666666665</x:v>
      </x:c>
      <x:c r="N22" s="28" t="n">
        <x:f>IF(COUNTIFS('TOPIX_C33'!J7:J56,"&gt;0")=0,"",AVERAGEIFS('TOPIX_C33'!O7:O56,'TOPIX_C33'!J7:J56,"&gt;0"))</x:f>
        <x:v>146.9083333333333</x:v>
      </x:c>
      <x:c r="O22" s="27" t="n">
        <x:f>MAX('TOPIX_C33'!L7:L56)</x:f>
        <x:v>5</x:v>
      </x:c>
      <x:c r="P22" s="2" t="str">
        <x:v>前回の反転を先着併用</x:v>
      </x:c>
      <x:c r="Q22" s="22" t="n">
        <x:f>COUNTIFS('TOPIX_C33'!J7:J56,"=0")</x:f>
        <x:v>0</x:v>
      </x:c>
    </x:row>
    <x:row r="23" ht="22" customHeight="1">
      <x:c r="A23" s="2" t="str">
        <x:v>TOPIXmini</x:v>
      </x:c>
      <x:c r="B23" s="2" t="str">
        <x:v>C33</x:v>
      </x:c>
      <x:c r="C23" s="2" t="str">
        <x:v>対照47場</x:v>
      </x:c>
      <x:c r="D23" s="20" t="n">
        <x:f>SUM('TOPIX_C33'!D7:D53)</x:f>
        <x:v>2318912</x:v>
      </x:c>
      <x:c r="E23" s="20" t="n">
        <x:f>SUM('TOPIX_C33'!E7:E53)</x:f>
        <x:v>1340376</x:v>
      </x:c>
      <x:c r="F23" s="20" t="n">
        <x:f>D23-E23</x:f>
        <x:v>978536</x:v>
      </x:c>
      <x:c r="G23" s="27" t="n">
        <x:f>COUNTIFS('TOPIX_C33'!F7:F53,"&gt;0")</x:f>
        <x:v>37</x:v>
      </x:c>
      <x:c r="H23" s="27" t="n">
        <x:f>COUNTIFS('TOPIX_C33'!F7:F53,"&lt;0")</x:f>
        <x:v>10</x:v>
      </x:c>
      <x:c r="I23" s="20" t="n">
        <x:f>F23-MAX(0,LARGE('TOPIX_C33'!F7:F53,1))-MAX(0,LARGE('TOPIX_C33'!F7:F53,2))-MAX(0,LARGE('TOPIX_C33'!F7:F53,3))</x:f>
        <x:v>596454</x:v>
      </x:c>
      <x:c r="J23" s="27" t="n">
        <x:f>SUM('TOPIX_C33'!J7:J53)</x:f>
        <x:v>172</x:v>
      </x:c>
      <x:c r="K23" s="20" t="n">
        <x:f>MIN('TOPIX_C33'!F7:F53)</x:f>
        <x:v>-44086</x:v>
      </x:c>
      <x:c r="L23" s="20" t="n">
        <x:f>IF(H23=0,0,-SUMIFS('TOPIX_C33'!F7:F53,'TOPIX_C33'!F7:F53,"&lt;0")/H23)</x:f>
        <x:v>26434.3</x:v>
      </x:c>
      <x:c r="M23" s="28" t="n">
        <x:f>IF(COUNTIFS('TOPIX_C33'!J7:J53,"&gt;0")=0,"",AVERAGEIFS('TOPIX_C33'!N7:N53,'TOPIX_C33'!J7:J53,"&gt;0"))</x:f>
        <x:v>192.0514184397163</x:v>
      </x:c>
      <x:c r="N23" s="28" t="n">
        <x:f>IF(COUNTIFS('TOPIX_C33'!J7:J53,"&gt;0")=0,"",AVERAGEIFS('TOPIX_C33'!O7:O53,'TOPIX_C33'!J7:J53,"&gt;0"))</x:f>
        <x:v>148.75992907801415</x:v>
      </x:c>
      <x:c r="O23" s="27" t="n">
        <x:f>MAX('TOPIX_C33'!L7:L53)</x:f>
        <x:v>5</x:v>
      </x:c>
      <x:c r="P23" s="2" t="str">
        <x:v>前回の反転を先着併用</x:v>
      </x:c>
      <x:c r="Q23" s="22" t="n">
        <x:f>COUNTIFS('TOPIX_C33'!J7:J53,"=0")</x:f>
        <x:v>0</x:v>
      </x:c>
    </x:row>
    <x:row r="24" ht="22" customHeight="1">
      <x:c r="A24" s="2" t="str">
        <x:v>TOPIXmini</x:v>
      </x:c>
      <x:c r="B24" s="2" t="str">
        <x:v>C33</x:v>
      </x:c>
      <x:c r="C24" s="2" t="str">
        <x:v>診断3場</x:v>
      </x:c>
      <x:c r="D24" s="20" t="n">
        <x:f>SUM('TOPIX_C33'!D54:D56)</x:f>
        <x:v>188834</x:v>
      </x:c>
      <x:c r="E24" s="20" t="n">
        <x:f>SUM('TOPIX_C33'!E54:E56)</x:f>
        <x:v>181666</x:v>
      </x:c>
      <x:c r="F24" s="20" t="n">
        <x:f>D24-E24</x:f>
        <x:v>7168</x:v>
      </x:c>
      <x:c r="G24" s="27" t="n">
        <x:f>COUNTIFS('TOPIX_C33'!F54:F56,"&gt;0")</x:f>
        <x:v>2</x:v>
      </x:c>
      <x:c r="H24" s="27" t="n">
        <x:f>COUNTIFS('TOPIX_C33'!F54:F56,"&lt;0")</x:f>
        <x:v>1</x:v>
      </x:c>
      <x:c r="I24" s="20" t="n">
        <x:f>F24-MAX(0,LARGE('TOPIX_C33'!F54:F56,1))-MAX(0,LARGE('TOPIX_C33'!F54:F56,2))-MAX(0,LARGE('TOPIX_C33'!F54:F56,3))</x:f>
        <x:v>-68328</x:v>
      </x:c>
      <x:c r="J24" s="27" t="n">
        <x:f>SUM('TOPIX_C33'!J54:J56)</x:f>
        <x:v>22</x:v>
      </x:c>
      <x:c r="K24" s="20" t="n">
        <x:f>MIN('TOPIX_C33'!F54:F56)</x:f>
        <x:v>-68328</x:v>
      </x:c>
      <x:c r="L24" s="20" t="n">
        <x:f>IF(H24=0,0,-SUMIFS('TOPIX_C33'!F54:F56,'TOPIX_C33'!F54:F56,"&lt;0")/H24)</x:f>
        <x:v>68328</x:v>
      </x:c>
      <x:c r="M24" s="28" t="n">
        <x:f>IF(COUNTIFS('TOPIX_C33'!J54:J56,"&gt;0")=0,"",AVERAGEIFS('TOPIX_C33'!N54:N56,'TOPIX_C33'!J54:J56,"&gt;0"))</x:f>
        <x:v>80.17222222222223</x:v>
      </x:c>
      <x:c r="N24" s="28" t="n">
        <x:f>IF(COUNTIFS('TOPIX_C33'!J54:J56,"&gt;0")=0,"",AVERAGEIFS('TOPIX_C33'!O54:O56,'TOPIX_C33'!J54:J56,"&gt;0"))</x:f>
        <x:v>117.89999999999999</x:v>
      </x:c>
      <x:c r="O24" s="27" t="n">
        <x:f>MAX('TOPIX_C33'!L54:L56)</x:f>
        <x:v>5</x:v>
      </x:c>
      <x:c r="P24" s="2" t="str">
        <x:v>前回の反転を先着併用</x:v>
      </x:c>
      <x:c r="Q24" s="22" t="n">
        <x:f>COUNTIFS('TOPIX_C33'!J54:J56,"=0")</x:f>
        <x:v>0</x:v>
      </x:c>
    </x:row>
    <x:row r="25" ht="22" customHeight="1">
      <x:c r="A25" s="2" t="str">
        <x:v>TOPIXmini</x:v>
      </x:c>
      <x:c r="B25" s="2" t="str">
        <x:v>M1</x:v>
      </x:c>
      <x:c r="C25" s="2" t="str">
        <x:v>全50場</x:v>
      </x:c>
      <x:c r="D25" s="20" t="n">
        <x:f>SUM('TOPIX_M1'!D7:D56)</x:f>
        <x:v>2540904</x:v>
      </x:c>
      <x:c r="E25" s="20" t="n">
        <x:f>SUM('TOPIX_M1'!E7:E56)</x:f>
        <x:v>1551188</x:v>
      </x:c>
      <x:c r="F25" s="20" t="n">
        <x:f>D25-E25</x:f>
        <x:v>989716</x:v>
      </x:c>
      <x:c r="G25" s="27" t="n">
        <x:f>COUNTIFS('TOPIX_M1'!F7:F56,"&gt;0")</x:f>
        <x:v>38</x:v>
      </x:c>
      <x:c r="H25" s="27" t="n">
        <x:f>COUNTIFS('TOPIX_M1'!F7:F56,"&lt;0")</x:f>
        <x:v>12</x:v>
      </x:c>
      <x:c r="I25" s="20" t="n">
        <x:f>F25-MAX(0,LARGE('TOPIX_M1'!F7:F56,1))-MAX(0,LARGE('TOPIX_M1'!F7:F56,2))-MAX(0,LARGE('TOPIX_M1'!F7:F56,3))</x:f>
        <x:v>654299</x:v>
      </x:c>
      <x:c r="J25" s="27" t="n">
        <x:f>SUM('TOPIX_M1'!J7:J56)</x:f>
        <x:v>217</x:v>
      </x:c>
      <x:c r="K25" s="20" t="n">
        <x:f>MIN('TOPIX_M1'!F7:F56)</x:f>
        <x:v>-53919</x:v>
      </x:c>
      <x:c r="L25" s="20" t="n">
        <x:f>IF(H25=0,0,-SUMIFS('TOPIX_M1'!F7:F56,'TOPIX_M1'!F7:F56,"&lt;0")/H25)</x:f>
        <x:v>31353.333333333332</x:v>
      </x:c>
      <x:c r="M25" s="28" t="n">
        <x:f>IF(COUNTIFS('TOPIX_M1'!J7:J56,"&gt;0")=0,"",AVERAGEIFS('TOPIX_M1'!N7:N56,'TOPIX_M1'!J7:J56,"&gt;0"))</x:f>
        <x:v>199.18833333333333</x:v>
      </x:c>
      <x:c r="N25" s="28" t="n">
        <x:f>IF(COUNTIFS('TOPIX_M1'!J7:J56,"&gt;0")=0,"",AVERAGEIFS('TOPIX_M1'!O7:O56,'TOPIX_M1'!J7:J56,"&gt;0"))</x:f>
        <x:v>127.311</x:v>
      </x:c>
      <x:c r="O25" s="27" t="n">
        <x:f>MAX('TOPIX_M1'!L7:L56)</x:f>
        <x:v>5</x:v>
      </x:c>
      <x:c r="P25" s="2" t="str">
        <x:v>今回の損失削減を重視する昼夜別案</x:v>
      </x:c>
      <x:c r="Q25" s="22" t="n">
        <x:f>COUNTIFS('TOPIX_M1'!J7:J56,"=0")</x:f>
        <x:v>0</x:v>
      </x:c>
    </x:row>
    <x:row r="26" ht="22" customHeight="1">
      <x:c r="A26" s="2" t="str">
        <x:v>TOPIXmini</x:v>
      </x:c>
      <x:c r="B26" s="2" t="str">
        <x:v>M1</x:v>
      </x:c>
      <x:c r="C26" s="2" t="str">
        <x:v>対照47場</x:v>
      </x:c>
      <x:c r="D26" s="20" t="n">
        <x:f>SUM('TOPIX_M1'!D7:D53)</x:f>
        <x:v>2340817</x:v>
      </x:c>
      <x:c r="E26" s="20" t="n">
        <x:f>SUM('TOPIX_M1'!E7:E53)</x:f>
        <x:v>1385526</x:v>
      </x:c>
      <x:c r="F26" s="20" t="n">
        <x:f>D26-E26</x:f>
        <x:v>955291</x:v>
      </x:c>
      <x:c r="G26" s="27" t="n">
        <x:f>COUNTIFS('TOPIX_M1'!F7:F53,"&gt;0")</x:f>
        <x:v>36</x:v>
      </x:c>
      <x:c r="H26" s="27" t="n">
        <x:f>COUNTIFS('TOPIX_M1'!F7:F53,"&lt;0")</x:f>
        <x:v>11</x:v>
      </x:c>
      <x:c r="I26" s="20" t="n">
        <x:f>F26-MAX(0,LARGE('TOPIX_M1'!F7:F53,1))-MAX(0,LARGE('TOPIX_M1'!F7:F53,2))-MAX(0,LARGE('TOPIX_M1'!F7:F53,3))</x:f>
        <x:v>619874</x:v>
      </x:c>
      <x:c r="J26" s="27" t="n">
        <x:f>SUM('TOPIX_M1'!J7:J53)</x:f>
        <x:v>190</x:v>
      </x:c>
      <x:c r="K26" s="20" t="n">
        <x:f>MIN('TOPIX_M1'!F7:F53)</x:f>
        <x:v>-53919</x:v>
      </x:c>
      <x:c r="L26" s="20" t="n">
        <x:f>IF(H26=0,0,-SUMIFS('TOPIX_M1'!F7:F53,'TOPIX_M1'!F7:F53,"&lt;0")/H26)</x:f>
        <x:v>31696.909090909092</x:v>
      </x:c>
      <x:c r="M26" s="28" t="n">
        <x:f>IF(COUNTIFS('TOPIX_M1'!J7:J53,"&gt;0")=0,"",AVERAGEIFS('TOPIX_M1'!N7:N53,'TOPIX_M1'!J7:J53,"&gt;0"))</x:f>
        <x:v>206.76950354609923</x:v>
      </x:c>
      <x:c r="N26" s="28" t="n">
        <x:f>IF(COUNTIFS('TOPIX_M1'!J7:J53,"&gt;0")=0,"",AVERAGEIFS('TOPIX_M1'!O7:O53,'TOPIX_M1'!J7:J53,"&gt;0"))</x:f>
        <x:v>129.46808510638297</x:v>
      </x:c>
      <x:c r="O26" s="27" t="n">
        <x:f>MAX('TOPIX_M1'!L7:L53)</x:f>
        <x:v>5</x:v>
      </x:c>
      <x:c r="P26" s="2" t="str">
        <x:v>今回の損失削減を重視する昼夜別案</x:v>
      </x:c>
      <x:c r="Q26" s="22" t="n">
        <x:f>COUNTIFS('TOPIX_M1'!J7:J53,"=0")</x:f>
        <x:v>0</x:v>
      </x:c>
    </x:row>
    <x:row r="27" ht="22" customHeight="1">
      <x:c r="A27" s="2" t="str">
        <x:v>TOPIXmini</x:v>
      </x:c>
      <x:c r="B27" s="2" t="str">
        <x:v>M1</x:v>
      </x:c>
      <x:c r="C27" s="2" t="str">
        <x:v>診断3場</x:v>
      </x:c>
      <x:c r="D27" s="20" t="n">
        <x:f>SUM('TOPIX_M1'!D54:D56)</x:f>
        <x:v>200087</x:v>
      </x:c>
      <x:c r="E27" s="20" t="n">
        <x:f>SUM('TOPIX_M1'!E54:E56)</x:f>
        <x:v>165662</x:v>
      </x:c>
      <x:c r="F27" s="20" t="n">
        <x:f>D27-E27</x:f>
        <x:v>34425</x:v>
      </x:c>
      <x:c r="G27" s="27" t="n">
        <x:f>COUNTIFS('TOPIX_M1'!F54:F56,"&gt;0")</x:f>
        <x:v>2</x:v>
      </x:c>
      <x:c r="H27" s="27" t="n">
        <x:f>COUNTIFS('TOPIX_M1'!F54:F56,"&lt;0")</x:f>
        <x:v>1</x:v>
      </x:c>
      <x:c r="I27" s="20" t="n">
        <x:f>F27-MAX(0,LARGE('TOPIX_M1'!F54:F56,1))-MAX(0,LARGE('TOPIX_M1'!F54:F56,2))-MAX(0,LARGE('TOPIX_M1'!F54:F56,3))</x:f>
        <x:v>-27574</x:v>
      </x:c>
      <x:c r="J27" s="27" t="n">
        <x:f>SUM('TOPIX_M1'!J54:J56)</x:f>
        <x:v>27</x:v>
      </x:c>
      <x:c r="K27" s="20" t="n">
        <x:f>MIN('TOPIX_M1'!F54:F56)</x:f>
        <x:v>-27574</x:v>
      </x:c>
      <x:c r="L27" s="20" t="n">
        <x:f>IF(H27=0,0,-SUMIFS('TOPIX_M1'!F54:F56,'TOPIX_M1'!F54:F56,"&lt;0")/H27)</x:f>
        <x:v>27574</x:v>
      </x:c>
      <x:c r="M27" s="28" t="n">
        <x:f>IF(COUNTIFS('TOPIX_M1'!J54:J56,"&gt;0")=0,"",AVERAGEIFS('TOPIX_M1'!N54:N56,'TOPIX_M1'!J54:J56,"&gt;0"))</x:f>
        <x:v>80.41666666666667</x:v>
      </x:c>
      <x:c r="N27" s="28" t="n">
        <x:f>IF(COUNTIFS('TOPIX_M1'!J54:J56,"&gt;0")=0,"",AVERAGEIFS('TOPIX_M1'!O54:O56,'TOPIX_M1'!J54:J56,"&gt;0"))</x:f>
        <x:v>93.51666666666667</x:v>
      </x:c>
      <x:c r="O27" s="27" t="n">
        <x:f>MAX('TOPIX_M1'!L54:L56)</x:f>
        <x:v>5</x:v>
      </x:c>
      <x:c r="P27" s="2" t="str">
        <x:v>今回の損失削減を重視する昼夜別案</x:v>
      </x:c>
      <x:c r="Q27" s="22" t="n">
        <x:f>COUNTIFS('TOPIX_M1'!J54:J56,"=0")</x:f>
        <x:v>0</x:v>
      </x:c>
    </x:row>
    <x:row r="28" ht="22" customHeight="1">
      <x:c r="A28" s="2" t="str">
        <x:v>TOPIXmini</x:v>
      </x:c>
      <x:c r="B28" s="2" t="str">
        <x:v>M2</x:v>
      </x:c>
      <x:c r="C28" s="2" t="str">
        <x:v>全50場</x:v>
      </x:c>
      <x:c r="D28" s="20" t="n">
        <x:f>SUM('TOPIX_M2'!D7:D56)</x:f>
        <x:v>2468986</x:v>
      </x:c>
      <x:c r="E28" s="20" t="n">
        <x:f>SUM('TOPIX_M2'!E7:E56)</x:f>
        <x:v>1472378</x:v>
      </x:c>
      <x:c r="F28" s="20" t="n">
        <x:f>D28-E28</x:f>
        <x:v>996608</x:v>
      </x:c>
      <x:c r="G28" s="27" t="n">
        <x:f>COUNTIFS('TOPIX_M2'!F7:F56,"&gt;0")</x:f>
        <x:v>40</x:v>
      </x:c>
      <x:c r="H28" s="27" t="n">
        <x:f>COUNTIFS('TOPIX_M2'!F7:F56,"&lt;0")</x:f>
        <x:v>10</x:v>
      </x:c>
      <x:c r="I28" s="20" t="n">
        <x:f>F28-MAX(0,LARGE('TOPIX_M2'!F7:F56,1))-MAX(0,LARGE('TOPIX_M2'!F7:F56,2))-MAX(0,LARGE('TOPIX_M2'!F7:F56,3))</x:f>
        <x:v>651862</x:v>
      </x:c>
      <x:c r="J28" s="27" t="n">
        <x:f>SUM('TOPIX_M2'!J7:J56)</x:f>
        <x:v>178</x:v>
      </x:c>
      <x:c r="K28" s="20" t="n">
        <x:f>MIN('TOPIX_M2'!F7:F56)</x:f>
        <x:v>-68328</x:v>
      </x:c>
      <x:c r="L28" s="20" t="n">
        <x:f>IF(H28=0,0,-SUMIFS('TOPIX_M2'!F7:F56,'TOPIX_M2'!F7:F56,"&lt;0")/H28)</x:f>
        <x:v>32533.5</x:v>
      </x:c>
      <x:c r="M28" s="28" t="n">
        <x:f>IF(COUNTIFS('TOPIX_M2'!J7:J56,"&gt;0")=0,"",AVERAGEIFS('TOPIX_M2'!N7:N56,'TOPIX_M2'!J7:J56,"&gt;0"))</x:f>
        <x:v>199.18833333333333</x:v>
      </x:c>
      <x:c r="N28" s="28" t="n">
        <x:f>IF(COUNTIFS('TOPIX_M2'!J7:J56,"&gt;0")=0,"",AVERAGEIFS('TOPIX_M2'!O7:O56,'TOPIX_M2'!J7:J56,"&gt;0"))</x:f>
        <x:v>141.25000000000003</x:v>
      </x:c>
      <x:c r="O28" s="27" t="n">
        <x:f>MAX('TOPIX_M2'!L7:L56)</x:f>
        <x:v>5</x:v>
      </x:c>
      <x:c r="P28" s="2" t="str">
        <x:v>異なる優先順位の昼夜別案</x:v>
      </x:c>
      <x:c r="Q28" s="22" t="n">
        <x:f>COUNTIFS('TOPIX_M2'!J7:J56,"=0")</x:f>
        <x:v>0</x:v>
      </x:c>
    </x:row>
    <x:row r="29" ht="22" customHeight="1">
      <x:c r="A29" s="2" t="str">
        <x:v>TOPIXmini</x:v>
      </x:c>
      <x:c r="B29" s="2" t="str">
        <x:v>M2</x:v>
      </x:c>
      <x:c r="C29" s="2" t="str">
        <x:v>対照47場</x:v>
      </x:c>
      <x:c r="D29" s="20" t="n">
        <x:f>SUM('TOPIX_M2'!D7:D53)</x:f>
        <x:v>2286986</x:v>
      </x:c>
      <x:c r="E29" s="20" t="n">
        <x:f>SUM('TOPIX_M2'!E7:E53)</x:f>
        <x:v>1280546</x:v>
      </x:c>
      <x:c r="F29" s="20" t="n">
        <x:f>D29-E29</x:f>
        <x:v>1006440</x:v>
      </x:c>
      <x:c r="G29" s="27" t="n">
        <x:f>COUNTIFS('TOPIX_M2'!F7:F53,"&gt;0")</x:f>
        <x:v>38</x:v>
      </x:c>
      <x:c r="H29" s="27" t="n">
        <x:f>COUNTIFS('TOPIX_M2'!F7:F53,"&lt;0")</x:f>
        <x:v>9</x:v>
      </x:c>
      <x:c r="I29" s="20" t="n">
        <x:f>F29-MAX(0,LARGE('TOPIX_M2'!F7:F53,1))-MAX(0,LARGE('TOPIX_M2'!F7:F53,2))-MAX(0,LARGE('TOPIX_M2'!F7:F53,3))</x:f>
        <x:v>661694</x:v>
      </x:c>
      <x:c r="J29" s="27" t="n">
        <x:f>SUM('TOPIX_M2'!J7:J53)</x:f>
        <x:v>156</x:v>
      </x:c>
      <x:c r="K29" s="20" t="n">
        <x:f>MIN('TOPIX_M2'!F7:F53)</x:f>
        <x:v>-41080</x:v>
      </x:c>
      <x:c r="L29" s="20" t="n">
        <x:f>IF(H29=0,0,-SUMIFS('TOPIX_M2'!F7:F53,'TOPIX_M2'!F7:F53,"&lt;0")/H29)</x:f>
        <x:v>28556.333333333332</x:v>
      </x:c>
      <x:c r="M29" s="28" t="n">
        <x:f>IF(COUNTIFS('TOPIX_M2'!J7:J53,"&gt;0")=0,"",AVERAGEIFS('TOPIX_M2'!N7:N53,'TOPIX_M2'!J7:J53,"&gt;0"))</x:f>
        <x:v>206.76950354609923</x:v>
      </x:c>
      <x:c r="N29" s="28" t="n">
        <x:f>IF(COUNTIFS('TOPIX_M2'!J7:J53,"&gt;0")=0,"",AVERAGEIFS('TOPIX_M2'!O7:O53,'TOPIX_M2'!J7:J53,"&gt;0"))</x:f>
        <x:v>142.76347517730497</x:v>
      </x:c>
      <x:c r="O29" s="27" t="n">
        <x:f>MAX('TOPIX_M2'!L7:L53)</x:f>
        <x:v>5</x:v>
      </x:c>
      <x:c r="P29" s="2" t="str">
        <x:v>異なる優先順位の昼夜別案</x:v>
      </x:c>
      <x:c r="Q29" s="22" t="n">
        <x:f>COUNTIFS('TOPIX_M2'!J7:J53,"=0")</x:f>
        <x:v>0</x:v>
      </x:c>
    </x:row>
    <x:row r="30" ht="22" customHeight="1">
      <x:c r="A30" s="2" t="str">
        <x:v>TOPIXmini</x:v>
      </x:c>
      <x:c r="B30" s="2" t="str">
        <x:v>M2</x:v>
      </x:c>
      <x:c r="C30" s="2" t="str">
        <x:v>診断3場</x:v>
      </x:c>
      <x:c r="D30" s="20" t="n">
        <x:f>SUM('TOPIX_M2'!D54:D56)</x:f>
        <x:v>182000</x:v>
      </x:c>
      <x:c r="E30" s="20" t="n">
        <x:f>SUM('TOPIX_M2'!E54:E56)</x:f>
        <x:v>191832</x:v>
      </x:c>
      <x:c r="F30" s="20" t="n">
        <x:f>D30-E30</x:f>
        <x:v>-9832</x:v>
      </x:c>
      <x:c r="G30" s="27" t="n">
        <x:f>COUNTIFS('TOPIX_M2'!F54:F56,"&gt;0")</x:f>
        <x:v>2</x:v>
      </x:c>
      <x:c r="H30" s="27" t="n">
        <x:f>COUNTIFS('TOPIX_M2'!F54:F56,"&lt;0")</x:f>
        <x:v>1</x:v>
      </x:c>
      <x:c r="I30" s="20" t="n">
        <x:f>F30-MAX(0,LARGE('TOPIX_M2'!F54:F56,1))-MAX(0,LARGE('TOPIX_M2'!F54:F56,2))-MAX(0,LARGE('TOPIX_M2'!F54:F56,3))</x:f>
        <x:v>-68328</x:v>
      </x:c>
      <x:c r="J30" s="27" t="n">
        <x:f>SUM('TOPIX_M2'!J54:J56)</x:f>
        <x:v>22</x:v>
      </x:c>
      <x:c r="K30" s="20" t="n">
        <x:f>MIN('TOPIX_M2'!F54:F56)</x:f>
        <x:v>-68328</x:v>
      </x:c>
      <x:c r="L30" s="20" t="n">
        <x:f>IF(H30=0,0,-SUMIFS('TOPIX_M2'!F54:F56,'TOPIX_M2'!F54:F56,"&lt;0")/H30)</x:f>
        <x:v>68328</x:v>
      </x:c>
      <x:c r="M30" s="28" t="n">
        <x:f>IF(COUNTIFS('TOPIX_M2'!J54:J56,"&gt;0")=0,"",AVERAGEIFS('TOPIX_M2'!N54:N56,'TOPIX_M2'!J54:J56,"&gt;0"))</x:f>
        <x:v>80.41666666666667</x:v>
      </x:c>
      <x:c r="N30" s="28" t="n">
        <x:f>IF(COUNTIFS('TOPIX_M2'!J54:J56,"&gt;0")=0,"",AVERAGEIFS('TOPIX_M2'!O54:O56,'TOPIX_M2'!J54:J56,"&gt;0"))</x:f>
        <x:v>117.53888888888889</x:v>
      </x:c>
      <x:c r="O30" s="27" t="n">
        <x:f>MAX('TOPIX_M2'!L54:L56)</x:f>
        <x:v>5</x:v>
      </x:c>
      <x:c r="P30" s="2" t="str">
        <x:v>異なる優先順位の昼夜別案</x:v>
      </x:c>
      <x:c r="Q30" s="22" t="n">
        <x:f>COUNTIFS('TOPIX_M2'!J54:J56,"=0")</x:f>
        <x:v>0</x:v>
      </x:c>
    </x:row>
    <x:row r="33">
      <x:c r="A33" s="31" t="str">
        <x:v>全条件の保存集計（選定案以外も含む）</x:v>
      </x:c>
    </x:row>
    <x:row r="34">
      <x:c r="A34" s="32" t="str">
        <x:v>R列の区分（全場・デイ・ナイト・上昇・下落）とS列の対象場数を確認してください。</x:v>
      </x:c>
    </x:row>
    <x:row r="35" ht="34" customHeight="1">
      <x:c r="A35" s="16" t="str">
        <x:v>商品</x:v>
      </x:c>
      <x:c r="B35" s="17" t="str">
        <x:v>手法ID</x:v>
      </x:c>
      <x:c r="C35" s="17" t="str">
        <x:v>対象</x:v>
      </x:c>
      <x:c r="D35" s="17" t="str">
        <x:v>総利益（円）</x:v>
      </x:c>
      <x:c r="E35" s="17" t="str">
        <x:v>総損失（円）</x:v>
      </x:c>
      <x:c r="F35" s="17" t="str">
        <x:v>収支（円）</x:v>
      </x:c>
      <x:c r="G35" s="17" t="str">
        <x:v>黒字場数</x:v>
      </x:c>
      <x:c r="H35" s="17" t="str">
        <x:v>赤字場数</x:v>
      </x:c>
      <x:c r="I35" s="17" t="str">
        <x:v>上位3黒字除外（円）</x:v>
      </x:c>
      <x:c r="J35" s="17" t="str">
        <x:v>新規回数</x:v>
      </x:c>
      <x:c r="K35" s="17" t="str">
        <x:v>最悪収支（円）</x:v>
      </x:c>
      <x:c r="L35" s="17" t="str">
        <x:v>平均赤字（円）</x:v>
      </x:c>
      <x:c r="M35" s="17" t="str">
        <x:v>初回まで（分）</x:v>
      </x:c>
      <x:c r="N35" s="17" t="str">
        <x:v>保有（分）</x:v>
      </x:c>
      <x:c r="O35" s="17" t="str">
        <x:v>最大片方向保有</x:v>
      </x:c>
      <x:c r="P35" s="17" t="str">
        <x:v>手法名</x:v>
      </x:c>
      <x:c r="Q35" s="17" t="str">
        <x:v>無取引場数</x:v>
      </x:c>
      <x:c r="R35" s="17" t="str">
        <x:v>区分</x:v>
      </x:c>
      <x:c r="S35" s="18" t="str">
        <x:v>対象場数</x:v>
      </x:c>
    </x:row>
    <x:row r="36" ht="22" customHeight="1">
      <x:c r="A36" s="1" t="str">
        <x:v>日経mini</x:v>
      </x:c>
      <x:c r="B36" s="1" t="str">
        <x:v>B5</x:v>
      </x:c>
      <x:c r="C36" s="1" t="str">
        <x:v>全50場</x:v>
      </x:c>
      <x:c r="D36" s="45" t="n">
        <x:v>4215188</x:v>
      </x:c>
      <x:c r="E36" s="45" t="n">
        <x:v>2149740</x:v>
      </x:c>
      <x:c r="F36" s="45" t="n">
        <x:f>D36-E36</x:f>
        <x:v>2065448</x:v>
      </x:c>
      <x:c r="G36" s="47" t="n">
        <x:v>32</x:v>
      </x:c>
      <x:c r="H36" s="47" t="n">
        <x:v>18</x:v>
      </x:c>
      <x:c r="I36" s="45" t="n">
        <x:v>1066368</x:v>
      </x:c>
      <x:c r="J36" s="47" t="n">
        <x:v>108</x:v>
      </x:c>
      <x:c r="K36" s="45" t="n">
        <x:v>-153304</x:v>
      </x:c>
      <x:c r="L36" s="45" t="n">
        <x:v>60566.88888888889</x:v>
      </x:c>
      <x:c r="M36" s="46" t="n">
        <x:v>239.14166666666668</x:v>
      </x:c>
      <x:c r="N36" s="46" t="n">
        <x:v>88.34033333333333</x:v>
      </x:c>
      <x:c r="O36" s="47" t="n">
        <x:v>5</x:v>
      </x:c>
      <x:c r="P36" s="1" t="str">
        <x:v>従来基準</x:v>
      </x:c>
      <x:c r="Q36" s="47" t="n">
        <x:v>0</x:v>
      </x:c>
      <x:c r="R36" s="1" t="str">
        <x:v>全場</x:v>
      </x:c>
      <x:c r="S36" s="47" t="n">
        <x:v>50</x:v>
      </x:c>
    </x:row>
    <x:row r="37" ht="22" customHeight="1">
      <x:c r="A37" s="1" t="str">
        <x:v>日経mini</x:v>
      </x:c>
      <x:c r="B37" s="1" t="str">
        <x:v>B5</x:v>
      </x:c>
      <x:c r="C37" s="1" t="str">
        <x:v>全50場</x:v>
      </x:c>
      <x:c r="D37" s="45" t="n">
        <x:v>2930864</x:v>
      </x:c>
      <x:c r="E37" s="45" t="n">
        <x:v>1361672</x:v>
      </x:c>
      <x:c r="F37" s="45" t="n">
        <x:f>D37-E37</x:f>
        <x:v>1569192</x:v>
      </x:c>
      <x:c r="G37" s="47" t="n">
        <x:v>16</x:v>
      </x:c>
      <x:c r="H37" s="47" t="n">
        <x:v>9</x:v>
      </x:c>
      <x:c r="I37" s="45" t="n">
        <x:v>570112</x:v>
      </x:c>
      <x:c r="J37" s="47" t="n">
        <x:v>62</x:v>
      </x:c>
      <x:c r="K37" s="45" t="n">
        <x:v>-153304</x:v>
      </x:c>
      <x:c r="L37" s="45" t="n">
        <x:v>75989.33333333333</x:v>
      </x:c>
      <x:c r="M37" s="46" t="n">
        <x:v>118.31466666666667</x:v>
      </x:c>
      <x:c r="N37" s="46" t="n">
        <x:v>153.21800000000002</x:v>
      </x:c>
      <x:c r="O37" s="47" t="n">
        <x:v>5</x:v>
      </x:c>
      <x:c r="P37" s="1" t="str">
        <x:v>従来基準</x:v>
      </x:c>
      <x:c r="Q37" s="47" t="n">
        <x:v>0</x:v>
      </x:c>
      <x:c r="R37" s="1" t="str">
        <x:v>デイ</x:v>
      </x:c>
      <x:c r="S37" s="47" t="n">
        <x:v>25</x:v>
      </x:c>
    </x:row>
    <x:row r="38" ht="22" customHeight="1">
      <x:c r="A38" s="1" t="str">
        <x:v>日経mini</x:v>
      </x:c>
      <x:c r="B38" s="1" t="str">
        <x:v>B5</x:v>
      </x:c>
      <x:c r="C38" s="1" t="str">
        <x:v>全50場</x:v>
      </x:c>
      <x:c r="D38" s="45" t="n">
        <x:v>1284324</x:v>
      </x:c>
      <x:c r="E38" s="45" t="n">
        <x:v>788068</x:v>
      </x:c>
      <x:c r="F38" s="45" t="n">
        <x:f>D38-E38</x:f>
        <x:v>496256</x:v>
      </x:c>
      <x:c r="G38" s="47" t="n">
        <x:v>16</x:v>
      </x:c>
      <x:c r="H38" s="47" t="n">
        <x:v>9</x:v>
      </x:c>
      <x:c r="I38" s="45" t="n">
        <x:v>115098</x:v>
      </x:c>
      <x:c r="J38" s="47" t="n">
        <x:v>46</x:v>
      </x:c>
      <x:c r="K38" s="45" t="n">
        <x:v>-80768</x:v>
      </x:c>
      <x:c r="L38" s="45" t="n">
        <x:v>45144.444444444445</x:v>
      </x:c>
      <x:c r="M38" s="46" t="n">
        <x:v>359.9686666666666</x:v>
      </x:c>
      <x:c r="N38" s="46" t="n">
        <x:v>23.462666666666667</x:v>
      </x:c>
      <x:c r="O38" s="47" t="n">
        <x:v>5</x:v>
      </x:c>
      <x:c r="P38" s="1" t="str">
        <x:v>従来基準</x:v>
      </x:c>
      <x:c r="Q38" s="47" t="n">
        <x:v>0</x:v>
      </x:c>
      <x:c r="R38" s="1" t="str">
        <x:v>ナイト</x:v>
      </x:c>
      <x:c r="S38" s="47" t="n">
        <x:v>25</x:v>
      </x:c>
    </x:row>
    <x:row r="39" ht="22" customHeight="1">
      <x:c r="A39" s="1" t="str">
        <x:v>日経mini</x:v>
      </x:c>
      <x:c r="B39" s="1" t="str">
        <x:v>B5</x:v>
      </x:c>
      <x:c r="C39" s="1" t="str">
        <x:v>全50場</x:v>
      </x:c>
      <x:c r="D39" s="45" t="n">
        <x:v>1882630</x:v>
      </x:c>
      <x:c r="E39" s="45" t="n">
        <x:v>1175754</x:v>
      </x:c>
      <x:c r="F39" s="45" t="n">
        <x:f>D39-E39</x:f>
        <x:v>706876</x:v>
      </x:c>
      <x:c r="G39" s="47" t="n">
        <x:v>13</x:v>
      </x:c>
      <x:c r="H39" s="47" t="n">
        <x:v>12</x:v>
      </x:c>
      <x:c r="I39" s="45" t="n">
        <x:v>85180</x:v>
      </x:c>
      <x:c r="J39" s="47" t="n">
        <x:v>51</x:v>
      </x:c>
      <x:c r="K39" s="45" t="n">
        <x:v>-121920</x:v>
      </x:c>
      <x:c r="L39" s="45" t="n">
        <x:v>58659</x:v>
      </x:c>
      <x:c r="M39" s="46" t="n">
        <x:v>237.718</x:v>
      </x:c>
      <x:c r="N39" s="46" t="n">
        <x:v>78.73066666666666</x:v>
      </x:c>
      <x:c r="O39" s="47" t="n">
        <x:v>5</x:v>
      </x:c>
      <x:c r="P39" s="1" t="str">
        <x:v>従来基準</x:v>
      </x:c>
      <x:c r="Q39" s="47" t="n">
        <x:v>0</x:v>
      </x:c>
      <x:c r="R39" s="1" t="str">
        <x:v>上昇</x:v>
      </x:c>
      <x:c r="S39" s="47" t="n">
        <x:v>25</x:v>
      </x:c>
    </x:row>
    <x:row r="40" ht="22" customHeight="1">
      <x:c r="A40" s="1" t="str">
        <x:v>日経mini</x:v>
      </x:c>
      <x:c r="B40" s="1" t="str">
        <x:v>B5</x:v>
      </x:c>
      <x:c r="C40" s="1" t="str">
        <x:v>全50場</x:v>
      </x:c>
      <x:c r="D40" s="45" t="n">
        <x:v>2332558</x:v>
      </x:c>
      <x:c r="E40" s="45" t="n">
        <x:v>973986</x:v>
      </x:c>
      <x:c r="F40" s="45" t="n">
        <x:f>D40-E40</x:f>
        <x:v>1358572</x:v>
      </x:c>
      <x:c r="G40" s="47" t="n">
        <x:v>19</x:v>
      </x:c>
      <x:c r="H40" s="47" t="n">
        <x:v>6</x:v>
      </x:c>
      <x:c r="I40" s="45" t="n">
        <x:v>455492</x:v>
      </x:c>
      <x:c r="J40" s="47" t="n">
        <x:v>57</x:v>
      </x:c>
      <x:c r="K40" s="45" t="n">
        <x:v>-153304</x:v>
      </x:c>
      <x:c r="L40" s="45" t="n">
        <x:v>64382.666666666664</x:v>
      </x:c>
      <x:c r="M40" s="46" t="n">
        <x:v>240.56533333333329</x:v>
      </x:c>
      <x:c r="N40" s="46" t="n">
        <x:v>97.95000000000002</x:v>
      </x:c>
      <x:c r="O40" s="47" t="n">
        <x:v>5</x:v>
      </x:c>
      <x:c r="P40" s="1" t="str">
        <x:v>従来基準</x:v>
      </x:c>
      <x:c r="Q40" s="47" t="n">
        <x:v>0</x:v>
      </x:c>
      <x:c r="R40" s="1" t="str">
        <x:v>下落</x:v>
      </x:c>
      <x:c r="S40" s="47" t="n">
        <x:v>25</x:v>
      </x:c>
    </x:row>
    <x:row r="41" ht="22" customHeight="1">
      <x:c r="A41" s="1" t="str">
        <x:v>日経mini</x:v>
      </x:c>
      <x:c r="B41" s="1" t="str">
        <x:v>B5</x:v>
      </x:c>
      <x:c r="C41" s="1" t="str">
        <x:v>対照47場</x:v>
      </x:c>
      <x:c r="D41" s="45" t="n">
        <x:v>4110572</x:v>
      </x:c>
      <x:c r="E41" s="45" t="n">
        <x:v>1993588</x:v>
      </x:c>
      <x:c r="F41" s="45" t="n">
        <x:f>D41-E41</x:f>
        <x:v>2116984</x:v>
      </x:c>
      <x:c r="G41" s="47" t="n">
        <x:v>31</x:v>
      </x:c>
      <x:c r="H41" s="47" t="n">
        <x:v>16</x:v>
      </x:c>
      <x:c r="I41" s="45" t="n">
        <x:v>1117904</x:v>
      </x:c>
      <x:c r="J41" s="47" t="n">
        <x:v>104</x:v>
      </x:c>
      <x:c r="K41" s="45" t="n">
        <x:v>-153304</x:v>
      </x:c>
      <x:c r="L41" s="45" t="n">
        <x:v>61839.75</x:v>
      </x:c>
      <x:c r="M41" s="46" t="n">
        <x:v>236.14078014184398</x:v>
      </x:c>
      <x:c r="N41" s="46" t="n">
        <x:v>93.38581560283687</x:v>
      </x:c>
      <x:c r="O41" s="47" t="n">
        <x:v>5</x:v>
      </x:c>
      <x:c r="P41" s="1" t="str">
        <x:v>従来基準</x:v>
      </x:c>
      <x:c r="Q41" s="47" t="n">
        <x:v>0</x:v>
      </x:c>
      <x:c r="R41" s="1" t="str">
        <x:v>全場</x:v>
      </x:c>
      <x:c r="S41" s="47" t="n">
        <x:v>47</x:v>
      </x:c>
    </x:row>
    <x:row r="42" ht="22" customHeight="1">
      <x:c r="A42" s="1" t="str">
        <x:v>日経mini</x:v>
      </x:c>
      <x:c r="B42" s="1" t="str">
        <x:v>B5</x:v>
      </x:c>
      <x:c r="C42" s="1" t="str">
        <x:v>対照47場</x:v>
      </x:c>
      <x:c r="D42" s="45" t="n">
        <x:v>2930864</x:v>
      </x:c>
      <x:c r="E42" s="45" t="n">
        <x:v>1316288</x:v>
      </x:c>
      <x:c r="F42" s="45" t="n">
        <x:f>D42-E42</x:f>
        <x:v>1614576</x:v>
      </x:c>
      <x:c r="G42" s="47" t="n">
        <x:v>16</x:v>
      </x:c>
      <x:c r="H42" s="47" t="n">
        <x:v>8</x:v>
      </x:c>
      <x:c r="I42" s="45" t="n">
        <x:v>615496</x:v>
      </x:c>
      <x:c r="J42" s="47" t="n">
        <x:v>61</x:v>
      </x:c>
      <x:c r="K42" s="45" t="n">
        <x:v>-153304</x:v>
      </x:c>
      <x:c r="L42" s="45" t="n">
        <x:v>79815</x:v>
      </x:c>
      <x:c r="M42" s="46" t="n">
        <x:v>117.47916666666667</x:v>
      </x:c>
      <x:c r="N42" s="46" t="n">
        <x:v>159.42569444444447</x:v>
      </x:c>
      <x:c r="O42" s="47" t="n">
        <x:v>5</x:v>
      </x:c>
      <x:c r="P42" s="1" t="str">
        <x:v>従来基準</x:v>
      </x:c>
      <x:c r="Q42" s="47" t="n">
        <x:v>0</x:v>
      </x:c>
      <x:c r="R42" s="1" t="str">
        <x:v>デイ</x:v>
      </x:c>
      <x:c r="S42" s="47" t="n">
        <x:v>24</x:v>
      </x:c>
    </x:row>
    <x:row r="43" ht="22" customHeight="1">
      <x:c r="A43" s="1" t="str">
        <x:v>日経mini</x:v>
      </x:c>
      <x:c r="B43" s="1" t="str">
        <x:v>B5</x:v>
      </x:c>
      <x:c r="C43" s="1" t="str">
        <x:v>対照47場</x:v>
      </x:c>
      <x:c r="D43" s="45" t="n">
        <x:v>1179708</x:v>
      </x:c>
      <x:c r="E43" s="45" t="n">
        <x:v>677300</x:v>
      </x:c>
      <x:c r="F43" s="45" t="n">
        <x:f>D43-E43</x:f>
        <x:v>502408</x:v>
      </x:c>
      <x:c r="G43" s="47" t="n">
        <x:v>15</x:v>
      </x:c>
      <x:c r="H43" s="47" t="n">
        <x:v>8</x:v>
      </x:c>
      <x:c r="I43" s="45" t="n">
        <x:v>121250</x:v>
      </x:c>
      <x:c r="J43" s="47" t="n">
        <x:v>43</x:v>
      </x:c>
      <x:c r="K43" s="45" t="n">
        <x:v>-80768</x:v>
      </x:c>
      <x:c r="L43" s="45" t="n">
        <x:v>43864.5</x:v>
      </x:c>
      <x:c r="M43" s="46" t="n">
        <x:v>359.96159420289854</x:v>
      </x:c>
      <x:c r="N43" s="46" t="n">
        <x:v>24.474637681159418</x:v>
      </x:c>
      <x:c r="O43" s="47" t="n">
        <x:v>5</x:v>
      </x:c>
      <x:c r="P43" s="1" t="str">
        <x:v>従来基準</x:v>
      </x:c>
      <x:c r="Q43" s="47" t="n">
        <x:v>0</x:v>
      </x:c>
      <x:c r="R43" s="1" t="str">
        <x:v>ナイト</x:v>
      </x:c>
      <x:c r="S43" s="47" t="n">
        <x:v>23</x:v>
      </x:c>
    </x:row>
    <x:row r="44" ht="22" customHeight="1">
      <x:c r="A44" s="1" t="str">
        <x:v>日経mini</x:v>
      </x:c>
      <x:c r="B44" s="1" t="str">
        <x:v>B5</x:v>
      </x:c>
      <x:c r="C44" s="1" t="str">
        <x:v>対照47場</x:v>
      </x:c>
      <x:c r="D44" s="45" t="n">
        <x:v>1882630</x:v>
      </x:c>
      <x:c r="E44" s="45" t="n">
        <x:v>1074986</x:v>
      </x:c>
      <x:c r="F44" s="45" t="n">
        <x:f>D44-E44</x:f>
        <x:v>807644</x:v>
      </x:c>
      <x:c r="G44" s="47" t="n">
        <x:v>13</x:v>
      </x:c>
      <x:c r="H44" s="47" t="n">
        <x:v>10</x:v>
      </x:c>
      <x:c r="I44" s="45" t="n">
        <x:v>185948</x:v>
      </x:c>
      <x:c r="J44" s="47" t="n">
        <x:v>49</x:v>
      </x:c>
      <x:c r="K44" s="45" t="n">
        <x:v>-121920</x:v>
      </x:c>
      <x:c r="L44" s="45" t="n">
        <x:v>60314</x:v>
      </x:c>
      <x:c r="M44" s="46" t="n">
        <x:v>236.71956521739128</x:v>
      </x:c>
      <x:c r="N44" s="46" t="n">
        <x:v>85.32463768115942</x:v>
      </x:c>
      <x:c r="O44" s="47" t="n">
        <x:v>5</x:v>
      </x:c>
      <x:c r="P44" s="1" t="str">
        <x:v>従来基準</x:v>
      </x:c>
      <x:c r="Q44" s="47" t="n">
        <x:v>0</x:v>
      </x:c>
      <x:c r="R44" s="1" t="str">
        <x:v>上昇</x:v>
      </x:c>
      <x:c r="S44" s="47" t="n">
        <x:v>23</x:v>
      </x:c>
    </x:row>
    <x:row r="45" ht="22" customHeight="1">
      <x:c r="A45" s="1" t="str">
        <x:v>日経mini</x:v>
      </x:c>
      <x:c r="B45" s="1" t="str">
        <x:v>B5</x:v>
      </x:c>
      <x:c r="C45" s="1" t="str">
        <x:v>対照47場</x:v>
      </x:c>
      <x:c r="D45" s="45" t="n">
        <x:v>2227942</x:v>
      </x:c>
      <x:c r="E45" s="45" t="n">
        <x:v>918602</x:v>
      </x:c>
      <x:c r="F45" s="45" t="n">
        <x:f>D45-E45</x:f>
        <x:v>1309340</x:v>
      </x:c>
      <x:c r="G45" s="47" t="n">
        <x:v>18</x:v>
      </x:c>
      <x:c r="H45" s="47" t="n">
        <x:v>6</x:v>
      </x:c>
      <x:c r="I45" s="45" t="n">
        <x:v>406260</x:v>
      </x:c>
      <x:c r="J45" s="47" t="n">
        <x:v>55</x:v>
      </x:c>
      <x:c r="K45" s="45" t="n">
        <x:v>-153304</x:v>
      </x:c>
      <x:c r="L45" s="45" t="n">
        <x:v>64382.666666666664</x:v>
      </x:c>
      <x:c r="M45" s="46" t="n">
        <x:v>235.58611111111108</x:v>
      </x:c>
      <x:c r="N45" s="46" t="n">
        <x:v>101.11111111111113</x:v>
      </x:c>
      <x:c r="O45" s="47" t="n">
        <x:v>5</x:v>
      </x:c>
      <x:c r="P45" s="1" t="str">
        <x:v>従来基準</x:v>
      </x:c>
      <x:c r="Q45" s="47" t="n">
        <x:v>0</x:v>
      </x:c>
      <x:c r="R45" s="1" t="str">
        <x:v>下落</x:v>
      </x:c>
      <x:c r="S45" s="47" t="n">
        <x:v>24</x:v>
      </x:c>
    </x:row>
    <x:row r="46" ht="22" customHeight="1">
      <x:c r="A46" s="1" t="str">
        <x:v>日経mini</x:v>
      </x:c>
      <x:c r="B46" s="1" t="str">
        <x:v>B5</x:v>
      </x:c>
      <x:c r="C46" s="1" t="str">
        <x:v>診断3場</x:v>
      </x:c>
      <x:c r="D46" s="45" t="n">
        <x:v>104616</x:v>
      </x:c>
      <x:c r="E46" s="45" t="n">
        <x:v>156152</x:v>
      </x:c>
      <x:c r="F46" s="45" t="n">
        <x:f>D46-E46</x:f>
        <x:v>-51536</x:v>
      </x:c>
      <x:c r="G46" s="47" t="n">
        <x:v>1</x:v>
      </x:c>
      <x:c r="H46" s="47" t="n">
        <x:v>2</x:v>
      </x:c>
      <x:c r="I46" s="45" t="n">
        <x:v>-100768</x:v>
      </x:c>
      <x:c r="J46" s="47" t="n">
        <x:v>4</x:v>
      </x:c>
      <x:c r="K46" s="45" t="n">
        <x:v>-55384</x:v>
      </x:c>
      <x:c r="L46" s="45" t="n">
        <x:v>50384</x:v>
      </x:c>
      <x:c r="M46" s="46" t="n">
        <x:v>286.15555555555557</x:v>
      </x:c>
      <x:c r="N46" s="46" t="n">
        <x:v>9.294444444444444</x:v>
      </x:c>
      <x:c r="O46" s="47" t="n">
        <x:v>5</x:v>
      </x:c>
      <x:c r="P46" s="1" t="str">
        <x:v>従来基準</x:v>
      </x:c>
      <x:c r="Q46" s="47" t="n">
        <x:v>0</x:v>
      </x:c>
      <x:c r="R46" s="1" t="str">
        <x:v>全場</x:v>
      </x:c>
      <x:c r="S46" s="47" t="n">
        <x:v>3</x:v>
      </x:c>
    </x:row>
    <x:row r="47" ht="22" customHeight="1">
      <x:c r="A47" s="1" t="str">
        <x:v>日経mini</x:v>
      </x:c>
      <x:c r="B47" s="1" t="str">
        <x:v>B5</x:v>
      </x:c>
      <x:c r="C47" s="1" t="str">
        <x:v>診断3場</x:v>
      </x:c>
      <x:c r="D47" s="45" t="n">
        <x:v>0</x:v>
      </x:c>
      <x:c r="E47" s="45" t="n">
        <x:v>45384</x:v>
      </x:c>
      <x:c r="F47" s="45" t="n">
        <x:f>D47-E47</x:f>
        <x:v>-45384</x:v>
      </x:c>
      <x:c r="G47" s="47" t="n">
        <x:v>0</x:v>
      </x:c>
      <x:c r="H47" s="47" t="n">
        <x:v>1</x:v>
      </x:c>
      <x:c r="I47" s="45" t="n">
        <x:v>-45384</x:v>
      </x:c>
      <x:c r="J47" s="47" t="n">
        <x:v>1</x:v>
      </x:c>
      <x:c r="K47" s="45" t="n">
        <x:v>-45384</x:v>
      </x:c>
      <x:c r="L47" s="45" t="n">
        <x:v>45384</x:v>
      </x:c>
      <x:c r="M47" s="46" t="n">
        <x:v>138.36666666666667</x:v>
      </x:c>
      <x:c r="N47" s="46" t="n">
        <x:v>4.233333333333333</x:v>
      </x:c>
      <x:c r="O47" s="47" t="n">
        <x:v>5</x:v>
      </x:c>
      <x:c r="P47" s="1" t="str">
        <x:v>従来基準</x:v>
      </x:c>
      <x:c r="Q47" s="47" t="n">
        <x:v>0</x:v>
      </x:c>
      <x:c r="R47" s="1" t="str">
        <x:v>デイ</x:v>
      </x:c>
      <x:c r="S47" s="47" t="n">
        <x:v>1</x:v>
      </x:c>
    </x:row>
    <x:row r="48" ht="22" customHeight="1">
      <x:c r="A48" s="1" t="str">
        <x:v>日経mini</x:v>
      </x:c>
      <x:c r="B48" s="1" t="str">
        <x:v>B5</x:v>
      </x:c>
      <x:c r="C48" s="1" t="str">
        <x:v>診断3場</x:v>
      </x:c>
      <x:c r="D48" s="45" t="n">
        <x:v>104616</x:v>
      </x:c>
      <x:c r="E48" s="45" t="n">
        <x:v>110768</x:v>
      </x:c>
      <x:c r="F48" s="45" t="n">
        <x:f>D48-E48</x:f>
        <x:v>-6152</x:v>
      </x:c>
      <x:c r="G48" s="47" t="n">
        <x:v>1</x:v>
      </x:c>
      <x:c r="H48" s="47" t="n">
        <x:v>1</x:v>
      </x:c>
      <x:c r="I48" s="45" t="n">
        <x:v>-55384</x:v>
      </x:c>
      <x:c r="J48" s="47" t="n">
        <x:v>3</x:v>
      </x:c>
      <x:c r="K48" s="45" t="n">
        <x:v>-55384</x:v>
      </x:c>
      <x:c r="L48" s="45" t="n">
        <x:v>55384</x:v>
      </x:c>
      <x:c r="M48" s="46" t="n">
        <x:v>360.05</x:v>
      </x:c>
      <x:c r="N48" s="46" t="n">
        <x:v>11.825</x:v>
      </x:c>
      <x:c r="O48" s="47" t="n">
        <x:v>5</x:v>
      </x:c>
      <x:c r="P48" s="1" t="str">
        <x:v>従来基準</x:v>
      </x:c>
      <x:c r="Q48" s="47" t="n">
        <x:v>0</x:v>
      </x:c>
      <x:c r="R48" s="1" t="str">
        <x:v>ナイト</x:v>
      </x:c>
      <x:c r="S48" s="47" t="n">
        <x:v>2</x:v>
      </x:c>
    </x:row>
    <x:row r="49" ht="22" customHeight="1">
      <x:c r="A49" s="1" t="str">
        <x:v>日経mini</x:v>
      </x:c>
      <x:c r="B49" s="1" t="str">
        <x:v>B5</x:v>
      </x:c>
      <x:c r="C49" s="1" t="str">
        <x:v>診断3場</x:v>
      </x:c>
      <x:c r="D49" s="45" t="n">
        <x:v>0</x:v>
      </x:c>
      <x:c r="E49" s="45" t="n">
        <x:v>100768</x:v>
      </x:c>
      <x:c r="F49" s="45" t="n">
        <x:f>D49-E49</x:f>
        <x:v>-100768</x:v>
      </x:c>
      <x:c r="G49" s="47" t="n">
        <x:v>0</x:v>
      </x:c>
      <x:c r="H49" s="47" t="n">
        <x:v>2</x:v>
      </x:c>
      <x:c r="I49" s="45" t="n">
        <x:v>-100768</x:v>
      </x:c>
      <x:c r="J49" s="47" t="n">
        <x:v>2</x:v>
      </x:c>
      <x:c r="K49" s="45" t="n">
        <x:v>-55384</x:v>
      </x:c>
      <x:c r="L49" s="45" t="n">
        <x:v>50384</x:v>
      </x:c>
      <x:c r="M49" s="46" t="n">
        <x:v>249.20000000000002</x:v>
      </x:c>
      <x:c r="N49" s="46" t="n">
        <x:v>2.9</x:v>
      </x:c>
      <x:c r="O49" s="47" t="n">
        <x:v>5</x:v>
      </x:c>
      <x:c r="P49" s="1" t="str">
        <x:v>従来基準</x:v>
      </x:c>
      <x:c r="Q49" s="47" t="n">
        <x:v>0</x:v>
      </x:c>
      <x:c r="R49" s="1" t="str">
        <x:v>上昇</x:v>
      </x:c>
      <x:c r="S49" s="47" t="n">
        <x:v>2</x:v>
      </x:c>
    </x:row>
    <x:row r="50" ht="22" customHeight="1">
      <x:c r="A50" s="1" t="str">
        <x:v>日経mini</x:v>
      </x:c>
      <x:c r="B50" s="1" t="str">
        <x:v>B5</x:v>
      </x:c>
      <x:c r="C50" s="1" t="str">
        <x:v>診断3場</x:v>
      </x:c>
      <x:c r="D50" s="45" t="n">
        <x:v>104616</x:v>
      </x:c>
      <x:c r="E50" s="45" t="n">
        <x:v>55384</x:v>
      </x:c>
      <x:c r="F50" s="45" t="n">
        <x:f>D50-E50</x:f>
        <x:v>49232</x:v>
      </x:c>
      <x:c r="G50" s="47" t="n">
        <x:v>1</x:v>
      </x:c>
      <x:c r="H50" s="47" t="n">
        <x:v>0</x:v>
      </x:c>
      <x:c r="I50" s="45" t="n">
        <x:v>0</x:v>
      </x:c>
      <x:c r="J50" s="47" t="n">
        <x:v>2</x:v>
      </x:c>
      <x:c r="K50" s="45" t="n">
        <x:v>49232</x:v>
      </x:c>
      <x:c r="L50" s="45" t="n">
        <x:v>0</x:v>
      </x:c>
      <x:c r="M50" s="46" t="n">
        <x:v>360.06666666666666</x:v>
      </x:c>
      <x:c r="N50" s="46" t="n">
        <x:v>22.083333333333332</x:v>
      </x:c>
      <x:c r="O50" s="47" t="n">
        <x:v>5</x:v>
      </x:c>
      <x:c r="P50" s="1" t="str">
        <x:v>従来基準</x:v>
      </x:c>
      <x:c r="Q50" s="47" t="n">
        <x:v>0</x:v>
      </x:c>
      <x:c r="R50" s="1" t="str">
        <x:v>下落</x:v>
      </x:c>
      <x:c r="S50" s="47" t="n">
        <x:v>1</x:v>
      </x:c>
    </x:row>
    <x:row r="51" ht="22" customHeight="1">
      <x:c r="A51" s="1" t="str">
        <x:v>日経mini</x:v>
      </x:c>
      <x:c r="B51" s="1" t="str">
        <x:v>G01</x:v>
      </x:c>
      <x:c r="C51" s="1" t="str">
        <x:v>全50場</x:v>
      </x:c>
      <x:c r="D51" s="45" t="n">
        <x:v>5678936</x:v>
      </x:c>
      <x:c r="E51" s="45" t="n">
        <x:v>3032120</x:v>
      </x:c>
      <x:c r="F51" s="45" t="n">
        <x:f>D51-E51</x:f>
        <x:v>2646816</x:v>
      </x:c>
      <x:c r="G51" s="47" t="n">
        <x:v>33</x:v>
      </x:c>
      <x:c r="H51" s="47" t="n">
        <x:v>17</x:v>
      </x:c>
      <x:c r="I51" s="45" t="n">
        <x:v>1438884</x:v>
      </x:c>
      <x:c r="J51" s="47" t="n">
        <x:v>241</x:v>
      </x:c>
      <x:c r="K51" s="45" t="n">
        <x:v>-121914</x:v>
      </x:c>
      <x:c r="L51" s="45" t="n">
        <x:v>59576.35294117647</x:v>
      </x:c>
      <x:c r="M51" s="46" t="n">
        <x:v>223.976</x:v>
      </x:c>
      <x:c r="N51" s="46" t="n">
        <x:v>119.50766666666667</x:v>
      </x:c>
      <x:c r="O51" s="47" t="n">
        <x:v>10</x:v>
      </x:c>
      <x:c r="P51" s="1" t="str">
        <x:v>40分逆方向の単純禁止</x:v>
      </x:c>
      <x:c r="Q51" s="47" t="n">
        <x:v>0</x:v>
      </x:c>
      <x:c r="R51" s="1" t="str">
        <x:v>全場</x:v>
      </x:c>
      <x:c r="S51" s="47" t="n">
        <x:v>50</x:v>
      </x:c>
    </x:row>
    <x:row r="52" ht="22" customHeight="1">
      <x:c r="A52" s="1" t="str">
        <x:v>日経mini</x:v>
      </x:c>
      <x:c r="B52" s="1" t="str">
        <x:v>G01</x:v>
      </x:c>
      <x:c r="C52" s="1" t="str">
        <x:v>全50場</x:v>
      </x:c>
      <x:c r="D52" s="45" t="n">
        <x:v>3969682</x:v>
      </x:c>
      <x:c r="E52" s="45" t="n">
        <x:v>2088052</x:v>
      </x:c>
      <x:c r="F52" s="45" t="n">
        <x:f>D52-E52</x:f>
        <x:v>1881630</x:v>
      </x:c>
      <x:c r="G52" s="47" t="n">
        <x:v>16</x:v>
      </x:c>
      <x:c r="H52" s="47" t="n">
        <x:v>9</x:v>
      </x:c>
      <x:c r="I52" s="45" t="n">
        <x:v>673698</x:v>
      </x:c>
      <x:c r="J52" s="47" t="n">
        <x:v>177</x:v>
      </x:c>
      <x:c r="K52" s="45" t="n">
        <x:v>-121914</x:v>
      </x:c>
      <x:c r="L52" s="45" t="n">
        <x:v>69311.77777777778</x:v>
      </x:c>
      <x:c r="M52" s="46" t="n">
        <x:v>89.13733333333333</x:v>
      </x:c>
      <x:c r="N52" s="46" t="n">
        <x:v>212.06133333333335</x:v>
      </x:c>
      <x:c r="O52" s="47" t="n">
        <x:v>10</x:v>
      </x:c>
      <x:c r="P52" s="1" t="str">
        <x:v>40分逆方向の単純禁止</x:v>
      </x:c>
      <x:c r="Q52" s="47" t="n">
        <x:v>0</x:v>
      </x:c>
      <x:c r="R52" s="1" t="str">
        <x:v>デイ</x:v>
      </x:c>
      <x:c r="S52" s="47" t="n">
        <x:v>25</x:v>
      </x:c>
    </x:row>
    <x:row r="53" ht="22" customHeight="1">
      <x:c r="A53" s="1" t="str">
        <x:v>日経mini</x:v>
      </x:c>
      <x:c r="B53" s="1" t="str">
        <x:v>G01</x:v>
      </x:c>
      <x:c r="C53" s="1" t="str">
        <x:v>全50場</x:v>
      </x:c>
      <x:c r="D53" s="45" t="n">
        <x:v>1709254</x:v>
      </x:c>
      <x:c r="E53" s="45" t="n">
        <x:v>944068</x:v>
      </x:c>
      <x:c r="F53" s="45" t="n">
        <x:f>D53-E53</x:f>
        <x:v>765186</x:v>
      </x:c>
      <x:c r="G53" s="47" t="n">
        <x:v>17</x:v>
      </x:c>
      <x:c r="H53" s="47" t="n">
        <x:v>8</x:v>
      </x:c>
      <x:c r="I53" s="45" t="n">
        <x:v>182872</x:v>
      </x:c>
      <x:c r="J53" s="47" t="n">
        <x:v>64</x:v>
      </x:c>
      <x:c r="K53" s="45" t="n">
        <x:v>-80768</x:v>
      </x:c>
      <x:c r="L53" s="45" t="n">
        <x:v>48624</x:v>
      </x:c>
      <x:c r="M53" s="46" t="n">
        <x:v>358.8146666666666</x:v>
      </x:c>
      <x:c r="N53" s="46" t="n">
        <x:v>26.954</x:v>
      </x:c>
      <x:c r="O53" s="47" t="n">
        <x:v>8</x:v>
      </x:c>
      <x:c r="P53" s="1" t="str">
        <x:v>40分逆方向の単純禁止</x:v>
      </x:c>
      <x:c r="Q53" s="47" t="n">
        <x:v>0</x:v>
      </x:c>
      <x:c r="R53" s="1" t="str">
        <x:v>ナイト</x:v>
      </x:c>
      <x:c r="S53" s="47" t="n">
        <x:v>25</x:v>
      </x:c>
    </x:row>
    <x:row r="54" ht="22" customHeight="1">
      <x:c r="A54" s="1" t="str">
        <x:v>日経mini</x:v>
      </x:c>
      <x:c r="B54" s="1" t="str">
        <x:v>G01</x:v>
      </x:c>
      <x:c r="C54" s="1" t="str">
        <x:v>全50場</x:v>
      </x:c>
      <x:c r="D54" s="45" t="n">
        <x:v>3008972</x:v>
      </x:c>
      <x:c r="E54" s="45" t="n">
        <x:v>1753212</x:v>
      </x:c>
      <x:c r="F54" s="45" t="n">
        <x:f>D54-E54</x:f>
        <x:v>1255760</x:v>
      </x:c>
      <x:c r="G54" s="47" t="n">
        <x:v>14</x:v>
      </x:c>
      <x:c r="H54" s="47" t="n">
        <x:v>11</x:v>
      </x:c>
      <x:c r="I54" s="45" t="n">
        <x:v>212592</x:v>
      </x:c>
      <x:c r="J54" s="47" t="n">
        <x:v>134</x:v>
      </x:c>
      <x:c r="K54" s="45" t="n">
        <x:v>-121914</x:v>
      </x:c>
      <x:c r="L54" s="45" t="n">
        <x:v>61640.545454545456</x:v>
      </x:c>
      <x:c r="M54" s="46" t="n">
        <x:v>220.78533333333334</x:v>
      </x:c>
      <x:c r="N54" s="46" t="n">
        <x:v>121.14933333333335</x:v>
      </x:c>
      <x:c r="O54" s="47" t="n">
        <x:v>10</x:v>
      </x:c>
      <x:c r="P54" s="1" t="str">
        <x:v>40分逆方向の単純禁止</x:v>
      </x:c>
      <x:c r="Q54" s="47" t="n">
        <x:v>0</x:v>
      </x:c>
      <x:c r="R54" s="1" t="str">
        <x:v>上昇</x:v>
      </x:c>
      <x:c r="S54" s="47" t="n">
        <x:v>25</x:v>
      </x:c>
    </x:row>
    <x:row r="55" ht="22" customHeight="1">
      <x:c r="A55" s="1" t="str">
        <x:v>日経mini</x:v>
      </x:c>
      <x:c r="B55" s="1" t="str">
        <x:v>G01</x:v>
      </x:c>
      <x:c r="C55" s="1" t="str">
        <x:v>全50場</x:v>
      </x:c>
      <x:c r="D55" s="45" t="n">
        <x:v>2669964</x:v>
      </x:c>
      <x:c r="E55" s="45" t="n">
        <x:v>1278908</x:v>
      </x:c>
      <x:c r="F55" s="45" t="n">
        <x:f>D55-E55</x:f>
        <x:v>1391056</x:v>
      </x:c>
      <x:c r="G55" s="47" t="n">
        <x:v>19</x:v>
      </x:c>
      <x:c r="H55" s="47" t="n">
        <x:v>6</x:v>
      </x:c>
      <x:c r="I55" s="45" t="n">
        <x:v>461896</x:v>
      </x:c>
      <x:c r="J55" s="47" t="n">
        <x:v>107</x:v>
      </x:c>
      <x:c r="K55" s="45" t="n">
        <x:v>-106152</x:v>
      </x:c>
      <x:c r="L55" s="45" t="n">
        <x:v>55792</x:v>
      </x:c>
      <x:c r="M55" s="46" t="n">
        <x:v>227.16666666666663</x:v>
      </x:c>
      <x:c r="N55" s="46" t="n">
        <x:v>117.866</x:v>
      </x:c>
      <x:c r="O55" s="47" t="n">
        <x:v>9</x:v>
      </x:c>
      <x:c r="P55" s="1" t="str">
        <x:v>40分逆方向の単純禁止</x:v>
      </x:c>
      <x:c r="Q55" s="47" t="n">
        <x:v>0</x:v>
      </x:c>
      <x:c r="R55" s="1" t="str">
        <x:v>下落</x:v>
      </x:c>
      <x:c r="S55" s="47" t="n">
        <x:v>25</x:v>
      </x:c>
    </x:row>
    <x:row r="56" ht="22" customHeight="1">
      <x:c r="A56" s="1" t="str">
        <x:v>日経mini</x:v>
      </x:c>
      <x:c r="B56" s="1" t="str">
        <x:v>G01</x:v>
      </x:c>
      <x:c r="C56" s="1" t="str">
        <x:v>対照47場</x:v>
      </x:c>
      <x:c r="D56" s="45" t="n">
        <x:v>5568702</x:v>
      </x:c>
      <x:c r="E56" s="45" t="n">
        <x:v>2853814</x:v>
      </x:c>
      <x:c r="F56" s="45" t="n">
        <x:f>D56-E56</x:f>
        <x:v>2714888</x:v>
      </x:c>
      <x:c r="G56" s="47" t="n">
        <x:v>32</x:v>
      </x:c>
      <x:c r="H56" s="47" t="n">
        <x:v>15</x:v>
      </x:c>
      <x:c r="I56" s="45" t="n">
        <x:v>1506956</x:v>
      </x:c>
      <x:c r="J56" s="47" t="n">
        <x:v>232</x:v>
      </x:c>
      <x:c r="K56" s="45" t="n">
        <x:v>-121914</x:v>
      </x:c>
      <x:c r="L56" s="45" t="n">
        <x:v>61176.53333333333</x:v>
      </x:c>
      <x:c r="M56" s="46" t="n">
        <x:v>220.31276595744677</x:v>
      </x:c>
      <x:c r="N56" s="46" t="n">
        <x:v>125.7031914893617</x:v>
      </x:c>
      <x:c r="O56" s="47" t="n">
        <x:v>10</x:v>
      </x:c>
      <x:c r="P56" s="1" t="str">
        <x:v>40分逆方向の単純禁止</x:v>
      </x:c>
      <x:c r="Q56" s="47" t="n">
        <x:v>0</x:v>
      </x:c>
      <x:c r="R56" s="1" t="str">
        <x:v>全場</x:v>
      </x:c>
      <x:c r="S56" s="47" t="n">
        <x:v>47</x:v>
      </x:c>
    </x:row>
    <x:row r="57" ht="22" customHeight="1">
      <x:c r="A57" s="1" t="str">
        <x:v>日経mini</x:v>
      </x:c>
      <x:c r="B57" s="1" t="str">
        <x:v>G01</x:v>
      </x:c>
      <x:c r="C57" s="1" t="str">
        <x:v>対照47場</x:v>
      </x:c>
      <x:c r="D57" s="45" t="n">
        <x:v>3964064</x:v>
      </x:c>
      <x:c r="E57" s="45" t="n">
        <x:v>2042668</x:v>
      </x:c>
      <x:c r="F57" s="45" t="n">
        <x:f>D57-E57</x:f>
        <x:v>1921396</x:v>
      </x:c>
      <x:c r="G57" s="47" t="n">
        <x:v>16</x:v>
      </x:c>
      <x:c r="H57" s="47" t="n">
        <x:v>8</x:v>
      </x:c>
      <x:c r="I57" s="45" t="n">
        <x:v>713464</x:v>
      </x:c>
      <x:c r="J57" s="47" t="n">
        <x:v>172</x:v>
      </x:c>
      <x:c r="K57" s="45" t="n">
        <x:v>-121914</x:v>
      </x:c>
      <x:c r="L57" s="45" t="n">
        <x:v>73005</x:v>
      </x:c>
      <x:c r="M57" s="46" t="n">
        <x:v>87.68472222222222</x:v>
      </x:c>
      <x:c r="N57" s="46" t="n">
        <x:v>219.43194444444444</x:v>
      </x:c>
      <x:c r="O57" s="47" t="n">
        <x:v>10</x:v>
      </x:c>
      <x:c r="P57" s="1" t="str">
        <x:v>40分逆方向の単純禁止</x:v>
      </x:c>
      <x:c r="Q57" s="47" t="n">
        <x:v>0</x:v>
      </x:c>
      <x:c r="R57" s="1" t="str">
        <x:v>デイ</x:v>
      </x:c>
      <x:c r="S57" s="47" t="n">
        <x:v>24</x:v>
      </x:c>
    </x:row>
    <x:row r="58" ht="22" customHeight="1">
      <x:c r="A58" s="1" t="str">
        <x:v>日経mini</x:v>
      </x:c>
      <x:c r="B58" s="1" t="str">
        <x:v>G01</x:v>
      </x:c>
      <x:c r="C58" s="1" t="str">
        <x:v>対照47場</x:v>
      </x:c>
      <x:c r="D58" s="45" t="n">
        <x:v>1604638</x:v>
      </x:c>
      <x:c r="E58" s="45" t="n">
        <x:v>811146</x:v>
      </x:c>
      <x:c r="F58" s="45" t="n">
        <x:f>D58-E58</x:f>
        <x:v>793492</x:v>
      </x:c>
      <x:c r="G58" s="47" t="n">
        <x:v>16</x:v>
      </x:c>
      <x:c r="H58" s="47" t="n">
        <x:v>7</x:v>
      </x:c>
      <x:c r="I58" s="45" t="n">
        <x:v>211178</x:v>
      </x:c>
      <x:c r="J58" s="47" t="n">
        <x:v>60</x:v>
      </x:c>
      <x:c r="K58" s="45" t="n">
        <x:v>-80768</x:v>
      </x:c>
      <x:c r="L58" s="45" t="n">
        <x:v>47658.28571428572</x:v>
      </x:c>
      <x:c r="M58" s="46" t="n">
        <x:v>358.7072463768116</x:v>
      </x:c>
      <x:c r="N58" s="46" t="n">
        <x:v>27.899275362318843</x:v>
      </x:c>
      <x:c r="O58" s="47" t="n">
        <x:v>8</x:v>
      </x:c>
      <x:c r="P58" s="1" t="str">
        <x:v>40分逆方向の単純禁止</x:v>
      </x:c>
      <x:c r="Q58" s="47" t="n">
        <x:v>0</x:v>
      </x:c>
      <x:c r="R58" s="1" t="str">
        <x:v>ナイト</x:v>
      </x:c>
      <x:c r="S58" s="47" t="n">
        <x:v>23</x:v>
      </x:c>
    </x:row>
    <x:row r="59" ht="22" customHeight="1">
      <x:c r="A59" s="1" t="str">
        <x:v>日経mini</x:v>
      </x:c>
      <x:c r="B59" s="1" t="str">
        <x:v>G01</x:v>
      </x:c>
      <x:c r="C59" s="1" t="str">
        <x:v>対照47場</x:v>
      </x:c>
      <x:c r="D59" s="45" t="n">
        <x:v>3003354</x:v>
      </x:c>
      <x:c r="E59" s="45" t="n">
        <x:v>1652444</x:v>
      </x:c>
      <x:c r="F59" s="45" t="n">
        <x:f>D59-E59</x:f>
        <x:v>1350910</x:v>
      </x:c>
      <x:c r="G59" s="47" t="n">
        <x:v>14</x:v>
      </x:c>
      <x:c r="H59" s="47" t="n">
        <x:v>9</x:v>
      </x:c>
      <x:c r="I59" s="45" t="n">
        <x:v>307742</x:v>
      </x:c>
      <x:c r="J59" s="47" t="n">
        <x:v>128</x:v>
      </x:c>
      <x:c r="K59" s="45" t="n">
        <x:v>-121914</x:v>
      </x:c>
      <x:c r="L59" s="45" t="n">
        <x:v>64766.22222222222</x:v>
      </x:c>
      <x:c r="M59" s="46" t="n">
        <x:v>218.9391304347826</x:v>
      </x:c>
      <x:c r="N59" s="46" t="n">
        <x:v>130.0869565217391</x:v>
      </x:c>
      <x:c r="O59" s="47" t="n">
        <x:v>10</x:v>
      </x:c>
      <x:c r="P59" s="1" t="str">
        <x:v>40分逆方向の単純禁止</x:v>
      </x:c>
      <x:c r="Q59" s="47" t="n">
        <x:v>0</x:v>
      </x:c>
      <x:c r="R59" s="1" t="str">
        <x:v>上昇</x:v>
      </x:c>
      <x:c r="S59" s="47" t="n">
        <x:v>23</x:v>
      </x:c>
    </x:row>
    <x:row r="60" ht="22" customHeight="1">
      <x:c r="A60" s="1" t="str">
        <x:v>日経mini</x:v>
      </x:c>
      <x:c r="B60" s="1" t="str">
        <x:v>G01</x:v>
      </x:c>
      <x:c r="C60" s="1" t="str">
        <x:v>対照47場</x:v>
      </x:c>
      <x:c r="D60" s="45" t="n">
        <x:v>2565348</x:v>
      </x:c>
      <x:c r="E60" s="45" t="n">
        <x:v>1201370</x:v>
      </x:c>
      <x:c r="F60" s="45" t="n">
        <x:f>D60-E60</x:f>
        <x:v>1363978</x:v>
      </x:c>
      <x:c r="G60" s="47" t="n">
        <x:v>18</x:v>
      </x:c>
      <x:c r="H60" s="47" t="n">
        <x:v>6</x:v>
      </x:c>
      <x:c r="I60" s="45" t="n">
        <x:v>434818</x:v>
      </x:c>
      <x:c r="J60" s="47" t="n">
        <x:v>104</x:v>
      </x:c>
      <x:c r="K60" s="45" t="n">
        <x:v>-106152</x:v>
      </x:c>
      <x:c r="L60" s="45" t="n">
        <x:v>55792</x:v>
      </x:c>
      <x:c r="M60" s="46" t="n">
        <x:v>221.62916666666663</x:v>
      </x:c>
      <x:c r="N60" s="46" t="n">
        <x:v>121.50208333333335</x:v>
      </x:c>
      <x:c r="O60" s="47" t="n">
        <x:v>9</x:v>
      </x:c>
      <x:c r="P60" s="1" t="str">
        <x:v>40分逆方向の単純禁止</x:v>
      </x:c>
      <x:c r="Q60" s="47" t="n">
        <x:v>0</x:v>
      </x:c>
      <x:c r="R60" s="1" t="str">
        <x:v>下落</x:v>
      </x:c>
      <x:c r="S60" s="47" t="n">
        <x:v>24</x:v>
      </x:c>
    </x:row>
    <x:row r="61" ht="22" customHeight="1">
      <x:c r="A61" s="1" t="str">
        <x:v>日経mini</x:v>
      </x:c>
      <x:c r="B61" s="1" t="str">
        <x:v>G01</x:v>
      </x:c>
      <x:c r="C61" s="1" t="str">
        <x:v>診断3場</x:v>
      </x:c>
      <x:c r="D61" s="45" t="n">
        <x:v>110234</x:v>
      </x:c>
      <x:c r="E61" s="45" t="n">
        <x:v>178306</x:v>
      </x:c>
      <x:c r="F61" s="45" t="n">
        <x:f>D61-E61</x:f>
        <x:v>-68072</x:v>
      </x:c>
      <x:c r="G61" s="47" t="n">
        <x:v>1</x:v>
      </x:c>
      <x:c r="H61" s="47" t="n">
        <x:v>2</x:v>
      </x:c>
      <x:c r="I61" s="45" t="n">
        <x:v>-95150</x:v>
      </x:c>
      <x:c r="J61" s="47" t="n">
        <x:v>9</x:v>
      </x:c>
      <x:c r="K61" s="45" t="n">
        <x:v>-55384</x:v>
      </x:c>
      <x:c r="L61" s="45" t="n">
        <x:v>47575</x:v>
      </x:c>
      <x:c r="M61" s="46" t="n">
        <x:v>281.3666666666667</x:v>
      </x:c>
      <x:c r="N61" s="46" t="n">
        <x:v>22.444444444444443</x:v>
      </x:c>
      <x:c r="O61" s="47" t="n">
        <x:v>9</x:v>
      </x:c>
      <x:c r="P61" s="1" t="str">
        <x:v>40分逆方向の単純禁止</x:v>
      </x:c>
      <x:c r="Q61" s="47" t="n">
        <x:v>0</x:v>
      </x:c>
      <x:c r="R61" s="1" t="str">
        <x:v>全場</x:v>
      </x:c>
      <x:c r="S61" s="47" t="n">
        <x:v>3</x:v>
      </x:c>
    </x:row>
    <x:row r="62" ht="22" customHeight="1">
      <x:c r="A62" s="1" t="str">
        <x:v>日経mini</x:v>
      </x:c>
      <x:c r="B62" s="1" t="str">
        <x:v>G01</x:v>
      </x:c>
      <x:c r="C62" s="1" t="str">
        <x:v>診断3場</x:v>
      </x:c>
      <x:c r="D62" s="45" t="n">
        <x:v>5618</x:v>
      </x:c>
      <x:c r="E62" s="45" t="n">
        <x:v>45384</x:v>
      </x:c>
      <x:c r="F62" s="45" t="n">
        <x:f>D62-E62</x:f>
        <x:v>-39766</x:v>
      </x:c>
      <x:c r="G62" s="47" t="n">
        <x:v>0</x:v>
      </x:c>
      <x:c r="H62" s="47" t="n">
        <x:v>1</x:v>
      </x:c>
      <x:c r="I62" s="45" t="n">
        <x:v>-39766</x:v>
      </x:c>
      <x:c r="J62" s="47" t="n">
        <x:v>5</x:v>
      </x:c>
      <x:c r="K62" s="45" t="n">
        <x:v>-39766</x:v>
      </x:c>
      <x:c r="L62" s="45" t="n">
        <x:v>39766</x:v>
      </x:c>
      <x:c r="M62" s="46" t="n">
        <x:v>124</x:v>
      </x:c>
      <x:c r="N62" s="46" t="n">
        <x:v>35.166666666666664</x:v>
      </x:c>
      <x:c r="O62" s="47" t="n">
        <x:v>9</x:v>
      </x:c>
      <x:c r="P62" s="1" t="str">
        <x:v>40分逆方向の単純禁止</x:v>
      </x:c>
      <x:c r="Q62" s="47" t="n">
        <x:v>0</x:v>
      </x:c>
      <x:c r="R62" s="1" t="str">
        <x:v>デイ</x:v>
      </x:c>
      <x:c r="S62" s="47" t="n">
        <x:v>1</x:v>
      </x:c>
    </x:row>
    <x:row r="63" ht="22" customHeight="1">
      <x:c r="A63" s="1" t="str">
        <x:v>日経mini</x:v>
      </x:c>
      <x:c r="B63" s="1" t="str">
        <x:v>G01</x:v>
      </x:c>
      <x:c r="C63" s="1" t="str">
        <x:v>診断3場</x:v>
      </x:c>
      <x:c r="D63" s="45" t="n">
        <x:v>104616</x:v>
      </x:c>
      <x:c r="E63" s="45" t="n">
        <x:v>132922</x:v>
      </x:c>
      <x:c r="F63" s="45" t="n">
        <x:f>D63-E63</x:f>
        <x:v>-28306</x:v>
      </x:c>
      <x:c r="G63" s="47" t="n">
        <x:v>1</x:v>
      </x:c>
      <x:c r="H63" s="47" t="n">
        <x:v>1</x:v>
      </x:c>
      <x:c r="I63" s="45" t="n">
        <x:v>-55384</x:v>
      </x:c>
      <x:c r="J63" s="47" t="n">
        <x:v>4</x:v>
      </x:c>
      <x:c r="K63" s="45" t="n">
        <x:v>-55384</x:v>
      </x:c>
      <x:c r="L63" s="45" t="n">
        <x:v>55384</x:v>
      </x:c>
      <x:c r="M63" s="46" t="n">
        <x:v>360.05</x:v>
      </x:c>
      <x:c r="N63" s="46" t="n">
        <x:v>16.083333333333336</x:v>
      </x:c>
      <x:c r="O63" s="47" t="n">
        <x:v>5</x:v>
      </x:c>
      <x:c r="P63" s="1" t="str">
        <x:v>40分逆方向の単純禁止</x:v>
      </x:c>
      <x:c r="Q63" s="47" t="n">
        <x:v>0</x:v>
      </x:c>
      <x:c r="R63" s="1" t="str">
        <x:v>ナイト</x:v>
      </x:c>
      <x:c r="S63" s="47" t="n">
        <x:v>2</x:v>
      </x:c>
    </x:row>
    <x:row r="64" ht="22" customHeight="1">
      <x:c r="A64" s="1" t="str">
        <x:v>日経mini</x:v>
      </x:c>
      <x:c r="B64" s="1" t="str">
        <x:v>G01</x:v>
      </x:c>
      <x:c r="C64" s="1" t="str">
        <x:v>診断3場</x:v>
      </x:c>
      <x:c r="D64" s="45" t="n">
        <x:v>5618</x:v>
      </x:c>
      <x:c r="E64" s="45" t="n">
        <x:v>100768</x:v>
      </x:c>
      <x:c r="F64" s="45" t="n">
        <x:f>D64-E64</x:f>
        <x:v>-95150</x:v>
      </x:c>
      <x:c r="G64" s="47" t="n">
        <x:v>0</x:v>
      </x:c>
      <x:c r="H64" s="47" t="n">
        <x:v>2</x:v>
      </x:c>
      <x:c r="I64" s="45" t="n">
        <x:v>-95150</x:v>
      </x:c>
      <x:c r="J64" s="47" t="n">
        <x:v>6</x:v>
      </x:c>
      <x:c r="K64" s="45" t="n">
        <x:v>-55384</x:v>
      </x:c>
      <x:c r="L64" s="45" t="n">
        <x:v>47575</x:v>
      </x:c>
      <x:c r="M64" s="46" t="n">
        <x:v>242.01666666666668</x:v>
      </x:c>
      <x:c r="N64" s="46" t="n">
        <x:v>18.366666666666667</x:v>
      </x:c>
      <x:c r="O64" s="47" t="n">
        <x:v>9</x:v>
      </x:c>
      <x:c r="P64" s="1" t="str">
        <x:v>40分逆方向の単純禁止</x:v>
      </x:c>
      <x:c r="Q64" s="47" t="n">
        <x:v>0</x:v>
      </x:c>
      <x:c r="R64" s="1" t="str">
        <x:v>上昇</x:v>
      </x:c>
      <x:c r="S64" s="47" t="n">
        <x:v>2</x:v>
      </x:c>
    </x:row>
    <x:row r="65" ht="22" customHeight="1">
      <x:c r="A65" s="1" t="str">
        <x:v>日経mini</x:v>
      </x:c>
      <x:c r="B65" s="1" t="str">
        <x:v>G01</x:v>
      </x:c>
      <x:c r="C65" s="1" t="str">
        <x:v>診断3場</x:v>
      </x:c>
      <x:c r="D65" s="45" t="n">
        <x:v>104616</x:v>
      </x:c>
      <x:c r="E65" s="45" t="n">
        <x:v>77538</x:v>
      </x:c>
      <x:c r="F65" s="45" t="n">
        <x:f>D65-E65</x:f>
        <x:v>27078</x:v>
      </x:c>
      <x:c r="G65" s="47" t="n">
        <x:v>1</x:v>
      </x:c>
      <x:c r="H65" s="47" t="n">
        <x:v>0</x:v>
      </x:c>
      <x:c r="I65" s="45" t="n">
        <x:v>0</x:v>
      </x:c>
      <x:c r="J65" s="47" t="n">
        <x:v>3</x:v>
      </x:c>
      <x:c r="K65" s="45" t="n">
        <x:v>27078</x:v>
      </x:c>
      <x:c r="L65" s="45" t="n">
        <x:v>0</x:v>
      </x:c>
      <x:c r="M65" s="46" t="n">
        <x:v>360.06666666666666</x:v>
      </x:c>
      <x:c r="N65" s="46" t="n">
        <x:v>30.6</x:v>
      </x:c>
      <x:c r="O65" s="47" t="n">
        <x:v>5</x:v>
      </x:c>
      <x:c r="P65" s="1" t="str">
        <x:v>40分逆方向の単純禁止</x:v>
      </x:c>
      <x:c r="Q65" s="47" t="n">
        <x:v>0</x:v>
      </x:c>
      <x:c r="R65" s="1" t="str">
        <x:v>下落</x:v>
      </x:c>
      <x:c r="S65" s="47" t="n">
        <x:v>1</x:v>
      </x:c>
    </x:row>
    <x:row r="66" ht="22" customHeight="1">
      <x:c r="A66" s="1" t="str">
        <x:v>日経mini</x:v>
      </x:c>
      <x:c r="B66" s="1" t="str">
        <x:v>G02</x:v>
      </x:c>
      <x:c r="C66" s="1" t="str">
        <x:v>全50場</x:v>
      </x:c>
      <x:c r="D66" s="45" t="n">
        <x:v>5948104</x:v>
      </x:c>
      <x:c r="E66" s="45" t="n">
        <x:v>3359042</x:v>
      </x:c>
      <x:c r="F66" s="45" t="n">
        <x:f>D66-E66</x:f>
        <x:v>2589062</x:v>
      </x:c>
      <x:c r="G66" s="47" t="n">
        <x:v>33</x:v>
      </x:c>
      <x:c r="H66" s="47" t="n">
        <x:v>17</x:v>
      </x:c>
      <x:c r="I66" s="45" t="n">
        <x:v>1423896</x:v>
      </x:c>
      <x:c r="J66" s="47" t="n">
        <x:v>275</x:v>
      </x:c>
      <x:c r="K66" s="45" t="n">
        <x:v>-150462</x:v>
      </x:c>
      <x:c r="L66" s="45" t="n">
        <x:v>60829.882352941175</x:v>
      </x:c>
      <x:c r="M66" s="46" t="n">
        <x:v>212.28466666666668</x:v>
      </x:c>
      <x:c r="N66" s="46" t="n">
        <x:v>130.11466666666666</x:v>
      </x:c>
      <x:c r="O66" s="47" t="n">
        <x:v>10</x:v>
      </x:c>
      <x:c r="P66" s="1" t="str">
        <x:v>安値切上げ・高値切下げの再進行</x:v>
      </x:c>
      <x:c r="Q66" s="47" t="n">
        <x:v>0</x:v>
      </x:c>
      <x:c r="R66" s="1" t="str">
        <x:v>全場</x:v>
      </x:c>
      <x:c r="S66" s="47" t="n">
        <x:v>50</x:v>
      </x:c>
    </x:row>
    <x:row r="67" ht="22" customHeight="1">
      <x:c r="A67" s="1" t="str">
        <x:v>日経mini</x:v>
      </x:c>
      <x:c r="B67" s="1" t="str">
        <x:v>G02</x:v>
      </x:c>
      <x:c r="C67" s="1" t="str">
        <x:v>全50場</x:v>
      </x:c>
      <x:c r="D67" s="45" t="n">
        <x:v>3960990</x:v>
      </x:c>
      <x:c r="E67" s="45" t="n">
        <x:v>2240208</x:v>
      </x:c>
      <x:c r="F67" s="45" t="n">
        <x:f>D67-E67</x:f>
        <x:v>1720782</x:v>
      </x:c>
      <x:c r="G67" s="47" t="n">
        <x:v>16</x:v>
      </x:c>
      <x:c r="H67" s="47" t="n">
        <x:v>9</x:v>
      </x:c>
      <x:c r="I67" s="45" t="n">
        <x:v>588464</x:v>
      </x:c>
      <x:c r="J67" s="47" t="n">
        <x:v>182</x:v>
      </x:c>
      <x:c r="K67" s="45" t="n">
        <x:v>-106152</x:v>
      </x:c>
      <x:c r="L67" s="45" t="n">
        <x:v>61278</x:v>
      </x:c>
      <x:c r="M67" s="46" t="n">
        <x:v>87.46866666666666</x:v>
      </x:c>
      <x:c r="N67" s="46" t="n">
        <x:v>223.48733333333334</x:v>
      </x:c>
      <x:c r="O67" s="47" t="n">
        <x:v>10</x:v>
      </x:c>
      <x:c r="P67" s="1" t="str">
        <x:v>安値切上げ・高値切下げの再進行</x:v>
      </x:c>
      <x:c r="Q67" s="47" t="n">
        <x:v>0</x:v>
      </x:c>
      <x:c r="R67" s="1" t="str">
        <x:v>デイ</x:v>
      </x:c>
      <x:c r="S67" s="47" t="n">
        <x:v>25</x:v>
      </x:c>
    </x:row>
    <x:row r="68" ht="22" customHeight="1">
      <x:c r="A68" s="1" t="str">
        <x:v>日経mini</x:v>
      </x:c>
      <x:c r="B68" s="1" t="str">
        <x:v>G02</x:v>
      </x:c>
      <x:c r="C68" s="1" t="str">
        <x:v>全50場</x:v>
      </x:c>
      <x:c r="D68" s="45" t="n">
        <x:v>1987114</x:v>
      </x:c>
      <x:c r="E68" s="45" t="n">
        <x:v>1118834</x:v>
      </x:c>
      <x:c r="F68" s="45" t="n">
        <x:f>D68-E68</x:f>
        <x:v>868280</x:v>
      </x:c>
      <x:c r="G68" s="47" t="n">
        <x:v>17</x:v>
      </x:c>
      <x:c r="H68" s="47" t="n">
        <x:v>8</x:v>
      </x:c>
      <x:c r="I68" s="45" t="n">
        <x:v>213578</x:v>
      </x:c>
      <x:c r="J68" s="47" t="n">
        <x:v>93</x:v>
      </x:c>
      <x:c r="K68" s="45" t="n">
        <x:v>-150462</x:v>
      </x:c>
      <x:c r="L68" s="45" t="n">
        <x:v>60325.75</x:v>
      </x:c>
      <x:c r="M68" s="46" t="n">
        <x:v>337.10066666666665</x:v>
      </x:c>
      <x:c r="N68" s="46" t="n">
        <x:v>36.742000000000004</x:v>
      </x:c>
      <x:c r="O68" s="47" t="n">
        <x:v>7</x:v>
      </x:c>
      <x:c r="P68" s="1" t="str">
        <x:v>安値切上げ・高値切下げの再進行</x:v>
      </x:c>
      <x:c r="Q68" s="47" t="n">
        <x:v>0</x:v>
      </x:c>
      <x:c r="R68" s="1" t="str">
        <x:v>ナイト</x:v>
      </x:c>
      <x:c r="S68" s="47" t="n">
        <x:v>25</x:v>
      </x:c>
    </x:row>
    <x:row r="69" ht="22" customHeight="1">
      <x:c r="A69" s="1" t="str">
        <x:v>日経mini</x:v>
      </x:c>
      <x:c r="B69" s="1" t="str">
        <x:v>G02</x:v>
      </x:c>
      <x:c r="C69" s="1" t="str">
        <x:v>全50場</x:v>
      </x:c>
      <x:c r="D69" s="45" t="n">
        <x:v>3015744</x:v>
      </x:c>
      <x:c r="E69" s="45" t="n">
        <x:v>1825132</x:v>
      </x:c>
      <x:c r="F69" s="45" t="n">
        <x:f>D69-E69</x:f>
        <x:v>1190612</x:v>
      </x:c>
      <x:c r="G69" s="47" t="n">
        <x:v>15</x:v>
      </x:c>
      <x:c r="H69" s="47" t="n">
        <x:v>10</x:v>
      </x:c>
      <x:c r="I69" s="45" t="n">
        <x:v>127902</x:v>
      </x:c>
      <x:c r="J69" s="47" t="n">
        <x:v>145</x:v>
      </x:c>
      <x:c r="K69" s="45" t="n">
        <x:v>-150462</x:v>
      </x:c>
      <x:c r="L69" s="45" t="n">
        <x:v>75066.8</x:v>
      </x:c>
      <x:c r="M69" s="46" t="n">
        <x:v>207.81400000000002</x:v>
      </x:c>
      <x:c r="N69" s="46" t="n">
        <x:v>136.11666666666667</x:v>
      </x:c>
      <x:c r="O69" s="47" t="n">
        <x:v>10</x:v>
      </x:c>
      <x:c r="P69" s="1" t="str">
        <x:v>安値切上げ・高値切下げの再進行</x:v>
      </x:c>
      <x:c r="Q69" s="47" t="n">
        <x:v>0</x:v>
      </x:c>
      <x:c r="R69" s="1" t="str">
        <x:v>上昇</x:v>
      </x:c>
      <x:c r="S69" s="47" t="n">
        <x:v>25</x:v>
      </x:c>
    </x:row>
    <x:row r="70" ht="22" customHeight="1">
      <x:c r="A70" s="1" t="str">
        <x:v>日経mini</x:v>
      </x:c>
      <x:c r="B70" s="1" t="str">
        <x:v>G02</x:v>
      </x:c>
      <x:c r="C70" s="1" t="str">
        <x:v>全50場</x:v>
      </x:c>
      <x:c r="D70" s="45" t="n">
        <x:v>2932360</x:v>
      </x:c>
      <x:c r="E70" s="45" t="n">
        <x:v>1533910</x:v>
      </x:c>
      <x:c r="F70" s="45" t="n">
        <x:f>D70-E70</x:f>
        <x:v>1398450</x:v>
      </x:c>
      <x:c r="G70" s="47" t="n">
        <x:v>18</x:v>
      </x:c>
      <x:c r="H70" s="47" t="n">
        <x:v>7</x:v>
      </x:c>
      <x:c r="I70" s="45" t="n">
        <x:v>544904</x:v>
      </x:c>
      <x:c r="J70" s="47" t="n">
        <x:v>130</x:v>
      </x:c>
      <x:c r="K70" s="45" t="n">
        <x:v>-106152</x:v>
      </x:c>
      <x:c r="L70" s="45" t="n">
        <x:v>40491.42857142857</x:v>
      </x:c>
      <x:c r="M70" s="46" t="n">
        <x:v>216.75533333333334</x:v>
      </x:c>
      <x:c r="N70" s="46" t="n">
        <x:v>124.11266666666664</x:v>
      </x:c>
      <x:c r="O70" s="47" t="n">
        <x:v>10</x:v>
      </x:c>
      <x:c r="P70" s="1" t="str">
        <x:v>安値切上げ・高値切下げの再進行</x:v>
      </x:c>
      <x:c r="Q70" s="47" t="n">
        <x:v>0</x:v>
      </x:c>
      <x:c r="R70" s="1" t="str">
        <x:v>下落</x:v>
      </x:c>
      <x:c r="S70" s="47" t="n">
        <x:v>25</x:v>
      </x:c>
    </x:row>
    <x:row r="71" ht="22" customHeight="1">
      <x:c r="A71" s="1" t="str">
        <x:v>日経mini</x:v>
      </x:c>
      <x:c r="B71" s="1" t="str">
        <x:v>G02</x:v>
      </x:c>
      <x:c r="C71" s="1" t="str">
        <x:v>対照47場</x:v>
      </x:c>
      <x:c r="D71" s="45" t="n">
        <x:v>5766870</x:v>
      </x:c>
      <x:c r="E71" s="45" t="n">
        <x:v>3041046</x:v>
      </x:c>
      <x:c r="F71" s="45" t="n">
        <x:f>D71-E71</x:f>
        <x:v>2725824</x:v>
      </x:c>
      <x:c r="G71" s="47" t="n">
        <x:v>33</x:v>
      </x:c>
      <x:c r="H71" s="47" t="n">
        <x:v>14</x:v>
      </x:c>
      <x:c r="I71" s="45" t="n">
        <x:v>1560658</x:v>
      </x:c>
      <x:c r="J71" s="47" t="n">
        <x:v>260</x:v>
      </x:c>
      <x:c r="K71" s="45" t="n">
        <x:v>-150462</x:v>
      </x:c>
      <x:c r="L71" s="45" t="n">
        <x:v>64096.142857142855</x:v>
      </x:c>
      <x:c r="M71" s="46" t="n">
        <x:v>208.49007092198582</x:v>
      </x:c>
      <x:c r="N71" s="46" t="n">
        <x:v>132.59255319148934</x:v>
      </x:c>
      <x:c r="O71" s="47" t="n">
        <x:v>10</x:v>
      </x:c>
      <x:c r="P71" s="1" t="str">
        <x:v>安値切上げ・高値切下げの再進行</x:v>
      </x:c>
      <x:c r="Q71" s="47" t="n">
        <x:v>0</x:v>
      </x:c>
      <x:c r="R71" s="1" t="str">
        <x:v>全場</x:v>
      </x:c>
      <x:c r="S71" s="47" t="n">
        <x:v>47</x:v>
      </x:c>
    </x:row>
    <x:row r="72" ht="22" customHeight="1">
      <x:c r="A72" s="1" t="str">
        <x:v>日経mini</x:v>
      </x:c>
      <x:c r="B72" s="1" t="str">
        <x:v>G02</x:v>
      </x:c>
      <x:c r="C72" s="1" t="str">
        <x:v>対照47場</x:v>
      </x:c>
      <x:c r="D72" s="45" t="n">
        <x:v>3884372</x:v>
      </x:c>
      <x:c r="E72" s="45" t="n">
        <x:v>2140516</x:v>
      </x:c>
      <x:c r="F72" s="45" t="n">
        <x:f>D72-E72</x:f>
        <x:v>1743856</x:v>
      </x:c>
      <x:c r="G72" s="47" t="n">
        <x:v>16</x:v>
      </x:c>
      <x:c r="H72" s="47" t="n">
        <x:v>8</x:v>
      </x:c>
      <x:c r="I72" s="45" t="n">
        <x:v>611538</x:v>
      </x:c>
      <x:c r="J72" s="47" t="n">
        <x:v>175</x:v>
      </x:c>
      <x:c r="K72" s="45" t="n">
        <x:v>-106152</x:v>
      </x:c>
      <x:c r="L72" s="45" t="n">
        <x:v>66053.5</x:v>
      </x:c>
      <x:c r="M72" s="46" t="n">
        <x:v>87.15069444444445</x:v>
      </x:c>
      <x:c r="N72" s="46" t="n">
        <x:v>223.72361111111113</x:v>
      </x:c>
      <x:c r="O72" s="47" t="n">
        <x:v>10</x:v>
      </x:c>
      <x:c r="P72" s="1" t="str">
        <x:v>安値切上げ・高値切下げの再進行</x:v>
      </x:c>
      <x:c r="Q72" s="47" t="n">
        <x:v>0</x:v>
      </x:c>
      <x:c r="R72" s="1" t="str">
        <x:v>デイ</x:v>
      </x:c>
      <x:c r="S72" s="47" t="n">
        <x:v>24</x:v>
      </x:c>
    </x:row>
    <x:row r="73" ht="22" customHeight="1">
      <x:c r="A73" s="1" t="str">
        <x:v>日経mini</x:v>
      </x:c>
      <x:c r="B73" s="1" t="str">
        <x:v>G02</x:v>
      </x:c>
      <x:c r="C73" s="1" t="str">
        <x:v>対照47場</x:v>
      </x:c>
      <x:c r="D73" s="45" t="n">
        <x:v>1882498</x:v>
      </x:c>
      <x:c r="E73" s="45" t="n">
        <x:v>900530</x:v>
      </x:c>
      <x:c r="F73" s="45" t="n">
        <x:f>D73-E73</x:f>
        <x:v>981968</x:v>
      </x:c>
      <x:c r="G73" s="47" t="n">
        <x:v>17</x:v>
      </x:c>
      <x:c r="H73" s="47" t="n">
        <x:v>6</x:v>
      </x:c>
      <x:c r="I73" s="45" t="n">
        <x:v>327266</x:v>
      </x:c>
      <x:c r="J73" s="47" t="n">
        <x:v>85</x:v>
      </x:c>
      <x:c r="K73" s="45" t="n">
        <x:v>-150462</x:v>
      </x:c>
      <x:c r="L73" s="45" t="n">
        <x:v>61486.333333333336</x:v>
      </x:c>
      <x:c r="M73" s="46" t="n">
        <x:v>335.10507246376807</x:v>
      </x:c>
      <x:c r="N73" s="46" t="n">
        <x:v>37.49927536231884</x:v>
      </x:c>
      <x:c r="O73" s="47" t="n">
        <x:v>7</x:v>
      </x:c>
      <x:c r="P73" s="1" t="str">
        <x:v>安値切上げ・高値切下げの再進行</x:v>
      </x:c>
      <x:c r="Q73" s="47" t="n">
        <x:v>0</x:v>
      </x:c>
      <x:c r="R73" s="1" t="str">
        <x:v>ナイト</x:v>
      </x:c>
      <x:c r="S73" s="47" t="n">
        <x:v>23</x:v>
      </x:c>
    </x:row>
    <x:row r="74" ht="22" customHeight="1">
      <x:c r="A74" s="1" t="str">
        <x:v>日経mini</x:v>
      </x:c>
      <x:c r="B74" s="1" t="str">
        <x:v>G02</x:v>
      </x:c>
      <x:c r="C74" s="1" t="str">
        <x:v>対照47場</x:v>
      </x:c>
      <x:c r="D74" s="45" t="n">
        <x:v>2939126</x:v>
      </x:c>
      <x:c r="E74" s="45" t="n">
        <x:v>1625826</x:v>
      </x:c>
      <x:c r="F74" s="45" t="n">
        <x:f>D74-E74</x:f>
        <x:v>1313300</x:v>
      </x:c>
      <x:c r="G74" s="47" t="n">
        <x:v>15</x:v>
      </x:c>
      <x:c r="H74" s="47" t="n">
        <x:v>8</x:v>
      </x:c>
      <x:c r="I74" s="45" t="n">
        <x:v>250590</x:v>
      </x:c>
      <x:c r="J74" s="47" t="n">
        <x:v>135</x:v>
      </x:c>
      <x:c r="K74" s="45" t="n">
        <x:v>-150462</x:v>
      </x:c>
      <x:c r="L74" s="45" t="n">
        <x:v>78497.5</x:v>
      </x:c>
      <x:c r="M74" s="46" t="n">
        <x:v>206.09637681159418</x:v>
      </x:c>
      <x:c r="N74" s="46" t="n">
        <x:v>137.56521739130437</x:v>
      </x:c>
      <x:c r="O74" s="47" t="n">
        <x:v>10</x:v>
      </x:c>
      <x:c r="P74" s="1" t="str">
        <x:v>安値切上げ・高値切下げの再進行</x:v>
      </x:c>
      <x:c r="Q74" s="47" t="n">
        <x:v>0</x:v>
      </x:c>
      <x:c r="R74" s="1" t="str">
        <x:v>上昇</x:v>
      </x:c>
      <x:c r="S74" s="47" t="n">
        <x:v>23</x:v>
      </x:c>
    </x:row>
    <x:row r="75" ht="22" customHeight="1">
      <x:c r="A75" s="1" t="str">
        <x:v>日経mini</x:v>
      </x:c>
      <x:c r="B75" s="1" t="str">
        <x:v>G02</x:v>
      </x:c>
      <x:c r="C75" s="1" t="str">
        <x:v>対照47場</x:v>
      </x:c>
      <x:c r="D75" s="45" t="n">
        <x:v>2827744</x:v>
      </x:c>
      <x:c r="E75" s="45" t="n">
        <x:v>1415220</x:v>
      </x:c>
      <x:c r="F75" s="45" t="n">
        <x:f>D75-E75</x:f>
        <x:v>1412524</x:v>
      </x:c>
      <x:c r="G75" s="47" t="n">
        <x:v>18</x:v>
      </x:c>
      <x:c r="H75" s="47" t="n">
        <x:v>6</x:v>
      </x:c>
      <x:c r="I75" s="45" t="n">
        <x:v>558978</x:v>
      </x:c>
      <x:c r="J75" s="47" t="n">
        <x:v>125</x:v>
      </x:c>
      <x:c r="K75" s="45" t="n">
        <x:v>-106152</x:v>
      </x:c>
      <x:c r="L75" s="45" t="n">
        <x:v>44894.333333333336</x:v>
      </x:c>
      <x:c r="M75" s="46" t="n">
        <x:v>210.78402777777777</x:v>
      </x:c>
      <x:c r="N75" s="46" t="n">
        <x:v>127.8270833333333</x:v>
      </x:c>
      <x:c r="O75" s="47" t="n">
        <x:v>10</x:v>
      </x:c>
      <x:c r="P75" s="1" t="str">
        <x:v>安値切上げ・高値切下げの再進行</x:v>
      </x:c>
      <x:c r="Q75" s="47" t="n">
        <x:v>0</x:v>
      </x:c>
      <x:c r="R75" s="1" t="str">
        <x:v>下落</x:v>
      </x:c>
      <x:c r="S75" s="47" t="n">
        <x:v>24</x:v>
      </x:c>
    </x:row>
    <x:row r="76" ht="22" customHeight="1">
      <x:c r="A76" s="1" t="str">
        <x:v>日経mini</x:v>
      </x:c>
      <x:c r="B76" s="1" t="str">
        <x:v>G02</x:v>
      </x:c>
      <x:c r="C76" s="1" t="str">
        <x:v>診断3場</x:v>
      </x:c>
      <x:c r="D76" s="45" t="n">
        <x:v>181234</x:v>
      </x:c>
      <x:c r="E76" s="45" t="n">
        <x:v>317996</x:v>
      </x:c>
      <x:c r="F76" s="45" t="n">
        <x:f>D76-E76</x:f>
        <x:v>-136762</x:v>
      </x:c>
      <x:c r="G76" s="47" t="n">
        <x:v>0</x:v>
      </x:c>
      <x:c r="H76" s="47" t="n">
        <x:v>3</x:v>
      </x:c>
      <x:c r="I76" s="45" t="n">
        <x:v>-136762</x:v>
      </x:c>
      <x:c r="J76" s="47" t="n">
        <x:v>15</x:v>
      </x:c>
      <x:c r="K76" s="45" t="n">
        <x:v>-99614</x:v>
      </x:c>
      <x:c r="L76" s="45" t="n">
        <x:v>45587.333333333336</x:v>
      </x:c>
      <x:c r="M76" s="46" t="n">
        <x:v>271.73333333333335</x:v>
      </x:c>
      <x:c r="N76" s="46" t="n">
        <x:v>91.29444444444444</x:v>
      </x:c>
      <x:c r="O76" s="47" t="n">
        <x:v>5</x:v>
      </x:c>
      <x:c r="P76" s="1" t="str">
        <x:v>安値切上げ・高値切下げの再進行</x:v>
      </x:c>
      <x:c r="Q76" s="47" t="n">
        <x:v>0</x:v>
      </x:c>
      <x:c r="R76" s="1" t="str">
        <x:v>全場</x:v>
      </x:c>
      <x:c r="S76" s="47" t="n">
        <x:v>3</x:v>
      </x:c>
    </x:row>
    <x:row r="77" ht="22" customHeight="1">
      <x:c r="A77" s="1" t="str">
        <x:v>日経mini</x:v>
      </x:c>
      <x:c r="B77" s="1" t="str">
        <x:v>G02</x:v>
      </x:c>
      <x:c r="C77" s="1" t="str">
        <x:v>診断3場</x:v>
      </x:c>
      <x:c r="D77" s="45" t="n">
        <x:v>76618</x:v>
      </x:c>
      <x:c r="E77" s="45" t="n">
        <x:v>99692</x:v>
      </x:c>
      <x:c r="F77" s="45" t="n">
        <x:f>D77-E77</x:f>
        <x:v>-23074</x:v>
      </x:c>
      <x:c r="G77" s="47" t="n">
        <x:v>0</x:v>
      </x:c>
      <x:c r="H77" s="47" t="n">
        <x:v>1</x:v>
      </x:c>
      <x:c r="I77" s="45" t="n">
        <x:v>-23074</x:v>
      </x:c>
      <x:c r="J77" s="47" t="n">
        <x:v>7</x:v>
      </x:c>
      <x:c r="K77" s="45" t="n">
        <x:v>-23074</x:v>
      </x:c>
      <x:c r="L77" s="45" t="n">
        <x:v>23074</x:v>
      </x:c>
      <x:c r="M77" s="46" t="n">
        <x:v>95.1</x:v>
      </x:c>
      <x:c r="N77" s="46" t="n">
        <x:v>217.81666666666666</x:v>
      </x:c>
      <x:c r="O77" s="47" t="n">
        <x:v>5</x:v>
      </x:c>
      <x:c r="P77" s="1" t="str">
        <x:v>安値切上げ・高値切下げの再進行</x:v>
      </x:c>
      <x:c r="Q77" s="47" t="n">
        <x:v>0</x:v>
      </x:c>
      <x:c r="R77" s="1" t="str">
        <x:v>デイ</x:v>
      </x:c>
      <x:c r="S77" s="47" t="n">
        <x:v>1</x:v>
      </x:c>
    </x:row>
    <x:row r="78" ht="22" customHeight="1">
      <x:c r="A78" s="1" t="str">
        <x:v>日経mini</x:v>
      </x:c>
      <x:c r="B78" s="1" t="str">
        <x:v>G02</x:v>
      </x:c>
      <x:c r="C78" s="1" t="str">
        <x:v>診断3場</x:v>
      </x:c>
      <x:c r="D78" s="45" t="n">
        <x:v>104616</x:v>
      </x:c>
      <x:c r="E78" s="45" t="n">
        <x:v>218304</x:v>
      </x:c>
      <x:c r="F78" s="45" t="n">
        <x:f>D78-E78</x:f>
        <x:v>-113688</x:v>
      </x:c>
      <x:c r="G78" s="47" t="n">
        <x:v>0</x:v>
      </x:c>
      <x:c r="H78" s="47" t="n">
        <x:v>2</x:v>
      </x:c>
      <x:c r="I78" s="45" t="n">
        <x:v>-113688</x:v>
      </x:c>
      <x:c r="J78" s="47" t="n">
        <x:v>8</x:v>
      </x:c>
      <x:c r="K78" s="45" t="n">
        <x:v>-99614</x:v>
      </x:c>
      <x:c r="L78" s="45" t="n">
        <x:v>56844</x:v>
      </x:c>
      <x:c r="M78" s="46" t="n">
        <x:v>360.05</x:v>
      </x:c>
      <x:c r="N78" s="46" t="n">
        <x:v>28.033333333333335</x:v>
      </x:c>
      <x:c r="O78" s="47" t="n">
        <x:v>5</x:v>
      </x:c>
      <x:c r="P78" s="1" t="str">
        <x:v>安値切上げ・高値切下げの再進行</x:v>
      </x:c>
      <x:c r="Q78" s="47" t="n">
        <x:v>0</x:v>
      </x:c>
      <x:c r="R78" s="1" t="str">
        <x:v>ナイト</x:v>
      </x:c>
      <x:c r="S78" s="47" t="n">
        <x:v>2</x:v>
      </x:c>
    </x:row>
    <x:row r="79" ht="22" customHeight="1">
      <x:c r="A79" s="1" t="str">
        <x:v>日経mini</x:v>
      </x:c>
      <x:c r="B79" s="1" t="str">
        <x:v>G02</x:v>
      </x:c>
      <x:c r="C79" s="1" t="str">
        <x:v>診断3場</x:v>
      </x:c>
      <x:c r="D79" s="45" t="n">
        <x:v>76618</x:v>
      </x:c>
      <x:c r="E79" s="45" t="n">
        <x:v>199306</x:v>
      </x:c>
      <x:c r="F79" s="45" t="n">
        <x:f>D79-E79</x:f>
        <x:v>-122688</x:v>
      </x:c>
      <x:c r="G79" s="47" t="n">
        <x:v>0</x:v>
      </x:c>
      <x:c r="H79" s="47" t="n">
        <x:v>2</x:v>
      </x:c>
      <x:c r="I79" s="45" t="n">
        <x:v>-122688</x:v>
      </x:c>
      <x:c r="J79" s="47" t="n">
        <x:v>10</x:v>
      </x:c>
      <x:c r="K79" s="45" t="n">
        <x:v>-99614</x:v>
      </x:c>
      <x:c r="L79" s="45" t="n">
        <x:v>61344</x:v>
      </x:c>
      <x:c r="M79" s="46" t="n">
        <x:v>227.56666666666666</x:v>
      </x:c>
      <x:c r="N79" s="46" t="n">
        <x:v>119.45833333333333</x:v>
      </x:c>
      <x:c r="O79" s="47" t="n">
        <x:v>5</x:v>
      </x:c>
      <x:c r="P79" s="1" t="str">
        <x:v>安値切上げ・高値切下げの再進行</x:v>
      </x:c>
      <x:c r="Q79" s="47" t="n">
        <x:v>0</x:v>
      </x:c>
      <x:c r="R79" s="1" t="str">
        <x:v>上昇</x:v>
      </x:c>
      <x:c r="S79" s="47" t="n">
        <x:v>2</x:v>
      </x:c>
    </x:row>
    <x:row r="80" ht="22" customHeight="1">
      <x:c r="A80" s="1" t="str">
        <x:v>日経mini</x:v>
      </x:c>
      <x:c r="B80" s="1" t="str">
        <x:v>G02</x:v>
      </x:c>
      <x:c r="C80" s="1" t="str">
        <x:v>診断3場</x:v>
      </x:c>
      <x:c r="D80" s="45" t="n">
        <x:v>104616</x:v>
      </x:c>
      <x:c r="E80" s="45" t="n">
        <x:v>118690</x:v>
      </x:c>
      <x:c r="F80" s="45" t="n">
        <x:f>D80-E80</x:f>
        <x:v>-14074</x:v>
      </x:c>
      <x:c r="G80" s="47" t="n">
        <x:v>0</x:v>
      </x:c>
      <x:c r="H80" s="47" t="n">
        <x:v>1</x:v>
      </x:c>
      <x:c r="I80" s="45" t="n">
        <x:v>-14074</x:v>
      </x:c>
      <x:c r="J80" s="47" t="n">
        <x:v>5</x:v>
      </x:c>
      <x:c r="K80" s="45" t="n">
        <x:v>-14074</x:v>
      </x:c>
      <x:c r="L80" s="45" t="n">
        <x:v>14074</x:v>
      </x:c>
      <x:c r="M80" s="46" t="n">
        <x:v>360.06666666666666</x:v>
      </x:c>
      <x:c r="N80" s="46" t="n">
        <x:v>34.96666666666667</x:v>
      </x:c>
      <x:c r="O80" s="47" t="n">
        <x:v>5</x:v>
      </x:c>
      <x:c r="P80" s="1" t="str">
        <x:v>安値切上げ・高値切下げの再進行</x:v>
      </x:c>
      <x:c r="Q80" s="47" t="n">
        <x:v>0</x:v>
      </x:c>
      <x:c r="R80" s="1" t="str">
        <x:v>下落</x:v>
      </x:c>
      <x:c r="S80" s="47" t="n">
        <x:v>1</x:v>
      </x:c>
    </x:row>
    <x:row r="81" ht="22" customHeight="1">
      <x:c r="A81" s="1" t="str">
        <x:v>日経mini</x:v>
      </x:c>
      <x:c r="B81" s="1" t="str">
        <x:v>G03</x:v>
      </x:c>
      <x:c r="C81" s="1" t="str">
        <x:v>全50場</x:v>
      </x:c>
      <x:c r="D81" s="45" t="n">
        <x:v>6246658</x:v>
      </x:c>
      <x:c r="E81" s="45" t="n">
        <x:v>3961728</x:v>
      </x:c>
      <x:c r="F81" s="45" t="n">
        <x:f>D81-E81</x:f>
        <x:v>2284930</x:v>
      </x:c>
      <x:c r="G81" s="47" t="n">
        <x:v>33</x:v>
      </x:c>
      <x:c r="H81" s="47" t="n">
        <x:v>17</x:v>
      </x:c>
      <x:c r="I81" s="45" t="n">
        <x:v>1198914</x:v>
      </x:c>
      <x:c r="J81" s="47" t="n">
        <x:v>329</x:v>
      </x:c>
      <x:c r="K81" s="45" t="n">
        <x:v>-165068</x:v>
      </x:c>
      <x:c r="L81" s="45" t="n">
        <x:v>72684.82352941176</x:v>
      </x:c>
      <x:c r="M81" s="46" t="n">
        <x:v>199.02100000000002</x:v>
      </x:c>
      <x:c r="N81" s="46" t="n">
        <x:v>145.13666666666666</x:v>
      </x:c>
      <x:c r="O81" s="47" t="n">
        <x:v>10</x:v>
      </x:c>
      <x:c r="P81" s="1" t="str">
        <x:v>二市場の板変化の支持</x:v>
      </x:c>
      <x:c r="Q81" s="47" t="n">
        <x:v>0</x:v>
      </x:c>
      <x:c r="R81" s="1" t="str">
        <x:v>全場</x:v>
      </x:c>
      <x:c r="S81" s="47" t="n">
        <x:v>50</x:v>
      </x:c>
    </x:row>
    <x:row r="82" ht="22" customHeight="1">
      <x:c r="A82" s="1" t="str">
        <x:v>日経mini</x:v>
      </x:c>
      <x:c r="B82" s="1" t="str">
        <x:v>G03</x:v>
      </x:c>
      <x:c r="C82" s="1" t="str">
        <x:v>全50場</x:v>
      </x:c>
      <x:c r="D82" s="45" t="n">
        <x:v>4162928</x:v>
      </x:c>
      <x:c r="E82" s="45" t="n">
        <x:v>2646894</x:v>
      </x:c>
      <x:c r="F82" s="45" t="n">
        <x:f>D82-E82</x:f>
        <x:v>1516034</x:v>
      </x:c>
      <x:c r="G82" s="47" t="n">
        <x:v>17</x:v>
      </x:c>
      <x:c r="H82" s="47" t="n">
        <x:v>8</x:v>
      </x:c>
      <x:c r="I82" s="45" t="n">
        <x:v>430018</x:v>
      </x:c>
      <x:c r="J82" s="47" t="n">
        <x:v>226</x:v>
      </x:c>
      <x:c r="K82" s="45" t="n">
        <x:v>-165068</x:v>
      </x:c>
      <x:c r="L82" s="45" t="n">
        <x:v>88091</x:v>
      </x:c>
      <x:c r="M82" s="46" t="n">
        <x:v>80.41199999999999</x:v>
      </x:c>
      <x:c r="N82" s="46" t="n">
        <x:v>232.546</x:v>
      </x:c>
      <x:c r="O82" s="47" t="n">
        <x:v>10</x:v>
      </x:c>
      <x:c r="P82" s="1" t="str">
        <x:v>二市場の板変化の支持</x:v>
      </x:c>
      <x:c r="Q82" s="47" t="n">
        <x:v>0</x:v>
      </x:c>
      <x:c r="R82" s="1" t="str">
        <x:v>デイ</x:v>
      </x:c>
      <x:c r="S82" s="47" t="n">
        <x:v>25</x:v>
      </x:c>
    </x:row>
    <x:row r="83" ht="22" customHeight="1">
      <x:c r="A83" s="1" t="str">
        <x:v>日経mini</x:v>
      </x:c>
      <x:c r="B83" s="1" t="str">
        <x:v>G03</x:v>
      </x:c>
      <x:c r="C83" s="1" t="str">
        <x:v>全50場</x:v>
      </x:c>
      <x:c r="D83" s="45" t="n">
        <x:v>2083730</x:v>
      </x:c>
      <x:c r="E83" s="45" t="n">
        <x:v>1314834</x:v>
      </x:c>
      <x:c r="F83" s="45" t="n">
        <x:f>D83-E83</x:f>
        <x:v>768896</x:v>
      </x:c>
      <x:c r="G83" s="47" t="n">
        <x:v>16</x:v>
      </x:c>
      <x:c r="H83" s="47" t="n">
        <x:v>9</x:v>
      </x:c>
      <x:c r="I83" s="45" t="n">
        <x:v>135500</x:v>
      </x:c>
      <x:c r="J83" s="47" t="n">
        <x:v>103</x:v>
      </x:c>
      <x:c r="K83" s="45" t="n">
        <x:v>-150462</x:v>
      </x:c>
      <x:c r="L83" s="45" t="n">
        <x:v>58990.444444444445</x:v>
      </x:c>
      <x:c r="M83" s="46" t="n">
        <x:v>317.63000000000005</x:v>
      </x:c>
      <x:c r="N83" s="46" t="n">
        <x:v>57.72733333333333</x:v>
      </x:c>
      <x:c r="O83" s="47" t="n">
        <x:v>7</x:v>
      </x:c>
      <x:c r="P83" s="1" t="str">
        <x:v>二市場の板変化の支持</x:v>
      </x:c>
      <x:c r="Q83" s="47" t="n">
        <x:v>0</x:v>
      </x:c>
      <x:c r="R83" s="1" t="str">
        <x:v>ナイト</x:v>
      </x:c>
      <x:c r="S83" s="47" t="n">
        <x:v>25</x:v>
      </x:c>
    </x:row>
    <x:row r="84" ht="22" customHeight="1">
      <x:c r="A84" s="1" t="str">
        <x:v>日経mini</x:v>
      </x:c>
      <x:c r="B84" s="1" t="str">
        <x:v>G03</x:v>
      </x:c>
      <x:c r="C84" s="1" t="str">
        <x:v>全50場</x:v>
      </x:c>
      <x:c r="D84" s="45" t="n">
        <x:v>3049368</x:v>
      </x:c>
      <x:c r="E84" s="45" t="n">
        <x:v>2108050</x:v>
      </x:c>
      <x:c r="F84" s="45" t="n">
        <x:f>D84-E84</x:f>
        <x:v>941318</x:v>
      </x:c>
      <x:c r="G84" s="47" t="n">
        <x:v>14</x:v>
      </x:c>
      <x:c r="H84" s="47" t="n">
        <x:v>11</x:v>
      </x:c>
      <x:c r="I84" s="45" t="n">
        <x:v>-98390</x:v>
      </x:c>
      <x:c r="J84" s="47" t="n">
        <x:v>175</x:v>
      </x:c>
      <x:c r="K84" s="45" t="n">
        <x:v>-165068</x:v>
      </x:c>
      <x:c r="L84" s="45" t="n">
        <x:v>84829.27272727272</x:v>
      </x:c>
      <x:c r="M84" s="46" t="n">
        <x:v>200.77533333333338</x:v>
      </x:c>
      <x:c r="N84" s="46" t="n">
        <x:v>159.0726666666667</x:v>
      </x:c>
      <x:c r="O84" s="47" t="n">
        <x:v>10</x:v>
      </x:c>
      <x:c r="P84" s="1" t="str">
        <x:v>二市場の板変化の支持</x:v>
      </x:c>
      <x:c r="Q84" s="47" t="n">
        <x:v>0</x:v>
      </x:c>
      <x:c r="R84" s="1" t="str">
        <x:v>上昇</x:v>
      </x:c>
      <x:c r="S84" s="47" t="n">
        <x:v>25</x:v>
      </x:c>
    </x:row>
    <x:row r="85" ht="22" customHeight="1">
      <x:c r="A85" s="1" t="str">
        <x:v>日経mini</x:v>
      </x:c>
      <x:c r="B85" s="1" t="str">
        <x:v>G03</x:v>
      </x:c>
      <x:c r="C85" s="1" t="str">
        <x:v>全50場</x:v>
      </x:c>
      <x:c r="D85" s="45" t="n">
        <x:v>3197290</x:v>
      </x:c>
      <x:c r="E85" s="45" t="n">
        <x:v>1853678</x:v>
      </x:c>
      <x:c r="F85" s="45" t="n">
        <x:f>D85-E85</x:f>
        <x:v>1343612</x:v>
      </x:c>
      <x:c r="G85" s="47" t="n">
        <x:v>19</x:v>
      </x:c>
      <x:c r="H85" s="47" t="n">
        <x:v>6</x:v>
      </x:c>
      <x:c r="I85" s="45" t="n">
        <x:v>572368</x:v>
      </x:c>
      <x:c r="J85" s="47" t="n">
        <x:v>154</x:v>
      </x:c>
      <x:c r="K85" s="45" t="n">
        <x:v>-106152</x:v>
      </x:c>
      <x:c r="L85" s="45" t="n">
        <x:v>50420</x:v>
      </x:c>
      <x:c r="M85" s="46" t="n">
        <x:v>197.26666666666665</x:v>
      </x:c>
      <x:c r="N85" s="46" t="n">
        <x:v>131.20066666666668</x:v>
      </x:c>
      <x:c r="O85" s="47" t="n">
        <x:v>10</x:v>
      </x:c>
      <x:c r="P85" s="1" t="str">
        <x:v>二市場の板変化の支持</x:v>
      </x:c>
      <x:c r="Q85" s="47" t="n">
        <x:v>0</x:v>
      </x:c>
      <x:c r="R85" s="1" t="str">
        <x:v>下落</x:v>
      </x:c>
      <x:c r="S85" s="47" t="n">
        <x:v>25</x:v>
      </x:c>
    </x:row>
    <x:row r="86" ht="22" customHeight="1">
      <x:c r="A86" s="1" t="str">
        <x:v>日経mini</x:v>
      </x:c>
      <x:c r="B86" s="1" t="str">
        <x:v>G03</x:v>
      </x:c>
      <x:c r="C86" s="1" t="str">
        <x:v>対照47場</x:v>
      </x:c>
      <x:c r="D86" s="45" t="n">
        <x:v>6053578</x:v>
      </x:c>
      <x:c r="E86" s="45" t="n">
        <x:v>3646732</x:v>
      </x:c>
      <x:c r="F86" s="45" t="n">
        <x:f>D86-E86</x:f>
        <x:v>2406846</x:v>
      </x:c>
      <x:c r="G86" s="47" t="n">
        <x:v>33</x:v>
      </x:c>
      <x:c r="H86" s="47" t="n">
        <x:v>14</x:v>
      </x:c>
      <x:c r="I86" s="45" t="n">
        <x:v>1320830</x:v>
      </x:c>
      <x:c r="J86" s="47" t="n">
        <x:v>313</x:v>
      </x:c>
      <x:c r="K86" s="45" t="n">
        <x:v>-165068</x:v>
      </x:c>
      <x:c r="L86" s="45" t="n">
        <x:v>79551.85714285714</x:v>
      </x:c>
      <x:c r="M86" s="46" t="n">
        <x:v>194.3797872340425</x:v>
      </x:c>
      <x:c r="N86" s="46" t="n">
        <x:v>140.89113475177302</x:v>
      </x:c>
      <x:c r="O86" s="47" t="n">
        <x:v>10</x:v>
      </x:c>
      <x:c r="P86" s="1" t="str">
        <x:v>二市場の板変化の支持</x:v>
      </x:c>
      <x:c r="Q86" s="47" t="n">
        <x:v>0</x:v>
      </x:c>
      <x:c r="R86" s="1" t="str">
        <x:v>全場</x:v>
      </x:c>
      <x:c r="S86" s="47" t="n">
        <x:v>47</x:v>
      </x:c>
    </x:row>
    <x:row r="87" ht="22" customHeight="1">
      <x:c r="A87" s="1" t="str">
        <x:v>日経mini</x:v>
      </x:c>
      <x:c r="B87" s="1" t="str">
        <x:v>G03</x:v>
      </x:c>
      <x:c r="C87" s="1" t="str">
        <x:v>対照47場</x:v>
      </x:c>
      <x:c r="D87" s="45" t="n">
        <x:v>4086310</x:v>
      </x:c>
      <x:c r="E87" s="45" t="n">
        <x:v>2530126</x:v>
      </x:c>
      <x:c r="F87" s="45" t="n">
        <x:f>D87-E87</x:f>
        <x:v>1556184</x:v>
      </x:c>
      <x:c r="G87" s="47" t="n">
        <x:v>17</x:v>
      </x:c>
      <x:c r="H87" s="47" t="n">
        <x:v>7</x:v>
      </x:c>
      <x:c r="I87" s="45" t="n">
        <x:v>470168</x:v>
      </x:c>
      <x:c r="J87" s="47" t="n">
        <x:v>218</x:v>
      </x:c>
      <x:c r="K87" s="45" t="n">
        <x:v>-165068</x:v>
      </x:c>
      <x:c r="L87" s="45" t="n">
        <x:v>94939.71428571429</x:v>
      </x:c>
      <x:c r="M87" s="46" t="n">
        <x:v>79.8</x:v>
      </x:c>
      <x:c r="N87" s="46" t="n">
        <x:v>232.7298611111111</x:v>
      </x:c>
      <x:c r="O87" s="47" t="n">
        <x:v>10</x:v>
      </x:c>
      <x:c r="P87" s="1" t="str">
        <x:v>二市場の板変化の支持</x:v>
      </x:c>
      <x:c r="Q87" s="47" t="n">
        <x:v>0</x:v>
      </x:c>
      <x:c r="R87" s="1" t="str">
        <x:v>デイ</x:v>
      </x:c>
      <x:c r="S87" s="47" t="n">
        <x:v>24</x:v>
      </x:c>
    </x:row>
    <x:row r="88" ht="22" customHeight="1">
      <x:c r="A88" s="1" t="str">
        <x:v>日経mini</x:v>
      </x:c>
      <x:c r="B88" s="1" t="str">
        <x:v>G03</x:v>
      </x:c>
      <x:c r="C88" s="1" t="str">
        <x:v>対照47場</x:v>
      </x:c>
      <x:c r="D88" s="45" t="n">
        <x:v>1967268</x:v>
      </x:c>
      <x:c r="E88" s="45" t="n">
        <x:v>1116606</x:v>
      </x:c>
      <x:c r="F88" s="45" t="n">
        <x:f>D88-E88</x:f>
        <x:v>850662</x:v>
      </x:c>
      <x:c r="G88" s="47" t="n">
        <x:v>16</x:v>
      </x:c>
      <x:c r="H88" s="47" t="n">
        <x:v>7</x:v>
      </x:c>
      <x:c r="I88" s="45" t="n">
        <x:v>217266</x:v>
      </x:c>
      <x:c r="J88" s="47" t="n">
        <x:v>95</x:v>
      </x:c>
      <x:c r="K88" s="45" t="n">
        <x:v>-150462</x:v>
      </x:c>
      <x:c r="L88" s="45" t="n">
        <x:v>64164</x:v>
      </x:c>
      <x:c r="M88" s="46" t="n">
        <x:v>313.9413043478261</x:v>
      </x:c>
      <x:c r="N88" s="46" t="n">
        <x:v>45.05942028985507</x:v>
      </x:c>
      <x:c r="O88" s="47" t="n">
        <x:v>7</x:v>
      </x:c>
      <x:c r="P88" s="1" t="str">
        <x:v>二市場の板変化の支持</x:v>
      </x:c>
      <x:c r="Q88" s="47" t="n">
        <x:v>0</x:v>
      </x:c>
      <x:c r="R88" s="1" t="str">
        <x:v>ナイト</x:v>
      </x:c>
      <x:c r="S88" s="47" t="n">
        <x:v>23</x:v>
      </x:c>
    </x:row>
    <x:row r="89" ht="22" customHeight="1">
      <x:c r="A89" s="1" t="str">
        <x:v>日経mini</x:v>
      </x:c>
      <x:c r="B89" s="1" t="str">
        <x:v>G03</x:v>
      </x:c>
      <x:c r="C89" s="1" t="str">
        <x:v>対照47場</x:v>
      </x:c>
      <x:c r="D89" s="45" t="n">
        <x:v>2960904</x:v>
      </x:c>
      <x:c r="E89" s="45" t="n">
        <x:v>1935898</x:v>
      </x:c>
      <x:c r="F89" s="45" t="n">
        <x:f>D89-E89</x:f>
        <x:v>1025006</x:v>
      </x:c>
      <x:c r="G89" s="47" t="n">
        <x:v>14</x:v>
      </x:c>
      <x:c r="H89" s="47" t="n">
        <x:v>9</x:v>
      </x:c>
      <x:c r="I89" s="45" t="n">
        <x:v>-14702</x:v>
      </x:c>
      <x:c r="J89" s="47" t="n">
        <x:v>165</x:v>
      </x:c>
      <x:c r="K89" s="45" t="n">
        <x:v>-165068</x:v>
      </x:c>
      <x:c r="L89" s="45" t="n">
        <x:v>94381.55555555556</x:v>
      </x:c>
      <x:c r="M89" s="46" t="n">
        <x:v>198.44565217391303</x:v>
      </x:c>
      <x:c r="N89" s="46" t="n">
        <x:v>147.06014492753621</x:v>
      </x:c>
      <x:c r="O89" s="47" t="n">
        <x:v>10</x:v>
      </x:c>
      <x:c r="P89" s="1" t="str">
        <x:v>二市場の板変化の支持</x:v>
      </x:c>
      <x:c r="Q89" s="47" t="n">
        <x:v>0</x:v>
      </x:c>
      <x:c r="R89" s="1" t="str">
        <x:v>上昇</x:v>
      </x:c>
      <x:c r="S89" s="47" t="n">
        <x:v>23</x:v>
      </x:c>
    </x:row>
    <x:row r="90" ht="22" customHeight="1">
      <x:c r="A90" s="1" t="str">
        <x:v>日経mini</x:v>
      </x:c>
      <x:c r="B90" s="1" t="str">
        <x:v>G03</x:v>
      </x:c>
      <x:c r="C90" s="1" t="str">
        <x:v>対照47場</x:v>
      </x:c>
      <x:c r="D90" s="45" t="n">
        <x:v>3092674</x:v>
      </x:c>
      <x:c r="E90" s="45" t="n">
        <x:v>1710834</x:v>
      </x:c>
      <x:c r="F90" s="45" t="n">
        <x:f>D90-E90</x:f>
        <x:v>1381840</x:v>
      </x:c>
      <x:c r="G90" s="47" t="n">
        <x:v>19</x:v>
      </x:c>
      <x:c r="H90" s="47" t="n">
        <x:v>5</x:v>
      </x:c>
      <x:c r="I90" s="45" t="n">
        <x:v>610596</x:v>
      </x:c>
      <x:c r="J90" s="47" t="n">
        <x:v>148</x:v>
      </x:c>
      <x:c r="K90" s="45" t="n">
        <x:v>-106152</x:v>
      </x:c>
      <x:c r="L90" s="45" t="n">
        <x:v>52858.4</x:v>
      </x:c>
      <x:c r="M90" s="46" t="n">
        <x:v>190.48333333333332</x:v>
      </x:c>
      <x:c r="N90" s="46" t="n">
        <x:v>134.97916666666666</x:v>
      </x:c>
      <x:c r="O90" s="47" t="n">
        <x:v>10</x:v>
      </x:c>
      <x:c r="P90" s="1" t="str">
        <x:v>二市場の板変化の支持</x:v>
      </x:c>
      <x:c r="Q90" s="47" t="n">
        <x:v>0</x:v>
      </x:c>
      <x:c r="R90" s="1" t="str">
        <x:v>下落</x:v>
      </x:c>
      <x:c r="S90" s="47" t="n">
        <x:v>24</x:v>
      </x:c>
    </x:row>
    <x:row r="91" ht="22" customHeight="1">
      <x:c r="A91" s="1" t="str">
        <x:v>日経mini</x:v>
      </x:c>
      <x:c r="B91" s="1" t="str">
        <x:v>G03</x:v>
      </x:c>
      <x:c r="C91" s="1" t="str">
        <x:v>診断3場</x:v>
      </x:c>
      <x:c r="D91" s="45" t="n">
        <x:v>193080</x:v>
      </x:c>
      <x:c r="E91" s="45" t="n">
        <x:v>314996</x:v>
      </x:c>
      <x:c r="F91" s="45" t="n">
        <x:f>D91-E91</x:f>
        <x:v>-121916</x:v>
      </x:c>
      <x:c r="G91" s="47" t="n">
        <x:v>0</x:v>
      </x:c>
      <x:c r="H91" s="47" t="n">
        <x:v>3</x:v>
      </x:c>
      <x:c r="I91" s="45" t="n">
        <x:v>-121916</x:v>
      </x:c>
      <x:c r="J91" s="47" t="n">
        <x:v>16</x:v>
      </x:c>
      <x:c r="K91" s="45" t="n">
        <x:v>-43538</x:v>
      </x:c>
      <x:c r="L91" s="45" t="n">
        <x:v>40638.666666666664</x:v>
      </x:c>
      <x:c r="M91" s="46" t="n">
        <x:v>271.73333333333335</x:v>
      </x:c>
      <x:c r="N91" s="46" t="n">
        <x:v>211.65</x:v>
      </x:c>
      <x:c r="O91" s="47" t="n">
        <x:v>5</x:v>
      </x:c>
      <x:c r="P91" s="1" t="str">
        <x:v>二市場の板変化の支持</x:v>
      </x:c>
      <x:c r="Q91" s="47" t="n">
        <x:v>0</x:v>
      </x:c>
      <x:c r="R91" s="1" t="str">
        <x:v>全場</x:v>
      </x:c>
      <x:c r="S91" s="47" t="n">
        <x:v>3</x:v>
      </x:c>
    </x:row>
    <x:row r="92" ht="22" customHeight="1">
      <x:c r="A92" s="1" t="str">
        <x:v>日経mini</x:v>
      </x:c>
      <x:c r="B92" s="1" t="str">
        <x:v>G03</x:v>
      </x:c>
      <x:c r="C92" s="1" t="str">
        <x:v>診断3場</x:v>
      </x:c>
      <x:c r="D92" s="45" t="n">
        <x:v>76618</x:v>
      </x:c>
      <x:c r="E92" s="45" t="n">
        <x:v>116768</x:v>
      </x:c>
      <x:c r="F92" s="45" t="n">
        <x:f>D92-E92</x:f>
        <x:v>-40150</x:v>
      </x:c>
      <x:c r="G92" s="47" t="n">
        <x:v>0</x:v>
      </x:c>
      <x:c r="H92" s="47" t="n">
        <x:v>1</x:v>
      </x:c>
      <x:c r="I92" s="45" t="n">
        <x:v>-40150</x:v>
      </x:c>
      <x:c r="J92" s="47" t="n">
        <x:v>8</x:v>
      </x:c>
      <x:c r="K92" s="45" t="n">
        <x:v>-40150</x:v>
      </x:c>
      <x:c r="L92" s="45" t="n">
        <x:v>40150</x:v>
      </x:c>
      <x:c r="M92" s="46" t="n">
        <x:v>95.1</x:v>
      </x:c>
      <x:c r="N92" s="46" t="n">
        <x:v>228.13333333333333</x:v>
      </x:c>
      <x:c r="O92" s="47" t="n">
        <x:v>5</x:v>
      </x:c>
      <x:c r="P92" s="1" t="str">
        <x:v>二市場の板変化の支持</x:v>
      </x:c>
      <x:c r="Q92" s="47" t="n">
        <x:v>0</x:v>
      </x:c>
      <x:c r="R92" s="1" t="str">
        <x:v>デイ</x:v>
      </x:c>
      <x:c r="S92" s="47" t="n">
        <x:v>1</x:v>
      </x:c>
    </x:row>
    <x:row r="93" ht="22" customHeight="1">
      <x:c r="A93" s="1" t="str">
        <x:v>日経mini</x:v>
      </x:c>
      <x:c r="B93" s="1" t="str">
        <x:v>G03</x:v>
      </x:c>
      <x:c r="C93" s="1" t="str">
        <x:v>診断3場</x:v>
      </x:c>
      <x:c r="D93" s="45" t="n">
        <x:v>116462</x:v>
      </x:c>
      <x:c r="E93" s="45" t="n">
        <x:v>198228</x:v>
      </x:c>
      <x:c r="F93" s="45" t="n">
        <x:f>D93-E93</x:f>
        <x:v>-81766</x:v>
      </x:c>
      <x:c r="G93" s="47" t="n">
        <x:v>0</x:v>
      </x:c>
      <x:c r="H93" s="47" t="n">
        <x:v>2</x:v>
      </x:c>
      <x:c r="I93" s="45" t="n">
        <x:v>-81766</x:v>
      </x:c>
      <x:c r="J93" s="47" t="n">
        <x:v>8</x:v>
      </x:c>
      <x:c r="K93" s="45" t="n">
        <x:v>-43538</x:v>
      </x:c>
      <x:c r="L93" s="45" t="n">
        <x:v>40883</x:v>
      </x:c>
      <x:c r="M93" s="46" t="n">
        <x:v>360.05</x:v>
      </x:c>
      <x:c r="N93" s="46" t="n">
        <x:v>203.40833333333333</x:v>
      </x:c>
      <x:c r="O93" s="47" t="n">
        <x:v>5</x:v>
      </x:c>
      <x:c r="P93" s="1" t="str">
        <x:v>二市場の板変化の支持</x:v>
      </x:c>
      <x:c r="Q93" s="47" t="n">
        <x:v>0</x:v>
      </x:c>
      <x:c r="R93" s="1" t="str">
        <x:v>ナイト</x:v>
      </x:c>
      <x:c r="S93" s="47" t="n">
        <x:v>2</x:v>
      </x:c>
    </x:row>
    <x:row r="94" ht="22" customHeight="1">
      <x:c r="A94" s="1" t="str">
        <x:v>日経mini</x:v>
      </x:c>
      <x:c r="B94" s="1" t="str">
        <x:v>G03</x:v>
      </x:c>
      <x:c r="C94" s="1" t="str">
        <x:v>診断3場</x:v>
      </x:c>
      <x:c r="D94" s="45" t="n">
        <x:v>88464</x:v>
      </x:c>
      <x:c r="E94" s="45" t="n">
        <x:v>172152</x:v>
      </x:c>
      <x:c r="F94" s="45" t="n">
        <x:f>D94-E94</x:f>
        <x:v>-83688</x:v>
      </x:c>
      <x:c r="G94" s="47" t="n">
        <x:v>0</x:v>
      </x:c>
      <x:c r="H94" s="47" t="n">
        <x:v>2</x:v>
      </x:c>
      <x:c r="I94" s="45" t="n">
        <x:v>-83688</x:v>
      </x:c>
      <x:c r="J94" s="47" t="n">
        <x:v>10</x:v>
      </x:c>
      <x:c r="K94" s="45" t="n">
        <x:v>-43538</x:v>
      </x:c>
      <x:c r="L94" s="45" t="n">
        <x:v>41844</x:v>
      </x:c>
      <x:c r="M94" s="46" t="n">
        <x:v>227.56666666666666</x:v>
      </x:c>
      <x:c r="N94" s="46" t="n">
        <x:v>297.2166666666667</x:v>
      </x:c>
      <x:c r="O94" s="47" t="n">
        <x:v>5</x:v>
      </x:c>
      <x:c r="P94" s="1" t="str">
        <x:v>二市場の板変化の支持</x:v>
      </x:c>
      <x:c r="Q94" s="47" t="n">
        <x:v>0</x:v>
      </x:c>
      <x:c r="R94" s="1" t="str">
        <x:v>上昇</x:v>
      </x:c>
      <x:c r="S94" s="47" t="n">
        <x:v>2</x:v>
      </x:c>
    </x:row>
    <x:row r="95" ht="22" customHeight="1">
      <x:c r="A95" s="1" t="str">
        <x:v>日経mini</x:v>
      </x:c>
      <x:c r="B95" s="1" t="str">
        <x:v>G03</x:v>
      </x:c>
      <x:c r="C95" s="1" t="str">
        <x:v>診断3場</x:v>
      </x:c>
      <x:c r="D95" s="45" t="n">
        <x:v>104616</x:v>
      </x:c>
      <x:c r="E95" s="45" t="n">
        <x:v>142844</x:v>
      </x:c>
      <x:c r="F95" s="45" t="n">
        <x:f>D95-E95</x:f>
        <x:v>-38228</x:v>
      </x:c>
      <x:c r="G95" s="47" t="n">
        <x:v>0</x:v>
      </x:c>
      <x:c r="H95" s="47" t="n">
        <x:v>1</x:v>
      </x:c>
      <x:c r="I95" s="45" t="n">
        <x:v>-38228</x:v>
      </x:c>
      <x:c r="J95" s="47" t="n">
        <x:v>6</x:v>
      </x:c>
      <x:c r="K95" s="45" t="n">
        <x:v>-38228</x:v>
      </x:c>
      <x:c r="L95" s="45" t="n">
        <x:v>38228</x:v>
      </x:c>
      <x:c r="M95" s="46" t="n">
        <x:v>360.06666666666666</x:v>
      </x:c>
      <x:c r="N95" s="46" t="n">
        <x:v>40.516666666666666</x:v>
      </x:c>
      <x:c r="O95" s="47" t="n">
        <x:v>5</x:v>
      </x:c>
      <x:c r="P95" s="1" t="str">
        <x:v>二市場の板変化の支持</x:v>
      </x:c>
      <x:c r="Q95" s="47" t="n">
        <x:v>0</x:v>
      </x:c>
      <x:c r="R95" s="1" t="str">
        <x:v>下落</x:v>
      </x:c>
      <x:c r="S95" s="47" t="n">
        <x:v>1</x:v>
      </x:c>
    </x:row>
    <x:row r="96" ht="22" customHeight="1">
      <x:c r="A96" s="1" t="str">
        <x:v>日経mini</x:v>
      </x:c>
      <x:c r="B96" s="1" t="str">
        <x:v>G04</x:v>
      </x:c>
      <x:c r="C96" s="1" t="str">
        <x:v>全50場</x:v>
      </x:c>
      <x:c r="D96" s="45" t="n">
        <x:v>6108422</x:v>
      </x:c>
      <x:c r="E96" s="45" t="n">
        <x:v>3888958</x:v>
      </x:c>
      <x:c r="F96" s="45" t="n">
        <x:f>D96-E96</x:f>
        <x:v>2219464</x:v>
      </x:c>
      <x:c r="G96" s="47" t="n">
        <x:v>33</x:v>
      </x:c>
      <x:c r="H96" s="47" t="n">
        <x:v>17</x:v>
      </x:c>
      <x:c r="I96" s="45" t="n">
        <x:v>1089836</x:v>
      </x:c>
      <x:c r="J96" s="47" t="n">
        <x:v>344</x:v>
      </x:c>
      <x:c r="K96" s="45" t="n">
        <x:v>-170996</x:v>
      </x:c>
      <x:c r="L96" s="45" t="n">
        <x:v>70486</x:v>
      </x:c>
      <x:c r="M96" s="46" t="n">
        <x:v>188.68966666666668</x:v>
      </x:c>
      <x:c r="N96" s="46" t="n">
        <x:v>148.44633333333334</x:v>
      </x:c>
      <x:c r="O96" s="47" t="n">
        <x:v>10</x:v>
      </x:c>
      <x:c r="P96" s="1" t="str">
        <x:v>追撃の損失予算を初回実額以内</x:v>
      </x:c>
      <x:c r="Q96" s="47" t="n">
        <x:v>0</x:v>
      </x:c>
      <x:c r="R96" s="1" t="str">
        <x:v>全場</x:v>
      </x:c>
      <x:c r="S96" s="47" t="n">
        <x:v>50</x:v>
      </x:c>
    </x:row>
    <x:row r="97" ht="22" customHeight="1">
      <x:c r="A97" s="1" t="str">
        <x:v>日経mini</x:v>
      </x:c>
      <x:c r="B97" s="1" t="str">
        <x:v>G04</x:v>
      </x:c>
      <x:c r="C97" s="1" t="str">
        <x:v>全50場</x:v>
      </x:c>
      <x:c r="D97" s="45" t="n">
        <x:v>4020222</x:v>
      </x:c>
      <x:c r="E97" s="45" t="n">
        <x:v>2660508</x:v>
      </x:c>
      <x:c r="F97" s="45" t="n">
        <x:f>D97-E97</x:f>
        <x:v>1359714</x:v>
      </x:c>
      <x:c r="G97" s="47" t="n">
        <x:v>16</x:v>
      </x:c>
      <x:c r="H97" s="47" t="n">
        <x:v>9</x:v>
      </x:c>
      <x:c r="I97" s="45" t="n">
        <x:v>312858</x:v>
      </x:c>
      <x:c r="J97" s="47" t="n">
        <x:v>222</x:v>
      </x:c>
      <x:c r="K97" s="45" t="n">
        <x:v>-170996</x:v>
      </x:c>
      <x:c r="L97" s="45" t="n">
        <x:v>80748.22222222222</x:v>
      </x:c>
      <x:c r="M97" s="46" t="n">
        <x:v>80.29533333333333</x:v>
      </x:c>
      <x:c r="N97" s="46" t="n">
        <x:v>232.95066666666662</x:v>
      </x:c>
      <x:c r="O97" s="47" t="n">
        <x:v>10</x:v>
      </x:c>
      <x:c r="P97" s="1" t="str">
        <x:v>追撃の損失予算を初回実額以内</x:v>
      </x:c>
      <x:c r="Q97" s="47" t="n">
        <x:v>0</x:v>
      </x:c>
      <x:c r="R97" s="1" t="str">
        <x:v>デイ</x:v>
      </x:c>
      <x:c r="S97" s="47" t="n">
        <x:v>25</x:v>
      </x:c>
    </x:row>
    <x:row r="98" ht="22" customHeight="1">
      <x:c r="A98" s="1" t="str">
        <x:v>日経mini</x:v>
      </x:c>
      <x:c r="B98" s="1" t="str">
        <x:v>G04</x:v>
      </x:c>
      <x:c r="C98" s="1" t="str">
        <x:v>全50場</x:v>
      </x:c>
      <x:c r="D98" s="45" t="n">
        <x:v>2088200</x:v>
      </x:c>
      <x:c r="E98" s="45" t="n">
        <x:v>1228450</x:v>
      </x:c>
      <x:c r="F98" s="45" t="n">
        <x:f>D98-E98</x:f>
        <x:v>859750</x:v>
      </x:c>
      <x:c r="G98" s="47" t="n">
        <x:v>17</x:v>
      </x:c>
      <x:c r="H98" s="47" t="n">
        <x:v>8</x:v>
      </x:c>
      <x:c r="I98" s="45" t="n">
        <x:v>184966</x:v>
      </x:c>
      <x:c r="J98" s="47" t="n">
        <x:v>122</x:v>
      </x:c>
      <x:c r="K98" s="45" t="n">
        <x:v>-148462</x:v>
      </x:c>
      <x:c r="L98" s="45" t="n">
        <x:v>58941</x:v>
      </x:c>
      <x:c r="M98" s="46" t="n">
        <x:v>297.084</x:v>
      </x:c>
      <x:c r="N98" s="46" t="n">
        <x:v>63.942</x:v>
      </x:c>
      <x:c r="O98" s="47" t="n">
        <x:v>7</x:v>
      </x:c>
      <x:c r="P98" s="1" t="str">
        <x:v>追撃の損失予算を初回実額以内</x:v>
      </x:c>
      <x:c r="Q98" s="47" t="n">
        <x:v>0</x:v>
      </x:c>
      <x:c r="R98" s="1" t="str">
        <x:v>ナイト</x:v>
      </x:c>
      <x:c r="S98" s="47" t="n">
        <x:v>25</x:v>
      </x:c>
    </x:row>
    <x:row r="99" ht="22" customHeight="1">
      <x:c r="A99" s="1" t="str">
        <x:v>日経mini</x:v>
      </x:c>
      <x:c r="B99" s="1" t="str">
        <x:v>G04</x:v>
      </x:c>
      <x:c r="C99" s="1" t="str">
        <x:v>全50場</x:v>
      </x:c>
      <x:c r="D99" s="45" t="n">
        <x:v>3004972</x:v>
      </x:c>
      <x:c r="E99" s="45" t="n">
        <x:v>2019820</x:v>
      </x:c>
      <x:c r="F99" s="45" t="n">
        <x:f>D99-E99</x:f>
        <x:v>985152</x:v>
      </x:c>
      <x:c r="G99" s="47" t="n">
        <x:v>13</x:v>
      </x:c>
      <x:c r="H99" s="47" t="n">
        <x:v>12</x:v>
      </x:c>
      <x:c r="I99" s="45" t="n">
        <x:v>-95478</x:v>
      </x:c>
      <x:c r="J99" s="47" t="n">
        <x:v>170</x:v>
      </x:c>
      <x:c r="K99" s="45" t="n">
        <x:v>-170996</x:v>
      </x:c>
      <x:c r="L99" s="45" t="n">
        <x:v>74048.83333333333</x:v>
      </x:c>
      <x:c r="M99" s="46" t="n">
        <x:v>197.69933333333339</x:v>
      </x:c>
      <x:c r="N99" s="46" t="n">
        <x:v>158.202</x:v>
      </x:c>
      <x:c r="O99" s="47" t="n">
        <x:v>10</x:v>
      </x:c>
      <x:c r="P99" s="1" t="str">
        <x:v>追撃の損失予算を初回実額以内</x:v>
      </x:c>
      <x:c r="Q99" s="47" t="n">
        <x:v>0</x:v>
      </x:c>
      <x:c r="R99" s="1" t="str">
        <x:v>上昇</x:v>
      </x:c>
      <x:c r="S99" s="47" t="n">
        <x:v>25</x:v>
      </x:c>
    </x:row>
    <x:row r="100" ht="22" customHeight="1">
      <x:c r="A100" s="1" t="str">
        <x:v>日経mini</x:v>
      </x:c>
      <x:c r="B100" s="1" t="str">
        <x:v>G04</x:v>
      </x:c>
      <x:c r="C100" s="1" t="str">
        <x:v>全50場</x:v>
      </x:c>
      <x:c r="D100" s="45" t="n">
        <x:v>3103450</x:v>
      </x:c>
      <x:c r="E100" s="45" t="n">
        <x:v>1869138</x:v>
      </x:c>
      <x:c r="F100" s="45" t="n">
        <x:f>D100-E100</x:f>
        <x:v>1234312</x:v>
      </x:c>
      <x:c r="G100" s="47" t="n">
        <x:v>20</x:v>
      </x:c>
      <x:c r="H100" s="47" t="n">
        <x:v>5</x:v>
      </x:c>
      <x:c r="I100" s="45" t="n">
        <x:v>463534</x:v>
      </x:c>
      <x:c r="J100" s="47" t="n">
        <x:v>174</x:v>
      </x:c>
      <x:c r="K100" s="45" t="n">
        <x:v>-106152</x:v>
      </x:c>
      <x:c r="L100" s="45" t="n">
        <x:v>61935.2</x:v>
      </x:c>
      <x:c r="M100" s="46" t="n">
        <x:v>179.67999999999995</x:v>
      </x:c>
      <x:c r="N100" s="46" t="n">
        <x:v>138.6906666666667</x:v>
      </x:c>
      <x:c r="O100" s="47" t="n">
        <x:v>10</x:v>
      </x:c>
      <x:c r="P100" s="1" t="str">
        <x:v>追撃の損失予算を初回実額以内</x:v>
      </x:c>
      <x:c r="Q100" s="47" t="n">
        <x:v>0</x:v>
      </x:c>
      <x:c r="R100" s="1" t="str">
        <x:v>下落</x:v>
      </x:c>
      <x:c r="S100" s="47" t="n">
        <x:v>25</x:v>
      </x:c>
    </x:row>
    <x:row r="101" ht="22" customHeight="1">
      <x:c r="A101" s="1" t="str">
        <x:v>日経mini</x:v>
      </x:c>
      <x:c r="B101" s="1" t="str">
        <x:v>G04</x:v>
      </x:c>
      <x:c r="C101" s="1" t="str">
        <x:v>対照47場</x:v>
      </x:c>
      <x:c r="D101" s="45" t="n">
        <x:v>5915342</x:v>
      </x:c>
      <x:c r="E101" s="45" t="n">
        <x:v>3632190</x:v>
      </x:c>
      <x:c r="F101" s="45" t="n">
        <x:f>D101-E101</x:f>
        <x:v>2283152</x:v>
      </x:c>
      <x:c r="G101" s="47" t="n">
        <x:v>32</x:v>
      </x:c>
      <x:c r="H101" s="47" t="n">
        <x:v>15</x:v>
      </x:c>
      <x:c r="I101" s="45" t="n">
        <x:v>1153524</x:v>
      </x:c>
      <x:c r="J101" s="47" t="n">
        <x:v>331</x:v>
      </x:c>
      <x:c r="K101" s="45" t="n">
        <x:v>-170996</x:v>
      </x:c>
      <x:c r="L101" s="45" t="n">
        <x:v>75443.33333333333</x:v>
      </x:c>
      <x:c r="M101" s="46" t="n">
        <x:v>183.38900709219854</x:v>
      </x:c>
      <x:c r="N101" s="46" t="n">
        <x:v>144.3946808510638</x:v>
      </x:c>
      <x:c r="O101" s="47" t="n">
        <x:v>10</x:v>
      </x:c>
      <x:c r="P101" s="1" t="str">
        <x:v>追撃の損失予算を初回実額以内</x:v>
      </x:c>
      <x:c r="Q101" s="47" t="n">
        <x:v>0</x:v>
      </x:c>
      <x:c r="R101" s="1" t="str">
        <x:v>全場</x:v>
      </x:c>
      <x:c r="S101" s="47" t="n">
        <x:v>47</x:v>
      </x:c>
    </x:row>
    <x:row r="102" ht="22" customHeight="1">
      <x:c r="A102" s="1" t="str">
        <x:v>日経mini</x:v>
      </x:c>
      <x:c r="B102" s="1" t="str">
        <x:v>G04</x:v>
      </x:c>
      <x:c r="C102" s="1" t="str">
        <x:v>対照47場</x:v>
      </x:c>
      <x:c r="D102" s="45" t="n">
        <x:v>3943604</x:v>
      </x:c>
      <x:c r="E102" s="45" t="n">
        <x:v>2560816</x:v>
      </x:c>
      <x:c r="F102" s="45" t="n">
        <x:f>D102-E102</x:f>
        <x:v>1382788</x:v>
      </x:c>
      <x:c r="G102" s="47" t="n">
        <x:v>16</x:v>
      </x:c>
      <x:c r="H102" s="47" t="n">
        <x:v>8</x:v>
      </x:c>
      <x:c r="I102" s="45" t="n">
        <x:v>335932</x:v>
      </x:c>
      <x:c r="J102" s="47" t="n">
        <x:v>215</x:v>
      </x:c>
      <x:c r="K102" s="45" t="n">
        <x:v>-170996</x:v>
      </x:c>
      <x:c r="L102" s="45" t="n">
        <x:v>87957.5</x:v>
      </x:c>
      <x:c r="M102" s="46" t="n">
        <x:v>79.67847222222223</x:v>
      </x:c>
      <x:c r="N102" s="46" t="n">
        <x:v>233.11736111111108</x:v>
      </x:c>
      <x:c r="O102" s="47" t="n">
        <x:v>10</x:v>
      </x:c>
      <x:c r="P102" s="1" t="str">
        <x:v>追撃の損失予算を初回実額以内</x:v>
      </x:c>
      <x:c r="Q102" s="47" t="n">
        <x:v>0</x:v>
      </x:c>
      <x:c r="R102" s="1" t="str">
        <x:v>デイ</x:v>
      </x:c>
      <x:c r="S102" s="47" t="n">
        <x:v>24</x:v>
      </x:c>
    </x:row>
    <x:row r="103" ht="22" customHeight="1">
      <x:c r="A103" s="1" t="str">
        <x:v>日経mini</x:v>
      </x:c>
      <x:c r="B103" s="1" t="str">
        <x:v>G04</x:v>
      </x:c>
      <x:c r="C103" s="1" t="str">
        <x:v>対照47場</x:v>
      </x:c>
      <x:c r="D103" s="45" t="n">
        <x:v>1971738</x:v>
      </x:c>
      <x:c r="E103" s="45" t="n">
        <x:v>1071374</x:v>
      </x:c>
      <x:c r="F103" s="45" t="n">
        <x:f>D103-E103</x:f>
        <x:v>900364</x:v>
      </x:c>
      <x:c r="G103" s="47" t="n">
        <x:v>16</x:v>
      </x:c>
      <x:c r="H103" s="47" t="n">
        <x:v>7</x:v>
      </x:c>
      <x:c r="I103" s="45" t="n">
        <x:v>225580</x:v>
      </x:c>
      <x:c r="J103" s="47" t="n">
        <x:v>116</x:v>
      </x:c>
      <x:c r="K103" s="45" t="n">
        <x:v>-148462</x:v>
      </x:c>
      <x:c r="L103" s="45" t="n">
        <x:v>61141.42857142857</x:v>
      </x:c>
      <x:c r="M103" s="46" t="n">
        <x:v>291.6086956521739</x:v>
      </x:c>
      <x:c r="N103" s="46" t="n">
        <x:v>51.81449275362319</x:v>
      </x:c>
      <x:c r="O103" s="47" t="n">
        <x:v>7</x:v>
      </x:c>
      <x:c r="P103" s="1" t="str">
        <x:v>追撃の損失予算を初回実額以内</x:v>
      </x:c>
      <x:c r="Q103" s="47" t="n">
        <x:v>0</x:v>
      </x:c>
      <x:c r="R103" s="1" t="str">
        <x:v>ナイト</x:v>
      </x:c>
      <x:c r="S103" s="47" t="n">
        <x:v>23</x:v>
      </x:c>
    </x:row>
    <x:row r="104" ht="22" customHeight="1">
      <x:c r="A104" s="1" t="str">
        <x:v>日経mini</x:v>
      </x:c>
      <x:c r="B104" s="1" t="str">
        <x:v>G04</x:v>
      </x:c>
      <x:c r="C104" s="1" t="str">
        <x:v>対照47場</x:v>
      </x:c>
      <x:c r="D104" s="45" t="n">
        <x:v>2916508</x:v>
      </x:c>
      <x:c r="E104" s="45" t="n">
        <x:v>1864744</x:v>
      </x:c>
      <x:c r="F104" s="45" t="n">
        <x:f>D104-E104</x:f>
        <x:v>1051764</x:v>
      </x:c>
      <x:c r="G104" s="47" t="n">
        <x:v>13</x:v>
      </x:c>
      <x:c r="H104" s="47" t="n">
        <x:v>10</x:v>
      </x:c>
      <x:c r="I104" s="45" t="n">
        <x:v>-28866</x:v>
      </x:c>
      <x:c r="J104" s="47" t="n">
        <x:v>161</x:v>
      </x:c>
      <x:c r="K104" s="45" t="n">
        <x:v>-170996</x:v>
      </x:c>
      <x:c r="L104" s="45" t="n">
        <x:v>82197.4</x:v>
      </x:c>
      <x:c r="M104" s="46" t="n">
        <x:v>195.10217391304346</x:v>
      </x:c>
      <x:c r="N104" s="46" t="n">
        <x:v>146.0782608695652</x:v>
      </x:c>
      <x:c r="O104" s="47" t="n">
        <x:v>10</x:v>
      </x:c>
      <x:c r="P104" s="1" t="str">
        <x:v>追撃の損失予算を初回実額以内</x:v>
      </x:c>
      <x:c r="Q104" s="47" t="n">
        <x:v>0</x:v>
      </x:c>
      <x:c r="R104" s="1" t="str">
        <x:v>上昇</x:v>
      </x:c>
      <x:c r="S104" s="47" t="n">
        <x:v>23</x:v>
      </x:c>
    </x:row>
    <x:row r="105" ht="22" customHeight="1">
      <x:c r="A105" s="1" t="str">
        <x:v>日経mini</x:v>
      </x:c>
      <x:c r="B105" s="1" t="str">
        <x:v>G04</x:v>
      </x:c>
      <x:c r="C105" s="1" t="str">
        <x:v>対照47場</x:v>
      </x:c>
      <x:c r="D105" s="45" t="n">
        <x:v>2998834</x:v>
      </x:c>
      <x:c r="E105" s="45" t="n">
        <x:v>1767446</x:v>
      </x:c>
      <x:c r="F105" s="45" t="n">
        <x:f>D105-E105</x:f>
        <x:v>1231388</x:v>
      </x:c>
      <x:c r="G105" s="47" t="n">
        <x:v>19</x:v>
      </x:c>
      <x:c r="H105" s="47" t="n">
        <x:v>5</x:v>
      </x:c>
      <x:c r="I105" s="45" t="n">
        <x:v>460610</x:v>
      </x:c>
      <x:c r="J105" s="47" t="n">
        <x:v>170</x:v>
      </x:c>
      <x:c r="K105" s="45" t="n">
        <x:v>-106152</x:v>
      </x:c>
      <x:c r="L105" s="45" t="n">
        <x:v>61935.2</x:v>
      </x:c>
      <x:c r="M105" s="46" t="n">
        <x:v>172.16388888888886</x:v>
      </x:c>
      <x:c r="N105" s="46" t="n">
        <x:v>142.78125</x:v>
      </x:c>
      <x:c r="O105" s="47" t="n">
        <x:v>10</x:v>
      </x:c>
      <x:c r="P105" s="1" t="str">
        <x:v>追撃の損失予算を初回実額以内</x:v>
      </x:c>
      <x:c r="Q105" s="47" t="n">
        <x:v>0</x:v>
      </x:c>
      <x:c r="R105" s="1" t="str">
        <x:v>下落</x:v>
      </x:c>
      <x:c r="S105" s="47" t="n">
        <x:v>24</x:v>
      </x:c>
    </x:row>
    <x:row r="106" ht="22" customHeight="1">
      <x:c r="A106" s="1" t="str">
        <x:v>日経mini</x:v>
      </x:c>
      <x:c r="B106" s="1" t="str">
        <x:v>G04</x:v>
      </x:c>
      <x:c r="C106" s="1" t="str">
        <x:v>診断3場</x:v>
      </x:c>
      <x:c r="D106" s="45" t="n">
        <x:v>193080</x:v>
      </x:c>
      <x:c r="E106" s="45" t="n">
        <x:v>256768</x:v>
      </x:c>
      <x:c r="F106" s="45" t="n">
        <x:f>D106-E106</x:f>
        <x:v>-63688</x:v>
      </x:c>
      <x:c r="G106" s="47" t="n">
        <x:v>1</x:v>
      </x:c>
      <x:c r="H106" s="47" t="n">
        <x:v>2</x:v>
      </x:c>
      <x:c r="I106" s="45" t="n">
        <x:v>-66612</x:v>
      </x:c>
      <x:c r="J106" s="47" t="n">
        <x:v>13</x:v>
      </x:c>
      <x:c r="K106" s="45" t="n">
        <x:v>-43538</x:v>
      </x:c>
      <x:c r="L106" s="45" t="n">
        <x:v>33306</x:v>
      </x:c>
      <x:c r="M106" s="46" t="n">
        <x:v>271.73333333333335</x:v>
      </x:c>
      <x:c r="N106" s="46" t="n">
        <x:v>211.92222222222222</x:v>
      </x:c>
      <x:c r="O106" s="47" t="n">
        <x:v>5</x:v>
      </x:c>
      <x:c r="P106" s="1" t="str">
        <x:v>追撃の損失予算を初回実額以内</x:v>
      </x:c>
      <x:c r="Q106" s="47" t="n">
        <x:v>0</x:v>
      </x:c>
      <x:c r="R106" s="1" t="str">
        <x:v>全場</x:v>
      </x:c>
      <x:c r="S106" s="47" t="n">
        <x:v>3</x:v>
      </x:c>
    </x:row>
    <x:row r="107" ht="22" customHeight="1">
      <x:c r="A107" s="1" t="str">
        <x:v>日経mini</x:v>
      </x:c>
      <x:c r="B107" s="1" t="str">
        <x:v>G04</x:v>
      </x:c>
      <x:c r="C107" s="1" t="str">
        <x:v>診断3場</x:v>
      </x:c>
      <x:c r="D107" s="45" t="n">
        <x:v>76618</x:v>
      </x:c>
      <x:c r="E107" s="45" t="n">
        <x:v>99692</x:v>
      </x:c>
      <x:c r="F107" s="45" t="n">
        <x:f>D107-E107</x:f>
        <x:v>-23074</x:v>
      </x:c>
      <x:c r="G107" s="47" t="n">
        <x:v>0</x:v>
      </x:c>
      <x:c r="H107" s="47" t="n">
        <x:v>1</x:v>
      </x:c>
      <x:c r="I107" s="45" t="n">
        <x:v>-23074</x:v>
      </x:c>
      <x:c r="J107" s="47" t="n">
        <x:v>7</x:v>
      </x:c>
      <x:c r="K107" s="45" t="n">
        <x:v>-23074</x:v>
      </x:c>
      <x:c r="L107" s="45" t="n">
        <x:v>23074</x:v>
      </x:c>
      <x:c r="M107" s="46" t="n">
        <x:v>95.1</x:v>
      </x:c>
      <x:c r="N107" s="46" t="n">
        <x:v>228.95</x:v>
      </x:c>
      <x:c r="O107" s="47" t="n">
        <x:v>5</x:v>
      </x:c>
      <x:c r="P107" s="1" t="str">
        <x:v>追撃の損失予算を初回実額以内</x:v>
      </x:c>
      <x:c r="Q107" s="47" t="n">
        <x:v>0</x:v>
      </x:c>
      <x:c r="R107" s="1" t="str">
        <x:v>デイ</x:v>
      </x:c>
      <x:c r="S107" s="47" t="n">
        <x:v>1</x:v>
      </x:c>
    </x:row>
    <x:row r="108" ht="22" customHeight="1">
      <x:c r="A108" s="1" t="str">
        <x:v>日経mini</x:v>
      </x:c>
      <x:c r="B108" s="1" t="str">
        <x:v>G04</x:v>
      </x:c>
      <x:c r="C108" s="1" t="str">
        <x:v>診断3場</x:v>
      </x:c>
      <x:c r="D108" s="45" t="n">
        <x:v>116462</x:v>
      </x:c>
      <x:c r="E108" s="45" t="n">
        <x:v>157076</x:v>
      </x:c>
      <x:c r="F108" s="45" t="n">
        <x:f>D108-E108</x:f>
        <x:v>-40614</x:v>
      </x:c>
      <x:c r="G108" s="47" t="n">
        <x:v>1</x:v>
      </x:c>
      <x:c r="H108" s="47" t="n">
        <x:v>1</x:v>
      </x:c>
      <x:c r="I108" s="45" t="n">
        <x:v>-43538</x:v>
      </x:c>
      <x:c r="J108" s="47" t="n">
        <x:v>6</x:v>
      </x:c>
      <x:c r="K108" s="45" t="n">
        <x:v>-43538</x:v>
      </x:c>
      <x:c r="L108" s="45" t="n">
        <x:v>43538</x:v>
      </x:c>
      <x:c r="M108" s="46" t="n">
        <x:v>360.05</x:v>
      </x:c>
      <x:c r="N108" s="46" t="n">
        <x:v>203.40833333333333</x:v>
      </x:c>
      <x:c r="O108" s="47" t="n">
        <x:v>5</x:v>
      </x:c>
      <x:c r="P108" s="1" t="str">
        <x:v>追撃の損失予算を初回実額以内</x:v>
      </x:c>
      <x:c r="Q108" s="47" t="n">
        <x:v>0</x:v>
      </x:c>
      <x:c r="R108" s="1" t="str">
        <x:v>ナイト</x:v>
      </x:c>
      <x:c r="S108" s="47" t="n">
        <x:v>2</x:v>
      </x:c>
    </x:row>
    <x:row r="109" ht="22" customHeight="1">
      <x:c r="A109" s="1" t="str">
        <x:v>日経mini</x:v>
      </x:c>
      <x:c r="B109" s="1" t="str">
        <x:v>G04</x:v>
      </x:c>
      <x:c r="C109" s="1" t="str">
        <x:v>診断3場</x:v>
      </x:c>
      <x:c r="D109" s="45" t="n">
        <x:v>88464</x:v>
      </x:c>
      <x:c r="E109" s="45" t="n">
        <x:v>155076</x:v>
      </x:c>
      <x:c r="F109" s="45" t="n">
        <x:f>D109-E109</x:f>
        <x:v>-66612</x:v>
      </x:c>
      <x:c r="G109" s="47" t="n">
        <x:v>0</x:v>
      </x:c>
      <x:c r="H109" s="47" t="n">
        <x:v>2</x:v>
      </x:c>
      <x:c r="I109" s="45" t="n">
        <x:v>-66612</x:v>
      </x:c>
      <x:c r="J109" s="47" t="n">
        <x:v>9</x:v>
      </x:c>
      <x:c r="K109" s="45" t="n">
        <x:v>-43538</x:v>
      </x:c>
      <x:c r="L109" s="45" t="n">
        <x:v>33306</x:v>
      </x:c>
      <x:c r="M109" s="46" t="n">
        <x:v>227.56666666666666</x:v>
      </x:c>
      <x:c r="N109" s="46" t="n">
        <x:v>297.625</x:v>
      </x:c>
      <x:c r="O109" s="47" t="n">
        <x:v>5</x:v>
      </x:c>
      <x:c r="P109" s="1" t="str">
        <x:v>追撃の損失予算を初回実額以内</x:v>
      </x:c>
      <x:c r="Q109" s="47" t="n">
        <x:v>0</x:v>
      </x:c>
      <x:c r="R109" s="1" t="str">
        <x:v>上昇</x:v>
      </x:c>
      <x:c r="S109" s="47" t="n">
        <x:v>2</x:v>
      </x:c>
    </x:row>
    <x:row r="110" ht="22" customHeight="1">
      <x:c r="A110" s="1" t="str">
        <x:v>日経mini</x:v>
      </x:c>
      <x:c r="B110" s="1" t="str">
        <x:v>G04</x:v>
      </x:c>
      <x:c r="C110" s="1" t="str">
        <x:v>診断3場</x:v>
      </x:c>
      <x:c r="D110" s="45" t="n">
        <x:v>104616</x:v>
      </x:c>
      <x:c r="E110" s="45" t="n">
        <x:v>101692</x:v>
      </x:c>
      <x:c r="F110" s="45" t="n">
        <x:f>D110-E110</x:f>
        <x:v>2924</x:v>
      </x:c>
      <x:c r="G110" s="47" t="n">
        <x:v>1</x:v>
      </x:c>
      <x:c r="H110" s="47" t="n">
        <x:v>0</x:v>
      </x:c>
      <x:c r="I110" s="45" t="n">
        <x:v>0</x:v>
      </x:c>
      <x:c r="J110" s="47" t="n">
        <x:v>4</x:v>
      </x:c>
      <x:c r="K110" s="45" t="n">
        <x:v>2924</x:v>
      </x:c>
      <x:c r="L110" s="45" t="n">
        <x:v>0</x:v>
      </x:c>
      <x:c r="M110" s="46" t="n">
        <x:v>360.06666666666666</x:v>
      </x:c>
      <x:c r="N110" s="46" t="n">
        <x:v>40.516666666666666</x:v>
      </x:c>
      <x:c r="O110" s="47" t="n">
        <x:v>5</x:v>
      </x:c>
      <x:c r="P110" s="1" t="str">
        <x:v>追撃の損失予算を初回実額以内</x:v>
      </x:c>
      <x:c r="Q110" s="47" t="n">
        <x:v>0</x:v>
      </x:c>
      <x:c r="R110" s="1" t="str">
        <x:v>下落</x:v>
      </x:c>
      <x:c r="S110" s="47" t="n">
        <x:v>1</x:v>
      </x:c>
    </x:row>
    <x:row r="111" ht="22" customHeight="1">
      <x:c r="A111" s="1" t="str">
        <x:v>日経mini</x:v>
      </x:c>
      <x:c r="B111" s="1" t="str">
        <x:v>G05</x:v>
      </x:c>
      <x:c r="C111" s="1" t="str">
        <x:v>全50場</x:v>
      </x:c>
      <x:c r="D111" s="45" t="n">
        <x:v>6108422</x:v>
      </x:c>
      <x:c r="E111" s="45" t="n">
        <x:v>3888958</x:v>
      </x:c>
      <x:c r="F111" s="45" t="n">
        <x:f>D111-E111</x:f>
        <x:v>2219464</x:v>
      </x:c>
      <x:c r="G111" s="47" t="n">
        <x:v>33</x:v>
      </x:c>
      <x:c r="H111" s="47" t="n">
        <x:v>17</x:v>
      </x:c>
      <x:c r="I111" s="45" t="n">
        <x:v>1089836</x:v>
      </x:c>
      <x:c r="J111" s="47" t="n">
        <x:v>344</x:v>
      </x:c>
      <x:c r="K111" s="45" t="n">
        <x:v>-170996</x:v>
      </x:c>
      <x:c r="L111" s="45" t="n">
        <x:v>70486</x:v>
      </x:c>
      <x:c r="M111" s="46" t="n">
        <x:v>188.68966666666668</x:v>
      </x:c>
      <x:c r="N111" s="46" t="n">
        <x:v>148.44633333333334</x:v>
      </x:c>
      <x:c r="O111" s="47" t="n">
        <x:v>10</x:v>
      </x:c>
      <x:c r="P111" s="1" t="str">
        <x:v>利益保護前の追撃禁止</x:v>
      </x:c>
      <x:c r="Q111" s="47" t="n">
        <x:v>0</x:v>
      </x:c>
      <x:c r="R111" s="1" t="str">
        <x:v>全場</x:v>
      </x:c>
      <x:c r="S111" s="47" t="n">
        <x:v>50</x:v>
      </x:c>
    </x:row>
    <x:row r="112" ht="22" customHeight="1">
      <x:c r="A112" s="1" t="str">
        <x:v>日経mini</x:v>
      </x:c>
      <x:c r="B112" s="1" t="str">
        <x:v>G05</x:v>
      </x:c>
      <x:c r="C112" s="1" t="str">
        <x:v>全50場</x:v>
      </x:c>
      <x:c r="D112" s="45" t="n">
        <x:v>4020222</x:v>
      </x:c>
      <x:c r="E112" s="45" t="n">
        <x:v>2660508</x:v>
      </x:c>
      <x:c r="F112" s="45" t="n">
        <x:f>D112-E112</x:f>
        <x:v>1359714</x:v>
      </x:c>
      <x:c r="G112" s="47" t="n">
        <x:v>16</x:v>
      </x:c>
      <x:c r="H112" s="47" t="n">
        <x:v>9</x:v>
      </x:c>
      <x:c r="I112" s="45" t="n">
        <x:v>312858</x:v>
      </x:c>
      <x:c r="J112" s="47" t="n">
        <x:v>222</x:v>
      </x:c>
      <x:c r="K112" s="45" t="n">
        <x:v>-170996</x:v>
      </x:c>
      <x:c r="L112" s="45" t="n">
        <x:v>80748.22222222222</x:v>
      </x:c>
      <x:c r="M112" s="46" t="n">
        <x:v>80.29533333333333</x:v>
      </x:c>
      <x:c r="N112" s="46" t="n">
        <x:v>232.95066666666662</x:v>
      </x:c>
      <x:c r="O112" s="47" t="n">
        <x:v>10</x:v>
      </x:c>
      <x:c r="P112" s="1" t="str">
        <x:v>利益保護前の追撃禁止</x:v>
      </x:c>
      <x:c r="Q112" s="47" t="n">
        <x:v>0</x:v>
      </x:c>
      <x:c r="R112" s="1" t="str">
        <x:v>デイ</x:v>
      </x:c>
      <x:c r="S112" s="47" t="n">
        <x:v>25</x:v>
      </x:c>
    </x:row>
    <x:row r="113" ht="22" customHeight="1">
      <x:c r="A113" s="1" t="str">
        <x:v>日経mini</x:v>
      </x:c>
      <x:c r="B113" s="1" t="str">
        <x:v>G05</x:v>
      </x:c>
      <x:c r="C113" s="1" t="str">
        <x:v>全50場</x:v>
      </x:c>
      <x:c r="D113" s="45" t="n">
        <x:v>2088200</x:v>
      </x:c>
      <x:c r="E113" s="45" t="n">
        <x:v>1228450</x:v>
      </x:c>
      <x:c r="F113" s="45" t="n">
        <x:f>D113-E113</x:f>
        <x:v>859750</x:v>
      </x:c>
      <x:c r="G113" s="47" t="n">
        <x:v>17</x:v>
      </x:c>
      <x:c r="H113" s="47" t="n">
        <x:v>8</x:v>
      </x:c>
      <x:c r="I113" s="45" t="n">
        <x:v>184966</x:v>
      </x:c>
      <x:c r="J113" s="47" t="n">
        <x:v>122</x:v>
      </x:c>
      <x:c r="K113" s="45" t="n">
        <x:v>-148462</x:v>
      </x:c>
      <x:c r="L113" s="45" t="n">
        <x:v>58941</x:v>
      </x:c>
      <x:c r="M113" s="46" t="n">
        <x:v>297.084</x:v>
      </x:c>
      <x:c r="N113" s="46" t="n">
        <x:v>63.942</x:v>
      </x:c>
      <x:c r="O113" s="47" t="n">
        <x:v>7</x:v>
      </x:c>
      <x:c r="P113" s="1" t="str">
        <x:v>利益保護前の追撃禁止</x:v>
      </x:c>
      <x:c r="Q113" s="47" t="n">
        <x:v>0</x:v>
      </x:c>
      <x:c r="R113" s="1" t="str">
        <x:v>ナイト</x:v>
      </x:c>
      <x:c r="S113" s="47" t="n">
        <x:v>25</x:v>
      </x:c>
    </x:row>
    <x:row r="114" ht="22" customHeight="1">
      <x:c r="A114" s="1" t="str">
        <x:v>日経mini</x:v>
      </x:c>
      <x:c r="B114" s="1" t="str">
        <x:v>G05</x:v>
      </x:c>
      <x:c r="C114" s="1" t="str">
        <x:v>全50場</x:v>
      </x:c>
      <x:c r="D114" s="45" t="n">
        <x:v>3004972</x:v>
      </x:c>
      <x:c r="E114" s="45" t="n">
        <x:v>2019820</x:v>
      </x:c>
      <x:c r="F114" s="45" t="n">
        <x:f>D114-E114</x:f>
        <x:v>985152</x:v>
      </x:c>
      <x:c r="G114" s="47" t="n">
        <x:v>13</x:v>
      </x:c>
      <x:c r="H114" s="47" t="n">
        <x:v>12</x:v>
      </x:c>
      <x:c r="I114" s="45" t="n">
        <x:v>-95478</x:v>
      </x:c>
      <x:c r="J114" s="47" t="n">
        <x:v>170</x:v>
      </x:c>
      <x:c r="K114" s="45" t="n">
        <x:v>-170996</x:v>
      </x:c>
      <x:c r="L114" s="45" t="n">
        <x:v>74048.83333333333</x:v>
      </x:c>
      <x:c r="M114" s="46" t="n">
        <x:v>197.69933333333339</x:v>
      </x:c>
      <x:c r="N114" s="46" t="n">
        <x:v>158.202</x:v>
      </x:c>
      <x:c r="O114" s="47" t="n">
        <x:v>10</x:v>
      </x:c>
      <x:c r="P114" s="1" t="str">
        <x:v>利益保護前の追撃禁止</x:v>
      </x:c>
      <x:c r="Q114" s="47" t="n">
        <x:v>0</x:v>
      </x:c>
      <x:c r="R114" s="1" t="str">
        <x:v>上昇</x:v>
      </x:c>
      <x:c r="S114" s="47" t="n">
        <x:v>25</x:v>
      </x:c>
    </x:row>
    <x:row r="115" ht="22" customHeight="1">
      <x:c r="A115" s="1" t="str">
        <x:v>日経mini</x:v>
      </x:c>
      <x:c r="B115" s="1" t="str">
        <x:v>G05</x:v>
      </x:c>
      <x:c r="C115" s="1" t="str">
        <x:v>全50場</x:v>
      </x:c>
      <x:c r="D115" s="45" t="n">
        <x:v>3103450</x:v>
      </x:c>
      <x:c r="E115" s="45" t="n">
        <x:v>1869138</x:v>
      </x:c>
      <x:c r="F115" s="45" t="n">
        <x:f>D115-E115</x:f>
        <x:v>1234312</x:v>
      </x:c>
      <x:c r="G115" s="47" t="n">
        <x:v>20</x:v>
      </x:c>
      <x:c r="H115" s="47" t="n">
        <x:v>5</x:v>
      </x:c>
      <x:c r="I115" s="45" t="n">
        <x:v>463534</x:v>
      </x:c>
      <x:c r="J115" s="47" t="n">
        <x:v>174</x:v>
      </x:c>
      <x:c r="K115" s="45" t="n">
        <x:v>-106152</x:v>
      </x:c>
      <x:c r="L115" s="45" t="n">
        <x:v>61935.2</x:v>
      </x:c>
      <x:c r="M115" s="46" t="n">
        <x:v>179.67999999999995</x:v>
      </x:c>
      <x:c r="N115" s="46" t="n">
        <x:v>138.6906666666667</x:v>
      </x:c>
      <x:c r="O115" s="47" t="n">
        <x:v>10</x:v>
      </x:c>
      <x:c r="P115" s="1" t="str">
        <x:v>利益保護前の追撃禁止</x:v>
      </x:c>
      <x:c r="Q115" s="47" t="n">
        <x:v>0</x:v>
      </x:c>
      <x:c r="R115" s="1" t="str">
        <x:v>下落</x:v>
      </x:c>
      <x:c r="S115" s="47" t="n">
        <x:v>25</x:v>
      </x:c>
    </x:row>
    <x:row r="116" ht="22" customHeight="1">
      <x:c r="A116" s="1" t="str">
        <x:v>日経mini</x:v>
      </x:c>
      <x:c r="B116" s="1" t="str">
        <x:v>G05</x:v>
      </x:c>
      <x:c r="C116" s="1" t="str">
        <x:v>対照47場</x:v>
      </x:c>
      <x:c r="D116" s="45" t="n">
        <x:v>5915342</x:v>
      </x:c>
      <x:c r="E116" s="45" t="n">
        <x:v>3632190</x:v>
      </x:c>
      <x:c r="F116" s="45" t="n">
        <x:f>D116-E116</x:f>
        <x:v>2283152</x:v>
      </x:c>
      <x:c r="G116" s="47" t="n">
        <x:v>32</x:v>
      </x:c>
      <x:c r="H116" s="47" t="n">
        <x:v>15</x:v>
      </x:c>
      <x:c r="I116" s="45" t="n">
        <x:v>1153524</x:v>
      </x:c>
      <x:c r="J116" s="47" t="n">
        <x:v>331</x:v>
      </x:c>
      <x:c r="K116" s="45" t="n">
        <x:v>-170996</x:v>
      </x:c>
      <x:c r="L116" s="45" t="n">
        <x:v>75443.33333333333</x:v>
      </x:c>
      <x:c r="M116" s="46" t="n">
        <x:v>183.38900709219854</x:v>
      </x:c>
      <x:c r="N116" s="46" t="n">
        <x:v>144.3946808510638</x:v>
      </x:c>
      <x:c r="O116" s="47" t="n">
        <x:v>10</x:v>
      </x:c>
      <x:c r="P116" s="1" t="str">
        <x:v>利益保護前の追撃禁止</x:v>
      </x:c>
      <x:c r="Q116" s="47" t="n">
        <x:v>0</x:v>
      </x:c>
      <x:c r="R116" s="1" t="str">
        <x:v>全場</x:v>
      </x:c>
      <x:c r="S116" s="47" t="n">
        <x:v>47</x:v>
      </x:c>
    </x:row>
    <x:row r="117" ht="22" customHeight="1">
      <x:c r="A117" s="1" t="str">
        <x:v>日経mini</x:v>
      </x:c>
      <x:c r="B117" s="1" t="str">
        <x:v>G05</x:v>
      </x:c>
      <x:c r="C117" s="1" t="str">
        <x:v>対照47場</x:v>
      </x:c>
      <x:c r="D117" s="45" t="n">
        <x:v>3943604</x:v>
      </x:c>
      <x:c r="E117" s="45" t="n">
        <x:v>2560816</x:v>
      </x:c>
      <x:c r="F117" s="45" t="n">
        <x:f>D117-E117</x:f>
        <x:v>1382788</x:v>
      </x:c>
      <x:c r="G117" s="47" t="n">
        <x:v>16</x:v>
      </x:c>
      <x:c r="H117" s="47" t="n">
        <x:v>8</x:v>
      </x:c>
      <x:c r="I117" s="45" t="n">
        <x:v>335932</x:v>
      </x:c>
      <x:c r="J117" s="47" t="n">
        <x:v>215</x:v>
      </x:c>
      <x:c r="K117" s="45" t="n">
        <x:v>-170996</x:v>
      </x:c>
      <x:c r="L117" s="45" t="n">
        <x:v>87957.5</x:v>
      </x:c>
      <x:c r="M117" s="46" t="n">
        <x:v>79.67847222222223</x:v>
      </x:c>
      <x:c r="N117" s="46" t="n">
        <x:v>233.11736111111108</x:v>
      </x:c>
      <x:c r="O117" s="47" t="n">
        <x:v>10</x:v>
      </x:c>
      <x:c r="P117" s="1" t="str">
        <x:v>利益保護前の追撃禁止</x:v>
      </x:c>
      <x:c r="Q117" s="47" t="n">
        <x:v>0</x:v>
      </x:c>
      <x:c r="R117" s="1" t="str">
        <x:v>デイ</x:v>
      </x:c>
      <x:c r="S117" s="47" t="n">
        <x:v>24</x:v>
      </x:c>
    </x:row>
    <x:row r="118" ht="22" customHeight="1">
      <x:c r="A118" s="1" t="str">
        <x:v>日経mini</x:v>
      </x:c>
      <x:c r="B118" s="1" t="str">
        <x:v>G05</x:v>
      </x:c>
      <x:c r="C118" s="1" t="str">
        <x:v>対照47場</x:v>
      </x:c>
      <x:c r="D118" s="45" t="n">
        <x:v>1971738</x:v>
      </x:c>
      <x:c r="E118" s="45" t="n">
        <x:v>1071374</x:v>
      </x:c>
      <x:c r="F118" s="45" t="n">
        <x:f>D118-E118</x:f>
        <x:v>900364</x:v>
      </x:c>
      <x:c r="G118" s="47" t="n">
        <x:v>16</x:v>
      </x:c>
      <x:c r="H118" s="47" t="n">
        <x:v>7</x:v>
      </x:c>
      <x:c r="I118" s="45" t="n">
        <x:v>225580</x:v>
      </x:c>
      <x:c r="J118" s="47" t="n">
        <x:v>116</x:v>
      </x:c>
      <x:c r="K118" s="45" t="n">
        <x:v>-148462</x:v>
      </x:c>
      <x:c r="L118" s="45" t="n">
        <x:v>61141.42857142857</x:v>
      </x:c>
      <x:c r="M118" s="46" t="n">
        <x:v>291.6086956521739</x:v>
      </x:c>
      <x:c r="N118" s="46" t="n">
        <x:v>51.81449275362319</x:v>
      </x:c>
      <x:c r="O118" s="47" t="n">
        <x:v>7</x:v>
      </x:c>
      <x:c r="P118" s="1" t="str">
        <x:v>利益保護前の追撃禁止</x:v>
      </x:c>
      <x:c r="Q118" s="47" t="n">
        <x:v>0</x:v>
      </x:c>
      <x:c r="R118" s="1" t="str">
        <x:v>ナイト</x:v>
      </x:c>
      <x:c r="S118" s="47" t="n">
        <x:v>23</x:v>
      </x:c>
    </x:row>
    <x:row r="119" ht="22" customHeight="1">
      <x:c r="A119" s="1" t="str">
        <x:v>日経mini</x:v>
      </x:c>
      <x:c r="B119" s="1" t="str">
        <x:v>G05</x:v>
      </x:c>
      <x:c r="C119" s="1" t="str">
        <x:v>対照47場</x:v>
      </x:c>
      <x:c r="D119" s="45" t="n">
        <x:v>2916508</x:v>
      </x:c>
      <x:c r="E119" s="45" t="n">
        <x:v>1864744</x:v>
      </x:c>
      <x:c r="F119" s="45" t="n">
        <x:f>D119-E119</x:f>
        <x:v>1051764</x:v>
      </x:c>
      <x:c r="G119" s="47" t="n">
        <x:v>13</x:v>
      </x:c>
      <x:c r="H119" s="47" t="n">
        <x:v>10</x:v>
      </x:c>
      <x:c r="I119" s="45" t="n">
        <x:v>-28866</x:v>
      </x:c>
      <x:c r="J119" s="47" t="n">
        <x:v>161</x:v>
      </x:c>
      <x:c r="K119" s="45" t="n">
        <x:v>-170996</x:v>
      </x:c>
      <x:c r="L119" s="45" t="n">
        <x:v>82197.4</x:v>
      </x:c>
      <x:c r="M119" s="46" t="n">
        <x:v>195.10217391304346</x:v>
      </x:c>
      <x:c r="N119" s="46" t="n">
        <x:v>146.0782608695652</x:v>
      </x:c>
      <x:c r="O119" s="47" t="n">
        <x:v>10</x:v>
      </x:c>
      <x:c r="P119" s="1" t="str">
        <x:v>利益保護前の追撃禁止</x:v>
      </x:c>
      <x:c r="Q119" s="47" t="n">
        <x:v>0</x:v>
      </x:c>
      <x:c r="R119" s="1" t="str">
        <x:v>上昇</x:v>
      </x:c>
      <x:c r="S119" s="47" t="n">
        <x:v>23</x:v>
      </x:c>
    </x:row>
    <x:row r="120" ht="22" customHeight="1">
      <x:c r="A120" s="1" t="str">
        <x:v>日経mini</x:v>
      </x:c>
      <x:c r="B120" s="1" t="str">
        <x:v>G05</x:v>
      </x:c>
      <x:c r="C120" s="1" t="str">
        <x:v>対照47場</x:v>
      </x:c>
      <x:c r="D120" s="45" t="n">
        <x:v>2998834</x:v>
      </x:c>
      <x:c r="E120" s="45" t="n">
        <x:v>1767446</x:v>
      </x:c>
      <x:c r="F120" s="45" t="n">
        <x:f>D120-E120</x:f>
        <x:v>1231388</x:v>
      </x:c>
      <x:c r="G120" s="47" t="n">
        <x:v>19</x:v>
      </x:c>
      <x:c r="H120" s="47" t="n">
        <x:v>5</x:v>
      </x:c>
      <x:c r="I120" s="45" t="n">
        <x:v>460610</x:v>
      </x:c>
      <x:c r="J120" s="47" t="n">
        <x:v>170</x:v>
      </x:c>
      <x:c r="K120" s="45" t="n">
        <x:v>-106152</x:v>
      </x:c>
      <x:c r="L120" s="45" t="n">
        <x:v>61935.2</x:v>
      </x:c>
      <x:c r="M120" s="46" t="n">
        <x:v>172.16388888888886</x:v>
      </x:c>
      <x:c r="N120" s="46" t="n">
        <x:v>142.78125</x:v>
      </x:c>
      <x:c r="O120" s="47" t="n">
        <x:v>10</x:v>
      </x:c>
      <x:c r="P120" s="1" t="str">
        <x:v>利益保護前の追撃禁止</x:v>
      </x:c>
      <x:c r="Q120" s="47" t="n">
        <x:v>0</x:v>
      </x:c>
      <x:c r="R120" s="1" t="str">
        <x:v>下落</x:v>
      </x:c>
      <x:c r="S120" s="47" t="n">
        <x:v>24</x:v>
      </x:c>
    </x:row>
    <x:row r="121" ht="22" customHeight="1">
      <x:c r="A121" s="1" t="str">
        <x:v>日経mini</x:v>
      </x:c>
      <x:c r="B121" s="1" t="str">
        <x:v>G05</x:v>
      </x:c>
      <x:c r="C121" s="1" t="str">
        <x:v>診断3場</x:v>
      </x:c>
      <x:c r="D121" s="45" t="n">
        <x:v>193080</x:v>
      </x:c>
      <x:c r="E121" s="45" t="n">
        <x:v>256768</x:v>
      </x:c>
      <x:c r="F121" s="45" t="n">
        <x:f>D121-E121</x:f>
        <x:v>-63688</x:v>
      </x:c>
      <x:c r="G121" s="47" t="n">
        <x:v>1</x:v>
      </x:c>
      <x:c r="H121" s="47" t="n">
        <x:v>2</x:v>
      </x:c>
      <x:c r="I121" s="45" t="n">
        <x:v>-66612</x:v>
      </x:c>
      <x:c r="J121" s="47" t="n">
        <x:v>13</x:v>
      </x:c>
      <x:c r="K121" s="45" t="n">
        <x:v>-43538</x:v>
      </x:c>
      <x:c r="L121" s="45" t="n">
        <x:v>33306</x:v>
      </x:c>
      <x:c r="M121" s="46" t="n">
        <x:v>271.73333333333335</x:v>
      </x:c>
      <x:c r="N121" s="46" t="n">
        <x:v>211.92222222222222</x:v>
      </x:c>
      <x:c r="O121" s="47" t="n">
        <x:v>5</x:v>
      </x:c>
      <x:c r="P121" s="1" t="str">
        <x:v>利益保護前の追撃禁止</x:v>
      </x:c>
      <x:c r="Q121" s="47" t="n">
        <x:v>0</x:v>
      </x:c>
      <x:c r="R121" s="1" t="str">
        <x:v>全場</x:v>
      </x:c>
      <x:c r="S121" s="47" t="n">
        <x:v>3</x:v>
      </x:c>
    </x:row>
    <x:row r="122" ht="22" customHeight="1">
      <x:c r="A122" s="1" t="str">
        <x:v>日経mini</x:v>
      </x:c>
      <x:c r="B122" s="1" t="str">
        <x:v>G05</x:v>
      </x:c>
      <x:c r="C122" s="1" t="str">
        <x:v>診断3場</x:v>
      </x:c>
      <x:c r="D122" s="45" t="n">
        <x:v>76618</x:v>
      </x:c>
      <x:c r="E122" s="45" t="n">
        <x:v>99692</x:v>
      </x:c>
      <x:c r="F122" s="45" t="n">
        <x:f>D122-E122</x:f>
        <x:v>-23074</x:v>
      </x:c>
      <x:c r="G122" s="47" t="n">
        <x:v>0</x:v>
      </x:c>
      <x:c r="H122" s="47" t="n">
        <x:v>1</x:v>
      </x:c>
      <x:c r="I122" s="45" t="n">
        <x:v>-23074</x:v>
      </x:c>
      <x:c r="J122" s="47" t="n">
        <x:v>7</x:v>
      </x:c>
      <x:c r="K122" s="45" t="n">
        <x:v>-23074</x:v>
      </x:c>
      <x:c r="L122" s="45" t="n">
        <x:v>23074</x:v>
      </x:c>
      <x:c r="M122" s="46" t="n">
        <x:v>95.1</x:v>
      </x:c>
      <x:c r="N122" s="46" t="n">
        <x:v>228.95</x:v>
      </x:c>
      <x:c r="O122" s="47" t="n">
        <x:v>5</x:v>
      </x:c>
      <x:c r="P122" s="1" t="str">
        <x:v>利益保護前の追撃禁止</x:v>
      </x:c>
      <x:c r="Q122" s="47" t="n">
        <x:v>0</x:v>
      </x:c>
      <x:c r="R122" s="1" t="str">
        <x:v>デイ</x:v>
      </x:c>
      <x:c r="S122" s="47" t="n">
        <x:v>1</x:v>
      </x:c>
    </x:row>
    <x:row r="123" ht="22" customHeight="1">
      <x:c r="A123" s="1" t="str">
        <x:v>日経mini</x:v>
      </x:c>
      <x:c r="B123" s="1" t="str">
        <x:v>G05</x:v>
      </x:c>
      <x:c r="C123" s="1" t="str">
        <x:v>診断3場</x:v>
      </x:c>
      <x:c r="D123" s="45" t="n">
        <x:v>116462</x:v>
      </x:c>
      <x:c r="E123" s="45" t="n">
        <x:v>157076</x:v>
      </x:c>
      <x:c r="F123" s="45" t="n">
        <x:f>D123-E123</x:f>
        <x:v>-40614</x:v>
      </x:c>
      <x:c r="G123" s="47" t="n">
        <x:v>1</x:v>
      </x:c>
      <x:c r="H123" s="47" t="n">
        <x:v>1</x:v>
      </x:c>
      <x:c r="I123" s="45" t="n">
        <x:v>-43538</x:v>
      </x:c>
      <x:c r="J123" s="47" t="n">
        <x:v>6</x:v>
      </x:c>
      <x:c r="K123" s="45" t="n">
        <x:v>-43538</x:v>
      </x:c>
      <x:c r="L123" s="45" t="n">
        <x:v>43538</x:v>
      </x:c>
      <x:c r="M123" s="46" t="n">
        <x:v>360.05</x:v>
      </x:c>
      <x:c r="N123" s="46" t="n">
        <x:v>203.40833333333333</x:v>
      </x:c>
      <x:c r="O123" s="47" t="n">
        <x:v>5</x:v>
      </x:c>
      <x:c r="P123" s="1" t="str">
        <x:v>利益保護前の追撃禁止</x:v>
      </x:c>
      <x:c r="Q123" s="47" t="n">
        <x:v>0</x:v>
      </x:c>
      <x:c r="R123" s="1" t="str">
        <x:v>ナイト</x:v>
      </x:c>
      <x:c r="S123" s="47" t="n">
        <x:v>2</x:v>
      </x:c>
    </x:row>
    <x:row r="124" ht="22" customHeight="1">
      <x:c r="A124" s="1" t="str">
        <x:v>日経mini</x:v>
      </x:c>
      <x:c r="B124" s="1" t="str">
        <x:v>G05</x:v>
      </x:c>
      <x:c r="C124" s="1" t="str">
        <x:v>診断3場</x:v>
      </x:c>
      <x:c r="D124" s="45" t="n">
        <x:v>88464</x:v>
      </x:c>
      <x:c r="E124" s="45" t="n">
        <x:v>155076</x:v>
      </x:c>
      <x:c r="F124" s="45" t="n">
        <x:f>D124-E124</x:f>
        <x:v>-66612</x:v>
      </x:c>
      <x:c r="G124" s="47" t="n">
        <x:v>0</x:v>
      </x:c>
      <x:c r="H124" s="47" t="n">
        <x:v>2</x:v>
      </x:c>
      <x:c r="I124" s="45" t="n">
        <x:v>-66612</x:v>
      </x:c>
      <x:c r="J124" s="47" t="n">
        <x:v>9</x:v>
      </x:c>
      <x:c r="K124" s="45" t="n">
        <x:v>-43538</x:v>
      </x:c>
      <x:c r="L124" s="45" t="n">
        <x:v>33306</x:v>
      </x:c>
      <x:c r="M124" s="46" t="n">
        <x:v>227.56666666666666</x:v>
      </x:c>
      <x:c r="N124" s="46" t="n">
        <x:v>297.625</x:v>
      </x:c>
      <x:c r="O124" s="47" t="n">
        <x:v>5</x:v>
      </x:c>
      <x:c r="P124" s="1" t="str">
        <x:v>利益保護前の追撃禁止</x:v>
      </x:c>
      <x:c r="Q124" s="47" t="n">
        <x:v>0</x:v>
      </x:c>
      <x:c r="R124" s="1" t="str">
        <x:v>上昇</x:v>
      </x:c>
      <x:c r="S124" s="47" t="n">
        <x:v>2</x:v>
      </x:c>
    </x:row>
    <x:row r="125" ht="22" customHeight="1">
      <x:c r="A125" s="1" t="str">
        <x:v>日経mini</x:v>
      </x:c>
      <x:c r="B125" s="1" t="str">
        <x:v>G05</x:v>
      </x:c>
      <x:c r="C125" s="1" t="str">
        <x:v>診断3場</x:v>
      </x:c>
      <x:c r="D125" s="45" t="n">
        <x:v>104616</x:v>
      </x:c>
      <x:c r="E125" s="45" t="n">
        <x:v>101692</x:v>
      </x:c>
      <x:c r="F125" s="45" t="n">
        <x:f>D125-E125</x:f>
        <x:v>2924</x:v>
      </x:c>
      <x:c r="G125" s="47" t="n">
        <x:v>1</x:v>
      </x:c>
      <x:c r="H125" s="47" t="n">
        <x:v>0</x:v>
      </x:c>
      <x:c r="I125" s="45" t="n">
        <x:v>0</x:v>
      </x:c>
      <x:c r="J125" s="47" t="n">
        <x:v>4</x:v>
      </x:c>
      <x:c r="K125" s="45" t="n">
        <x:v>2924</x:v>
      </x:c>
      <x:c r="L125" s="45" t="n">
        <x:v>0</x:v>
      </x:c>
      <x:c r="M125" s="46" t="n">
        <x:v>360.06666666666666</x:v>
      </x:c>
      <x:c r="N125" s="46" t="n">
        <x:v>40.516666666666666</x:v>
      </x:c>
      <x:c r="O125" s="47" t="n">
        <x:v>5</x:v>
      </x:c>
      <x:c r="P125" s="1" t="str">
        <x:v>利益保護前の追撃禁止</x:v>
      </x:c>
      <x:c r="Q125" s="47" t="n">
        <x:v>0</x:v>
      </x:c>
      <x:c r="R125" s="1" t="str">
        <x:v>下落</x:v>
      </x:c>
      <x:c r="S125" s="47" t="n">
        <x:v>1</x:v>
      </x:c>
    </x:row>
    <x:row r="126" ht="22" customHeight="1">
      <x:c r="A126" s="1" t="str">
        <x:v>日経mini</x:v>
      </x:c>
      <x:c r="B126" s="1" t="str">
        <x:v>G06</x:v>
      </x:c>
      <x:c r="C126" s="1" t="str">
        <x:v>全50場</x:v>
      </x:c>
      <x:c r="D126" s="45" t="n">
        <x:v>6310672</x:v>
      </x:c>
      <x:c r="E126" s="45" t="n">
        <x:v>3723192</x:v>
      </x:c>
      <x:c r="F126" s="45" t="n">
        <x:f>D126-E126</x:f>
        <x:v>2587480</x:v>
      </x:c>
      <x:c r="G126" s="47" t="n">
        <x:v>32</x:v>
      </x:c>
      <x:c r="H126" s="47" t="n">
        <x:v>18</x:v>
      </x:c>
      <x:c r="I126" s="45" t="n">
        <x:v>1573236</x:v>
      </x:c>
      <x:c r="J126" s="47" t="n">
        <x:v>401</x:v>
      </x:c>
      <x:c r="K126" s="45" t="n">
        <x:v>-174150</x:v>
      </x:c>
      <x:c r="L126" s="45" t="n">
        <x:v>60338.666666666664</x:v>
      </x:c>
      <x:c r="M126" s="46" t="n">
        <x:v>188.68966666666668</x:v>
      </x:c>
      <x:c r="N126" s="46" t="n">
        <x:v>120.324</x:v>
      </x:c>
      <x:c r="O126" s="47" t="n">
        <x:v>10</x:v>
      </x:c>
      <x:c r="P126" s="1" t="str">
        <x:v>二市場の逆行15秒で退出</x:v>
      </x:c>
      <x:c r="Q126" s="47" t="n">
        <x:v>0</x:v>
      </x:c>
      <x:c r="R126" s="1" t="str">
        <x:v>全場</x:v>
      </x:c>
      <x:c r="S126" s="47" t="n">
        <x:v>50</x:v>
      </x:c>
    </x:row>
    <x:row r="127" ht="22" customHeight="1">
      <x:c r="A127" s="1" t="str">
        <x:v>日経mini</x:v>
      </x:c>
      <x:c r="B127" s="1" t="str">
        <x:v>G06</x:v>
      </x:c>
      <x:c r="C127" s="1" t="str">
        <x:v>全50場</x:v>
      </x:c>
      <x:c r="D127" s="45" t="n">
        <x:v>4007848</x:v>
      </x:c>
      <x:c r="E127" s="45" t="n">
        <x:v>2609280</x:v>
      </x:c>
      <x:c r="F127" s="45" t="n">
        <x:f>D127-E127</x:f>
        <x:v>1398568</x:v>
      </x:c>
      <x:c r="G127" s="47" t="n">
        <x:v>15</x:v>
      </x:c>
      <x:c r="H127" s="47" t="n">
        <x:v>10</x:v>
      </x:c>
      <x:c r="I127" s="45" t="n">
        <x:v>487634</x:v>
      </x:c>
      <x:c r="J127" s="47" t="n">
        <x:v>269</x:v>
      </x:c>
      <x:c r="K127" s="45" t="n">
        <x:v>-174150</x:v>
      </x:c>
      <x:c r="L127" s="45" t="n">
        <x:v>66272.2</x:v>
      </x:c>
      <x:c r="M127" s="46" t="n">
        <x:v>80.29533333333333</x:v>
      </x:c>
      <x:c r="N127" s="46" t="n">
        <x:v>191.17266666666666</x:v>
      </x:c>
      <x:c r="O127" s="47" t="n">
        <x:v>10</x:v>
      </x:c>
      <x:c r="P127" s="1" t="str">
        <x:v>二市場の逆行15秒で退出</x:v>
      </x:c>
      <x:c r="Q127" s="47" t="n">
        <x:v>0</x:v>
      </x:c>
      <x:c r="R127" s="1" t="str">
        <x:v>デイ</x:v>
      </x:c>
      <x:c r="S127" s="47" t="n">
        <x:v>25</x:v>
      </x:c>
    </x:row>
    <x:row r="128" ht="22" customHeight="1">
      <x:c r="A128" s="1" t="str">
        <x:v>日経mini</x:v>
      </x:c>
      <x:c r="B128" s="1" t="str">
        <x:v>G06</x:v>
      </x:c>
      <x:c r="C128" s="1" t="str">
        <x:v>全50場</x:v>
      </x:c>
      <x:c r="D128" s="45" t="n">
        <x:v>2302824</x:v>
      </x:c>
      <x:c r="E128" s="45" t="n">
        <x:v>1113912</x:v>
      </x:c>
      <x:c r="F128" s="45" t="n">
        <x:f>D128-E128</x:f>
        <x:v>1188912</x:v>
      </x:c>
      <x:c r="G128" s="47" t="n">
        <x:v>17</x:v>
      </x:c>
      <x:c r="H128" s="47" t="n">
        <x:v>8</x:v>
      </x:c>
      <x:c r="I128" s="45" t="n">
        <x:v>448356</x:v>
      </x:c>
      <x:c r="J128" s="47" t="n">
        <x:v>132</x:v>
      </x:c>
      <x:c r="K128" s="45" t="n">
        <x:v>-118462</x:v>
      </x:c>
      <x:c r="L128" s="45" t="n">
        <x:v>52921.75</x:v>
      </x:c>
      <x:c r="M128" s="46" t="n">
        <x:v>297.084</x:v>
      </x:c>
      <x:c r="N128" s="46" t="n">
        <x:v>49.47533333333333</x:v>
      </x:c>
      <x:c r="O128" s="47" t="n">
        <x:v>7</x:v>
      </x:c>
      <x:c r="P128" s="1" t="str">
        <x:v>二市場の逆行15秒で退出</x:v>
      </x:c>
      <x:c r="Q128" s="47" t="n">
        <x:v>0</x:v>
      </x:c>
      <x:c r="R128" s="1" t="str">
        <x:v>ナイト</x:v>
      </x:c>
      <x:c r="S128" s="47" t="n">
        <x:v>25</x:v>
      </x:c>
    </x:row>
    <x:row r="129" ht="22" customHeight="1">
      <x:c r="A129" s="1" t="str">
        <x:v>日経mini</x:v>
      </x:c>
      <x:c r="B129" s="1" t="str">
        <x:v>G06</x:v>
      </x:c>
      <x:c r="C129" s="1" t="str">
        <x:v>全50場</x:v>
      </x:c>
      <x:c r="D129" s="45" t="n">
        <x:v>3303920</x:v>
      </x:c>
      <x:c r="E129" s="45" t="n">
        <x:v>1944668</x:v>
      </x:c>
      <x:c r="F129" s="45" t="n">
        <x:f>D129-E129</x:f>
        <x:v>1359252</x:v>
      </x:c>
      <x:c r="G129" s="47" t="n">
        <x:v>14</x:v>
      </x:c>
      <x:c r="H129" s="47" t="n">
        <x:v>11</x:v>
      </x:c>
      <x:c r="I129" s="45" t="n">
        <x:v>519464</x:v>
      </x:c>
      <x:c r="J129" s="47" t="n">
        <x:v>223</x:v>
      </x:c>
      <x:c r="K129" s="45" t="n">
        <x:v>-118462</x:v>
      </x:c>
      <x:c r="L129" s="45" t="n">
        <x:v>51856.36363636364</x:v>
      </x:c>
      <x:c r="M129" s="46" t="n">
        <x:v>197.69933333333339</x:v>
      </x:c>
      <x:c r="N129" s="46" t="n">
        <x:v>116.52333333333333</x:v>
      </x:c>
      <x:c r="O129" s="47" t="n">
        <x:v>10</x:v>
      </x:c>
      <x:c r="P129" s="1" t="str">
        <x:v>二市場の逆行15秒で退出</x:v>
      </x:c>
      <x:c r="Q129" s="47" t="n">
        <x:v>0</x:v>
      </x:c>
      <x:c r="R129" s="1" t="str">
        <x:v>上昇</x:v>
      </x:c>
      <x:c r="S129" s="47" t="n">
        <x:v>25</x:v>
      </x:c>
    </x:row>
    <x:row r="130" ht="22" customHeight="1">
      <x:c r="A130" s="1" t="str">
        <x:v>日経mini</x:v>
      </x:c>
      <x:c r="B130" s="1" t="str">
        <x:v>G06</x:v>
      </x:c>
      <x:c r="C130" s="1" t="str">
        <x:v>全50場</x:v>
      </x:c>
      <x:c r="D130" s="45" t="n">
        <x:v>3006752</x:v>
      </x:c>
      <x:c r="E130" s="45" t="n">
        <x:v>1778524</x:v>
      </x:c>
      <x:c r="F130" s="45" t="n">
        <x:f>D130-E130</x:f>
        <x:v>1228228</x:v>
      </x:c>
      <x:c r="G130" s="47" t="n">
        <x:v>18</x:v>
      </x:c>
      <x:c r="H130" s="47" t="n">
        <x:v>7</x:v>
      </x:c>
      <x:c r="I130" s="45" t="n">
        <x:v>409908</x:v>
      </x:c>
      <x:c r="J130" s="47" t="n">
        <x:v>178</x:v>
      </x:c>
      <x:c r="K130" s="45" t="n">
        <x:v>-174150</x:v>
      </x:c>
      <x:c r="L130" s="45" t="n">
        <x:v>73668</x:v>
      </x:c>
      <x:c r="M130" s="46" t="n">
        <x:v>179.67999999999995</x:v>
      </x:c>
      <x:c r="N130" s="46" t="n">
        <x:v>124.12466666666666</x:v>
      </x:c>
      <x:c r="O130" s="47" t="n">
        <x:v>10</x:v>
      </x:c>
      <x:c r="P130" s="1" t="str">
        <x:v>二市場の逆行15秒で退出</x:v>
      </x:c>
      <x:c r="Q130" s="47" t="n">
        <x:v>0</x:v>
      </x:c>
      <x:c r="R130" s="1" t="str">
        <x:v>下落</x:v>
      </x:c>
      <x:c r="S130" s="47" t="n">
        <x:v>25</x:v>
      </x:c>
    </x:row>
    <x:row r="131" ht="22" customHeight="1">
      <x:c r="A131" s="1" t="str">
        <x:v>日経mini</x:v>
      </x:c>
      <x:c r="B131" s="1" t="str">
        <x:v>G06</x:v>
      </x:c>
      <x:c r="C131" s="1" t="str">
        <x:v>対照47場</x:v>
      </x:c>
      <x:c r="D131" s="45" t="n">
        <x:v>6111052</x:v>
      </x:c>
      <x:c r="E131" s="45" t="n">
        <x:v>3458888</x:v>
      </x:c>
      <x:c r="F131" s="45" t="n">
        <x:f>D131-E131</x:f>
        <x:v>2652164</x:v>
      </x:c>
      <x:c r="G131" s="47" t="n">
        <x:v>31</x:v>
      </x:c>
      <x:c r="H131" s="47" t="n">
        <x:v>16</x:v>
      </x:c>
      <x:c r="I131" s="45" t="n">
        <x:v>1637920</x:v>
      </x:c>
      <x:c r="J131" s="47" t="n">
        <x:v>379</x:v>
      </x:c>
      <x:c r="K131" s="45" t="n">
        <x:v>-174150</x:v>
      </x:c>
      <x:c r="L131" s="45" t="n">
        <x:v>62155.5</x:v>
      </x:c>
      <x:c r="M131" s="46" t="n">
        <x:v>183.38900709219854</x:v>
      </x:c>
      <x:c r="N131" s="46" t="n">
        <x:v>124.38439716312057</x:v>
      </x:c>
      <x:c r="O131" s="47" t="n">
        <x:v>10</x:v>
      </x:c>
      <x:c r="P131" s="1" t="str">
        <x:v>二市場の逆行15秒で退出</x:v>
      </x:c>
      <x:c r="Q131" s="47" t="n">
        <x:v>0</x:v>
      </x:c>
      <x:c r="R131" s="1" t="str">
        <x:v>全場</x:v>
      </x:c>
      <x:c r="S131" s="47" t="n">
        <x:v>47</x:v>
      </x:c>
    </x:row>
    <x:row r="132" ht="22" customHeight="1">
      <x:c r="A132" s="1" t="str">
        <x:v>日経mini</x:v>
      </x:c>
      <x:c r="B132" s="1" t="str">
        <x:v>G06</x:v>
      </x:c>
      <x:c r="C132" s="1" t="str">
        <x:v>対照47場</x:v>
      </x:c>
      <x:c r="D132" s="45" t="n">
        <x:v>3930536</x:v>
      </x:c>
      <x:c r="E132" s="45" t="n">
        <x:v>2494204</x:v>
      </x:c>
      <x:c r="F132" s="45" t="n">
        <x:f>D132-E132</x:f>
        <x:v>1436332</x:v>
      </x:c>
      <x:c r="G132" s="47" t="n">
        <x:v>15</x:v>
      </x:c>
      <x:c r="H132" s="47" t="n">
        <x:v>9</x:v>
      </x:c>
      <x:c r="I132" s="45" t="n">
        <x:v>525398</x:v>
      </x:c>
      <x:c r="J132" s="47" t="n">
        <x:v>256</x:v>
      </x:c>
      <x:c r="K132" s="45" t="n">
        <x:v>-174150</x:v>
      </x:c>
      <x:c r="L132" s="45" t="n">
        <x:v>69439.77777777778</x:v>
      </x:c>
      <x:c r="M132" s="46" t="n">
        <x:v>79.67847222222223</x:v>
      </x:c>
      <x:c r="N132" s="46" t="n">
        <x:v>195.17083333333335</x:v>
      </x:c>
      <x:c r="O132" s="47" t="n">
        <x:v>10</x:v>
      </x:c>
      <x:c r="P132" s="1" t="str">
        <x:v>二市場の逆行15秒で退出</x:v>
      </x:c>
      <x:c r="Q132" s="47" t="n">
        <x:v>0</x:v>
      </x:c>
      <x:c r="R132" s="1" t="str">
        <x:v>デイ</x:v>
      </x:c>
      <x:c r="S132" s="47" t="n">
        <x:v>24</x:v>
      </x:c>
    </x:row>
    <x:row r="133" ht="22" customHeight="1">
      <x:c r="A133" s="1" t="str">
        <x:v>日経mini</x:v>
      </x:c>
      <x:c r="B133" s="1" t="str">
        <x:v>G06</x:v>
      </x:c>
      <x:c r="C133" s="1" t="str">
        <x:v>対照47場</x:v>
      </x:c>
      <x:c r="D133" s="45" t="n">
        <x:v>2180516</x:v>
      </x:c>
      <x:c r="E133" s="45" t="n">
        <x:v>964684</x:v>
      </x:c>
      <x:c r="F133" s="45" t="n">
        <x:f>D133-E133</x:f>
        <x:v>1215832</x:v>
      </x:c>
      <x:c r="G133" s="47" t="n">
        <x:v>16</x:v>
      </x:c>
      <x:c r="H133" s="47" t="n">
        <x:v>7</x:v>
      </x:c>
      <x:c r="I133" s="45" t="n">
        <x:v>475276</x:v>
      </x:c>
      <x:c r="J133" s="47" t="n">
        <x:v>123</x:v>
      </x:c>
      <x:c r="K133" s="45" t="n">
        <x:v>-118462</x:v>
      </x:c>
      <x:c r="L133" s="45" t="n">
        <x:v>52790</x:v>
      </x:c>
      <x:c r="M133" s="46" t="n">
        <x:v>291.6086956521739</x:v>
      </x:c>
      <x:c r="N133" s="46" t="n">
        <x:v>50.520289855072456</x:v>
      </x:c>
      <x:c r="O133" s="47" t="n">
        <x:v>7</x:v>
      </x:c>
      <x:c r="P133" s="1" t="str">
        <x:v>二市場の逆行15秒で退出</x:v>
      </x:c>
      <x:c r="Q133" s="47" t="n">
        <x:v>0</x:v>
      </x:c>
      <x:c r="R133" s="1" t="str">
        <x:v>ナイト</x:v>
      </x:c>
      <x:c r="S133" s="47" t="n">
        <x:v>23</x:v>
      </x:c>
    </x:row>
    <x:row r="134" ht="22" customHeight="1">
      <x:c r="A134" s="1" t="str">
        <x:v>日経mini</x:v>
      </x:c>
      <x:c r="B134" s="1" t="str">
        <x:v>G06</x:v>
      </x:c>
      <x:c r="C134" s="1" t="str">
        <x:v>対照47場</x:v>
      </x:c>
      <x:c r="D134" s="45" t="n">
        <x:v>3210762</x:v>
      </x:c>
      <x:c r="E134" s="45" t="n">
        <x:v>1759902</x:v>
      </x:c>
      <x:c r="F134" s="45" t="n">
        <x:f>D134-E134</x:f>
        <x:v>1450860</x:v>
      </x:c>
      <x:c r="G134" s="47" t="n">
        <x:v>14</x:v>
      </x:c>
      <x:c r="H134" s="47" t="n">
        <x:v>9</x:v>
      </x:c>
      <x:c r="I134" s="45" t="n">
        <x:v>611072</x:v>
      </x:c>
      <x:c r="J134" s="47" t="n">
        <x:v>205</x:v>
      </x:c>
      <x:c r="K134" s="45" t="n">
        <x:v>-118462</x:v>
      </x:c>
      <x:c r="L134" s="45" t="n">
        <x:v>53201.333333333336</x:v>
      </x:c>
      <x:c r="M134" s="46" t="n">
        <x:v>195.10217391304346</x:v>
      </x:c>
      <x:c r="N134" s="46" t="n">
        <x:v>120.6463768115942</x:v>
      </x:c>
      <x:c r="O134" s="47" t="n">
        <x:v>10</x:v>
      </x:c>
      <x:c r="P134" s="1" t="str">
        <x:v>二市場の逆行15秒で退出</x:v>
      </x:c>
      <x:c r="Q134" s="47" t="n">
        <x:v>0</x:v>
      </x:c>
      <x:c r="R134" s="1" t="str">
        <x:v>上昇</x:v>
      </x:c>
      <x:c r="S134" s="47" t="n">
        <x:v>23</x:v>
      </x:c>
    </x:row>
    <x:row r="135" ht="22" customHeight="1">
      <x:c r="A135" s="1" t="str">
        <x:v>日経mini</x:v>
      </x:c>
      <x:c r="B135" s="1" t="str">
        <x:v>G06</x:v>
      </x:c>
      <x:c r="C135" s="1" t="str">
        <x:v>対照47場</x:v>
      </x:c>
      <x:c r="D135" s="45" t="n">
        <x:v>2900290</x:v>
      </x:c>
      <x:c r="E135" s="45" t="n">
        <x:v>1698986</x:v>
      </x:c>
      <x:c r="F135" s="45" t="n">
        <x:f>D135-E135</x:f>
        <x:v>1201304</x:v>
      </x:c>
      <x:c r="G135" s="47" t="n">
        <x:v>17</x:v>
      </x:c>
      <x:c r="H135" s="47" t="n">
        <x:v>7</x:v>
      </x:c>
      <x:c r="I135" s="45" t="n">
        <x:v>382984</x:v>
      </x:c>
      <x:c r="J135" s="47" t="n">
        <x:v>174</x:v>
      </x:c>
      <x:c r="K135" s="45" t="n">
        <x:v>-174150</x:v>
      </x:c>
      <x:c r="L135" s="45" t="n">
        <x:v>73668</x:v>
      </x:c>
      <x:c r="M135" s="46" t="n">
        <x:v>172.16388888888886</x:v>
      </x:c>
      <x:c r="N135" s="46" t="n">
        <x:v>127.96666666666665</x:v>
      </x:c>
      <x:c r="O135" s="47" t="n">
        <x:v>10</x:v>
      </x:c>
      <x:c r="P135" s="1" t="str">
        <x:v>二市場の逆行15秒で退出</x:v>
      </x:c>
      <x:c r="Q135" s="47" t="n">
        <x:v>0</x:v>
      </x:c>
      <x:c r="R135" s="1" t="str">
        <x:v>下落</x:v>
      </x:c>
      <x:c r="S135" s="47" t="n">
        <x:v>24</x:v>
      </x:c>
    </x:row>
    <x:row r="136" ht="22" customHeight="1">
      <x:c r="A136" s="1" t="str">
        <x:v>日経mini</x:v>
      </x:c>
      <x:c r="B136" s="1" t="str">
        <x:v>G06</x:v>
      </x:c>
      <x:c r="C136" s="1" t="str">
        <x:v>診断3場</x:v>
      </x:c>
      <x:c r="D136" s="45" t="n">
        <x:v>199620</x:v>
      </x:c>
      <x:c r="E136" s="45" t="n">
        <x:v>264304</x:v>
      </x:c>
      <x:c r="F136" s="45" t="n">
        <x:f>D136-E136</x:f>
        <x:v>-64684</x:v>
      </x:c>
      <x:c r="G136" s="47" t="n">
        <x:v>1</x:v>
      </x:c>
      <x:c r="H136" s="47" t="n">
        <x:v>2</x:v>
      </x:c>
      <x:c r="I136" s="45" t="n">
        <x:v>-91608</x:v>
      </x:c>
      <x:c r="J136" s="47" t="n">
        <x:v>22</x:v>
      </x:c>
      <x:c r="K136" s="45" t="n">
        <x:v>-53844</x:v>
      </x:c>
      <x:c r="L136" s="45" t="n">
        <x:v>45804</x:v>
      </x:c>
      <x:c r="M136" s="46" t="n">
        <x:v>271.73333333333335</x:v>
      </x:c>
      <x:c r="N136" s="46" t="n">
        <x:v>56.71111111111111</x:v>
      </x:c>
      <x:c r="O136" s="47" t="n">
        <x:v>9</x:v>
      </x:c>
      <x:c r="P136" s="1" t="str">
        <x:v>二市場の逆行15秒で退出</x:v>
      </x:c>
      <x:c r="Q136" s="47" t="n">
        <x:v>0</x:v>
      </x:c>
      <x:c r="R136" s="1" t="str">
        <x:v>全場</x:v>
      </x:c>
      <x:c r="S136" s="47" t="n">
        <x:v>3</x:v>
      </x:c>
    </x:row>
    <x:row r="137" ht="22" customHeight="1">
      <x:c r="A137" s="1" t="str">
        <x:v>日経mini</x:v>
      </x:c>
      <x:c r="B137" s="1" t="str">
        <x:v>G06</x:v>
      </x:c>
      <x:c r="C137" s="1" t="str">
        <x:v>診断3場</x:v>
      </x:c>
      <x:c r="D137" s="45" t="n">
        <x:v>77312</x:v>
      </x:c>
      <x:c r="E137" s="45" t="n">
        <x:v>115076</x:v>
      </x:c>
      <x:c r="F137" s="45" t="n">
        <x:f>D137-E137</x:f>
        <x:v>-37764</x:v>
      </x:c>
      <x:c r="G137" s="47" t="n">
        <x:v>0</x:v>
      </x:c>
      <x:c r="H137" s="47" t="n">
        <x:v>1</x:v>
      </x:c>
      <x:c r="I137" s="45" t="n">
        <x:v>-37764</x:v>
      </x:c>
      <x:c r="J137" s="47" t="n">
        <x:v>13</x:v>
      </x:c>
      <x:c r="K137" s="45" t="n">
        <x:v>-37764</x:v>
      </x:c>
      <x:c r="L137" s="45" t="n">
        <x:v>37764</x:v>
      </x:c>
      <x:c r="M137" s="46" t="n">
        <x:v>95.1</x:v>
      </x:c>
      <x:c r="N137" s="46" t="n">
        <x:v>95.21666666666667</x:v>
      </x:c>
      <x:c r="O137" s="47" t="n">
        <x:v>9</x:v>
      </x:c>
      <x:c r="P137" s="1" t="str">
        <x:v>二市場の逆行15秒で退出</x:v>
      </x:c>
      <x:c r="Q137" s="47" t="n">
        <x:v>0</x:v>
      </x:c>
      <x:c r="R137" s="1" t="str">
        <x:v>デイ</x:v>
      </x:c>
      <x:c r="S137" s="47" t="n">
        <x:v>1</x:v>
      </x:c>
    </x:row>
    <x:row r="138" ht="22" customHeight="1">
      <x:c r="A138" s="1" t="str">
        <x:v>日経mini</x:v>
      </x:c>
      <x:c r="B138" s="1" t="str">
        <x:v>G06</x:v>
      </x:c>
      <x:c r="C138" s="1" t="str">
        <x:v>診断3場</x:v>
      </x:c>
      <x:c r="D138" s="45" t="n">
        <x:v>122308</x:v>
      </x:c>
      <x:c r="E138" s="45" t="n">
        <x:v>149228</x:v>
      </x:c>
      <x:c r="F138" s="45" t="n">
        <x:f>D138-E138</x:f>
        <x:v>-26920</x:v>
      </x:c>
      <x:c r="G138" s="47" t="n">
        <x:v>1</x:v>
      </x:c>
      <x:c r="H138" s="47" t="n">
        <x:v>1</x:v>
      </x:c>
      <x:c r="I138" s="45" t="n">
        <x:v>-53844</x:v>
      </x:c>
      <x:c r="J138" s="47" t="n">
        <x:v>9</x:v>
      </x:c>
      <x:c r="K138" s="45" t="n">
        <x:v>-53844</x:v>
      </x:c>
      <x:c r="L138" s="45" t="n">
        <x:v>53844</x:v>
      </x:c>
      <x:c r="M138" s="46" t="n">
        <x:v>360.05</x:v>
      </x:c>
      <x:c r="N138" s="46" t="n">
        <x:v>37.458333333333336</x:v>
      </x:c>
      <x:c r="O138" s="47" t="n">
        <x:v>5</x:v>
      </x:c>
      <x:c r="P138" s="1" t="str">
        <x:v>二市場の逆行15秒で退出</x:v>
      </x:c>
      <x:c r="Q138" s="47" t="n">
        <x:v>0</x:v>
      </x:c>
      <x:c r="R138" s="1" t="str">
        <x:v>ナイト</x:v>
      </x:c>
      <x:c r="S138" s="47" t="n">
        <x:v>2</x:v>
      </x:c>
    </x:row>
    <x:row r="139" ht="22" customHeight="1">
      <x:c r="A139" s="1" t="str">
        <x:v>日経mini</x:v>
      </x:c>
      <x:c r="B139" s="1" t="str">
        <x:v>G06</x:v>
      </x:c>
      <x:c r="C139" s="1" t="str">
        <x:v>診断3場</x:v>
      </x:c>
      <x:c r="D139" s="45" t="n">
        <x:v>93158</x:v>
      </x:c>
      <x:c r="E139" s="45" t="n">
        <x:v>184766</x:v>
      </x:c>
      <x:c r="F139" s="45" t="n">
        <x:f>D139-E139</x:f>
        <x:v>-91608</x:v>
      </x:c>
      <x:c r="G139" s="47" t="n">
        <x:v>0</x:v>
      </x:c>
      <x:c r="H139" s="47" t="n">
        <x:v>2</x:v>
      </x:c>
      <x:c r="I139" s="45" t="n">
        <x:v>-91608</x:v>
      </x:c>
      <x:c r="J139" s="47" t="n">
        <x:v>18</x:v>
      </x:c>
      <x:c r="K139" s="45" t="n">
        <x:v>-53844</x:v>
      </x:c>
      <x:c r="L139" s="45" t="n">
        <x:v>45804</x:v>
      </x:c>
      <x:c r="M139" s="46" t="n">
        <x:v>227.56666666666666</x:v>
      </x:c>
      <x:c r="N139" s="46" t="n">
        <x:v>69.10833333333333</x:v>
      </x:c>
      <x:c r="O139" s="47" t="n">
        <x:v>9</x:v>
      </x:c>
      <x:c r="P139" s="1" t="str">
        <x:v>二市場の逆行15秒で退出</x:v>
      </x:c>
      <x:c r="Q139" s="47" t="n">
        <x:v>0</x:v>
      </x:c>
      <x:c r="R139" s="1" t="str">
        <x:v>上昇</x:v>
      </x:c>
      <x:c r="S139" s="47" t="n">
        <x:v>2</x:v>
      </x:c>
    </x:row>
    <x:row r="140" ht="22" customHeight="1">
      <x:c r="A140" s="1" t="str">
        <x:v>日経mini</x:v>
      </x:c>
      <x:c r="B140" s="1" t="str">
        <x:v>G06</x:v>
      </x:c>
      <x:c r="C140" s="1" t="str">
        <x:v>診断3場</x:v>
      </x:c>
      <x:c r="D140" s="45" t="n">
        <x:v>106462</x:v>
      </x:c>
      <x:c r="E140" s="45" t="n">
        <x:v>79538</x:v>
      </x:c>
      <x:c r="F140" s="45" t="n">
        <x:f>D140-E140</x:f>
        <x:v>26924</x:v>
      </x:c>
      <x:c r="G140" s="47" t="n">
        <x:v>1</x:v>
      </x:c>
      <x:c r="H140" s="47" t="n">
        <x:v>0</x:v>
      </x:c>
      <x:c r="I140" s="45" t="n">
        <x:v>0</x:v>
      </x:c>
      <x:c r="J140" s="47" t="n">
        <x:v>4</x:v>
      </x:c>
      <x:c r="K140" s="45" t="n">
        <x:v>26924</x:v>
      </x:c>
      <x:c r="L140" s="45" t="n">
        <x:v>0</x:v>
      </x:c>
      <x:c r="M140" s="46" t="n">
        <x:v>360.06666666666666</x:v>
      </x:c>
      <x:c r="N140" s="46" t="n">
        <x:v>31.916666666666668</x:v>
      </x:c>
      <x:c r="O140" s="47" t="n">
        <x:v>5</x:v>
      </x:c>
      <x:c r="P140" s="1" t="str">
        <x:v>二市場の逆行15秒で退出</x:v>
      </x:c>
      <x:c r="Q140" s="47" t="n">
        <x:v>0</x:v>
      </x:c>
      <x:c r="R140" s="1" t="str">
        <x:v>下落</x:v>
      </x:c>
      <x:c r="S140" s="47" t="n">
        <x:v>1</x:v>
      </x:c>
    </x:row>
    <x:row r="141" ht="22" customHeight="1">
      <x:c r="A141" s="1" t="str">
        <x:v>日経mini</x:v>
      </x:c>
      <x:c r="B141" s="1" t="str">
        <x:v>G07</x:v>
      </x:c>
      <x:c r="C141" s="1" t="str">
        <x:v>全50場</x:v>
      </x:c>
      <x:c r="D141" s="45" t="n">
        <x:v>6310672</x:v>
      </x:c>
      <x:c r="E141" s="45" t="n">
        <x:v>3735192</x:v>
      </x:c>
      <x:c r="F141" s="45" t="n">
        <x:f>D141-E141</x:f>
        <x:v>2575480</x:v>
      </x:c>
      <x:c r="G141" s="47" t="n">
        <x:v>32</x:v>
      </x:c>
      <x:c r="H141" s="47" t="n">
        <x:v>18</x:v>
      </x:c>
      <x:c r="I141" s="45" t="n">
        <x:v>1561236</x:v>
      </x:c>
      <x:c r="J141" s="47" t="n">
        <x:v>401</x:v>
      </x:c>
      <x:c r="K141" s="45" t="n">
        <x:v>-174150</x:v>
      </x:c>
      <x:c r="L141" s="45" t="n">
        <x:v>60338.666666666664</x:v>
      </x:c>
      <x:c r="M141" s="46" t="n">
        <x:v>188.68966666666668</x:v>
      </x:c>
      <x:c r="N141" s="46" t="n">
        <x:v>120.332</x:v>
      </x:c>
      <x:c r="O141" s="47" t="n">
        <x:v>10</x:v>
      </x:c>
      <x:c r="P141" s="1" t="str">
        <x:v>二市場の逆行と板変化で退出</x:v>
      </x:c>
      <x:c r="Q141" s="47" t="n">
        <x:v>0</x:v>
      </x:c>
      <x:c r="R141" s="1" t="str">
        <x:v>全場</x:v>
      </x:c>
      <x:c r="S141" s="47" t="n">
        <x:v>50</x:v>
      </x:c>
    </x:row>
    <x:row r="142" ht="22" customHeight="1">
      <x:c r="A142" s="1" t="str">
        <x:v>日経mini</x:v>
      </x:c>
      <x:c r="B142" s="1" t="str">
        <x:v>G07</x:v>
      </x:c>
      <x:c r="C142" s="1" t="str">
        <x:v>全50場</x:v>
      </x:c>
      <x:c r="D142" s="45" t="n">
        <x:v>4007848</x:v>
      </x:c>
      <x:c r="E142" s="45" t="n">
        <x:v>2621280</x:v>
      </x:c>
      <x:c r="F142" s="45" t="n">
        <x:f>D142-E142</x:f>
        <x:v>1386568</x:v>
      </x:c>
      <x:c r="G142" s="47" t="n">
        <x:v>15</x:v>
      </x:c>
      <x:c r="H142" s="47" t="n">
        <x:v>10</x:v>
      </x:c>
      <x:c r="I142" s="45" t="n">
        <x:v>475634</x:v>
      </x:c>
      <x:c r="J142" s="47" t="n">
        <x:v>269</x:v>
      </x:c>
      <x:c r="K142" s="45" t="n">
        <x:v>-174150</x:v>
      </x:c>
      <x:c r="L142" s="45" t="n">
        <x:v>66272.2</x:v>
      </x:c>
      <x:c r="M142" s="46" t="n">
        <x:v>80.29533333333333</x:v>
      </x:c>
      <x:c r="N142" s="46" t="n">
        <x:v>191.18866666666665</x:v>
      </x:c>
      <x:c r="O142" s="47" t="n">
        <x:v>10</x:v>
      </x:c>
      <x:c r="P142" s="1" t="str">
        <x:v>二市場の逆行と板変化で退出</x:v>
      </x:c>
      <x:c r="Q142" s="47" t="n">
        <x:v>0</x:v>
      </x:c>
      <x:c r="R142" s="1" t="str">
        <x:v>デイ</x:v>
      </x:c>
      <x:c r="S142" s="47" t="n">
        <x:v>25</x:v>
      </x:c>
    </x:row>
    <x:row r="143" ht="22" customHeight="1">
      <x:c r="A143" s="1" t="str">
        <x:v>日経mini</x:v>
      </x:c>
      <x:c r="B143" s="1" t="str">
        <x:v>G07</x:v>
      </x:c>
      <x:c r="C143" s="1" t="str">
        <x:v>全50場</x:v>
      </x:c>
      <x:c r="D143" s="45" t="n">
        <x:v>2302824</x:v>
      </x:c>
      <x:c r="E143" s="45" t="n">
        <x:v>1113912</x:v>
      </x:c>
      <x:c r="F143" s="45" t="n">
        <x:f>D143-E143</x:f>
        <x:v>1188912</x:v>
      </x:c>
      <x:c r="G143" s="47" t="n">
        <x:v>17</x:v>
      </x:c>
      <x:c r="H143" s="47" t="n">
        <x:v>8</x:v>
      </x:c>
      <x:c r="I143" s="45" t="n">
        <x:v>448356</x:v>
      </x:c>
      <x:c r="J143" s="47" t="n">
        <x:v>132</x:v>
      </x:c>
      <x:c r="K143" s="45" t="n">
        <x:v>-118462</x:v>
      </x:c>
      <x:c r="L143" s="45" t="n">
        <x:v>52921.75</x:v>
      </x:c>
      <x:c r="M143" s="46" t="n">
        <x:v>297.084</x:v>
      </x:c>
      <x:c r="N143" s="46" t="n">
        <x:v>49.47533333333333</x:v>
      </x:c>
      <x:c r="O143" s="47" t="n">
        <x:v>7</x:v>
      </x:c>
      <x:c r="P143" s="1" t="str">
        <x:v>二市場の逆行と板変化で退出</x:v>
      </x:c>
      <x:c r="Q143" s="47" t="n">
        <x:v>0</x:v>
      </x:c>
      <x:c r="R143" s="1" t="str">
        <x:v>ナイト</x:v>
      </x:c>
      <x:c r="S143" s="47" t="n">
        <x:v>25</x:v>
      </x:c>
    </x:row>
    <x:row r="144" ht="22" customHeight="1">
      <x:c r="A144" s="1" t="str">
        <x:v>日経mini</x:v>
      </x:c>
      <x:c r="B144" s="1" t="str">
        <x:v>G07</x:v>
      </x:c>
      <x:c r="C144" s="1" t="str">
        <x:v>全50場</x:v>
      </x:c>
      <x:c r="D144" s="45" t="n">
        <x:v>3303920</x:v>
      </x:c>
      <x:c r="E144" s="45" t="n">
        <x:v>1956668</x:v>
      </x:c>
      <x:c r="F144" s="45" t="n">
        <x:f>D144-E144</x:f>
        <x:v>1347252</x:v>
      </x:c>
      <x:c r="G144" s="47" t="n">
        <x:v>14</x:v>
      </x:c>
      <x:c r="H144" s="47" t="n">
        <x:v>11</x:v>
      </x:c>
      <x:c r="I144" s="45" t="n">
        <x:v>507464</x:v>
      </x:c>
      <x:c r="J144" s="47" t="n">
        <x:v>223</x:v>
      </x:c>
      <x:c r="K144" s="45" t="n">
        <x:v>-118462</x:v>
      </x:c>
      <x:c r="L144" s="45" t="n">
        <x:v>51856.36363636364</x:v>
      </x:c>
      <x:c r="M144" s="46" t="n">
        <x:v>197.69933333333339</x:v>
      </x:c>
      <x:c r="N144" s="46" t="n">
        <x:v>116.53933333333333</x:v>
      </x:c>
      <x:c r="O144" s="47" t="n">
        <x:v>10</x:v>
      </x:c>
      <x:c r="P144" s="1" t="str">
        <x:v>二市場の逆行と板変化で退出</x:v>
      </x:c>
      <x:c r="Q144" s="47" t="n">
        <x:v>0</x:v>
      </x:c>
      <x:c r="R144" s="1" t="str">
        <x:v>上昇</x:v>
      </x:c>
      <x:c r="S144" s="47" t="n">
        <x:v>25</x:v>
      </x:c>
    </x:row>
    <x:row r="145" ht="22" customHeight="1">
      <x:c r="A145" s="1" t="str">
        <x:v>日経mini</x:v>
      </x:c>
      <x:c r="B145" s="1" t="str">
        <x:v>G07</x:v>
      </x:c>
      <x:c r="C145" s="1" t="str">
        <x:v>全50場</x:v>
      </x:c>
      <x:c r="D145" s="45" t="n">
        <x:v>3006752</x:v>
      </x:c>
      <x:c r="E145" s="45" t="n">
        <x:v>1778524</x:v>
      </x:c>
      <x:c r="F145" s="45" t="n">
        <x:f>D145-E145</x:f>
        <x:v>1228228</x:v>
      </x:c>
      <x:c r="G145" s="47" t="n">
        <x:v>18</x:v>
      </x:c>
      <x:c r="H145" s="47" t="n">
        <x:v>7</x:v>
      </x:c>
      <x:c r="I145" s="45" t="n">
        <x:v>409908</x:v>
      </x:c>
      <x:c r="J145" s="47" t="n">
        <x:v>178</x:v>
      </x:c>
      <x:c r="K145" s="45" t="n">
        <x:v>-174150</x:v>
      </x:c>
      <x:c r="L145" s="45" t="n">
        <x:v>73668</x:v>
      </x:c>
      <x:c r="M145" s="46" t="n">
        <x:v>179.67999999999995</x:v>
      </x:c>
      <x:c r="N145" s="46" t="n">
        <x:v>124.12466666666666</x:v>
      </x:c>
      <x:c r="O145" s="47" t="n">
        <x:v>10</x:v>
      </x:c>
      <x:c r="P145" s="1" t="str">
        <x:v>二市場の逆行と板変化で退出</x:v>
      </x:c>
      <x:c r="Q145" s="47" t="n">
        <x:v>0</x:v>
      </x:c>
      <x:c r="R145" s="1" t="str">
        <x:v>下落</x:v>
      </x:c>
      <x:c r="S145" s="47" t="n">
        <x:v>25</x:v>
      </x:c>
    </x:row>
    <x:row r="146" ht="22" customHeight="1">
      <x:c r="A146" s="1" t="str">
        <x:v>日経mini</x:v>
      </x:c>
      <x:c r="B146" s="1" t="str">
        <x:v>G07</x:v>
      </x:c>
      <x:c r="C146" s="1" t="str">
        <x:v>対照47場</x:v>
      </x:c>
      <x:c r="D146" s="45" t="n">
        <x:v>6111052</x:v>
      </x:c>
      <x:c r="E146" s="45" t="n">
        <x:v>3470888</x:v>
      </x:c>
      <x:c r="F146" s="45" t="n">
        <x:f>D146-E146</x:f>
        <x:v>2640164</x:v>
      </x:c>
      <x:c r="G146" s="47" t="n">
        <x:v>31</x:v>
      </x:c>
      <x:c r="H146" s="47" t="n">
        <x:v>16</x:v>
      </x:c>
      <x:c r="I146" s="45" t="n">
        <x:v>1625920</x:v>
      </x:c>
      <x:c r="J146" s="47" t="n">
        <x:v>379</x:v>
      </x:c>
      <x:c r="K146" s="45" t="n">
        <x:v>-174150</x:v>
      </x:c>
      <x:c r="L146" s="45" t="n">
        <x:v>62155.5</x:v>
      </x:c>
      <x:c r="M146" s="46" t="n">
        <x:v>183.38900709219854</x:v>
      </x:c>
      <x:c r="N146" s="46" t="n">
        <x:v>124.39290780141843</x:v>
      </x:c>
      <x:c r="O146" s="47" t="n">
        <x:v>10</x:v>
      </x:c>
      <x:c r="P146" s="1" t="str">
        <x:v>二市場の逆行と板変化で退出</x:v>
      </x:c>
      <x:c r="Q146" s="47" t="n">
        <x:v>0</x:v>
      </x:c>
      <x:c r="R146" s="1" t="str">
        <x:v>全場</x:v>
      </x:c>
      <x:c r="S146" s="47" t="n">
        <x:v>47</x:v>
      </x:c>
    </x:row>
    <x:row r="147" ht="22" customHeight="1">
      <x:c r="A147" s="1" t="str">
        <x:v>日経mini</x:v>
      </x:c>
      <x:c r="B147" s="1" t="str">
        <x:v>G07</x:v>
      </x:c>
      <x:c r="C147" s="1" t="str">
        <x:v>対照47場</x:v>
      </x:c>
      <x:c r="D147" s="45" t="n">
        <x:v>3930536</x:v>
      </x:c>
      <x:c r="E147" s="45" t="n">
        <x:v>2506204</x:v>
      </x:c>
      <x:c r="F147" s="45" t="n">
        <x:f>D147-E147</x:f>
        <x:v>1424332</x:v>
      </x:c>
      <x:c r="G147" s="47" t="n">
        <x:v>15</x:v>
      </x:c>
      <x:c r="H147" s="47" t="n">
        <x:v>9</x:v>
      </x:c>
      <x:c r="I147" s="45" t="n">
        <x:v>513398</x:v>
      </x:c>
      <x:c r="J147" s="47" t="n">
        <x:v>256</x:v>
      </x:c>
      <x:c r="K147" s="45" t="n">
        <x:v>-174150</x:v>
      </x:c>
      <x:c r="L147" s="45" t="n">
        <x:v>69439.77777777778</x:v>
      </x:c>
      <x:c r="M147" s="46" t="n">
        <x:v>79.67847222222223</x:v>
      </x:c>
      <x:c r="N147" s="46" t="n">
        <x:v>195.1875</x:v>
      </x:c>
      <x:c r="O147" s="47" t="n">
        <x:v>10</x:v>
      </x:c>
      <x:c r="P147" s="1" t="str">
        <x:v>二市場の逆行と板変化で退出</x:v>
      </x:c>
      <x:c r="Q147" s="47" t="n">
        <x:v>0</x:v>
      </x:c>
      <x:c r="R147" s="1" t="str">
        <x:v>デイ</x:v>
      </x:c>
      <x:c r="S147" s="47" t="n">
        <x:v>24</x:v>
      </x:c>
    </x:row>
    <x:row r="148" ht="22" customHeight="1">
      <x:c r="A148" s="1" t="str">
        <x:v>日経mini</x:v>
      </x:c>
      <x:c r="B148" s="1" t="str">
        <x:v>G07</x:v>
      </x:c>
      <x:c r="C148" s="1" t="str">
        <x:v>対照47場</x:v>
      </x:c>
      <x:c r="D148" s="45" t="n">
        <x:v>2180516</x:v>
      </x:c>
      <x:c r="E148" s="45" t="n">
        <x:v>964684</x:v>
      </x:c>
      <x:c r="F148" s="45" t="n">
        <x:f>D148-E148</x:f>
        <x:v>1215832</x:v>
      </x:c>
      <x:c r="G148" s="47" t="n">
        <x:v>16</x:v>
      </x:c>
      <x:c r="H148" s="47" t="n">
        <x:v>7</x:v>
      </x:c>
      <x:c r="I148" s="45" t="n">
        <x:v>475276</x:v>
      </x:c>
      <x:c r="J148" s="47" t="n">
        <x:v>123</x:v>
      </x:c>
      <x:c r="K148" s="45" t="n">
        <x:v>-118462</x:v>
      </x:c>
      <x:c r="L148" s="45" t="n">
        <x:v>52790</x:v>
      </x:c>
      <x:c r="M148" s="46" t="n">
        <x:v>291.6086956521739</x:v>
      </x:c>
      <x:c r="N148" s="46" t="n">
        <x:v>50.520289855072456</x:v>
      </x:c>
      <x:c r="O148" s="47" t="n">
        <x:v>7</x:v>
      </x:c>
      <x:c r="P148" s="1" t="str">
        <x:v>二市場の逆行と板変化で退出</x:v>
      </x:c>
      <x:c r="Q148" s="47" t="n">
        <x:v>0</x:v>
      </x:c>
      <x:c r="R148" s="1" t="str">
        <x:v>ナイト</x:v>
      </x:c>
      <x:c r="S148" s="47" t="n">
        <x:v>23</x:v>
      </x:c>
    </x:row>
    <x:row r="149" ht="22" customHeight="1">
      <x:c r="A149" s="1" t="str">
        <x:v>日経mini</x:v>
      </x:c>
      <x:c r="B149" s="1" t="str">
        <x:v>G07</x:v>
      </x:c>
      <x:c r="C149" s="1" t="str">
        <x:v>対照47場</x:v>
      </x:c>
      <x:c r="D149" s="45" t="n">
        <x:v>3210762</x:v>
      </x:c>
      <x:c r="E149" s="45" t="n">
        <x:v>1771902</x:v>
      </x:c>
      <x:c r="F149" s="45" t="n">
        <x:f>D149-E149</x:f>
        <x:v>1438860</x:v>
      </x:c>
      <x:c r="G149" s="47" t="n">
        <x:v>14</x:v>
      </x:c>
      <x:c r="H149" s="47" t="n">
        <x:v>9</x:v>
      </x:c>
      <x:c r="I149" s="45" t="n">
        <x:v>599072</x:v>
      </x:c>
      <x:c r="J149" s="47" t="n">
        <x:v>205</x:v>
      </x:c>
      <x:c r="K149" s="45" t="n">
        <x:v>-118462</x:v>
      </x:c>
      <x:c r="L149" s="45" t="n">
        <x:v>53201.333333333336</x:v>
      </x:c>
      <x:c r="M149" s="46" t="n">
        <x:v>195.10217391304346</x:v>
      </x:c>
      <x:c r="N149" s="46" t="n">
        <x:v>120.66376811594202</x:v>
      </x:c>
      <x:c r="O149" s="47" t="n">
        <x:v>10</x:v>
      </x:c>
      <x:c r="P149" s="1" t="str">
        <x:v>二市場の逆行と板変化で退出</x:v>
      </x:c>
      <x:c r="Q149" s="47" t="n">
        <x:v>0</x:v>
      </x:c>
      <x:c r="R149" s="1" t="str">
        <x:v>上昇</x:v>
      </x:c>
      <x:c r="S149" s="47" t="n">
        <x:v>23</x:v>
      </x:c>
    </x:row>
    <x:row r="150" ht="22" customHeight="1">
      <x:c r="A150" s="1" t="str">
        <x:v>日経mini</x:v>
      </x:c>
      <x:c r="B150" s="1" t="str">
        <x:v>G07</x:v>
      </x:c>
      <x:c r="C150" s="1" t="str">
        <x:v>対照47場</x:v>
      </x:c>
      <x:c r="D150" s="45" t="n">
        <x:v>2900290</x:v>
      </x:c>
      <x:c r="E150" s="45" t="n">
        <x:v>1698986</x:v>
      </x:c>
      <x:c r="F150" s="45" t="n">
        <x:f>D150-E150</x:f>
        <x:v>1201304</x:v>
      </x:c>
      <x:c r="G150" s="47" t="n">
        <x:v>17</x:v>
      </x:c>
      <x:c r="H150" s="47" t="n">
        <x:v>7</x:v>
      </x:c>
      <x:c r="I150" s="45" t="n">
        <x:v>382984</x:v>
      </x:c>
      <x:c r="J150" s="47" t="n">
        <x:v>174</x:v>
      </x:c>
      <x:c r="K150" s="45" t="n">
        <x:v>-174150</x:v>
      </x:c>
      <x:c r="L150" s="45" t="n">
        <x:v>73668</x:v>
      </x:c>
      <x:c r="M150" s="46" t="n">
        <x:v>172.16388888888886</x:v>
      </x:c>
      <x:c r="N150" s="46" t="n">
        <x:v>127.96666666666665</x:v>
      </x:c>
      <x:c r="O150" s="47" t="n">
        <x:v>10</x:v>
      </x:c>
      <x:c r="P150" s="1" t="str">
        <x:v>二市場の逆行と板変化で退出</x:v>
      </x:c>
      <x:c r="Q150" s="47" t="n">
        <x:v>0</x:v>
      </x:c>
      <x:c r="R150" s="1" t="str">
        <x:v>下落</x:v>
      </x:c>
      <x:c r="S150" s="47" t="n">
        <x:v>24</x:v>
      </x:c>
    </x:row>
    <x:row r="151" ht="22" customHeight="1">
      <x:c r="A151" s="1" t="str">
        <x:v>日経mini</x:v>
      </x:c>
      <x:c r="B151" s="1" t="str">
        <x:v>G07</x:v>
      </x:c>
      <x:c r="C151" s="1" t="str">
        <x:v>診断3場</x:v>
      </x:c>
      <x:c r="D151" s="45" t="n">
        <x:v>199620</x:v>
      </x:c>
      <x:c r="E151" s="45" t="n">
        <x:v>264304</x:v>
      </x:c>
      <x:c r="F151" s="45" t="n">
        <x:f>D151-E151</x:f>
        <x:v>-64684</x:v>
      </x:c>
      <x:c r="G151" s="47" t="n">
        <x:v>1</x:v>
      </x:c>
      <x:c r="H151" s="47" t="n">
        <x:v>2</x:v>
      </x:c>
      <x:c r="I151" s="45" t="n">
        <x:v>-91608</x:v>
      </x:c>
      <x:c r="J151" s="47" t="n">
        <x:v>22</x:v>
      </x:c>
      <x:c r="K151" s="45" t="n">
        <x:v>-53844</x:v>
      </x:c>
      <x:c r="L151" s="45" t="n">
        <x:v>45804</x:v>
      </x:c>
      <x:c r="M151" s="46" t="n">
        <x:v>271.73333333333335</x:v>
      </x:c>
      <x:c r="N151" s="46" t="n">
        <x:v>56.71111111111111</x:v>
      </x:c>
      <x:c r="O151" s="47" t="n">
        <x:v>9</x:v>
      </x:c>
      <x:c r="P151" s="1" t="str">
        <x:v>二市場の逆行と板変化で退出</x:v>
      </x:c>
      <x:c r="Q151" s="47" t="n">
        <x:v>0</x:v>
      </x:c>
      <x:c r="R151" s="1" t="str">
        <x:v>全場</x:v>
      </x:c>
      <x:c r="S151" s="47" t="n">
        <x:v>3</x:v>
      </x:c>
    </x:row>
    <x:row r="152" ht="22" customHeight="1">
      <x:c r="A152" s="1" t="str">
        <x:v>日経mini</x:v>
      </x:c>
      <x:c r="B152" s="1" t="str">
        <x:v>G07</x:v>
      </x:c>
      <x:c r="C152" s="1" t="str">
        <x:v>診断3場</x:v>
      </x:c>
      <x:c r="D152" s="45" t="n">
        <x:v>77312</x:v>
      </x:c>
      <x:c r="E152" s="45" t="n">
        <x:v>115076</x:v>
      </x:c>
      <x:c r="F152" s="45" t="n">
        <x:f>D152-E152</x:f>
        <x:v>-37764</x:v>
      </x:c>
      <x:c r="G152" s="47" t="n">
        <x:v>0</x:v>
      </x:c>
      <x:c r="H152" s="47" t="n">
        <x:v>1</x:v>
      </x:c>
      <x:c r="I152" s="45" t="n">
        <x:v>-37764</x:v>
      </x:c>
      <x:c r="J152" s="47" t="n">
        <x:v>13</x:v>
      </x:c>
      <x:c r="K152" s="45" t="n">
        <x:v>-37764</x:v>
      </x:c>
      <x:c r="L152" s="45" t="n">
        <x:v>37764</x:v>
      </x:c>
      <x:c r="M152" s="46" t="n">
        <x:v>95.1</x:v>
      </x:c>
      <x:c r="N152" s="46" t="n">
        <x:v>95.21666666666667</x:v>
      </x:c>
      <x:c r="O152" s="47" t="n">
        <x:v>9</x:v>
      </x:c>
      <x:c r="P152" s="1" t="str">
        <x:v>二市場の逆行と板変化で退出</x:v>
      </x:c>
      <x:c r="Q152" s="47" t="n">
        <x:v>0</x:v>
      </x:c>
      <x:c r="R152" s="1" t="str">
        <x:v>デイ</x:v>
      </x:c>
      <x:c r="S152" s="47" t="n">
        <x:v>1</x:v>
      </x:c>
    </x:row>
    <x:row r="153" ht="22" customHeight="1">
      <x:c r="A153" s="1" t="str">
        <x:v>日経mini</x:v>
      </x:c>
      <x:c r="B153" s="1" t="str">
        <x:v>G07</x:v>
      </x:c>
      <x:c r="C153" s="1" t="str">
        <x:v>診断3場</x:v>
      </x:c>
      <x:c r="D153" s="45" t="n">
        <x:v>122308</x:v>
      </x:c>
      <x:c r="E153" s="45" t="n">
        <x:v>149228</x:v>
      </x:c>
      <x:c r="F153" s="45" t="n">
        <x:f>D153-E153</x:f>
        <x:v>-26920</x:v>
      </x:c>
      <x:c r="G153" s="47" t="n">
        <x:v>1</x:v>
      </x:c>
      <x:c r="H153" s="47" t="n">
        <x:v>1</x:v>
      </x:c>
      <x:c r="I153" s="45" t="n">
        <x:v>-53844</x:v>
      </x:c>
      <x:c r="J153" s="47" t="n">
        <x:v>9</x:v>
      </x:c>
      <x:c r="K153" s="45" t="n">
        <x:v>-53844</x:v>
      </x:c>
      <x:c r="L153" s="45" t="n">
        <x:v>53844</x:v>
      </x:c>
      <x:c r="M153" s="46" t="n">
        <x:v>360.05</x:v>
      </x:c>
      <x:c r="N153" s="46" t="n">
        <x:v>37.458333333333336</x:v>
      </x:c>
      <x:c r="O153" s="47" t="n">
        <x:v>5</x:v>
      </x:c>
      <x:c r="P153" s="1" t="str">
        <x:v>二市場の逆行と板変化で退出</x:v>
      </x:c>
      <x:c r="Q153" s="47" t="n">
        <x:v>0</x:v>
      </x:c>
      <x:c r="R153" s="1" t="str">
        <x:v>ナイト</x:v>
      </x:c>
      <x:c r="S153" s="47" t="n">
        <x:v>2</x:v>
      </x:c>
    </x:row>
    <x:row r="154" ht="22" customHeight="1">
      <x:c r="A154" s="1" t="str">
        <x:v>日経mini</x:v>
      </x:c>
      <x:c r="B154" s="1" t="str">
        <x:v>G07</x:v>
      </x:c>
      <x:c r="C154" s="1" t="str">
        <x:v>診断3場</x:v>
      </x:c>
      <x:c r="D154" s="45" t="n">
        <x:v>93158</x:v>
      </x:c>
      <x:c r="E154" s="45" t="n">
        <x:v>184766</x:v>
      </x:c>
      <x:c r="F154" s="45" t="n">
        <x:f>D154-E154</x:f>
        <x:v>-91608</x:v>
      </x:c>
      <x:c r="G154" s="47" t="n">
        <x:v>0</x:v>
      </x:c>
      <x:c r="H154" s="47" t="n">
        <x:v>2</x:v>
      </x:c>
      <x:c r="I154" s="45" t="n">
        <x:v>-91608</x:v>
      </x:c>
      <x:c r="J154" s="47" t="n">
        <x:v>18</x:v>
      </x:c>
      <x:c r="K154" s="45" t="n">
        <x:v>-53844</x:v>
      </x:c>
      <x:c r="L154" s="45" t="n">
        <x:v>45804</x:v>
      </x:c>
      <x:c r="M154" s="46" t="n">
        <x:v>227.56666666666666</x:v>
      </x:c>
      <x:c r="N154" s="46" t="n">
        <x:v>69.10833333333333</x:v>
      </x:c>
      <x:c r="O154" s="47" t="n">
        <x:v>9</x:v>
      </x:c>
      <x:c r="P154" s="1" t="str">
        <x:v>二市場の逆行と板変化で退出</x:v>
      </x:c>
      <x:c r="Q154" s="47" t="n">
        <x:v>0</x:v>
      </x:c>
      <x:c r="R154" s="1" t="str">
        <x:v>上昇</x:v>
      </x:c>
      <x:c r="S154" s="47" t="n">
        <x:v>2</x:v>
      </x:c>
    </x:row>
    <x:row r="155" ht="22" customHeight="1">
      <x:c r="A155" s="1" t="str">
        <x:v>日経mini</x:v>
      </x:c>
      <x:c r="B155" s="1" t="str">
        <x:v>G07</x:v>
      </x:c>
      <x:c r="C155" s="1" t="str">
        <x:v>診断3場</x:v>
      </x:c>
      <x:c r="D155" s="45" t="n">
        <x:v>106462</x:v>
      </x:c>
      <x:c r="E155" s="45" t="n">
        <x:v>79538</x:v>
      </x:c>
      <x:c r="F155" s="45" t="n">
        <x:f>D155-E155</x:f>
        <x:v>26924</x:v>
      </x:c>
      <x:c r="G155" s="47" t="n">
        <x:v>1</x:v>
      </x:c>
      <x:c r="H155" s="47" t="n">
        <x:v>0</x:v>
      </x:c>
      <x:c r="I155" s="45" t="n">
        <x:v>0</x:v>
      </x:c>
      <x:c r="J155" s="47" t="n">
        <x:v>4</x:v>
      </x:c>
      <x:c r="K155" s="45" t="n">
        <x:v>26924</x:v>
      </x:c>
      <x:c r="L155" s="45" t="n">
        <x:v>0</x:v>
      </x:c>
      <x:c r="M155" s="46" t="n">
        <x:v>360.06666666666666</x:v>
      </x:c>
      <x:c r="N155" s="46" t="n">
        <x:v>31.916666666666668</x:v>
      </x:c>
      <x:c r="O155" s="47" t="n">
        <x:v>5</x:v>
      </x:c>
      <x:c r="P155" s="1" t="str">
        <x:v>二市場の逆行と板変化で退出</x:v>
      </x:c>
      <x:c r="Q155" s="47" t="n">
        <x:v>0</x:v>
      </x:c>
      <x:c r="R155" s="1" t="str">
        <x:v>下落</x:v>
      </x:c>
      <x:c r="S155" s="47" t="n">
        <x:v>1</x:v>
      </x:c>
    </x:row>
    <x:row r="156" ht="22" customHeight="1">
      <x:c r="A156" s="1" t="str">
        <x:v>日経mini</x:v>
      </x:c>
      <x:c r="B156" s="1" t="str">
        <x:v>G08</x:v>
      </x:c>
      <x:c r="C156" s="1" t="str">
        <x:v>全50場</x:v>
      </x:c>
      <x:c r="D156" s="45" t="n">
        <x:v>5636314</x:v>
      </x:c>
      <x:c r="E156" s="45" t="n">
        <x:v>3238808</x:v>
      </x:c>
      <x:c r="F156" s="45" t="n">
        <x:f>D156-E156</x:f>
        <x:v>2397506</x:v>
      </x:c>
      <x:c r="G156" s="47" t="n">
        <x:v>34</x:v>
      </x:c>
      <x:c r="H156" s="47" t="n">
        <x:v>16</x:v>
      </x:c>
      <x:c r="I156" s="45" t="n">
        <x:v>1259188</x:v>
      </x:c>
      <x:c r="J156" s="47" t="n">
        <x:v>256</x:v>
      </x:c>
      <x:c r="K156" s="45" t="n">
        <x:v>-150462</x:v>
      </x:c>
      <x:c r="L156" s="45" t="n">
        <x:v>63290.875</x:v>
      </x:c>
      <x:c r="M156" s="46" t="n">
        <x:v>212.28466666666668</x:v>
      </x:c>
      <x:c r="N156" s="46" t="n">
        <x:v>130.11466666666666</x:v>
      </x:c>
      <x:c r="O156" s="47" t="n">
        <x:v>10</x:v>
      </x:c>
      <x:c r="P156" s="1" t="str">
        <x:v>再進行確認と初回実額以内の追撃</x:v>
      </x:c>
      <x:c r="Q156" s="47" t="n">
        <x:v>0</x:v>
      </x:c>
      <x:c r="R156" s="1" t="str">
        <x:v>全場</x:v>
      </x:c>
      <x:c r="S156" s="47" t="n">
        <x:v>50</x:v>
      </x:c>
    </x:row>
    <x:row r="157" ht="22" customHeight="1">
      <x:c r="A157" s="1" t="str">
        <x:v>日経mini</x:v>
      </x:c>
      <x:c r="B157" s="1" t="str">
        <x:v>G08</x:v>
      </x:c>
      <x:c r="C157" s="1" t="str">
        <x:v>全50場</x:v>
      </x:c>
      <x:c r="D157" s="45" t="n">
        <x:v>3731512</x:v>
      </x:c>
      <x:c r="E157" s="45" t="n">
        <x:v>2169666</x:v>
      </x:c>
      <x:c r="F157" s="45" t="n">
        <x:f>D157-E157</x:f>
        <x:v>1561846</x:v>
      </x:c>
      <x:c r="G157" s="47" t="n">
        <x:v>16</x:v>
      </x:c>
      <x:c r="H157" s="47" t="n">
        <x:v>9</x:v>
      </x:c>
      <x:c r="I157" s="45" t="n">
        <x:v>460452</x:v>
      </x:c>
      <x:c r="J157" s="47" t="n">
        <x:v>168</x:v>
      </x:c>
      <x:c r="K157" s="45" t="n">
        <x:v>-113456</x:v>
      </x:c>
      <x:c r="L157" s="45" t="n">
        <x:v>62688.666666666664</x:v>
      </x:c>
      <x:c r="M157" s="46" t="n">
        <x:v>87.46866666666666</x:v>
      </x:c>
      <x:c r="N157" s="46" t="n">
        <x:v>223.48733333333334</x:v>
      </x:c>
      <x:c r="O157" s="47" t="n">
        <x:v>10</x:v>
      </x:c>
      <x:c r="P157" s="1" t="str">
        <x:v>再進行確認と初回実額以内の追撃</x:v>
      </x:c>
      <x:c r="Q157" s="47" t="n">
        <x:v>0</x:v>
      </x:c>
      <x:c r="R157" s="1" t="str">
        <x:v>デイ</x:v>
      </x:c>
      <x:c r="S157" s="47" t="n">
        <x:v>25</x:v>
      </x:c>
    </x:row>
    <x:row r="158" ht="22" customHeight="1">
      <x:c r="A158" s="1" t="str">
        <x:v>日経mini</x:v>
      </x:c>
      <x:c r="B158" s="1" t="str">
        <x:v>G08</x:v>
      </x:c>
      <x:c r="C158" s="1" t="str">
        <x:v>全50場</x:v>
      </x:c>
      <x:c r="D158" s="45" t="n">
        <x:v>1904802</x:v>
      </x:c>
      <x:c r="E158" s="45" t="n">
        <x:v>1069142</x:v>
      </x:c>
      <x:c r="F158" s="45" t="n">
        <x:f>D158-E158</x:f>
        <x:v>835660</x:v>
      </x:c>
      <x:c r="G158" s="47" t="n">
        <x:v>18</x:v>
      </x:c>
      <x:c r="H158" s="47" t="n">
        <x:v>7</x:v>
      </x:c>
      <x:c r="I158" s="45" t="n">
        <x:v>201882</x:v>
      </x:c>
      <x:c r="J158" s="47" t="n">
        <x:v>88</x:v>
      </x:c>
      <x:c r="K158" s="45" t="n">
        <x:v>-150462</x:v>
      </x:c>
      <x:c r="L158" s="45" t="n">
        <x:v>64065.142857142855</x:v>
      </x:c>
      <x:c r="M158" s="46" t="n">
        <x:v>337.10066666666665</x:v>
      </x:c>
      <x:c r="N158" s="46" t="n">
        <x:v>36.742000000000004</x:v>
      </x:c>
      <x:c r="O158" s="47" t="n">
        <x:v>7</x:v>
      </x:c>
      <x:c r="P158" s="1" t="str">
        <x:v>再進行確認と初回実額以内の追撃</x:v>
      </x:c>
      <x:c r="Q158" s="47" t="n">
        <x:v>0</x:v>
      </x:c>
      <x:c r="R158" s="1" t="str">
        <x:v>ナイト</x:v>
      </x:c>
      <x:c r="S158" s="47" t="n">
        <x:v>25</x:v>
      </x:c>
    </x:row>
    <x:row r="159" ht="22" customHeight="1">
      <x:c r="A159" s="1" t="str">
        <x:v>日経mini</x:v>
      </x:c>
      <x:c r="B159" s="1" t="str">
        <x:v>G08</x:v>
      </x:c>
      <x:c r="C159" s="1" t="str">
        <x:v>全50場</x:v>
      </x:c>
      <x:c r="D159" s="45" t="n">
        <x:v>2833654</x:v>
      </x:c>
      <x:c r="E159" s="45" t="n">
        <x:v>1735826</x:v>
      </x:c>
      <x:c r="F159" s="45" t="n">
        <x:f>D159-E159</x:f>
        <x:v>1097828</x:v>
      </x:c>
      <x:c r="G159" s="47" t="n">
        <x:v>15</x:v>
      </x:c>
      <x:c r="H159" s="47" t="n">
        <x:v>10</x:v>
      </x:c>
      <x:c r="I159" s="45" t="n">
        <x:v>117358</x:v>
      </x:c>
      <x:c r="J159" s="47" t="n">
        <x:v>129</x:v>
      </x:c>
      <x:c r="K159" s="45" t="n">
        <x:v>-150462</x:v>
      </x:c>
      <x:c r="L159" s="45" t="n">
        <x:v>72728.8</x:v>
      </x:c>
      <x:c r="M159" s="46" t="n">
        <x:v>207.81400000000002</x:v>
      </x:c>
      <x:c r="N159" s="46" t="n">
        <x:v>136.11666666666667</x:v>
      </x:c>
      <x:c r="O159" s="47" t="n">
        <x:v>10</x:v>
      </x:c>
      <x:c r="P159" s="1" t="str">
        <x:v>再進行確認と初回実額以内の追撃</x:v>
      </x:c>
      <x:c r="Q159" s="47" t="n">
        <x:v>0</x:v>
      </x:c>
      <x:c r="R159" s="1" t="str">
        <x:v>上昇</x:v>
      </x:c>
      <x:c r="S159" s="47" t="n">
        <x:v>25</x:v>
      </x:c>
    </x:row>
    <x:row r="160" ht="22" customHeight="1">
      <x:c r="A160" s="1" t="str">
        <x:v>日経mini</x:v>
      </x:c>
      <x:c r="B160" s="1" t="str">
        <x:v>G08</x:v>
      </x:c>
      <x:c r="C160" s="1" t="str">
        <x:v>全50場</x:v>
      </x:c>
      <x:c r="D160" s="45" t="n">
        <x:v>2802660</x:v>
      </x:c>
      <x:c r="E160" s="45" t="n">
        <x:v>1502982</x:v>
      </x:c>
      <x:c r="F160" s="45" t="n">
        <x:f>D160-E160</x:f>
        <x:v>1299678</x:v>
      </x:c>
      <x:c r="G160" s="47" t="n">
        <x:v>19</x:v>
      </x:c>
      <x:c r="H160" s="47" t="n">
        <x:v>6</x:v>
      </x:c>
      <x:c r="I160" s="45" t="n">
        <x:v>477056</x:v>
      </x:c>
      <x:c r="J160" s="47" t="n">
        <x:v>127</x:v>
      </x:c>
      <x:c r="K160" s="45" t="n">
        <x:v>-106152</x:v>
      </x:c>
      <x:c r="L160" s="45" t="n">
        <x:v>47561</x:v>
      </x:c>
      <x:c r="M160" s="46" t="n">
        <x:v>216.75533333333334</x:v>
      </x:c>
      <x:c r="N160" s="46" t="n">
        <x:v>124.11266666666664</x:v>
      </x:c>
      <x:c r="O160" s="47" t="n">
        <x:v>10</x:v>
      </x:c>
      <x:c r="P160" s="1" t="str">
        <x:v>再進行確認と初回実額以内の追撃</x:v>
      </x:c>
      <x:c r="Q160" s="47" t="n">
        <x:v>0</x:v>
      </x:c>
      <x:c r="R160" s="1" t="str">
        <x:v>下落</x:v>
      </x:c>
      <x:c r="S160" s="47" t="n">
        <x:v>25</x:v>
      </x:c>
    </x:row>
    <x:row r="161" ht="22" customHeight="1">
      <x:c r="A161" s="1" t="str">
        <x:v>日経mini</x:v>
      </x:c>
      <x:c r="B161" s="1" t="str">
        <x:v>G08</x:v>
      </x:c>
      <x:c r="C161" s="1" t="str">
        <x:v>対照47場</x:v>
      </x:c>
      <x:c r="D161" s="45" t="n">
        <x:v>5455080</x:v>
      </x:c>
      <x:c r="E161" s="45" t="n">
        <x:v>2982040</x:v>
      </x:c>
      <x:c r="F161" s="45" t="n">
        <x:f>D161-E161</x:f>
        <x:v>2473040</x:v>
      </x:c>
      <x:c r="G161" s="47" t="n">
        <x:v>33</x:v>
      </x:c>
      <x:c r="H161" s="47" t="n">
        <x:v>14</x:v>
      </x:c>
      <x:c r="I161" s="45" t="n">
        <x:v>1334722</x:v>
      </x:c>
      <x:c r="J161" s="47" t="n">
        <x:v>244</x:v>
      </x:c>
      <x:c r="K161" s="45" t="n">
        <x:v>-150462</x:v>
      </x:c>
      <x:c r="L161" s="45" t="n">
        <x:v>65003</x:v>
      </x:c>
      <x:c r="M161" s="46" t="n">
        <x:v>208.49007092198582</x:v>
      </x:c>
      <x:c r="N161" s="46" t="n">
        <x:v>132.59255319148934</x:v>
      </x:c>
      <x:c r="O161" s="47" t="n">
        <x:v>10</x:v>
      </x:c>
      <x:c r="P161" s="1" t="str">
        <x:v>再進行確認と初回実額以内の追撃</x:v>
      </x:c>
      <x:c r="Q161" s="47" t="n">
        <x:v>0</x:v>
      </x:c>
      <x:c r="R161" s="1" t="str">
        <x:v>全場</x:v>
      </x:c>
      <x:c r="S161" s="47" t="n">
        <x:v>47</x:v>
      </x:c>
    </x:row>
    <x:row r="162" ht="22" customHeight="1">
      <x:c r="A162" s="1" t="str">
        <x:v>日経mini</x:v>
      </x:c>
      <x:c r="B162" s="1" t="str">
        <x:v>G08</x:v>
      </x:c>
      <x:c r="C162" s="1" t="str">
        <x:v>対照47場</x:v>
      </x:c>
      <x:c r="D162" s="45" t="n">
        <x:v>3654894</x:v>
      </x:c>
      <x:c r="E162" s="45" t="n">
        <x:v>2069974</x:v>
      </x:c>
      <x:c r="F162" s="45" t="n">
        <x:f>D162-E162</x:f>
        <x:v>1584920</x:v>
      </x:c>
      <x:c r="G162" s="47" t="n">
        <x:v>16</x:v>
      </x:c>
      <x:c r="H162" s="47" t="n">
        <x:v>8</x:v>
      </x:c>
      <x:c r="I162" s="45" t="n">
        <x:v>483526</x:v>
      </x:c>
      <x:c r="J162" s="47" t="n">
        <x:v>161</x:v>
      </x:c>
      <x:c r="K162" s="45" t="n">
        <x:v>-113456</x:v>
      </x:c>
      <x:c r="L162" s="45" t="n">
        <x:v>67640.5</x:v>
      </x:c>
      <x:c r="M162" s="46" t="n">
        <x:v>87.15069444444445</x:v>
      </x:c>
      <x:c r="N162" s="46" t="n">
        <x:v>223.72361111111113</x:v>
      </x:c>
      <x:c r="O162" s="47" t="n">
        <x:v>10</x:v>
      </x:c>
      <x:c r="P162" s="1" t="str">
        <x:v>再進行確認と初回実額以内の追撃</x:v>
      </x:c>
      <x:c r="Q162" s="47" t="n">
        <x:v>0</x:v>
      </x:c>
      <x:c r="R162" s="1" t="str">
        <x:v>デイ</x:v>
      </x:c>
      <x:c r="S162" s="47" t="n">
        <x:v>24</x:v>
      </x:c>
    </x:row>
    <x:row r="163" ht="22" customHeight="1">
      <x:c r="A163" s="1" t="str">
        <x:v>日経mini</x:v>
      </x:c>
      <x:c r="B163" s="1" t="str">
        <x:v>G08</x:v>
      </x:c>
      <x:c r="C163" s="1" t="str">
        <x:v>対照47場</x:v>
      </x:c>
      <x:c r="D163" s="45" t="n">
        <x:v>1800186</x:v>
      </x:c>
      <x:c r="E163" s="45" t="n">
        <x:v>912066</x:v>
      </x:c>
      <x:c r="F163" s="45" t="n">
        <x:f>D163-E163</x:f>
        <x:v>888120</x:v>
      </x:c>
      <x:c r="G163" s="47" t="n">
        <x:v>17</x:v>
      </x:c>
      <x:c r="H163" s="47" t="n">
        <x:v>6</x:v>
      </x:c>
      <x:c r="I163" s="45" t="n">
        <x:v>254342</x:v>
      </x:c>
      <x:c r="J163" s="47" t="n">
        <x:v>83</x:v>
      </x:c>
      <x:c r="K163" s="45" t="n">
        <x:v>-150462</x:v>
      </x:c>
      <x:c r="L163" s="45" t="n">
        <x:v>61486.333333333336</x:v>
      </x:c>
      <x:c r="M163" s="46" t="n">
        <x:v>335.10507246376807</x:v>
      </x:c>
      <x:c r="N163" s="46" t="n">
        <x:v>37.49927536231884</x:v>
      </x:c>
      <x:c r="O163" s="47" t="n">
        <x:v>7</x:v>
      </x:c>
      <x:c r="P163" s="1" t="str">
        <x:v>再進行確認と初回実額以内の追撃</x:v>
      </x:c>
      <x:c r="Q163" s="47" t="n">
        <x:v>0</x:v>
      </x:c>
      <x:c r="R163" s="1" t="str">
        <x:v>ナイト</x:v>
      </x:c>
      <x:c r="S163" s="47" t="n">
        <x:v>23</x:v>
      </x:c>
    </x:row>
    <x:row r="164" ht="22" customHeight="1">
      <x:c r="A164" s="1" t="str">
        <x:v>日経mini</x:v>
      </x:c>
      <x:c r="B164" s="1" t="str">
        <x:v>G08</x:v>
      </x:c>
      <x:c r="C164" s="1" t="str">
        <x:v>対照47場</x:v>
      </x:c>
      <x:c r="D164" s="45" t="n">
        <x:v>2757036</x:v>
      </x:c>
      <x:c r="E164" s="45" t="n">
        <x:v>1556596</x:v>
      </x:c>
      <x:c r="F164" s="45" t="n">
        <x:f>D164-E164</x:f>
        <x:v>1200440</x:v>
      </x:c>
      <x:c r="G164" s="47" t="n">
        <x:v>15</x:v>
      </x:c>
      <x:c r="H164" s="47" t="n">
        <x:v>8</x:v>
      </x:c>
      <x:c r="I164" s="45" t="n">
        <x:v>219970</x:v>
      </x:c>
      <x:c r="J164" s="47" t="n">
        <x:v>120</x:v>
      </x:c>
      <x:c r="K164" s="45" t="n">
        <x:v>-150462</x:v>
      </x:c>
      <x:c r="L164" s="45" t="n">
        <x:v>78084.5</x:v>
      </x:c>
      <x:c r="M164" s="46" t="n">
        <x:v>206.09637681159418</x:v>
      </x:c>
      <x:c r="N164" s="46" t="n">
        <x:v>137.56521739130437</x:v>
      </x:c>
      <x:c r="O164" s="47" t="n">
        <x:v>10</x:v>
      </x:c>
      <x:c r="P164" s="1" t="str">
        <x:v>再進行確認と初回実額以内の追撃</x:v>
      </x:c>
      <x:c r="Q164" s="47" t="n">
        <x:v>0</x:v>
      </x:c>
      <x:c r="R164" s="1" t="str">
        <x:v>上昇</x:v>
      </x:c>
      <x:c r="S164" s="47" t="n">
        <x:v>23</x:v>
      </x:c>
    </x:row>
    <x:row r="165" ht="22" customHeight="1">
      <x:c r="A165" s="1" t="str">
        <x:v>日経mini</x:v>
      </x:c>
      <x:c r="B165" s="1" t="str">
        <x:v>G08</x:v>
      </x:c>
      <x:c r="C165" s="1" t="str">
        <x:v>対照47場</x:v>
      </x:c>
      <x:c r="D165" s="45" t="n">
        <x:v>2698044</x:v>
      </x:c>
      <x:c r="E165" s="45" t="n">
        <x:v>1425444</x:v>
      </x:c>
      <x:c r="F165" s="45" t="n">
        <x:f>D165-E165</x:f>
        <x:v>1272600</x:v>
      </x:c>
      <x:c r="G165" s="47" t="n">
        <x:v>18</x:v>
      </x:c>
      <x:c r="H165" s="47" t="n">
        <x:v>6</x:v>
      </x:c>
      <x:c r="I165" s="45" t="n">
        <x:v>449978</x:v>
      </x:c>
      <x:c r="J165" s="47" t="n">
        <x:v>124</x:v>
      </x:c>
      <x:c r="K165" s="45" t="n">
        <x:v>-106152</x:v>
      </x:c>
      <x:c r="L165" s="45" t="n">
        <x:v>47561</x:v>
      </x:c>
      <x:c r="M165" s="46" t="n">
        <x:v>210.78402777777777</x:v>
      </x:c>
      <x:c r="N165" s="46" t="n">
        <x:v>127.8270833333333</x:v>
      </x:c>
      <x:c r="O165" s="47" t="n">
        <x:v>10</x:v>
      </x:c>
      <x:c r="P165" s="1" t="str">
        <x:v>再進行確認と初回実額以内の追撃</x:v>
      </x:c>
      <x:c r="Q165" s="47" t="n">
        <x:v>0</x:v>
      </x:c>
      <x:c r="R165" s="1" t="str">
        <x:v>下落</x:v>
      </x:c>
      <x:c r="S165" s="47" t="n">
        <x:v>24</x:v>
      </x:c>
    </x:row>
    <x:row r="166" ht="22" customHeight="1">
      <x:c r="A166" s="1" t="str">
        <x:v>日経mini</x:v>
      </x:c>
      <x:c r="B166" s="1" t="str">
        <x:v>G08</x:v>
      </x:c>
      <x:c r="C166" s="1" t="str">
        <x:v>診断3場</x:v>
      </x:c>
      <x:c r="D166" s="45" t="n">
        <x:v>181234</x:v>
      </x:c>
      <x:c r="E166" s="45" t="n">
        <x:v>256768</x:v>
      </x:c>
      <x:c r="F166" s="45" t="n">
        <x:f>D166-E166</x:f>
        <x:v>-75534</x:v>
      </x:c>
      <x:c r="G166" s="47" t="n">
        <x:v>1</x:v>
      </x:c>
      <x:c r="H166" s="47" t="n">
        <x:v>2</x:v>
      </x:c>
      <x:c r="I166" s="45" t="n">
        <x:v>-102612</x:v>
      </x:c>
      <x:c r="J166" s="47" t="n">
        <x:v>12</x:v>
      </x:c>
      <x:c r="K166" s="45" t="n">
        <x:v>-79538</x:v>
      </x:c>
      <x:c r="L166" s="45" t="n">
        <x:v>51306</x:v>
      </x:c>
      <x:c r="M166" s="46" t="n">
        <x:v>271.73333333333335</x:v>
      </x:c>
      <x:c r="N166" s="46" t="n">
        <x:v>91.29444444444444</x:v>
      </x:c>
      <x:c r="O166" s="47" t="n">
        <x:v>5</x:v>
      </x:c>
      <x:c r="P166" s="1" t="str">
        <x:v>再進行確認と初回実額以内の追撃</x:v>
      </x:c>
      <x:c r="Q166" s="47" t="n">
        <x:v>0</x:v>
      </x:c>
      <x:c r="R166" s="1" t="str">
        <x:v>全場</x:v>
      </x:c>
      <x:c r="S166" s="47" t="n">
        <x:v>3</x:v>
      </x:c>
    </x:row>
    <x:row r="167" ht="22" customHeight="1">
      <x:c r="A167" s="1" t="str">
        <x:v>日経mini</x:v>
      </x:c>
      <x:c r="B167" s="1" t="str">
        <x:v>G08</x:v>
      </x:c>
      <x:c r="C167" s="1" t="str">
        <x:v>診断3場</x:v>
      </x:c>
      <x:c r="D167" s="45" t="n">
        <x:v>76618</x:v>
      </x:c>
      <x:c r="E167" s="45" t="n">
        <x:v>99692</x:v>
      </x:c>
      <x:c r="F167" s="45" t="n">
        <x:f>D167-E167</x:f>
        <x:v>-23074</x:v>
      </x:c>
      <x:c r="G167" s="47" t="n">
        <x:v>0</x:v>
      </x:c>
      <x:c r="H167" s="47" t="n">
        <x:v>1</x:v>
      </x:c>
      <x:c r="I167" s="45" t="n">
        <x:v>-23074</x:v>
      </x:c>
      <x:c r="J167" s="47" t="n">
        <x:v>7</x:v>
      </x:c>
      <x:c r="K167" s="45" t="n">
        <x:v>-23074</x:v>
      </x:c>
      <x:c r="L167" s="45" t="n">
        <x:v>23074</x:v>
      </x:c>
      <x:c r="M167" s="46" t="n">
        <x:v>95.1</x:v>
      </x:c>
      <x:c r="N167" s="46" t="n">
        <x:v>217.81666666666666</x:v>
      </x:c>
      <x:c r="O167" s="47" t="n">
        <x:v>5</x:v>
      </x:c>
      <x:c r="P167" s="1" t="str">
        <x:v>再進行確認と初回実額以内の追撃</x:v>
      </x:c>
      <x:c r="Q167" s="47" t="n">
        <x:v>0</x:v>
      </x:c>
      <x:c r="R167" s="1" t="str">
        <x:v>デイ</x:v>
      </x:c>
      <x:c r="S167" s="47" t="n">
        <x:v>1</x:v>
      </x:c>
    </x:row>
    <x:row r="168" ht="22" customHeight="1">
      <x:c r="A168" s="1" t="str">
        <x:v>日経mini</x:v>
      </x:c>
      <x:c r="B168" s="1" t="str">
        <x:v>G08</x:v>
      </x:c>
      <x:c r="C168" s="1" t="str">
        <x:v>診断3場</x:v>
      </x:c>
      <x:c r="D168" s="45" t="n">
        <x:v>104616</x:v>
      </x:c>
      <x:c r="E168" s="45" t="n">
        <x:v>157076</x:v>
      </x:c>
      <x:c r="F168" s="45" t="n">
        <x:f>D168-E168</x:f>
        <x:v>-52460</x:v>
      </x:c>
      <x:c r="G168" s="47" t="n">
        <x:v>1</x:v>
      </x:c>
      <x:c r="H168" s="47" t="n">
        <x:v>1</x:v>
      </x:c>
      <x:c r="I168" s="45" t="n">
        <x:v>-79538</x:v>
      </x:c>
      <x:c r="J168" s="47" t="n">
        <x:v>5</x:v>
      </x:c>
      <x:c r="K168" s="45" t="n">
        <x:v>-79538</x:v>
      </x:c>
      <x:c r="L168" s="45" t="n">
        <x:v>79538</x:v>
      </x:c>
      <x:c r="M168" s="46" t="n">
        <x:v>360.05</x:v>
      </x:c>
      <x:c r="N168" s="46" t="n">
        <x:v>28.033333333333335</x:v>
      </x:c>
      <x:c r="O168" s="47" t="n">
        <x:v>5</x:v>
      </x:c>
      <x:c r="P168" s="1" t="str">
        <x:v>再進行確認と初回実額以内の追撃</x:v>
      </x:c>
      <x:c r="Q168" s="47" t="n">
        <x:v>0</x:v>
      </x:c>
      <x:c r="R168" s="1" t="str">
        <x:v>ナイト</x:v>
      </x:c>
      <x:c r="S168" s="47" t="n">
        <x:v>2</x:v>
      </x:c>
    </x:row>
    <x:row r="169" ht="22" customHeight="1">
      <x:c r="A169" s="1" t="str">
        <x:v>日経mini</x:v>
      </x:c>
      <x:c r="B169" s="1" t="str">
        <x:v>G08</x:v>
      </x:c>
      <x:c r="C169" s="1" t="str">
        <x:v>診断3場</x:v>
      </x:c>
      <x:c r="D169" s="45" t="n">
        <x:v>76618</x:v>
      </x:c>
      <x:c r="E169" s="45" t="n">
        <x:v>179230</x:v>
      </x:c>
      <x:c r="F169" s="45" t="n">
        <x:f>D169-E169</x:f>
        <x:v>-102612</x:v>
      </x:c>
      <x:c r="G169" s="47" t="n">
        <x:v>0</x:v>
      </x:c>
      <x:c r="H169" s="47" t="n">
        <x:v>2</x:v>
      </x:c>
      <x:c r="I169" s="45" t="n">
        <x:v>-102612</x:v>
      </x:c>
      <x:c r="J169" s="47" t="n">
        <x:v>9</x:v>
      </x:c>
      <x:c r="K169" s="45" t="n">
        <x:v>-79538</x:v>
      </x:c>
      <x:c r="L169" s="45" t="n">
        <x:v>51306</x:v>
      </x:c>
      <x:c r="M169" s="46" t="n">
        <x:v>227.56666666666666</x:v>
      </x:c>
      <x:c r="N169" s="46" t="n">
        <x:v>119.45833333333333</x:v>
      </x:c>
      <x:c r="O169" s="47" t="n">
        <x:v>5</x:v>
      </x:c>
      <x:c r="P169" s="1" t="str">
        <x:v>再進行確認と初回実額以内の追撃</x:v>
      </x:c>
      <x:c r="Q169" s="47" t="n">
        <x:v>0</x:v>
      </x:c>
      <x:c r="R169" s="1" t="str">
        <x:v>上昇</x:v>
      </x:c>
      <x:c r="S169" s="47" t="n">
        <x:v>2</x:v>
      </x:c>
    </x:row>
    <x:row r="170" ht="22" customHeight="1">
      <x:c r="A170" s="1" t="str">
        <x:v>日経mini</x:v>
      </x:c>
      <x:c r="B170" s="1" t="str">
        <x:v>G08</x:v>
      </x:c>
      <x:c r="C170" s="1" t="str">
        <x:v>診断3場</x:v>
      </x:c>
      <x:c r="D170" s="45" t="n">
        <x:v>104616</x:v>
      </x:c>
      <x:c r="E170" s="45" t="n">
        <x:v>77538</x:v>
      </x:c>
      <x:c r="F170" s="45" t="n">
        <x:f>D170-E170</x:f>
        <x:v>27078</x:v>
      </x:c>
      <x:c r="G170" s="47" t="n">
        <x:v>1</x:v>
      </x:c>
      <x:c r="H170" s="47" t="n">
        <x:v>0</x:v>
      </x:c>
      <x:c r="I170" s="45" t="n">
        <x:v>0</x:v>
      </x:c>
      <x:c r="J170" s="47" t="n">
        <x:v>3</x:v>
      </x:c>
      <x:c r="K170" s="45" t="n">
        <x:v>27078</x:v>
      </x:c>
      <x:c r="L170" s="45" t="n">
        <x:v>0</x:v>
      </x:c>
      <x:c r="M170" s="46" t="n">
        <x:v>360.06666666666666</x:v>
      </x:c>
      <x:c r="N170" s="46" t="n">
        <x:v>34.96666666666667</x:v>
      </x:c>
      <x:c r="O170" s="47" t="n">
        <x:v>5</x:v>
      </x:c>
      <x:c r="P170" s="1" t="str">
        <x:v>再進行確認と初回実額以内の追撃</x:v>
      </x:c>
      <x:c r="Q170" s="47" t="n">
        <x:v>0</x:v>
      </x:c>
      <x:c r="R170" s="1" t="str">
        <x:v>下落</x:v>
      </x:c>
      <x:c r="S170" s="47" t="n">
        <x:v>1</x:v>
      </x:c>
    </x:row>
    <x:row r="171" ht="22" customHeight="1">
      <x:c r="A171" s="1" t="str">
        <x:v>日経mini</x:v>
      </x:c>
      <x:c r="B171" s="1" t="str">
        <x:v>G09</x:v>
      </x:c>
      <x:c r="C171" s="1" t="str">
        <x:v>全50場</x:v>
      </x:c>
      <x:c r="D171" s="45" t="n">
        <x:v>5636314</x:v>
      </x:c>
      <x:c r="E171" s="45" t="n">
        <x:v>3238808</x:v>
      </x:c>
      <x:c r="F171" s="45" t="n">
        <x:f>D171-E171</x:f>
        <x:v>2397506</x:v>
      </x:c>
      <x:c r="G171" s="47" t="n">
        <x:v>34</x:v>
      </x:c>
      <x:c r="H171" s="47" t="n">
        <x:v>16</x:v>
      </x:c>
      <x:c r="I171" s="45" t="n">
        <x:v>1259188</x:v>
      </x:c>
      <x:c r="J171" s="47" t="n">
        <x:v>256</x:v>
      </x:c>
      <x:c r="K171" s="45" t="n">
        <x:v>-150462</x:v>
      </x:c>
      <x:c r="L171" s="45" t="n">
        <x:v>63290.875</x:v>
      </x:c>
      <x:c r="M171" s="46" t="n">
        <x:v>212.28466666666668</x:v>
      </x:c>
      <x:c r="N171" s="46" t="n">
        <x:v>130.11466666666666</x:v>
      </x:c>
      <x:c r="O171" s="47" t="n">
        <x:v>10</x:v>
      </x:c>
      <x:c r="P171" s="1" t="str">
        <x:v>再進行確認と利益保護後の追撃</x:v>
      </x:c>
      <x:c r="Q171" s="47" t="n">
        <x:v>0</x:v>
      </x:c>
      <x:c r="R171" s="1" t="str">
        <x:v>全場</x:v>
      </x:c>
      <x:c r="S171" s="47" t="n">
        <x:v>50</x:v>
      </x:c>
    </x:row>
    <x:row r="172" ht="22" customHeight="1">
      <x:c r="A172" s="1" t="str">
        <x:v>日経mini</x:v>
      </x:c>
      <x:c r="B172" s="1" t="str">
        <x:v>G09</x:v>
      </x:c>
      <x:c r="C172" s="1" t="str">
        <x:v>全50場</x:v>
      </x:c>
      <x:c r="D172" s="45" t="n">
        <x:v>3731512</x:v>
      </x:c>
      <x:c r="E172" s="45" t="n">
        <x:v>2169666</x:v>
      </x:c>
      <x:c r="F172" s="45" t="n">
        <x:f>D172-E172</x:f>
        <x:v>1561846</x:v>
      </x:c>
      <x:c r="G172" s="47" t="n">
        <x:v>16</x:v>
      </x:c>
      <x:c r="H172" s="47" t="n">
        <x:v>9</x:v>
      </x:c>
      <x:c r="I172" s="45" t="n">
        <x:v>460452</x:v>
      </x:c>
      <x:c r="J172" s="47" t="n">
        <x:v>168</x:v>
      </x:c>
      <x:c r="K172" s="45" t="n">
        <x:v>-113456</x:v>
      </x:c>
      <x:c r="L172" s="45" t="n">
        <x:v>62688.666666666664</x:v>
      </x:c>
      <x:c r="M172" s="46" t="n">
        <x:v>87.46866666666666</x:v>
      </x:c>
      <x:c r="N172" s="46" t="n">
        <x:v>223.48733333333334</x:v>
      </x:c>
      <x:c r="O172" s="47" t="n">
        <x:v>10</x:v>
      </x:c>
      <x:c r="P172" s="1" t="str">
        <x:v>再進行確認と利益保護後の追撃</x:v>
      </x:c>
      <x:c r="Q172" s="47" t="n">
        <x:v>0</x:v>
      </x:c>
      <x:c r="R172" s="1" t="str">
        <x:v>デイ</x:v>
      </x:c>
      <x:c r="S172" s="47" t="n">
        <x:v>25</x:v>
      </x:c>
    </x:row>
    <x:row r="173" ht="22" customHeight="1">
      <x:c r="A173" s="1" t="str">
        <x:v>日経mini</x:v>
      </x:c>
      <x:c r="B173" s="1" t="str">
        <x:v>G09</x:v>
      </x:c>
      <x:c r="C173" s="1" t="str">
        <x:v>全50場</x:v>
      </x:c>
      <x:c r="D173" s="45" t="n">
        <x:v>1904802</x:v>
      </x:c>
      <x:c r="E173" s="45" t="n">
        <x:v>1069142</x:v>
      </x:c>
      <x:c r="F173" s="45" t="n">
        <x:f>D173-E173</x:f>
        <x:v>835660</x:v>
      </x:c>
      <x:c r="G173" s="47" t="n">
        <x:v>18</x:v>
      </x:c>
      <x:c r="H173" s="47" t="n">
        <x:v>7</x:v>
      </x:c>
      <x:c r="I173" s="45" t="n">
        <x:v>201882</x:v>
      </x:c>
      <x:c r="J173" s="47" t="n">
        <x:v>88</x:v>
      </x:c>
      <x:c r="K173" s="45" t="n">
        <x:v>-150462</x:v>
      </x:c>
      <x:c r="L173" s="45" t="n">
        <x:v>64065.142857142855</x:v>
      </x:c>
      <x:c r="M173" s="46" t="n">
        <x:v>337.10066666666665</x:v>
      </x:c>
      <x:c r="N173" s="46" t="n">
        <x:v>36.742000000000004</x:v>
      </x:c>
      <x:c r="O173" s="47" t="n">
        <x:v>7</x:v>
      </x:c>
      <x:c r="P173" s="1" t="str">
        <x:v>再進行確認と利益保護後の追撃</x:v>
      </x:c>
      <x:c r="Q173" s="47" t="n">
        <x:v>0</x:v>
      </x:c>
      <x:c r="R173" s="1" t="str">
        <x:v>ナイト</x:v>
      </x:c>
      <x:c r="S173" s="47" t="n">
        <x:v>25</x:v>
      </x:c>
    </x:row>
    <x:row r="174" ht="22" customHeight="1">
      <x:c r="A174" s="1" t="str">
        <x:v>日経mini</x:v>
      </x:c>
      <x:c r="B174" s="1" t="str">
        <x:v>G09</x:v>
      </x:c>
      <x:c r="C174" s="1" t="str">
        <x:v>全50場</x:v>
      </x:c>
      <x:c r="D174" s="45" t="n">
        <x:v>2833654</x:v>
      </x:c>
      <x:c r="E174" s="45" t="n">
        <x:v>1735826</x:v>
      </x:c>
      <x:c r="F174" s="45" t="n">
        <x:f>D174-E174</x:f>
        <x:v>1097828</x:v>
      </x:c>
      <x:c r="G174" s="47" t="n">
        <x:v>15</x:v>
      </x:c>
      <x:c r="H174" s="47" t="n">
        <x:v>10</x:v>
      </x:c>
      <x:c r="I174" s="45" t="n">
        <x:v>117358</x:v>
      </x:c>
      <x:c r="J174" s="47" t="n">
        <x:v>129</x:v>
      </x:c>
      <x:c r="K174" s="45" t="n">
        <x:v>-150462</x:v>
      </x:c>
      <x:c r="L174" s="45" t="n">
        <x:v>72728.8</x:v>
      </x:c>
      <x:c r="M174" s="46" t="n">
        <x:v>207.81400000000002</x:v>
      </x:c>
      <x:c r="N174" s="46" t="n">
        <x:v>136.11666666666667</x:v>
      </x:c>
      <x:c r="O174" s="47" t="n">
        <x:v>10</x:v>
      </x:c>
      <x:c r="P174" s="1" t="str">
        <x:v>再進行確認と利益保護後の追撃</x:v>
      </x:c>
      <x:c r="Q174" s="47" t="n">
        <x:v>0</x:v>
      </x:c>
      <x:c r="R174" s="1" t="str">
        <x:v>上昇</x:v>
      </x:c>
      <x:c r="S174" s="47" t="n">
        <x:v>25</x:v>
      </x:c>
    </x:row>
    <x:row r="175" ht="22" customHeight="1">
      <x:c r="A175" s="1" t="str">
        <x:v>日経mini</x:v>
      </x:c>
      <x:c r="B175" s="1" t="str">
        <x:v>G09</x:v>
      </x:c>
      <x:c r="C175" s="1" t="str">
        <x:v>全50場</x:v>
      </x:c>
      <x:c r="D175" s="45" t="n">
        <x:v>2802660</x:v>
      </x:c>
      <x:c r="E175" s="45" t="n">
        <x:v>1502982</x:v>
      </x:c>
      <x:c r="F175" s="45" t="n">
        <x:f>D175-E175</x:f>
        <x:v>1299678</x:v>
      </x:c>
      <x:c r="G175" s="47" t="n">
        <x:v>19</x:v>
      </x:c>
      <x:c r="H175" s="47" t="n">
        <x:v>6</x:v>
      </x:c>
      <x:c r="I175" s="45" t="n">
        <x:v>477056</x:v>
      </x:c>
      <x:c r="J175" s="47" t="n">
        <x:v>127</x:v>
      </x:c>
      <x:c r="K175" s="45" t="n">
        <x:v>-106152</x:v>
      </x:c>
      <x:c r="L175" s="45" t="n">
        <x:v>47561</x:v>
      </x:c>
      <x:c r="M175" s="46" t="n">
        <x:v>216.75533333333334</x:v>
      </x:c>
      <x:c r="N175" s="46" t="n">
        <x:v>124.11266666666664</x:v>
      </x:c>
      <x:c r="O175" s="47" t="n">
        <x:v>10</x:v>
      </x:c>
      <x:c r="P175" s="1" t="str">
        <x:v>再進行確認と利益保護後の追撃</x:v>
      </x:c>
      <x:c r="Q175" s="47" t="n">
        <x:v>0</x:v>
      </x:c>
      <x:c r="R175" s="1" t="str">
        <x:v>下落</x:v>
      </x:c>
      <x:c r="S175" s="47" t="n">
        <x:v>25</x:v>
      </x:c>
    </x:row>
    <x:row r="176" ht="22" customHeight="1">
      <x:c r="A176" s="1" t="str">
        <x:v>日経mini</x:v>
      </x:c>
      <x:c r="B176" s="1" t="str">
        <x:v>G09</x:v>
      </x:c>
      <x:c r="C176" s="1" t="str">
        <x:v>対照47場</x:v>
      </x:c>
      <x:c r="D176" s="45" t="n">
        <x:v>5455080</x:v>
      </x:c>
      <x:c r="E176" s="45" t="n">
        <x:v>2982040</x:v>
      </x:c>
      <x:c r="F176" s="45" t="n">
        <x:f>D176-E176</x:f>
        <x:v>2473040</x:v>
      </x:c>
      <x:c r="G176" s="47" t="n">
        <x:v>33</x:v>
      </x:c>
      <x:c r="H176" s="47" t="n">
        <x:v>14</x:v>
      </x:c>
      <x:c r="I176" s="45" t="n">
        <x:v>1334722</x:v>
      </x:c>
      <x:c r="J176" s="47" t="n">
        <x:v>244</x:v>
      </x:c>
      <x:c r="K176" s="45" t="n">
        <x:v>-150462</x:v>
      </x:c>
      <x:c r="L176" s="45" t="n">
        <x:v>65003</x:v>
      </x:c>
      <x:c r="M176" s="46" t="n">
        <x:v>208.49007092198582</x:v>
      </x:c>
      <x:c r="N176" s="46" t="n">
        <x:v>132.59255319148934</x:v>
      </x:c>
      <x:c r="O176" s="47" t="n">
        <x:v>10</x:v>
      </x:c>
      <x:c r="P176" s="1" t="str">
        <x:v>再進行確認と利益保護後の追撃</x:v>
      </x:c>
      <x:c r="Q176" s="47" t="n">
        <x:v>0</x:v>
      </x:c>
      <x:c r="R176" s="1" t="str">
        <x:v>全場</x:v>
      </x:c>
      <x:c r="S176" s="47" t="n">
        <x:v>47</x:v>
      </x:c>
    </x:row>
    <x:row r="177" ht="22" customHeight="1">
      <x:c r="A177" s="1" t="str">
        <x:v>日経mini</x:v>
      </x:c>
      <x:c r="B177" s="1" t="str">
        <x:v>G09</x:v>
      </x:c>
      <x:c r="C177" s="1" t="str">
        <x:v>対照47場</x:v>
      </x:c>
      <x:c r="D177" s="45" t="n">
        <x:v>3654894</x:v>
      </x:c>
      <x:c r="E177" s="45" t="n">
        <x:v>2069974</x:v>
      </x:c>
      <x:c r="F177" s="45" t="n">
        <x:f>D177-E177</x:f>
        <x:v>1584920</x:v>
      </x:c>
      <x:c r="G177" s="47" t="n">
        <x:v>16</x:v>
      </x:c>
      <x:c r="H177" s="47" t="n">
        <x:v>8</x:v>
      </x:c>
      <x:c r="I177" s="45" t="n">
        <x:v>483526</x:v>
      </x:c>
      <x:c r="J177" s="47" t="n">
        <x:v>161</x:v>
      </x:c>
      <x:c r="K177" s="45" t="n">
        <x:v>-113456</x:v>
      </x:c>
      <x:c r="L177" s="45" t="n">
        <x:v>67640.5</x:v>
      </x:c>
      <x:c r="M177" s="46" t="n">
        <x:v>87.15069444444445</x:v>
      </x:c>
      <x:c r="N177" s="46" t="n">
        <x:v>223.72361111111113</x:v>
      </x:c>
      <x:c r="O177" s="47" t="n">
        <x:v>10</x:v>
      </x:c>
      <x:c r="P177" s="1" t="str">
        <x:v>再進行確認と利益保護後の追撃</x:v>
      </x:c>
      <x:c r="Q177" s="47" t="n">
        <x:v>0</x:v>
      </x:c>
      <x:c r="R177" s="1" t="str">
        <x:v>デイ</x:v>
      </x:c>
      <x:c r="S177" s="47" t="n">
        <x:v>24</x:v>
      </x:c>
    </x:row>
    <x:row r="178" ht="22" customHeight="1">
      <x:c r="A178" s="1" t="str">
        <x:v>日経mini</x:v>
      </x:c>
      <x:c r="B178" s="1" t="str">
        <x:v>G09</x:v>
      </x:c>
      <x:c r="C178" s="1" t="str">
        <x:v>対照47場</x:v>
      </x:c>
      <x:c r="D178" s="45" t="n">
        <x:v>1800186</x:v>
      </x:c>
      <x:c r="E178" s="45" t="n">
        <x:v>912066</x:v>
      </x:c>
      <x:c r="F178" s="45" t="n">
        <x:f>D178-E178</x:f>
        <x:v>888120</x:v>
      </x:c>
      <x:c r="G178" s="47" t="n">
        <x:v>17</x:v>
      </x:c>
      <x:c r="H178" s="47" t="n">
        <x:v>6</x:v>
      </x:c>
      <x:c r="I178" s="45" t="n">
        <x:v>254342</x:v>
      </x:c>
      <x:c r="J178" s="47" t="n">
        <x:v>83</x:v>
      </x:c>
      <x:c r="K178" s="45" t="n">
        <x:v>-150462</x:v>
      </x:c>
      <x:c r="L178" s="45" t="n">
        <x:v>61486.333333333336</x:v>
      </x:c>
      <x:c r="M178" s="46" t="n">
        <x:v>335.10507246376807</x:v>
      </x:c>
      <x:c r="N178" s="46" t="n">
        <x:v>37.49927536231884</x:v>
      </x:c>
      <x:c r="O178" s="47" t="n">
        <x:v>7</x:v>
      </x:c>
      <x:c r="P178" s="1" t="str">
        <x:v>再進行確認と利益保護後の追撃</x:v>
      </x:c>
      <x:c r="Q178" s="47" t="n">
        <x:v>0</x:v>
      </x:c>
      <x:c r="R178" s="1" t="str">
        <x:v>ナイト</x:v>
      </x:c>
      <x:c r="S178" s="47" t="n">
        <x:v>23</x:v>
      </x:c>
    </x:row>
    <x:row r="179" ht="22" customHeight="1">
      <x:c r="A179" s="1" t="str">
        <x:v>日経mini</x:v>
      </x:c>
      <x:c r="B179" s="1" t="str">
        <x:v>G09</x:v>
      </x:c>
      <x:c r="C179" s="1" t="str">
        <x:v>対照47場</x:v>
      </x:c>
      <x:c r="D179" s="45" t="n">
        <x:v>2757036</x:v>
      </x:c>
      <x:c r="E179" s="45" t="n">
        <x:v>1556596</x:v>
      </x:c>
      <x:c r="F179" s="45" t="n">
        <x:f>D179-E179</x:f>
        <x:v>1200440</x:v>
      </x:c>
      <x:c r="G179" s="47" t="n">
        <x:v>15</x:v>
      </x:c>
      <x:c r="H179" s="47" t="n">
        <x:v>8</x:v>
      </x:c>
      <x:c r="I179" s="45" t="n">
        <x:v>219970</x:v>
      </x:c>
      <x:c r="J179" s="47" t="n">
        <x:v>120</x:v>
      </x:c>
      <x:c r="K179" s="45" t="n">
        <x:v>-150462</x:v>
      </x:c>
      <x:c r="L179" s="45" t="n">
        <x:v>78084.5</x:v>
      </x:c>
      <x:c r="M179" s="46" t="n">
        <x:v>206.09637681159418</x:v>
      </x:c>
      <x:c r="N179" s="46" t="n">
        <x:v>137.56521739130437</x:v>
      </x:c>
      <x:c r="O179" s="47" t="n">
        <x:v>10</x:v>
      </x:c>
      <x:c r="P179" s="1" t="str">
        <x:v>再進行確認と利益保護後の追撃</x:v>
      </x:c>
      <x:c r="Q179" s="47" t="n">
        <x:v>0</x:v>
      </x:c>
      <x:c r="R179" s="1" t="str">
        <x:v>上昇</x:v>
      </x:c>
      <x:c r="S179" s="47" t="n">
        <x:v>23</x:v>
      </x:c>
    </x:row>
    <x:row r="180" ht="22" customHeight="1">
      <x:c r="A180" s="1" t="str">
        <x:v>日経mini</x:v>
      </x:c>
      <x:c r="B180" s="1" t="str">
        <x:v>G09</x:v>
      </x:c>
      <x:c r="C180" s="1" t="str">
        <x:v>対照47場</x:v>
      </x:c>
      <x:c r="D180" s="45" t="n">
        <x:v>2698044</x:v>
      </x:c>
      <x:c r="E180" s="45" t="n">
        <x:v>1425444</x:v>
      </x:c>
      <x:c r="F180" s="45" t="n">
        <x:f>D180-E180</x:f>
        <x:v>1272600</x:v>
      </x:c>
      <x:c r="G180" s="47" t="n">
        <x:v>18</x:v>
      </x:c>
      <x:c r="H180" s="47" t="n">
        <x:v>6</x:v>
      </x:c>
      <x:c r="I180" s="45" t="n">
        <x:v>449978</x:v>
      </x:c>
      <x:c r="J180" s="47" t="n">
        <x:v>124</x:v>
      </x:c>
      <x:c r="K180" s="45" t="n">
        <x:v>-106152</x:v>
      </x:c>
      <x:c r="L180" s="45" t="n">
        <x:v>47561</x:v>
      </x:c>
      <x:c r="M180" s="46" t="n">
        <x:v>210.78402777777777</x:v>
      </x:c>
      <x:c r="N180" s="46" t="n">
        <x:v>127.8270833333333</x:v>
      </x:c>
      <x:c r="O180" s="47" t="n">
        <x:v>10</x:v>
      </x:c>
      <x:c r="P180" s="1" t="str">
        <x:v>再進行確認と利益保護後の追撃</x:v>
      </x:c>
      <x:c r="Q180" s="47" t="n">
        <x:v>0</x:v>
      </x:c>
      <x:c r="R180" s="1" t="str">
        <x:v>下落</x:v>
      </x:c>
      <x:c r="S180" s="47" t="n">
        <x:v>24</x:v>
      </x:c>
    </x:row>
    <x:row r="181" ht="22" customHeight="1">
      <x:c r="A181" s="1" t="str">
        <x:v>日経mini</x:v>
      </x:c>
      <x:c r="B181" s="1" t="str">
        <x:v>G09</x:v>
      </x:c>
      <x:c r="C181" s="1" t="str">
        <x:v>診断3場</x:v>
      </x:c>
      <x:c r="D181" s="45" t="n">
        <x:v>181234</x:v>
      </x:c>
      <x:c r="E181" s="45" t="n">
        <x:v>256768</x:v>
      </x:c>
      <x:c r="F181" s="45" t="n">
        <x:f>D181-E181</x:f>
        <x:v>-75534</x:v>
      </x:c>
      <x:c r="G181" s="47" t="n">
        <x:v>1</x:v>
      </x:c>
      <x:c r="H181" s="47" t="n">
        <x:v>2</x:v>
      </x:c>
      <x:c r="I181" s="45" t="n">
        <x:v>-102612</x:v>
      </x:c>
      <x:c r="J181" s="47" t="n">
        <x:v>12</x:v>
      </x:c>
      <x:c r="K181" s="45" t="n">
        <x:v>-79538</x:v>
      </x:c>
      <x:c r="L181" s="45" t="n">
        <x:v>51306</x:v>
      </x:c>
      <x:c r="M181" s="46" t="n">
        <x:v>271.73333333333335</x:v>
      </x:c>
      <x:c r="N181" s="46" t="n">
        <x:v>91.29444444444444</x:v>
      </x:c>
      <x:c r="O181" s="47" t="n">
        <x:v>5</x:v>
      </x:c>
      <x:c r="P181" s="1" t="str">
        <x:v>再進行確認と利益保護後の追撃</x:v>
      </x:c>
      <x:c r="Q181" s="47" t="n">
        <x:v>0</x:v>
      </x:c>
      <x:c r="R181" s="1" t="str">
        <x:v>全場</x:v>
      </x:c>
      <x:c r="S181" s="47" t="n">
        <x:v>3</x:v>
      </x:c>
    </x:row>
    <x:row r="182" ht="22" customHeight="1">
      <x:c r="A182" s="1" t="str">
        <x:v>日経mini</x:v>
      </x:c>
      <x:c r="B182" s="1" t="str">
        <x:v>G09</x:v>
      </x:c>
      <x:c r="C182" s="1" t="str">
        <x:v>診断3場</x:v>
      </x:c>
      <x:c r="D182" s="45" t="n">
        <x:v>76618</x:v>
      </x:c>
      <x:c r="E182" s="45" t="n">
        <x:v>99692</x:v>
      </x:c>
      <x:c r="F182" s="45" t="n">
        <x:f>D182-E182</x:f>
        <x:v>-23074</x:v>
      </x:c>
      <x:c r="G182" s="47" t="n">
        <x:v>0</x:v>
      </x:c>
      <x:c r="H182" s="47" t="n">
        <x:v>1</x:v>
      </x:c>
      <x:c r="I182" s="45" t="n">
        <x:v>-23074</x:v>
      </x:c>
      <x:c r="J182" s="47" t="n">
        <x:v>7</x:v>
      </x:c>
      <x:c r="K182" s="45" t="n">
        <x:v>-23074</x:v>
      </x:c>
      <x:c r="L182" s="45" t="n">
        <x:v>23074</x:v>
      </x:c>
      <x:c r="M182" s="46" t="n">
        <x:v>95.1</x:v>
      </x:c>
      <x:c r="N182" s="46" t="n">
        <x:v>217.81666666666666</x:v>
      </x:c>
      <x:c r="O182" s="47" t="n">
        <x:v>5</x:v>
      </x:c>
      <x:c r="P182" s="1" t="str">
        <x:v>再進行確認と利益保護後の追撃</x:v>
      </x:c>
      <x:c r="Q182" s="47" t="n">
        <x:v>0</x:v>
      </x:c>
      <x:c r="R182" s="1" t="str">
        <x:v>デイ</x:v>
      </x:c>
      <x:c r="S182" s="47" t="n">
        <x:v>1</x:v>
      </x:c>
    </x:row>
    <x:row r="183" ht="22" customHeight="1">
      <x:c r="A183" s="1" t="str">
        <x:v>日経mini</x:v>
      </x:c>
      <x:c r="B183" s="1" t="str">
        <x:v>G09</x:v>
      </x:c>
      <x:c r="C183" s="1" t="str">
        <x:v>診断3場</x:v>
      </x:c>
      <x:c r="D183" s="45" t="n">
        <x:v>104616</x:v>
      </x:c>
      <x:c r="E183" s="45" t="n">
        <x:v>157076</x:v>
      </x:c>
      <x:c r="F183" s="45" t="n">
        <x:f>D183-E183</x:f>
        <x:v>-52460</x:v>
      </x:c>
      <x:c r="G183" s="47" t="n">
        <x:v>1</x:v>
      </x:c>
      <x:c r="H183" s="47" t="n">
        <x:v>1</x:v>
      </x:c>
      <x:c r="I183" s="45" t="n">
        <x:v>-79538</x:v>
      </x:c>
      <x:c r="J183" s="47" t="n">
        <x:v>5</x:v>
      </x:c>
      <x:c r="K183" s="45" t="n">
        <x:v>-79538</x:v>
      </x:c>
      <x:c r="L183" s="45" t="n">
        <x:v>79538</x:v>
      </x:c>
      <x:c r="M183" s="46" t="n">
        <x:v>360.05</x:v>
      </x:c>
      <x:c r="N183" s="46" t="n">
        <x:v>28.033333333333335</x:v>
      </x:c>
      <x:c r="O183" s="47" t="n">
        <x:v>5</x:v>
      </x:c>
      <x:c r="P183" s="1" t="str">
        <x:v>再進行確認と利益保護後の追撃</x:v>
      </x:c>
      <x:c r="Q183" s="47" t="n">
        <x:v>0</x:v>
      </x:c>
      <x:c r="R183" s="1" t="str">
        <x:v>ナイト</x:v>
      </x:c>
      <x:c r="S183" s="47" t="n">
        <x:v>2</x:v>
      </x:c>
    </x:row>
    <x:row r="184" ht="22" customHeight="1">
      <x:c r="A184" s="1" t="str">
        <x:v>日経mini</x:v>
      </x:c>
      <x:c r="B184" s="1" t="str">
        <x:v>G09</x:v>
      </x:c>
      <x:c r="C184" s="1" t="str">
        <x:v>診断3場</x:v>
      </x:c>
      <x:c r="D184" s="45" t="n">
        <x:v>76618</x:v>
      </x:c>
      <x:c r="E184" s="45" t="n">
        <x:v>179230</x:v>
      </x:c>
      <x:c r="F184" s="45" t="n">
        <x:f>D184-E184</x:f>
        <x:v>-102612</x:v>
      </x:c>
      <x:c r="G184" s="47" t="n">
        <x:v>0</x:v>
      </x:c>
      <x:c r="H184" s="47" t="n">
        <x:v>2</x:v>
      </x:c>
      <x:c r="I184" s="45" t="n">
        <x:v>-102612</x:v>
      </x:c>
      <x:c r="J184" s="47" t="n">
        <x:v>9</x:v>
      </x:c>
      <x:c r="K184" s="45" t="n">
        <x:v>-79538</x:v>
      </x:c>
      <x:c r="L184" s="45" t="n">
        <x:v>51306</x:v>
      </x:c>
      <x:c r="M184" s="46" t="n">
        <x:v>227.56666666666666</x:v>
      </x:c>
      <x:c r="N184" s="46" t="n">
        <x:v>119.45833333333333</x:v>
      </x:c>
      <x:c r="O184" s="47" t="n">
        <x:v>5</x:v>
      </x:c>
      <x:c r="P184" s="1" t="str">
        <x:v>再進行確認と利益保護後の追撃</x:v>
      </x:c>
      <x:c r="Q184" s="47" t="n">
        <x:v>0</x:v>
      </x:c>
      <x:c r="R184" s="1" t="str">
        <x:v>上昇</x:v>
      </x:c>
      <x:c r="S184" s="47" t="n">
        <x:v>2</x:v>
      </x:c>
    </x:row>
    <x:row r="185" ht="22" customHeight="1">
      <x:c r="A185" s="1" t="str">
        <x:v>日経mini</x:v>
      </x:c>
      <x:c r="B185" s="1" t="str">
        <x:v>G09</x:v>
      </x:c>
      <x:c r="C185" s="1" t="str">
        <x:v>診断3場</x:v>
      </x:c>
      <x:c r="D185" s="45" t="n">
        <x:v>104616</x:v>
      </x:c>
      <x:c r="E185" s="45" t="n">
        <x:v>77538</x:v>
      </x:c>
      <x:c r="F185" s="45" t="n">
        <x:f>D185-E185</x:f>
        <x:v>27078</x:v>
      </x:c>
      <x:c r="G185" s="47" t="n">
        <x:v>1</x:v>
      </x:c>
      <x:c r="H185" s="47" t="n">
        <x:v>0</x:v>
      </x:c>
      <x:c r="I185" s="45" t="n">
        <x:v>0</x:v>
      </x:c>
      <x:c r="J185" s="47" t="n">
        <x:v>3</x:v>
      </x:c>
      <x:c r="K185" s="45" t="n">
        <x:v>27078</x:v>
      </x:c>
      <x:c r="L185" s="45" t="n">
        <x:v>0</x:v>
      </x:c>
      <x:c r="M185" s="46" t="n">
        <x:v>360.06666666666666</x:v>
      </x:c>
      <x:c r="N185" s="46" t="n">
        <x:v>34.96666666666667</x:v>
      </x:c>
      <x:c r="O185" s="47" t="n">
        <x:v>5</x:v>
      </x:c>
      <x:c r="P185" s="1" t="str">
        <x:v>再進行確認と利益保護後の追撃</x:v>
      </x:c>
      <x:c r="Q185" s="47" t="n">
        <x:v>0</x:v>
      </x:c>
      <x:c r="R185" s="1" t="str">
        <x:v>下落</x:v>
      </x:c>
      <x:c r="S185" s="47" t="n">
        <x:v>1</x:v>
      </x:c>
    </x:row>
    <x:row r="186" ht="22" customHeight="1">
      <x:c r="A186" s="1" t="str">
        <x:v>日経mini</x:v>
      </x:c>
      <x:c r="B186" s="1" t="str">
        <x:v>G10</x:v>
      </x:c>
      <x:c r="C186" s="1" t="str">
        <x:v>全50場</x:v>
      </x:c>
      <x:c r="D186" s="45" t="n">
        <x:v>5192612</x:v>
      </x:c>
      <x:c r="E186" s="45" t="n">
        <x:v>3190822</x:v>
      </x:c>
      <x:c r="F186" s="45" t="n">
        <x:f>D186-E186</x:f>
        <x:v>2001790</x:v>
      </x:c>
      <x:c r="G186" s="47" t="n">
        <x:v>32</x:v>
      </x:c>
      <x:c r="H186" s="47" t="n">
        <x:v>18</x:v>
      </x:c>
      <x:c r="I186" s="45" t="n">
        <x:v>1011396</x:v>
      </x:c>
      <x:c r="J186" s="47" t="n">
        <x:v>256</x:v>
      </x:c>
      <x:c r="K186" s="45" t="n">
        <x:v>-199766</x:v>
      </x:c>
      <x:c r="L186" s="45" t="n">
        <x:v>69588.11111111111</x:v>
      </x:c>
      <x:c r="M186" s="46" t="n">
        <x:v>212.28466666666668</x:v>
      </x:c>
      <x:c r="N186" s="46" t="n">
        <x:v>105.58666666666666</x:v>
      </x:c>
      <x:c r="O186" s="47" t="n">
        <x:v>10</x:v>
      </x:c>
      <x:c r="P186" s="1" t="str">
        <x:v>再進行・追撃保護・二市場退出</x:v>
      </x:c>
      <x:c r="Q186" s="47" t="n">
        <x:v>0</x:v>
      </x:c>
      <x:c r="R186" s="1" t="str">
        <x:v>全場</x:v>
      </x:c>
      <x:c r="S186" s="47" t="n">
        <x:v>50</x:v>
      </x:c>
    </x:row>
    <x:row r="187" ht="22" customHeight="1">
      <x:c r="A187" s="1" t="str">
        <x:v>日経mini</x:v>
      </x:c>
      <x:c r="B187" s="1" t="str">
        <x:v>G10</x:v>
      </x:c>
      <x:c r="C187" s="1" t="str">
        <x:v>全50場</x:v>
      </x:c>
      <x:c r="D187" s="45" t="n">
        <x:v>3260964</x:v>
      </x:c>
      <x:c r="E187" s="45" t="n">
        <x:v>2223910</x:v>
      </x:c>
      <x:c r="F187" s="45" t="n">
        <x:f>D187-E187</x:f>
        <x:v>1037054</x:v>
      </x:c>
      <x:c r="G187" s="47" t="n">
        <x:v>14</x:v>
      </x:c>
      <x:c r="H187" s="47" t="n">
        <x:v>11</x:v>
      </x:c>
      <x:c r="I187" s="45" t="n">
        <x:v>176740</x:v>
      </x:c>
      <x:c r="J187" s="47" t="n">
        <x:v>169</x:v>
      </x:c>
      <x:c r="K187" s="45" t="n">
        <x:v>-199766</x:v>
      </x:c>
      <x:c r="L187" s="45" t="n">
        <x:v>77830</x:v>
      </x:c>
      <x:c r="M187" s="46" t="n">
        <x:v>87.46866666666666</x:v>
      </x:c>
      <x:c r="N187" s="46" t="n">
        <x:v>176.26333333333332</x:v>
      </x:c>
      <x:c r="O187" s="47" t="n">
        <x:v>10</x:v>
      </x:c>
      <x:c r="P187" s="1" t="str">
        <x:v>再進行・追撃保護・二市場退出</x:v>
      </x:c>
      <x:c r="Q187" s="47" t="n">
        <x:v>0</x:v>
      </x:c>
      <x:c r="R187" s="1" t="str">
        <x:v>デイ</x:v>
      </x:c>
      <x:c r="S187" s="47" t="n">
        <x:v>25</x:v>
      </x:c>
    </x:row>
    <x:row r="188" ht="22" customHeight="1">
      <x:c r="A188" s="1" t="str">
        <x:v>日経mini</x:v>
      </x:c>
      <x:c r="B188" s="1" t="str">
        <x:v>G10</x:v>
      </x:c>
      <x:c r="C188" s="1" t="str">
        <x:v>全50場</x:v>
      </x:c>
      <x:c r="D188" s="45" t="n">
        <x:v>1931648</x:v>
      </x:c>
      <x:c r="E188" s="45" t="n">
        <x:v>966912</x:v>
      </x:c>
      <x:c r="F188" s="45" t="n">
        <x:f>D188-E188</x:f>
        <x:v>964736</x:v>
      </x:c>
      <x:c r="G188" s="47" t="n">
        <x:v>18</x:v>
      </x:c>
      <x:c r="H188" s="47" t="n">
        <x:v>7</x:v>
      </x:c>
      <x:c r="I188" s="45" t="n">
        <x:v>330958</x:v>
      </x:c>
      <x:c r="J188" s="47" t="n">
        <x:v>87</x:v>
      </x:c>
      <x:c r="K188" s="45" t="n">
        <x:v>-116462</x:v>
      </x:c>
      <x:c r="L188" s="45" t="n">
        <x:v>56636.57142857143</x:v>
      </x:c>
      <x:c r="M188" s="46" t="n">
        <x:v>337.10066666666665</x:v>
      </x:c>
      <x:c r="N188" s="46" t="n">
        <x:v>34.91</x:v>
      </x:c>
      <x:c r="O188" s="47" t="n">
        <x:v>7</x:v>
      </x:c>
      <x:c r="P188" s="1" t="str">
        <x:v>再進行・追撃保護・二市場退出</x:v>
      </x:c>
      <x:c r="Q188" s="47" t="n">
        <x:v>0</x:v>
      </x:c>
      <x:c r="R188" s="1" t="str">
        <x:v>ナイト</x:v>
      </x:c>
      <x:c r="S188" s="47" t="n">
        <x:v>25</x:v>
      </x:c>
    </x:row>
    <x:row r="189" ht="22" customHeight="1">
      <x:c r="A189" s="1" t="str">
        <x:v>日経mini</x:v>
      </x:c>
      <x:c r="B189" s="1" t="str">
        <x:v>G10</x:v>
      </x:c>
      <x:c r="C189" s="1" t="str">
        <x:v>全50場</x:v>
      </x:c>
      <x:c r="D189" s="45" t="n">
        <x:v>2572654</x:v>
      </x:c>
      <x:c r="E189" s="45" t="n">
        <x:v>1710066</x:v>
      </x:c>
      <x:c r="F189" s="45" t="n">
        <x:f>D189-E189</x:f>
        <x:v>862588</x:v>
      </x:c>
      <x:c r="G189" s="47" t="n">
        <x:v>14</x:v>
      </x:c>
      <x:c r="H189" s="47" t="n">
        <x:v>11</x:v>
      </x:c>
      <x:c r="I189" s="45" t="n">
        <x:v>137580</x:v>
      </x:c>
      <x:c r="J189" s="47" t="n">
        <x:v>140</x:v>
      </x:c>
      <x:c r="K189" s="45" t="n">
        <x:v>-178074</x:v>
      </x:c>
      <x:c r="L189" s="45" t="n">
        <x:v>67767.63636363637</x:v>
      </x:c>
      <x:c r="M189" s="46" t="n">
        <x:v>207.81400000000002</x:v>
      </x:c>
      <x:c r="N189" s="46" t="n">
        <x:v>100.08266666666667</x:v>
      </x:c>
      <x:c r="O189" s="47" t="n">
        <x:v>10</x:v>
      </x:c>
      <x:c r="P189" s="1" t="str">
        <x:v>再進行・追撃保護・二市場退出</x:v>
      </x:c>
      <x:c r="Q189" s="47" t="n">
        <x:v>0</x:v>
      </x:c>
      <x:c r="R189" s="1" t="str">
        <x:v>上昇</x:v>
      </x:c>
      <x:c r="S189" s="47" t="n">
        <x:v>25</x:v>
      </x:c>
    </x:row>
    <x:row r="190" ht="22" customHeight="1">
      <x:c r="A190" s="1" t="str">
        <x:v>日経mini</x:v>
      </x:c>
      <x:c r="B190" s="1" t="str">
        <x:v>G10</x:v>
      </x:c>
      <x:c r="C190" s="1" t="str">
        <x:v>全50場</x:v>
      </x:c>
      <x:c r="D190" s="45" t="n">
        <x:v>2619958</x:v>
      </x:c>
      <x:c r="E190" s="45" t="n">
        <x:v>1480756</x:v>
      </x:c>
      <x:c r="F190" s="45" t="n">
        <x:f>D190-E190</x:f>
        <x:v>1139202</x:v>
      </x:c>
      <x:c r="G190" s="47" t="n">
        <x:v>18</x:v>
      </x:c>
      <x:c r="H190" s="47" t="n">
        <x:v>7</x:v>
      </x:c>
      <x:c r="I190" s="45" t="n">
        <x:v>322580</x:v>
      </x:c>
      <x:c r="J190" s="47" t="n">
        <x:v>116</x:v>
      </x:c>
      <x:c r="K190" s="45" t="n">
        <x:v>-199766</x:v>
      </x:c>
      <x:c r="L190" s="45" t="n">
        <x:v>72448.85714285714</x:v>
      </x:c>
      <x:c r="M190" s="46" t="n">
        <x:v>216.75533333333334</x:v>
      </x:c>
      <x:c r="N190" s="46" t="n">
        <x:v>111.09066666666666</x:v>
      </x:c>
      <x:c r="O190" s="47" t="n">
        <x:v>10</x:v>
      </x:c>
      <x:c r="P190" s="1" t="str">
        <x:v>再進行・追撃保護・二市場退出</x:v>
      </x:c>
      <x:c r="Q190" s="47" t="n">
        <x:v>0</x:v>
      </x:c>
      <x:c r="R190" s="1" t="str">
        <x:v>下落</x:v>
      </x:c>
      <x:c r="S190" s="47" t="n">
        <x:v>25</x:v>
      </x:c>
    </x:row>
    <x:row r="191" ht="22" customHeight="1">
      <x:c r="A191" s="1" t="str">
        <x:v>日経mini</x:v>
      </x:c>
      <x:c r="B191" s="1" t="str">
        <x:v>G10</x:v>
      </x:c>
      <x:c r="C191" s="1" t="str">
        <x:v>対照47場</x:v>
      </x:c>
      <x:c r="D191" s="45" t="n">
        <x:v>4995686</x:v>
      </x:c>
      <x:c r="E191" s="45" t="n">
        <x:v>2957900</x:v>
      </x:c>
      <x:c r="F191" s="45" t="n">
        <x:f>D191-E191</x:f>
        <x:v>2037786</x:v>
      </x:c>
      <x:c r="G191" s="47" t="n">
        <x:v>31</x:v>
      </x:c>
      <x:c r="H191" s="47" t="n">
        <x:v>16</x:v>
      </x:c>
      <x:c r="I191" s="45" t="n">
        <x:v>1047392</x:v>
      </x:c>
      <x:c r="J191" s="47" t="n">
        <x:v>241</x:v>
      </x:c>
      <x:c r="K191" s="45" t="n">
        <x:v>-199766</x:v>
      </x:c>
      <x:c r="L191" s="45" t="n">
        <x:v>72844.5</x:v>
      </x:c>
      <x:c r="M191" s="46" t="n">
        <x:v>208.49007092198582</x:v>
      </x:c>
      <x:c r="N191" s="46" t="n">
        <x:v>109.82375886524822</x:v>
      </x:c>
      <x:c r="O191" s="47" t="n">
        <x:v>10</x:v>
      </x:c>
      <x:c r="P191" s="1" t="str">
        <x:v>再進行・追撃保護・二市場退出</x:v>
      </x:c>
      <x:c r="Q191" s="47" t="n">
        <x:v>0</x:v>
      </x:c>
      <x:c r="R191" s="1" t="str">
        <x:v>全場</x:v>
      </x:c>
      <x:c r="S191" s="47" t="n">
        <x:v>47</x:v>
      </x:c>
    </x:row>
    <x:row r="192" ht="22" customHeight="1">
      <x:c r="A192" s="1" t="str">
        <x:v>日経mini</x:v>
      </x:c>
      <x:c r="B192" s="1" t="str">
        <x:v>G10</x:v>
      </x:c>
      <x:c r="C192" s="1" t="str">
        <x:v>対照47場</x:v>
      </x:c>
      <x:c r="D192" s="45" t="n">
        <x:v>3170500</x:v>
      </x:c>
      <x:c r="E192" s="45" t="n">
        <x:v>2107910</x:v>
      </x:c>
      <x:c r="F192" s="45" t="n">
        <x:f>D192-E192</x:f>
        <x:v>1062590</x:v>
      </x:c>
      <x:c r="G192" s="47" t="n">
        <x:v>14</x:v>
      </x:c>
      <x:c r="H192" s="47" t="n">
        <x:v>10</x:v>
      </x:c>
      <x:c r="I192" s="45" t="n">
        <x:v>202276</x:v>
      </x:c>
      <x:c r="J192" s="47" t="n">
        <x:v>159</x:v>
      </x:c>
      <x:c r="K192" s="45" t="n">
        <x:v>-199766</x:v>
      </x:c>
      <x:c r="L192" s="45" t="n">
        <x:v>83059.4</x:v>
      </x:c>
      <x:c r="M192" s="46" t="n">
        <x:v>87.15069444444445</x:v>
      </x:c>
      <x:c r="N192" s="46" t="n">
        <x:v>180.29166666666666</x:v>
      </x:c>
      <x:c r="O192" s="47" t="n">
        <x:v>10</x:v>
      </x:c>
      <x:c r="P192" s="1" t="str">
        <x:v>再進行・追撃保護・二市場退出</x:v>
      </x:c>
      <x:c r="Q192" s="47" t="n">
        <x:v>0</x:v>
      </x:c>
      <x:c r="R192" s="1" t="str">
        <x:v>デイ</x:v>
      </x:c>
      <x:c r="S192" s="47" t="n">
        <x:v>24</x:v>
      </x:c>
    </x:row>
    <x:row r="193" ht="22" customHeight="1">
      <x:c r="A193" s="1" t="str">
        <x:v>日経mini</x:v>
      </x:c>
      <x:c r="B193" s="1" t="str">
        <x:v>G10</x:v>
      </x:c>
      <x:c r="C193" s="1" t="str">
        <x:v>対照47場</x:v>
      </x:c>
      <x:c r="D193" s="45" t="n">
        <x:v>1825186</x:v>
      </x:c>
      <x:c r="E193" s="45" t="n">
        <x:v>849990</x:v>
      </x:c>
      <x:c r="F193" s="45" t="n">
        <x:f>D193-E193</x:f>
        <x:v>975196</x:v>
      </x:c>
      <x:c r="G193" s="47" t="n">
        <x:v>17</x:v>
      </x:c>
      <x:c r="H193" s="47" t="n">
        <x:v>6</x:v>
      </x:c>
      <x:c r="I193" s="45" t="n">
        <x:v>341418</x:v>
      </x:c>
      <x:c r="J193" s="47" t="n">
        <x:v>82</x:v>
      </x:c>
      <x:c r="K193" s="45" t="n">
        <x:v>-116462</x:v>
      </x:c>
      <x:c r="L193" s="45" t="n">
        <x:v>55819.666666666664</x:v>
      </x:c>
      <x:c r="M193" s="46" t="n">
        <x:v>335.10507246376807</x:v>
      </x:c>
      <x:c r="N193" s="46" t="n">
        <x:v>36.29202898550725</x:v>
      </x:c>
      <x:c r="O193" s="47" t="n">
        <x:v>7</x:v>
      </x:c>
      <x:c r="P193" s="1" t="str">
        <x:v>再進行・追撃保護・二市場退出</x:v>
      </x:c>
      <x:c r="Q193" s="47" t="n">
        <x:v>0</x:v>
      </x:c>
      <x:c r="R193" s="1" t="str">
        <x:v>ナイト</x:v>
      </x:c>
      <x:c r="S193" s="47" t="n">
        <x:v>23</x:v>
      </x:c>
    </x:row>
    <x:row r="194" ht="22" customHeight="1">
      <x:c r="A194" s="1" t="str">
        <x:v>日経mini</x:v>
      </x:c>
      <x:c r="B194" s="1" t="str">
        <x:v>G10</x:v>
      </x:c>
      <x:c r="C194" s="1" t="str">
        <x:v>対照47場</x:v>
      </x:c>
      <x:c r="D194" s="45" t="n">
        <x:v>2482190</x:v>
      </x:c>
      <x:c r="E194" s="45" t="n">
        <x:v>1532528</x:v>
      </x:c>
      <x:c r="F194" s="45" t="n">
        <x:f>D194-E194</x:f>
        <x:v>949662</x:v>
      </x:c>
      <x:c r="G194" s="47" t="n">
        <x:v>14</x:v>
      </x:c>
      <x:c r="H194" s="47" t="n">
        <x:v>9</x:v>
      </x:c>
      <x:c r="I194" s="45" t="n">
        <x:v>224654</x:v>
      </x:c>
      <x:c r="J194" s="47" t="n">
        <x:v>128</x:v>
      </x:c>
      <x:c r="K194" s="45" t="n">
        <x:v>-178074</x:v>
      </x:c>
      <x:c r="L194" s="45" t="n">
        <x:v>73152.22222222222</x:v>
      </x:c>
      <x:c r="M194" s="46" t="n">
        <x:v>206.09637681159418</x:v>
      </x:c>
      <x:c r="N194" s="46" t="n">
        <x:v>104.81811594202898</x:v>
      </x:c>
      <x:c r="O194" s="47" t="n">
        <x:v>10</x:v>
      </x:c>
      <x:c r="P194" s="1" t="str">
        <x:v>再進行・追撃保護・二市場退出</x:v>
      </x:c>
      <x:c r="Q194" s="47" t="n">
        <x:v>0</x:v>
      </x:c>
      <x:c r="R194" s="1" t="str">
        <x:v>上昇</x:v>
      </x:c>
      <x:c r="S194" s="47" t="n">
        <x:v>23</x:v>
      </x:c>
    </x:row>
    <x:row r="195" ht="22" customHeight="1">
      <x:c r="A195" s="1" t="str">
        <x:v>日経mini</x:v>
      </x:c>
      <x:c r="B195" s="1" t="str">
        <x:v>G10</x:v>
      </x:c>
      <x:c r="C195" s="1" t="str">
        <x:v>対照47場</x:v>
      </x:c>
      <x:c r="D195" s="45" t="n">
        <x:v>2513496</x:v>
      </x:c>
      <x:c r="E195" s="45" t="n">
        <x:v>1425372</x:v>
      </x:c>
      <x:c r="F195" s="45" t="n">
        <x:f>D195-E195</x:f>
        <x:v>1088124</x:v>
      </x:c>
      <x:c r="G195" s="47" t="n">
        <x:v>17</x:v>
      </x:c>
      <x:c r="H195" s="47" t="n">
        <x:v>7</x:v>
      </x:c>
      <x:c r="I195" s="45" t="n">
        <x:v>271502</x:v>
      </x:c>
      <x:c r="J195" s="47" t="n">
        <x:v>113</x:v>
      </x:c>
      <x:c r="K195" s="45" t="n">
        <x:v>-199766</x:v>
      </x:c>
      <x:c r="L195" s="45" t="n">
        <x:v>72448.85714285714</x:v>
      </x:c>
      <x:c r="M195" s="46" t="n">
        <x:v>210.78402777777777</x:v>
      </x:c>
      <x:c r="N195" s="46" t="n">
        <x:v>114.62083333333332</x:v>
      </x:c>
      <x:c r="O195" s="47" t="n">
        <x:v>10</x:v>
      </x:c>
      <x:c r="P195" s="1" t="str">
        <x:v>再進行・追撃保護・二市場退出</x:v>
      </x:c>
      <x:c r="Q195" s="47" t="n">
        <x:v>0</x:v>
      </x:c>
      <x:c r="R195" s="1" t="str">
        <x:v>下落</x:v>
      </x:c>
      <x:c r="S195" s="47" t="n">
        <x:v>24</x:v>
      </x:c>
    </x:row>
    <x:row r="196" ht="22" customHeight="1">
      <x:c r="A196" s="1" t="str">
        <x:v>日経mini</x:v>
      </x:c>
      <x:c r="B196" s="1" t="str">
        <x:v>G10</x:v>
      </x:c>
      <x:c r="C196" s="1" t="str">
        <x:v>診断3場</x:v>
      </x:c>
      <x:c r="D196" s="45" t="n">
        <x:v>196926</x:v>
      </x:c>
      <x:c r="E196" s="45" t="n">
        <x:v>232922</x:v>
      </x:c>
      <x:c r="F196" s="45" t="n">
        <x:f>D196-E196</x:f>
        <x:v>-35996</x:v>
      </x:c>
      <x:c r="G196" s="47" t="n">
        <x:v>1</x:v>
      </x:c>
      <x:c r="H196" s="47" t="n">
        <x:v>2</x:v>
      </x:c>
      <x:c r="I196" s="45" t="n">
        <x:v>-87074</x:v>
      </x:c>
      <x:c r="J196" s="47" t="n">
        <x:v>15</x:v>
      </x:c>
      <x:c r="K196" s="45" t="n">
        <x:v>-61538</x:v>
      </x:c>
      <x:c r="L196" s="45" t="n">
        <x:v>43537</x:v>
      </x:c>
      <x:c r="M196" s="46" t="n">
        <x:v>271.73333333333335</x:v>
      </x:c>
      <x:c r="N196" s="46" t="n">
        <x:v>39.205555555555556</x:v>
      </x:c>
      <x:c r="O196" s="47" t="n">
        <x:v>7</x:v>
      </x:c>
      <x:c r="P196" s="1" t="str">
        <x:v>再進行・追撃保護・二市場退出</x:v>
      </x:c>
      <x:c r="Q196" s="47" t="n">
        <x:v>0</x:v>
      </x:c>
      <x:c r="R196" s="1" t="str">
        <x:v>全場</x:v>
      </x:c>
      <x:c r="S196" s="47" t="n">
        <x:v>3</x:v>
      </x:c>
    </x:row>
    <x:row r="197" ht="22" customHeight="1">
      <x:c r="A197" s="1" t="str">
        <x:v>日経mini</x:v>
      </x:c>
      <x:c r="B197" s="1" t="str">
        <x:v>G10</x:v>
      </x:c>
      <x:c r="C197" s="1" t="str">
        <x:v>診断3場</x:v>
      </x:c>
      <x:c r="D197" s="45" t="n">
        <x:v>90464</x:v>
      </x:c>
      <x:c r="E197" s="45" t="n">
        <x:v>116000</x:v>
      </x:c>
      <x:c r="F197" s="45" t="n">
        <x:f>D197-E197</x:f>
        <x:v>-25536</x:v>
      </x:c>
      <x:c r="G197" s="47" t="n">
        <x:v>0</x:v>
      </x:c>
      <x:c r="H197" s="47" t="n">
        <x:v>1</x:v>
      </x:c>
      <x:c r="I197" s="45" t="n">
        <x:v>-25536</x:v>
      </x:c>
      <x:c r="J197" s="47" t="n">
        <x:v>10</x:v>
      </x:c>
      <x:c r="K197" s="45" t="n">
        <x:v>-25536</x:v>
      </x:c>
      <x:c r="L197" s="45" t="n">
        <x:v>25536</x:v>
      </x:c>
      <x:c r="M197" s="46" t="n">
        <x:v>95.1</x:v>
      </x:c>
      <x:c r="N197" s="46" t="n">
        <x:v>79.58333333333333</x:v>
      </x:c>
      <x:c r="O197" s="47" t="n">
        <x:v>7</x:v>
      </x:c>
      <x:c r="P197" s="1" t="str">
        <x:v>再進行・追撃保護・二市場退出</x:v>
      </x:c>
      <x:c r="Q197" s="47" t="n">
        <x:v>0</x:v>
      </x:c>
      <x:c r="R197" s="1" t="str">
        <x:v>デイ</x:v>
      </x:c>
      <x:c r="S197" s="47" t="n">
        <x:v>1</x:v>
      </x:c>
    </x:row>
    <x:row r="198" ht="22" customHeight="1">
      <x:c r="A198" s="1" t="str">
        <x:v>日経mini</x:v>
      </x:c>
      <x:c r="B198" s="1" t="str">
        <x:v>G10</x:v>
      </x:c>
      <x:c r="C198" s="1" t="str">
        <x:v>診断3場</x:v>
      </x:c>
      <x:c r="D198" s="45" t="n">
        <x:v>106462</x:v>
      </x:c>
      <x:c r="E198" s="45" t="n">
        <x:v>116922</x:v>
      </x:c>
      <x:c r="F198" s="45" t="n">
        <x:f>D198-E198</x:f>
        <x:v>-10460</x:v>
      </x:c>
      <x:c r="G198" s="47" t="n">
        <x:v>1</x:v>
      </x:c>
      <x:c r="H198" s="47" t="n">
        <x:v>1</x:v>
      </x:c>
      <x:c r="I198" s="45" t="n">
        <x:v>-61538</x:v>
      </x:c>
      <x:c r="J198" s="47" t="n">
        <x:v>5</x:v>
      </x:c>
      <x:c r="K198" s="45" t="n">
        <x:v>-61538</x:v>
      </x:c>
      <x:c r="L198" s="45" t="n">
        <x:v>61538</x:v>
      </x:c>
      <x:c r="M198" s="46" t="n">
        <x:v>360.05</x:v>
      </x:c>
      <x:c r="N198" s="46" t="n">
        <x:v>19.016666666666666</x:v>
      </x:c>
      <x:c r="O198" s="47" t="n">
        <x:v>5</x:v>
      </x:c>
      <x:c r="P198" s="1" t="str">
        <x:v>再進行・追撃保護・二市場退出</x:v>
      </x:c>
      <x:c r="Q198" s="47" t="n">
        <x:v>0</x:v>
      </x:c>
      <x:c r="R198" s="1" t="str">
        <x:v>ナイト</x:v>
      </x:c>
      <x:c r="S198" s="47" t="n">
        <x:v>2</x:v>
      </x:c>
    </x:row>
    <x:row r="199" ht="22" customHeight="1">
      <x:c r="A199" s="1" t="str">
        <x:v>日経mini</x:v>
      </x:c>
      <x:c r="B199" s="1" t="str">
        <x:v>G10</x:v>
      </x:c>
      <x:c r="C199" s="1" t="str">
        <x:v>診断3場</x:v>
      </x:c>
      <x:c r="D199" s="45" t="n">
        <x:v>90464</x:v>
      </x:c>
      <x:c r="E199" s="45" t="n">
        <x:v>177538</x:v>
      </x:c>
      <x:c r="F199" s="45" t="n">
        <x:f>D199-E199</x:f>
        <x:v>-87074</x:v>
      </x:c>
      <x:c r="G199" s="47" t="n">
        <x:v>0</x:v>
      </x:c>
      <x:c r="H199" s="47" t="n">
        <x:v>2</x:v>
      </x:c>
      <x:c r="I199" s="45" t="n">
        <x:v>-87074</x:v>
      </x:c>
      <x:c r="J199" s="47" t="n">
        <x:v>12</x:v>
      </x:c>
      <x:c r="K199" s="45" t="n">
        <x:v>-61538</x:v>
      </x:c>
      <x:c r="L199" s="45" t="n">
        <x:v>43537</x:v>
      </x:c>
      <x:c r="M199" s="46" t="n">
        <x:v>227.56666666666666</x:v>
      </x:c>
      <x:c r="N199" s="46" t="n">
        <x:v>45.625</x:v>
      </x:c>
      <x:c r="O199" s="47" t="n">
        <x:v>7</x:v>
      </x:c>
      <x:c r="P199" s="1" t="str">
        <x:v>再進行・追撃保護・二市場退出</x:v>
      </x:c>
      <x:c r="Q199" s="47" t="n">
        <x:v>0</x:v>
      </x:c>
      <x:c r="R199" s="1" t="str">
        <x:v>上昇</x:v>
      </x:c>
      <x:c r="S199" s="47" t="n">
        <x:v>2</x:v>
      </x:c>
    </x:row>
    <x:row r="200" ht="22" customHeight="1">
      <x:c r="A200" s="1" t="str">
        <x:v>日経mini</x:v>
      </x:c>
      <x:c r="B200" s="1" t="str">
        <x:v>G10</x:v>
      </x:c>
      <x:c r="C200" s="1" t="str">
        <x:v>診断3場</x:v>
      </x:c>
      <x:c r="D200" s="45" t="n">
        <x:v>106462</x:v>
      </x:c>
      <x:c r="E200" s="45" t="n">
        <x:v>55384</x:v>
      </x:c>
      <x:c r="F200" s="45" t="n">
        <x:f>D200-E200</x:f>
        <x:v>51078</x:v>
      </x:c>
      <x:c r="G200" s="47" t="n">
        <x:v>1</x:v>
      </x:c>
      <x:c r="H200" s="47" t="n">
        <x:v>0</x:v>
      </x:c>
      <x:c r="I200" s="45" t="n">
        <x:v>0</x:v>
      </x:c>
      <x:c r="J200" s="47" t="n">
        <x:v>3</x:v>
      </x:c>
      <x:c r="K200" s="45" t="n">
        <x:v>51078</x:v>
      </x:c>
      <x:c r="L200" s="45" t="n">
        <x:v>0</x:v>
      </x:c>
      <x:c r="M200" s="46" t="n">
        <x:v>360.06666666666666</x:v>
      </x:c>
      <x:c r="N200" s="46" t="n">
        <x:v>26.366666666666667</x:v>
      </x:c>
      <x:c r="O200" s="47" t="n">
        <x:v>5</x:v>
      </x:c>
      <x:c r="P200" s="1" t="str">
        <x:v>再進行・追撃保護・二市場退出</x:v>
      </x:c>
      <x:c r="Q200" s="47" t="n">
        <x:v>0</x:v>
      </x:c>
      <x:c r="R200" s="1" t="str">
        <x:v>下落</x:v>
      </x:c>
      <x:c r="S200" s="47" t="n">
        <x:v>1</x:v>
      </x:c>
    </x:row>
    <x:row r="201" ht="22" customHeight="1">
      <x:c r="A201" s="1" t="str">
        <x:v>日経mini</x:v>
      </x:c>
      <x:c r="B201" s="1" t="str">
        <x:v>G11</x:v>
      </x:c>
      <x:c r="C201" s="1" t="str">
        <x:v>全50場</x:v>
      </x:c>
      <x:c r="D201" s="45" t="n">
        <x:v>5192612</x:v>
      </x:c>
      <x:c r="E201" s="45" t="n">
        <x:v>3214822</x:v>
      </x:c>
      <x:c r="F201" s="45" t="n">
        <x:f>D201-E201</x:f>
        <x:v>1977790</x:v>
      </x:c>
      <x:c r="G201" s="47" t="n">
        <x:v>32</x:v>
      </x:c>
      <x:c r="H201" s="47" t="n">
        <x:v>18</x:v>
      </x:c>
      <x:c r="I201" s="45" t="n">
        <x:v>987396</x:v>
      </x:c>
      <x:c r="J201" s="47" t="n">
        <x:v>256</x:v>
      </x:c>
      <x:c r="K201" s="45" t="n">
        <x:v>-199766</x:v>
      </x:c>
      <x:c r="L201" s="45" t="n">
        <x:v>69588.11111111111</x:v>
      </x:c>
      <x:c r="M201" s="46" t="n">
        <x:v>212.28466666666668</x:v>
      </x:c>
      <x:c r="N201" s="46" t="n">
        <x:v>105.691</x:v>
      </x:c>
      <x:c r="O201" s="47" t="n">
        <x:v>10</x:v>
      </x:c>
      <x:c r="P201" s="1" t="str">
        <x:v>再進行・追撃保護・板で退出</x:v>
      </x:c>
      <x:c r="Q201" s="47" t="n">
        <x:v>0</x:v>
      </x:c>
      <x:c r="R201" s="1" t="str">
        <x:v>全場</x:v>
      </x:c>
      <x:c r="S201" s="47" t="n">
        <x:v>50</x:v>
      </x:c>
    </x:row>
    <x:row r="202" ht="22" customHeight="1">
      <x:c r="A202" s="1" t="str">
        <x:v>日経mini</x:v>
      </x:c>
      <x:c r="B202" s="1" t="str">
        <x:v>G11</x:v>
      </x:c>
      <x:c r="C202" s="1" t="str">
        <x:v>全50場</x:v>
      </x:c>
      <x:c r="D202" s="45" t="n">
        <x:v>3260964</x:v>
      </x:c>
      <x:c r="E202" s="45" t="n">
        <x:v>2247910</x:v>
      </x:c>
      <x:c r="F202" s="45" t="n">
        <x:f>D202-E202</x:f>
        <x:v>1013054</x:v>
      </x:c>
      <x:c r="G202" s="47" t="n">
        <x:v>14</x:v>
      </x:c>
      <x:c r="H202" s="47" t="n">
        <x:v>11</x:v>
      </x:c>
      <x:c r="I202" s="45" t="n">
        <x:v>152740</x:v>
      </x:c>
      <x:c r="J202" s="47" t="n">
        <x:v>169</x:v>
      </x:c>
      <x:c r="K202" s="45" t="n">
        <x:v>-199766</x:v>
      </x:c>
      <x:c r="L202" s="45" t="n">
        <x:v>77830</x:v>
      </x:c>
      <x:c r="M202" s="46" t="n">
        <x:v>87.46866666666666</x:v>
      </x:c>
      <x:c r="N202" s="46" t="n">
        <x:v>176.47199999999998</x:v>
      </x:c>
      <x:c r="O202" s="47" t="n">
        <x:v>10</x:v>
      </x:c>
      <x:c r="P202" s="1" t="str">
        <x:v>再進行・追撃保護・板で退出</x:v>
      </x:c>
      <x:c r="Q202" s="47" t="n">
        <x:v>0</x:v>
      </x:c>
      <x:c r="R202" s="1" t="str">
        <x:v>デイ</x:v>
      </x:c>
      <x:c r="S202" s="47" t="n">
        <x:v>25</x:v>
      </x:c>
    </x:row>
    <x:row r="203" ht="22" customHeight="1">
      <x:c r="A203" s="1" t="str">
        <x:v>日経mini</x:v>
      </x:c>
      <x:c r="B203" s="1" t="str">
        <x:v>G11</x:v>
      </x:c>
      <x:c r="C203" s="1" t="str">
        <x:v>全50場</x:v>
      </x:c>
      <x:c r="D203" s="45" t="n">
        <x:v>1931648</x:v>
      </x:c>
      <x:c r="E203" s="45" t="n">
        <x:v>966912</x:v>
      </x:c>
      <x:c r="F203" s="45" t="n">
        <x:f>D203-E203</x:f>
        <x:v>964736</x:v>
      </x:c>
      <x:c r="G203" s="47" t="n">
        <x:v>18</x:v>
      </x:c>
      <x:c r="H203" s="47" t="n">
        <x:v>7</x:v>
      </x:c>
      <x:c r="I203" s="45" t="n">
        <x:v>330958</x:v>
      </x:c>
      <x:c r="J203" s="47" t="n">
        <x:v>87</x:v>
      </x:c>
      <x:c r="K203" s="45" t="n">
        <x:v>-116462</x:v>
      </x:c>
      <x:c r="L203" s="45" t="n">
        <x:v>56636.57142857143</x:v>
      </x:c>
      <x:c r="M203" s="46" t="n">
        <x:v>337.10066666666665</x:v>
      </x:c>
      <x:c r="N203" s="46" t="n">
        <x:v>34.91</x:v>
      </x:c>
      <x:c r="O203" s="47" t="n">
        <x:v>7</x:v>
      </x:c>
      <x:c r="P203" s="1" t="str">
        <x:v>再進行・追撃保護・板で退出</x:v>
      </x:c>
      <x:c r="Q203" s="47" t="n">
        <x:v>0</x:v>
      </x:c>
      <x:c r="R203" s="1" t="str">
        <x:v>ナイト</x:v>
      </x:c>
      <x:c r="S203" s="47" t="n">
        <x:v>25</x:v>
      </x:c>
    </x:row>
    <x:row r="204" ht="22" customHeight="1">
      <x:c r="A204" s="1" t="str">
        <x:v>日経mini</x:v>
      </x:c>
      <x:c r="B204" s="1" t="str">
        <x:v>G11</x:v>
      </x:c>
      <x:c r="C204" s="1" t="str">
        <x:v>全50場</x:v>
      </x:c>
      <x:c r="D204" s="45" t="n">
        <x:v>2572654</x:v>
      </x:c>
      <x:c r="E204" s="45" t="n">
        <x:v>1728066</x:v>
      </x:c>
      <x:c r="F204" s="45" t="n">
        <x:f>D204-E204</x:f>
        <x:v>844588</x:v>
      </x:c>
      <x:c r="G204" s="47" t="n">
        <x:v>14</x:v>
      </x:c>
      <x:c r="H204" s="47" t="n">
        <x:v>11</x:v>
      </x:c>
      <x:c r="I204" s="45" t="n">
        <x:v>119580</x:v>
      </x:c>
      <x:c r="J204" s="47" t="n">
        <x:v>140</x:v>
      </x:c>
      <x:c r="K204" s="45" t="n">
        <x:v>-178074</x:v>
      </x:c>
      <x:c r="L204" s="45" t="n">
        <x:v>67767.63636363637</x:v>
      </x:c>
      <x:c r="M204" s="46" t="n">
        <x:v>207.81400000000002</x:v>
      </x:c>
      <x:c r="N204" s="46" t="n">
        <x:v>100.26066666666668</x:v>
      </x:c>
      <x:c r="O204" s="47" t="n">
        <x:v>10</x:v>
      </x:c>
      <x:c r="P204" s="1" t="str">
        <x:v>再進行・追撃保護・板で退出</x:v>
      </x:c>
      <x:c r="Q204" s="47" t="n">
        <x:v>0</x:v>
      </x:c>
      <x:c r="R204" s="1" t="str">
        <x:v>上昇</x:v>
      </x:c>
      <x:c r="S204" s="47" t="n">
        <x:v>25</x:v>
      </x:c>
    </x:row>
    <x:row r="205" ht="22" customHeight="1">
      <x:c r="A205" s="1" t="str">
        <x:v>日経mini</x:v>
      </x:c>
      <x:c r="B205" s="1" t="str">
        <x:v>G11</x:v>
      </x:c>
      <x:c r="C205" s="1" t="str">
        <x:v>全50場</x:v>
      </x:c>
      <x:c r="D205" s="45" t="n">
        <x:v>2619958</x:v>
      </x:c>
      <x:c r="E205" s="45" t="n">
        <x:v>1486756</x:v>
      </x:c>
      <x:c r="F205" s="45" t="n">
        <x:f>D205-E205</x:f>
        <x:v>1133202</x:v>
      </x:c>
      <x:c r="G205" s="47" t="n">
        <x:v>18</x:v>
      </x:c>
      <x:c r="H205" s="47" t="n">
        <x:v>7</x:v>
      </x:c>
      <x:c r="I205" s="45" t="n">
        <x:v>316580</x:v>
      </x:c>
      <x:c r="J205" s="47" t="n">
        <x:v>116</x:v>
      </x:c>
      <x:c r="K205" s="45" t="n">
        <x:v>-199766</x:v>
      </x:c>
      <x:c r="L205" s="45" t="n">
        <x:v>72448.85714285714</x:v>
      </x:c>
      <x:c r="M205" s="46" t="n">
        <x:v>216.75533333333334</x:v>
      </x:c>
      <x:c r="N205" s="46" t="n">
        <x:v>111.12133333333333</x:v>
      </x:c>
      <x:c r="O205" s="47" t="n">
        <x:v>10</x:v>
      </x:c>
      <x:c r="P205" s="1" t="str">
        <x:v>再進行・追撃保護・板で退出</x:v>
      </x:c>
      <x:c r="Q205" s="47" t="n">
        <x:v>0</x:v>
      </x:c>
      <x:c r="R205" s="1" t="str">
        <x:v>下落</x:v>
      </x:c>
      <x:c r="S205" s="47" t="n">
        <x:v>25</x:v>
      </x:c>
    </x:row>
    <x:row r="206" ht="22" customHeight="1">
      <x:c r="A206" s="1" t="str">
        <x:v>日経mini</x:v>
      </x:c>
      <x:c r="B206" s="1" t="str">
        <x:v>G11</x:v>
      </x:c>
      <x:c r="C206" s="1" t="str">
        <x:v>対照47場</x:v>
      </x:c>
      <x:c r="D206" s="45" t="n">
        <x:v>4995686</x:v>
      </x:c>
      <x:c r="E206" s="45" t="n">
        <x:v>2981900</x:v>
      </x:c>
      <x:c r="F206" s="45" t="n">
        <x:f>D206-E206</x:f>
        <x:v>2013786</x:v>
      </x:c>
      <x:c r="G206" s="47" t="n">
        <x:v>31</x:v>
      </x:c>
      <x:c r="H206" s="47" t="n">
        <x:v>16</x:v>
      </x:c>
      <x:c r="I206" s="45" t="n">
        <x:v>1023392</x:v>
      </x:c>
      <x:c r="J206" s="47" t="n">
        <x:v>241</x:v>
      </x:c>
      <x:c r="K206" s="45" t="n">
        <x:v>-199766</x:v>
      </x:c>
      <x:c r="L206" s="45" t="n">
        <x:v>72844.5</x:v>
      </x:c>
      <x:c r="M206" s="46" t="n">
        <x:v>208.49007092198582</x:v>
      </x:c>
      <x:c r="N206" s="46" t="n">
        <x:v>109.93475177304963</x:v>
      </x:c>
      <x:c r="O206" s="47" t="n">
        <x:v>10</x:v>
      </x:c>
      <x:c r="P206" s="1" t="str">
        <x:v>再進行・追撃保護・板で退出</x:v>
      </x:c>
      <x:c r="Q206" s="47" t="n">
        <x:v>0</x:v>
      </x:c>
      <x:c r="R206" s="1" t="str">
        <x:v>全場</x:v>
      </x:c>
      <x:c r="S206" s="47" t="n">
        <x:v>47</x:v>
      </x:c>
    </x:row>
    <x:row r="207" ht="22" customHeight="1">
      <x:c r="A207" s="1" t="str">
        <x:v>日経mini</x:v>
      </x:c>
      <x:c r="B207" s="1" t="str">
        <x:v>G11</x:v>
      </x:c>
      <x:c r="C207" s="1" t="str">
        <x:v>対照47場</x:v>
      </x:c>
      <x:c r="D207" s="45" t="n">
        <x:v>3170500</x:v>
      </x:c>
      <x:c r="E207" s="45" t="n">
        <x:v>2131910</x:v>
      </x:c>
      <x:c r="F207" s="45" t="n">
        <x:f>D207-E207</x:f>
        <x:v>1038590</x:v>
      </x:c>
      <x:c r="G207" s="47" t="n">
        <x:v>14</x:v>
      </x:c>
      <x:c r="H207" s="47" t="n">
        <x:v>10</x:v>
      </x:c>
      <x:c r="I207" s="45" t="n">
        <x:v>178276</x:v>
      </x:c>
      <x:c r="J207" s="47" t="n">
        <x:v>159</x:v>
      </x:c>
      <x:c r="K207" s="45" t="n">
        <x:v>-199766</x:v>
      </x:c>
      <x:c r="L207" s="45" t="n">
        <x:v>83059.4</x:v>
      </x:c>
      <x:c r="M207" s="46" t="n">
        <x:v>87.15069444444445</x:v>
      </x:c>
      <x:c r="N207" s="46" t="n">
        <x:v>180.50902777777776</x:v>
      </x:c>
      <x:c r="O207" s="47" t="n">
        <x:v>10</x:v>
      </x:c>
      <x:c r="P207" s="1" t="str">
        <x:v>再進行・追撃保護・板で退出</x:v>
      </x:c>
      <x:c r="Q207" s="47" t="n">
        <x:v>0</x:v>
      </x:c>
      <x:c r="R207" s="1" t="str">
        <x:v>デイ</x:v>
      </x:c>
      <x:c r="S207" s="47" t="n">
        <x:v>24</x:v>
      </x:c>
    </x:row>
    <x:row r="208" ht="22" customHeight="1">
      <x:c r="A208" s="1" t="str">
        <x:v>日経mini</x:v>
      </x:c>
      <x:c r="B208" s="1" t="str">
        <x:v>G11</x:v>
      </x:c>
      <x:c r="C208" s="1" t="str">
        <x:v>対照47場</x:v>
      </x:c>
      <x:c r="D208" s="45" t="n">
        <x:v>1825186</x:v>
      </x:c>
      <x:c r="E208" s="45" t="n">
        <x:v>849990</x:v>
      </x:c>
      <x:c r="F208" s="45" t="n">
        <x:f>D208-E208</x:f>
        <x:v>975196</x:v>
      </x:c>
      <x:c r="G208" s="47" t="n">
        <x:v>17</x:v>
      </x:c>
      <x:c r="H208" s="47" t="n">
        <x:v>6</x:v>
      </x:c>
      <x:c r="I208" s="45" t="n">
        <x:v>341418</x:v>
      </x:c>
      <x:c r="J208" s="47" t="n">
        <x:v>82</x:v>
      </x:c>
      <x:c r="K208" s="45" t="n">
        <x:v>-116462</x:v>
      </x:c>
      <x:c r="L208" s="45" t="n">
        <x:v>55819.666666666664</x:v>
      </x:c>
      <x:c r="M208" s="46" t="n">
        <x:v>335.10507246376807</x:v>
      </x:c>
      <x:c r="N208" s="46" t="n">
        <x:v>36.29202898550725</x:v>
      </x:c>
      <x:c r="O208" s="47" t="n">
        <x:v>7</x:v>
      </x:c>
      <x:c r="P208" s="1" t="str">
        <x:v>再進行・追撃保護・板で退出</x:v>
      </x:c>
      <x:c r="Q208" s="47" t="n">
        <x:v>0</x:v>
      </x:c>
      <x:c r="R208" s="1" t="str">
        <x:v>ナイト</x:v>
      </x:c>
      <x:c r="S208" s="47" t="n">
        <x:v>23</x:v>
      </x:c>
    </x:row>
    <x:row r="209" ht="22" customHeight="1">
      <x:c r="A209" s="1" t="str">
        <x:v>日経mini</x:v>
      </x:c>
      <x:c r="B209" s="1" t="str">
        <x:v>G11</x:v>
      </x:c>
      <x:c r="C209" s="1" t="str">
        <x:v>対照47場</x:v>
      </x:c>
      <x:c r="D209" s="45" t="n">
        <x:v>2482190</x:v>
      </x:c>
      <x:c r="E209" s="45" t="n">
        <x:v>1550528</x:v>
      </x:c>
      <x:c r="F209" s="45" t="n">
        <x:f>D209-E209</x:f>
        <x:v>931662</x:v>
      </x:c>
      <x:c r="G209" s="47" t="n">
        <x:v>14</x:v>
      </x:c>
      <x:c r="H209" s="47" t="n">
        <x:v>9</x:v>
      </x:c>
      <x:c r="I209" s="45" t="n">
        <x:v>206654</x:v>
      </x:c>
      <x:c r="J209" s="47" t="n">
        <x:v>128</x:v>
      </x:c>
      <x:c r="K209" s="45" t="n">
        <x:v>-178074</x:v>
      </x:c>
      <x:c r="L209" s="45" t="n">
        <x:v>73152.22222222222</x:v>
      </x:c>
      <x:c r="M209" s="46" t="n">
        <x:v>206.09637681159418</x:v>
      </x:c>
      <x:c r="N209" s="46" t="n">
        <x:v>105.01159420289856</x:v>
      </x:c>
      <x:c r="O209" s="47" t="n">
        <x:v>10</x:v>
      </x:c>
      <x:c r="P209" s="1" t="str">
        <x:v>再進行・追撃保護・板で退出</x:v>
      </x:c>
      <x:c r="Q209" s="47" t="n">
        <x:v>0</x:v>
      </x:c>
      <x:c r="R209" s="1" t="str">
        <x:v>上昇</x:v>
      </x:c>
      <x:c r="S209" s="47" t="n">
        <x:v>23</x:v>
      </x:c>
    </x:row>
    <x:row r="210" ht="22" customHeight="1">
      <x:c r="A210" s="1" t="str">
        <x:v>日経mini</x:v>
      </x:c>
      <x:c r="B210" s="1" t="str">
        <x:v>G11</x:v>
      </x:c>
      <x:c r="C210" s="1" t="str">
        <x:v>対照47場</x:v>
      </x:c>
      <x:c r="D210" s="45" t="n">
        <x:v>2513496</x:v>
      </x:c>
      <x:c r="E210" s="45" t="n">
        <x:v>1431372</x:v>
      </x:c>
      <x:c r="F210" s="45" t="n">
        <x:f>D210-E210</x:f>
        <x:v>1082124</x:v>
      </x:c>
      <x:c r="G210" s="47" t="n">
        <x:v>17</x:v>
      </x:c>
      <x:c r="H210" s="47" t="n">
        <x:v>7</x:v>
      </x:c>
      <x:c r="I210" s="45" t="n">
        <x:v>265502</x:v>
      </x:c>
      <x:c r="J210" s="47" t="n">
        <x:v>113</x:v>
      </x:c>
      <x:c r="K210" s="45" t="n">
        <x:v>-199766</x:v>
      </x:c>
      <x:c r="L210" s="45" t="n">
        <x:v>72448.85714285714</x:v>
      </x:c>
      <x:c r="M210" s="46" t="n">
        <x:v>210.78402777777777</x:v>
      </x:c>
      <x:c r="N210" s="46" t="n">
        <x:v>114.65277777777777</x:v>
      </x:c>
      <x:c r="O210" s="47" t="n">
        <x:v>10</x:v>
      </x:c>
      <x:c r="P210" s="1" t="str">
        <x:v>再進行・追撃保護・板で退出</x:v>
      </x:c>
      <x:c r="Q210" s="47" t="n">
        <x:v>0</x:v>
      </x:c>
      <x:c r="R210" s="1" t="str">
        <x:v>下落</x:v>
      </x:c>
      <x:c r="S210" s="47" t="n">
        <x:v>24</x:v>
      </x:c>
    </x:row>
    <x:row r="211" ht="22" customHeight="1">
      <x:c r="A211" s="1" t="str">
        <x:v>日経mini</x:v>
      </x:c>
      <x:c r="B211" s="1" t="str">
        <x:v>G11</x:v>
      </x:c>
      <x:c r="C211" s="1" t="str">
        <x:v>診断3場</x:v>
      </x:c>
      <x:c r="D211" s="45" t="n">
        <x:v>196926</x:v>
      </x:c>
      <x:c r="E211" s="45" t="n">
        <x:v>232922</x:v>
      </x:c>
      <x:c r="F211" s="45" t="n">
        <x:f>D211-E211</x:f>
        <x:v>-35996</x:v>
      </x:c>
      <x:c r="G211" s="47" t="n">
        <x:v>1</x:v>
      </x:c>
      <x:c r="H211" s="47" t="n">
        <x:v>2</x:v>
      </x:c>
      <x:c r="I211" s="45" t="n">
        <x:v>-87074</x:v>
      </x:c>
      <x:c r="J211" s="47" t="n">
        <x:v>15</x:v>
      </x:c>
      <x:c r="K211" s="45" t="n">
        <x:v>-61538</x:v>
      </x:c>
      <x:c r="L211" s="45" t="n">
        <x:v>43537</x:v>
      </x:c>
      <x:c r="M211" s="46" t="n">
        <x:v>271.73333333333335</x:v>
      </x:c>
      <x:c r="N211" s="46" t="n">
        <x:v>39.205555555555556</x:v>
      </x:c>
      <x:c r="O211" s="47" t="n">
        <x:v>7</x:v>
      </x:c>
      <x:c r="P211" s="1" t="str">
        <x:v>再進行・追撃保護・板で退出</x:v>
      </x:c>
      <x:c r="Q211" s="47" t="n">
        <x:v>0</x:v>
      </x:c>
      <x:c r="R211" s="1" t="str">
        <x:v>全場</x:v>
      </x:c>
      <x:c r="S211" s="47" t="n">
        <x:v>3</x:v>
      </x:c>
    </x:row>
    <x:row r="212" ht="22" customHeight="1">
      <x:c r="A212" s="1" t="str">
        <x:v>日経mini</x:v>
      </x:c>
      <x:c r="B212" s="1" t="str">
        <x:v>G11</x:v>
      </x:c>
      <x:c r="C212" s="1" t="str">
        <x:v>診断3場</x:v>
      </x:c>
      <x:c r="D212" s="45" t="n">
        <x:v>90464</x:v>
      </x:c>
      <x:c r="E212" s="45" t="n">
        <x:v>116000</x:v>
      </x:c>
      <x:c r="F212" s="45" t="n">
        <x:f>D212-E212</x:f>
        <x:v>-25536</x:v>
      </x:c>
      <x:c r="G212" s="47" t="n">
        <x:v>0</x:v>
      </x:c>
      <x:c r="H212" s="47" t="n">
        <x:v>1</x:v>
      </x:c>
      <x:c r="I212" s="45" t="n">
        <x:v>-25536</x:v>
      </x:c>
      <x:c r="J212" s="47" t="n">
        <x:v>10</x:v>
      </x:c>
      <x:c r="K212" s="45" t="n">
        <x:v>-25536</x:v>
      </x:c>
      <x:c r="L212" s="45" t="n">
        <x:v>25536</x:v>
      </x:c>
      <x:c r="M212" s="46" t="n">
        <x:v>95.1</x:v>
      </x:c>
      <x:c r="N212" s="46" t="n">
        <x:v>79.58333333333333</x:v>
      </x:c>
      <x:c r="O212" s="47" t="n">
        <x:v>7</x:v>
      </x:c>
      <x:c r="P212" s="1" t="str">
        <x:v>再進行・追撃保護・板で退出</x:v>
      </x:c>
      <x:c r="Q212" s="47" t="n">
        <x:v>0</x:v>
      </x:c>
      <x:c r="R212" s="1" t="str">
        <x:v>デイ</x:v>
      </x:c>
      <x:c r="S212" s="47" t="n">
        <x:v>1</x:v>
      </x:c>
    </x:row>
    <x:row r="213" ht="22" customHeight="1">
      <x:c r="A213" s="1" t="str">
        <x:v>日経mini</x:v>
      </x:c>
      <x:c r="B213" s="1" t="str">
        <x:v>G11</x:v>
      </x:c>
      <x:c r="C213" s="1" t="str">
        <x:v>診断3場</x:v>
      </x:c>
      <x:c r="D213" s="45" t="n">
        <x:v>106462</x:v>
      </x:c>
      <x:c r="E213" s="45" t="n">
        <x:v>116922</x:v>
      </x:c>
      <x:c r="F213" s="45" t="n">
        <x:f>D213-E213</x:f>
        <x:v>-10460</x:v>
      </x:c>
      <x:c r="G213" s="47" t="n">
        <x:v>1</x:v>
      </x:c>
      <x:c r="H213" s="47" t="n">
        <x:v>1</x:v>
      </x:c>
      <x:c r="I213" s="45" t="n">
        <x:v>-61538</x:v>
      </x:c>
      <x:c r="J213" s="47" t="n">
        <x:v>5</x:v>
      </x:c>
      <x:c r="K213" s="45" t="n">
        <x:v>-61538</x:v>
      </x:c>
      <x:c r="L213" s="45" t="n">
        <x:v>61538</x:v>
      </x:c>
      <x:c r="M213" s="46" t="n">
        <x:v>360.05</x:v>
      </x:c>
      <x:c r="N213" s="46" t="n">
        <x:v>19.016666666666666</x:v>
      </x:c>
      <x:c r="O213" s="47" t="n">
        <x:v>5</x:v>
      </x:c>
      <x:c r="P213" s="1" t="str">
        <x:v>再進行・追撃保護・板で退出</x:v>
      </x:c>
      <x:c r="Q213" s="47" t="n">
        <x:v>0</x:v>
      </x:c>
      <x:c r="R213" s="1" t="str">
        <x:v>ナイト</x:v>
      </x:c>
      <x:c r="S213" s="47" t="n">
        <x:v>2</x:v>
      </x:c>
    </x:row>
    <x:row r="214" ht="22" customHeight="1">
      <x:c r="A214" s="1" t="str">
        <x:v>日経mini</x:v>
      </x:c>
      <x:c r="B214" s="1" t="str">
        <x:v>G11</x:v>
      </x:c>
      <x:c r="C214" s="1" t="str">
        <x:v>診断3場</x:v>
      </x:c>
      <x:c r="D214" s="45" t="n">
        <x:v>90464</x:v>
      </x:c>
      <x:c r="E214" s="45" t="n">
        <x:v>177538</x:v>
      </x:c>
      <x:c r="F214" s="45" t="n">
        <x:f>D214-E214</x:f>
        <x:v>-87074</x:v>
      </x:c>
      <x:c r="G214" s="47" t="n">
        <x:v>0</x:v>
      </x:c>
      <x:c r="H214" s="47" t="n">
        <x:v>2</x:v>
      </x:c>
      <x:c r="I214" s="45" t="n">
        <x:v>-87074</x:v>
      </x:c>
      <x:c r="J214" s="47" t="n">
        <x:v>12</x:v>
      </x:c>
      <x:c r="K214" s="45" t="n">
        <x:v>-61538</x:v>
      </x:c>
      <x:c r="L214" s="45" t="n">
        <x:v>43537</x:v>
      </x:c>
      <x:c r="M214" s="46" t="n">
        <x:v>227.56666666666666</x:v>
      </x:c>
      <x:c r="N214" s="46" t="n">
        <x:v>45.625</x:v>
      </x:c>
      <x:c r="O214" s="47" t="n">
        <x:v>7</x:v>
      </x:c>
      <x:c r="P214" s="1" t="str">
        <x:v>再進行・追撃保護・板で退出</x:v>
      </x:c>
      <x:c r="Q214" s="47" t="n">
        <x:v>0</x:v>
      </x:c>
      <x:c r="R214" s="1" t="str">
        <x:v>上昇</x:v>
      </x:c>
      <x:c r="S214" s="47" t="n">
        <x:v>2</x:v>
      </x:c>
    </x:row>
    <x:row r="215" ht="22" customHeight="1">
      <x:c r="A215" s="1" t="str">
        <x:v>日経mini</x:v>
      </x:c>
      <x:c r="B215" s="1" t="str">
        <x:v>G11</x:v>
      </x:c>
      <x:c r="C215" s="1" t="str">
        <x:v>診断3場</x:v>
      </x:c>
      <x:c r="D215" s="45" t="n">
        <x:v>106462</x:v>
      </x:c>
      <x:c r="E215" s="45" t="n">
        <x:v>55384</x:v>
      </x:c>
      <x:c r="F215" s="45" t="n">
        <x:f>D215-E215</x:f>
        <x:v>51078</x:v>
      </x:c>
      <x:c r="G215" s="47" t="n">
        <x:v>1</x:v>
      </x:c>
      <x:c r="H215" s="47" t="n">
        <x:v>0</x:v>
      </x:c>
      <x:c r="I215" s="45" t="n">
        <x:v>0</x:v>
      </x:c>
      <x:c r="J215" s="47" t="n">
        <x:v>3</x:v>
      </x:c>
      <x:c r="K215" s="45" t="n">
        <x:v>51078</x:v>
      </x:c>
      <x:c r="L215" s="45" t="n">
        <x:v>0</x:v>
      </x:c>
      <x:c r="M215" s="46" t="n">
        <x:v>360.06666666666666</x:v>
      </x:c>
      <x:c r="N215" s="46" t="n">
        <x:v>26.366666666666667</x:v>
      </x:c>
      <x:c r="O215" s="47" t="n">
        <x:v>5</x:v>
      </x:c>
      <x:c r="P215" s="1" t="str">
        <x:v>再進行・追撃保護・板で退出</x:v>
      </x:c>
      <x:c r="Q215" s="47" t="n">
        <x:v>0</x:v>
      </x:c>
      <x:c r="R215" s="1" t="str">
        <x:v>下落</x:v>
      </x:c>
      <x:c r="S215" s="47" t="n">
        <x:v>1</x:v>
      </x:c>
    </x:row>
    <x:row r="216" ht="22" customHeight="1">
      <x:c r="A216" s="1" t="str">
        <x:v>日経mini</x:v>
      </x:c>
      <x:c r="B216" s="1" t="str">
        <x:v>G12</x:v>
      </x:c>
      <x:c r="C216" s="1" t="str">
        <x:v>全50場</x:v>
      </x:c>
      <x:c r="D216" s="45" t="n">
        <x:v>5825182</x:v>
      </x:c>
      <x:c r="E216" s="45" t="n">
        <x:v>3456442</x:v>
      </x:c>
      <x:c r="F216" s="45" t="n">
        <x:f>D216-E216</x:f>
        <x:v>2368740</x:v>
      </x:c>
      <x:c r="G216" s="47" t="n">
        <x:v>31</x:v>
      </x:c>
      <x:c r="H216" s="47" t="n">
        <x:v>19</x:v>
      </x:c>
      <x:c r="I216" s="45" t="n">
        <x:v>1377190</x:v>
      </x:c>
      <x:c r="J216" s="47" t="n">
        <x:v>326</x:v>
      </x:c>
      <x:c r="K216" s="45" t="n">
        <x:v>-191920</x:v>
      </x:c>
      <x:c r="L216" s="45" t="n">
        <x:v>58066.52631578947</x:v>
      </x:c>
      <x:c r="M216" s="46" t="n">
        <x:v>199.02100000000002</x:v>
      </x:c>
      <x:c r="N216" s="46" t="n">
        <x:v>115.11566666666667</x:v>
      </x:c>
      <x:c r="O216" s="47" t="n">
        <x:v>10</x:v>
      </x:c>
      <x:c r="P216" s="1" t="str">
        <x:v>板支持・追撃保護・板で退出</x:v>
      </x:c>
      <x:c r="Q216" s="47" t="n">
        <x:v>0</x:v>
      </x:c>
      <x:c r="R216" s="1" t="str">
        <x:v>全場</x:v>
      </x:c>
      <x:c r="S216" s="47" t="n">
        <x:v>50</x:v>
      </x:c>
    </x:row>
    <x:row r="217" ht="22" customHeight="1">
      <x:c r="A217" s="1" t="str">
        <x:v>日経mini</x:v>
      </x:c>
      <x:c r="B217" s="1" t="str">
        <x:v>G12</x:v>
      </x:c>
      <x:c r="C217" s="1" t="str">
        <x:v>全50場</x:v>
      </x:c>
      <x:c r="D217" s="45" t="n">
        <x:v>3799530</x:v>
      </x:c>
      <x:c r="E217" s="45" t="n">
        <x:v>2392064</x:v>
      </x:c>
      <x:c r="F217" s="45" t="n">
        <x:f>D217-E217</x:f>
        <x:v>1407466</x:v>
      </x:c>
      <x:c r="G217" s="47" t="n">
        <x:v>14</x:v>
      </x:c>
      <x:c r="H217" s="47" t="n">
        <x:v>11</x:v>
      </x:c>
      <x:c r="I217" s="45" t="n">
        <x:v>450608</x:v>
      </x:c>
      <x:c r="J217" s="47" t="n">
        <x:v>229</x:v>
      </x:c>
      <x:c r="K217" s="45" t="n">
        <x:v>-191920</x:v>
      </x:c>
      <x:c r="L217" s="45" t="n">
        <x:v>58765.818181818184</x:v>
      </x:c>
      <x:c r="M217" s="46" t="n">
        <x:v>80.41199999999999</x:v>
      </x:c>
      <x:c r="N217" s="46" t="n">
        <x:v>186.58133333333336</x:v>
      </x:c>
      <x:c r="O217" s="47" t="n">
        <x:v>10</x:v>
      </x:c>
      <x:c r="P217" s="1" t="str">
        <x:v>板支持・追撃保護・板で退出</x:v>
      </x:c>
      <x:c r="Q217" s="47" t="n">
        <x:v>0</x:v>
      </x:c>
      <x:c r="R217" s="1" t="str">
        <x:v>デイ</x:v>
      </x:c>
      <x:c r="S217" s="47" t="n">
        <x:v>25</x:v>
      </x:c>
    </x:row>
    <x:row r="218" ht="22" customHeight="1">
      <x:c r="A218" s="1" t="str">
        <x:v>日経mini</x:v>
      </x:c>
      <x:c r="B218" s="1" t="str">
        <x:v>G12</x:v>
      </x:c>
      <x:c r="C218" s="1" t="str">
        <x:v>全50場</x:v>
      </x:c>
      <x:c r="D218" s="45" t="n">
        <x:v>2025652</x:v>
      </x:c>
      <x:c r="E218" s="45" t="n">
        <x:v>1064378</x:v>
      </x:c>
      <x:c r="F218" s="45" t="n">
        <x:f>D218-E218</x:f>
        <x:v>961274</x:v>
      </x:c>
      <x:c r="G218" s="47" t="n">
        <x:v>17</x:v>
      </x:c>
      <x:c r="H218" s="47" t="n">
        <x:v>8</x:v>
      </x:c>
      <x:c r="I218" s="45" t="n">
        <x:v>318802</x:v>
      </x:c>
      <x:c r="J218" s="47" t="n">
        <x:v>97</x:v>
      </x:c>
      <x:c r="K218" s="45" t="n">
        <x:v>-120462</x:v>
      </x:c>
      <x:c r="L218" s="45" t="n">
        <x:v>57105</x:v>
      </x:c>
      <x:c r="M218" s="46" t="n">
        <x:v>317.63000000000005</x:v>
      </x:c>
      <x:c r="N218" s="46" t="n">
        <x:v>43.65</x:v>
      </x:c>
      <x:c r="O218" s="47" t="n">
        <x:v>7</x:v>
      </x:c>
      <x:c r="P218" s="1" t="str">
        <x:v>板支持・追撃保護・板で退出</x:v>
      </x:c>
      <x:c r="Q218" s="47" t="n">
        <x:v>0</x:v>
      </x:c>
      <x:c r="R218" s="1" t="str">
        <x:v>ナイト</x:v>
      </x:c>
      <x:c r="S218" s="47" t="n">
        <x:v>25</x:v>
      </x:c>
    </x:row>
    <x:row r="219" ht="22" customHeight="1">
      <x:c r="A219" s="1" t="str">
        <x:v>日経mini</x:v>
      </x:c>
      <x:c r="B219" s="1" t="str">
        <x:v>G12</x:v>
      </x:c>
      <x:c r="C219" s="1" t="str">
        <x:v>全50場</x:v>
      </x:c>
      <x:c r="D219" s="45" t="n">
        <x:v>3040366</x:v>
      </x:c>
      <x:c r="E219" s="45" t="n">
        <x:v>1778144</x:v>
      </x:c>
      <x:c r="F219" s="45" t="n">
        <x:f>D219-E219</x:f>
        <x:v>1262222</x:v>
      </x:c>
      <x:c r="G219" s="47" t="n">
        <x:v>13</x:v>
      </x:c>
      <x:c r="H219" s="47" t="n">
        <x:v>12</x:v>
      </x:c>
      <x:c r="I219" s="45" t="n">
        <x:v>411824</x:v>
      </x:c>
      <x:c r="J219" s="47" t="n">
        <x:v>180</x:v>
      </x:c>
      <x:c r="K219" s="45" t="n">
        <x:v>-120462</x:v>
      </x:c>
      <x:c r="L219" s="45" t="n">
        <x:v>50401.5</x:v>
      </x:c>
      <x:c r="M219" s="46" t="n">
        <x:v>200.77533333333338</x:v>
      </x:c>
      <x:c r="N219" s="46" t="n">
        <x:v>111.89066666666668</x:v>
      </x:c>
      <x:c r="O219" s="47" t="n">
        <x:v>10</x:v>
      </x:c>
      <x:c r="P219" s="1" t="str">
        <x:v>板支持・追撃保護・板で退出</x:v>
      </x:c>
      <x:c r="Q219" s="47" t="n">
        <x:v>0</x:v>
      </x:c>
      <x:c r="R219" s="1" t="str">
        <x:v>上昇</x:v>
      </x:c>
      <x:c r="S219" s="47" t="n">
        <x:v>25</x:v>
      </x:c>
    </x:row>
    <x:row r="220" ht="22" customHeight="1">
      <x:c r="A220" s="1" t="str">
        <x:v>日経mini</x:v>
      </x:c>
      <x:c r="B220" s="1" t="str">
        <x:v>G12</x:v>
      </x:c>
      <x:c r="C220" s="1" t="str">
        <x:v>全50場</x:v>
      </x:c>
      <x:c r="D220" s="45" t="n">
        <x:v>2784816</x:v>
      </x:c>
      <x:c r="E220" s="45" t="n">
        <x:v>1678298</x:v>
      </x:c>
      <x:c r="F220" s="45" t="n">
        <x:f>D220-E220</x:f>
        <x:v>1106518</x:v>
      </x:c>
      <x:c r="G220" s="47" t="n">
        <x:v>18</x:v>
      </x:c>
      <x:c r="H220" s="47" t="n">
        <x:v>7</x:v>
      </x:c>
      <x:c r="I220" s="45" t="n">
        <x:v>352588</x:v>
      </x:c>
      <x:c r="J220" s="47" t="n">
        <x:v>146</x:v>
      </x:c>
      <x:c r="K220" s="45" t="n">
        <x:v>-191920</x:v>
      </x:c>
      <x:c r="L220" s="45" t="n">
        <x:v>71206.57142857143</x:v>
      </x:c>
      <x:c r="M220" s="46" t="n">
        <x:v>197.26666666666665</x:v>
      </x:c>
      <x:c r="N220" s="46" t="n">
        <x:v>118.34066666666666</x:v>
      </x:c>
      <x:c r="O220" s="47" t="n">
        <x:v>10</x:v>
      </x:c>
      <x:c r="P220" s="1" t="str">
        <x:v>板支持・追撃保護・板で退出</x:v>
      </x:c>
      <x:c r="Q220" s="47" t="n">
        <x:v>0</x:v>
      </x:c>
      <x:c r="R220" s="1" t="str">
        <x:v>下落</x:v>
      </x:c>
      <x:c r="S220" s="47" t="n">
        <x:v>25</x:v>
      </x:c>
    </x:row>
    <x:row r="221" ht="22" customHeight="1">
      <x:c r="A221" s="1" t="str">
        <x:v>日経mini</x:v>
      </x:c>
      <x:c r="B221" s="1" t="str">
        <x:v>G12</x:v>
      </x:c>
      <x:c r="C221" s="1" t="str">
        <x:v>対照47場</x:v>
      </x:c>
      <x:c r="D221" s="45" t="n">
        <x:v>5645562</x:v>
      </x:c>
      <x:c r="E221" s="45" t="n">
        <x:v>3203366</x:v>
      </x:c>
      <x:c r="F221" s="45" t="n">
        <x:f>D221-E221</x:f>
        <x:v>2442196</x:v>
      </x:c>
      <x:c r="G221" s="47" t="n">
        <x:v>30</x:v>
      </x:c>
      <x:c r="H221" s="47" t="n">
        <x:v>17</x:v>
      </x:c>
      <x:c r="I221" s="45" t="n">
        <x:v>1450646</x:v>
      </x:c>
      <x:c r="J221" s="47" t="n">
        <x:v>307</x:v>
      </x:c>
      <x:c r="K221" s="45" t="n">
        <x:v>-191920</x:v>
      </x:c>
      <x:c r="L221" s="45" t="n">
        <x:v>58993.17647058824</x:v>
      </x:c>
      <x:c r="M221" s="46" t="n">
        <x:v>194.3797872340425</x:v>
      </x:c>
      <x:c r="N221" s="46" t="n">
        <x:v>118.95354609929078</x:v>
      </x:c>
      <x:c r="O221" s="47" t="n">
        <x:v>10</x:v>
      </x:c>
      <x:c r="P221" s="1" t="str">
        <x:v>板支持・追撃保護・板で退出</x:v>
      </x:c>
      <x:c r="Q221" s="47" t="n">
        <x:v>0</x:v>
      </x:c>
      <x:c r="R221" s="1" t="str">
        <x:v>全場</x:v>
      </x:c>
      <x:c r="S221" s="47" t="n">
        <x:v>47</x:v>
      </x:c>
    </x:row>
    <x:row r="222" ht="22" customHeight="1">
      <x:c r="A222" s="1" t="str">
        <x:v>日経mini</x:v>
      </x:c>
      <x:c r="B222" s="1" t="str">
        <x:v>G12</x:v>
      </x:c>
      <x:c r="C222" s="1" t="str">
        <x:v>対照47場</x:v>
      </x:c>
      <x:c r="D222" s="45" t="n">
        <x:v>3742218</x:v>
      </x:c>
      <x:c r="E222" s="45" t="n">
        <x:v>2280064</x:v>
      </x:c>
      <x:c r="F222" s="45" t="n">
        <x:f>D222-E222</x:f>
        <x:v>1462154</x:v>
      </x:c>
      <x:c r="G222" s="47" t="n">
        <x:v>14</x:v>
      </x:c>
      <x:c r="H222" s="47" t="n">
        <x:v>10</x:v>
      </x:c>
      <x:c r="I222" s="45" t="n">
        <x:v>505296</x:v>
      </x:c>
      <x:c r="J222" s="47" t="n">
        <x:v>217</x:v>
      </x:c>
      <x:c r="K222" s="45" t="n">
        <x:v>-191920</x:v>
      </x:c>
      <x:c r="L222" s="45" t="n">
        <x:v>59173.6</x:v>
      </x:c>
      <x:c r="M222" s="46" t="n">
        <x:v>79.8</x:v>
      </x:c>
      <x:c r="N222" s="46" t="n">
        <x:v>190.5625</x:v>
      </x:c>
      <x:c r="O222" s="47" t="n">
        <x:v>10</x:v>
      </x:c>
      <x:c r="P222" s="1" t="str">
        <x:v>板支持・追撃保護・板で退出</x:v>
      </x:c>
      <x:c r="Q222" s="47" t="n">
        <x:v>0</x:v>
      </x:c>
      <x:c r="R222" s="1" t="str">
        <x:v>デイ</x:v>
      </x:c>
      <x:c r="S222" s="47" t="n">
        <x:v>24</x:v>
      </x:c>
    </x:row>
    <x:row r="223" ht="22" customHeight="1">
      <x:c r="A223" s="1" t="str">
        <x:v>日経mini</x:v>
      </x:c>
      <x:c r="B223" s="1" t="str">
        <x:v>G12</x:v>
      </x:c>
      <x:c r="C223" s="1" t="str">
        <x:v>対照47場</x:v>
      </x:c>
      <x:c r="D223" s="45" t="n">
        <x:v>1903344</x:v>
      </x:c>
      <x:c r="E223" s="45" t="n">
        <x:v>923302</x:v>
      </x:c>
      <x:c r="F223" s="45" t="n">
        <x:f>D223-E223</x:f>
        <x:v>980042</x:v>
      </x:c>
      <x:c r="G223" s="47" t="n">
        <x:v>16</x:v>
      </x:c>
      <x:c r="H223" s="47" t="n">
        <x:v>7</x:v>
      </x:c>
      <x:c r="I223" s="45" t="n">
        <x:v>337570</x:v>
      </x:c>
      <x:c r="J223" s="47" t="n">
        <x:v>90</x:v>
      </x:c>
      <x:c r="K223" s="45" t="n">
        <x:v>-120462</x:v>
      </x:c>
      <x:c r="L223" s="45" t="n">
        <x:v>58735.42857142857</x:v>
      </x:c>
      <x:c r="M223" s="46" t="n">
        <x:v>313.9413043478261</x:v>
      </x:c>
      <x:c r="N223" s="46" t="n">
        <x:v>44.23115942028985</x:v>
      </x:c>
      <x:c r="O223" s="47" t="n">
        <x:v>7</x:v>
      </x:c>
      <x:c r="P223" s="1" t="str">
        <x:v>板支持・追撃保護・板で退出</x:v>
      </x:c>
      <x:c r="Q223" s="47" t="n">
        <x:v>0</x:v>
      </x:c>
      <x:c r="R223" s="1" t="str">
        <x:v>ナイト</x:v>
      </x:c>
      <x:c r="S223" s="47" t="n">
        <x:v>23</x:v>
      </x:c>
    </x:row>
    <x:row r="224" ht="22" customHeight="1">
      <x:c r="A224" s="1" t="str">
        <x:v>日経mini</x:v>
      </x:c>
      <x:c r="B224" s="1" t="str">
        <x:v>G12</x:v>
      </x:c>
      <x:c r="C224" s="1" t="str">
        <x:v>対照47場</x:v>
      </x:c>
      <x:c r="D224" s="45" t="n">
        <x:v>2967208</x:v>
      </x:c>
      <x:c r="E224" s="45" t="n">
        <x:v>1604606</x:v>
      </x:c>
      <x:c r="F224" s="45" t="n">
        <x:f>D224-E224</x:f>
        <x:v>1362602</x:v>
      </x:c>
      <x:c r="G224" s="47" t="n">
        <x:v>13</x:v>
      </x:c>
      <x:c r="H224" s="47" t="n">
        <x:v>10</x:v>
      </x:c>
      <x:c r="I224" s="45" t="n">
        <x:v>512204</x:v>
      </x:c>
      <x:c r="J224" s="47" t="n">
        <x:v>165</x:v>
      </x:c>
      <x:c r="K224" s="45" t="n">
        <x:v>-120462</x:v>
      </x:c>
      <x:c r="L224" s="45" t="n">
        <x:v>50443.8</x:v>
      </x:c>
      <x:c r="M224" s="46" t="n">
        <x:v>198.44565217391303</x:v>
      </x:c>
      <x:c r="N224" s="46" t="n">
        <x:v>115.8355072463768</x:v>
      </x:c>
      <x:c r="O224" s="47" t="n">
        <x:v>10</x:v>
      </x:c>
      <x:c r="P224" s="1" t="str">
        <x:v>板支持・追撃保護・板で退出</x:v>
      </x:c>
      <x:c r="Q224" s="47" t="n">
        <x:v>0</x:v>
      </x:c>
      <x:c r="R224" s="1" t="str">
        <x:v>上昇</x:v>
      </x:c>
      <x:c r="S224" s="47" t="n">
        <x:v>23</x:v>
      </x:c>
    </x:row>
    <x:row r="225" ht="22" customHeight="1">
      <x:c r="A225" s="1" t="str">
        <x:v>日経mini</x:v>
      </x:c>
      <x:c r="B225" s="1" t="str">
        <x:v>G12</x:v>
      </x:c>
      <x:c r="C225" s="1" t="str">
        <x:v>対照47場</x:v>
      </x:c>
      <x:c r="D225" s="45" t="n">
        <x:v>2678354</x:v>
      </x:c>
      <x:c r="E225" s="45" t="n">
        <x:v>1598760</x:v>
      </x:c>
      <x:c r="F225" s="45" t="n">
        <x:f>D225-E225</x:f>
        <x:v>1079594</x:v>
      </x:c>
      <x:c r="G225" s="47" t="n">
        <x:v>17</x:v>
      </x:c>
      <x:c r="H225" s="47" t="n">
        <x:v>7</x:v>
      </x:c>
      <x:c r="I225" s="45" t="n">
        <x:v>325664</x:v>
      </x:c>
      <x:c r="J225" s="47" t="n">
        <x:v>142</x:v>
      </x:c>
      <x:c r="K225" s="45" t="n">
        <x:v>-191920</x:v>
      </x:c>
      <x:c r="L225" s="45" t="n">
        <x:v>71206.57142857143</x:v>
      </x:c>
      <x:c r="M225" s="46" t="n">
        <x:v>190.48333333333332</x:v>
      </x:c>
      <x:c r="N225" s="46" t="n">
        <x:v>121.94166666666666</x:v>
      </x:c>
      <x:c r="O225" s="47" t="n">
        <x:v>10</x:v>
      </x:c>
      <x:c r="P225" s="1" t="str">
        <x:v>板支持・追撃保護・板で退出</x:v>
      </x:c>
      <x:c r="Q225" s="47" t="n">
        <x:v>0</x:v>
      </x:c>
      <x:c r="R225" s="1" t="str">
        <x:v>下落</x:v>
      </x:c>
      <x:c r="S225" s="47" t="n">
        <x:v>24</x:v>
      </x:c>
    </x:row>
    <x:row r="226" ht="22" customHeight="1">
      <x:c r="A226" s="1" t="str">
        <x:v>日経mini</x:v>
      </x:c>
      <x:c r="B226" s="1" t="str">
        <x:v>G12</x:v>
      </x:c>
      <x:c r="C226" s="1" t="str">
        <x:v>診断3場</x:v>
      </x:c>
      <x:c r="D226" s="45" t="n">
        <x:v>179620</x:v>
      </x:c>
      <x:c r="E226" s="45" t="n">
        <x:v>253076</x:v>
      </x:c>
      <x:c r="F226" s="45" t="n">
        <x:f>D226-E226</x:f>
        <x:v>-73456</x:v>
      </x:c>
      <x:c r="G226" s="47" t="n">
        <x:v>1</x:v>
      </x:c>
      <x:c r="H226" s="47" t="n">
        <x:v>2</x:v>
      </x:c>
      <x:c r="I226" s="45" t="n">
        <x:v>-100380</x:v>
      </x:c>
      <x:c r="J226" s="47" t="n">
        <x:v>19</x:v>
      </x:c>
      <x:c r="K226" s="45" t="n">
        <x:v>-54688</x:v>
      </x:c>
      <x:c r="L226" s="45" t="n">
        <x:v>50190</x:v>
      </x:c>
      <x:c r="M226" s="46" t="n">
        <x:v>271.73333333333335</x:v>
      </x:c>
      <x:c r="N226" s="46" t="n">
        <x:v>54.98888888888889</x:v>
      </x:c>
      <x:c r="O226" s="47" t="n">
        <x:v>9</x:v>
      </x:c>
      <x:c r="P226" s="1" t="str">
        <x:v>板支持・追撃保護・板で退出</x:v>
      </x:c>
      <x:c r="Q226" s="47" t="n">
        <x:v>0</x:v>
      </x:c>
      <x:c r="R226" s="1" t="str">
        <x:v>全場</x:v>
      </x:c>
      <x:c r="S226" s="47" t="n">
        <x:v>3</x:v>
      </x:c>
    </x:row>
    <x:row r="227" ht="22" customHeight="1">
      <x:c r="A227" s="1" t="str">
        <x:v>日経mini</x:v>
      </x:c>
      <x:c r="B227" s="1" t="str">
        <x:v>G12</x:v>
      </x:c>
      <x:c r="C227" s="1" t="str">
        <x:v>診断3場</x:v>
      </x:c>
      <x:c r="D227" s="45" t="n">
        <x:v>57312</x:v>
      </x:c>
      <x:c r="E227" s="45" t="n">
        <x:v>112000</x:v>
      </x:c>
      <x:c r="F227" s="45" t="n">
        <x:f>D227-E227</x:f>
        <x:v>-54688</x:v>
      </x:c>
      <x:c r="G227" s="47" t="n">
        <x:v>0</x:v>
      </x:c>
      <x:c r="H227" s="47" t="n">
        <x:v>1</x:v>
      </x:c>
      <x:c r="I227" s="45" t="n">
        <x:v>-54688</x:v>
      </x:c>
      <x:c r="J227" s="47" t="n">
        <x:v>12</x:v>
      </x:c>
      <x:c r="K227" s="45" t="n">
        <x:v>-54688</x:v>
      </x:c>
      <x:c r="L227" s="45" t="n">
        <x:v>54688</x:v>
      </x:c>
      <x:c r="M227" s="46" t="n">
        <x:v>95.1</x:v>
      </x:c>
      <x:c r="N227" s="46" t="n">
        <x:v>91.03333333333333</x:v>
      </x:c>
      <x:c r="O227" s="47" t="n">
        <x:v>9</x:v>
      </x:c>
      <x:c r="P227" s="1" t="str">
        <x:v>板支持・追撃保護・板で退出</x:v>
      </x:c>
      <x:c r="Q227" s="47" t="n">
        <x:v>0</x:v>
      </x:c>
      <x:c r="R227" s="1" t="str">
        <x:v>デイ</x:v>
      </x:c>
      <x:c r="S227" s="47" t="n">
        <x:v>1</x:v>
      </x:c>
    </x:row>
    <x:row r="228" ht="22" customHeight="1">
      <x:c r="A228" s="1" t="str">
        <x:v>日経mini</x:v>
      </x:c>
      <x:c r="B228" s="1" t="str">
        <x:v>G12</x:v>
      </x:c>
      <x:c r="C228" s="1" t="str">
        <x:v>診断3場</x:v>
      </x:c>
      <x:c r="D228" s="45" t="n">
        <x:v>122308</x:v>
      </x:c>
      <x:c r="E228" s="45" t="n">
        <x:v>141076</x:v>
      </x:c>
      <x:c r="F228" s="45" t="n">
        <x:f>D228-E228</x:f>
        <x:v>-18768</x:v>
      </x:c>
      <x:c r="G228" s="47" t="n">
        <x:v>1</x:v>
      </x:c>
      <x:c r="H228" s="47" t="n">
        <x:v>1</x:v>
      </x:c>
      <x:c r="I228" s="45" t="n">
        <x:v>-45692</x:v>
      </x:c>
      <x:c r="J228" s="47" t="n">
        <x:v>7</x:v>
      </x:c>
      <x:c r="K228" s="45" t="n">
        <x:v>-45692</x:v>
      </x:c>
      <x:c r="L228" s="45" t="n">
        <x:v>45692</x:v>
      </x:c>
      <x:c r="M228" s="46" t="n">
        <x:v>360.05</x:v>
      </x:c>
      <x:c r="N228" s="46" t="n">
        <x:v>36.96666666666667</x:v>
      </x:c>
      <x:c r="O228" s="47" t="n">
        <x:v>5</x:v>
      </x:c>
      <x:c r="P228" s="1" t="str">
        <x:v>板支持・追撃保護・板で退出</x:v>
      </x:c>
      <x:c r="Q228" s="47" t="n">
        <x:v>0</x:v>
      </x:c>
      <x:c r="R228" s="1" t="str">
        <x:v>ナイト</x:v>
      </x:c>
      <x:c r="S228" s="47" t="n">
        <x:v>2</x:v>
      </x:c>
    </x:row>
    <x:row r="229" ht="22" customHeight="1">
      <x:c r="A229" s="1" t="str">
        <x:v>日経mini</x:v>
      </x:c>
      <x:c r="B229" s="1" t="str">
        <x:v>G12</x:v>
      </x:c>
      <x:c r="C229" s="1" t="str">
        <x:v>診断3場</x:v>
      </x:c>
      <x:c r="D229" s="45" t="n">
        <x:v>73158</x:v>
      </x:c>
      <x:c r="E229" s="45" t="n">
        <x:v>173538</x:v>
      </x:c>
      <x:c r="F229" s="45" t="n">
        <x:f>D229-E229</x:f>
        <x:v>-100380</x:v>
      </x:c>
      <x:c r="G229" s="47" t="n">
        <x:v>0</x:v>
      </x:c>
      <x:c r="H229" s="47" t="n">
        <x:v>2</x:v>
      </x:c>
      <x:c r="I229" s="45" t="n">
        <x:v>-100380</x:v>
      </x:c>
      <x:c r="J229" s="47" t="n">
        <x:v>15</x:v>
      </x:c>
      <x:c r="K229" s="45" t="n">
        <x:v>-54688</x:v>
      </x:c>
      <x:c r="L229" s="45" t="n">
        <x:v>50190</x:v>
      </x:c>
      <x:c r="M229" s="46" t="n">
        <x:v>227.56666666666666</x:v>
      </x:c>
      <x:c r="N229" s="46" t="n">
        <x:v>66.525</x:v>
      </x:c>
      <x:c r="O229" s="47" t="n">
        <x:v>9</x:v>
      </x:c>
      <x:c r="P229" s="1" t="str">
        <x:v>板支持・追撃保護・板で退出</x:v>
      </x:c>
      <x:c r="Q229" s="47" t="n">
        <x:v>0</x:v>
      </x:c>
      <x:c r="R229" s="1" t="str">
        <x:v>上昇</x:v>
      </x:c>
      <x:c r="S229" s="47" t="n">
        <x:v>2</x:v>
      </x:c>
    </x:row>
    <x:row r="230" ht="22" customHeight="1">
      <x:c r="A230" s="1" t="str">
        <x:v>日経mini</x:v>
      </x:c>
      <x:c r="B230" s="1" t="str">
        <x:v>G12</x:v>
      </x:c>
      <x:c r="C230" s="1" t="str">
        <x:v>診断3場</x:v>
      </x:c>
      <x:c r="D230" s="45" t="n">
        <x:v>106462</x:v>
      </x:c>
      <x:c r="E230" s="45" t="n">
        <x:v>79538</x:v>
      </x:c>
      <x:c r="F230" s="45" t="n">
        <x:f>D230-E230</x:f>
        <x:v>26924</x:v>
      </x:c>
      <x:c r="G230" s="47" t="n">
        <x:v>1</x:v>
      </x:c>
      <x:c r="H230" s="47" t="n">
        <x:v>0</x:v>
      </x:c>
      <x:c r="I230" s="45" t="n">
        <x:v>0</x:v>
      </x:c>
      <x:c r="J230" s="47" t="n">
        <x:v>4</x:v>
      </x:c>
      <x:c r="K230" s="45" t="n">
        <x:v>26924</x:v>
      </x:c>
      <x:c r="L230" s="45" t="n">
        <x:v>0</x:v>
      </x:c>
      <x:c r="M230" s="46" t="n">
        <x:v>360.06666666666666</x:v>
      </x:c>
      <x:c r="N230" s="46" t="n">
        <x:v>31.916666666666668</x:v>
      </x:c>
      <x:c r="O230" s="47" t="n">
        <x:v>5</x:v>
      </x:c>
      <x:c r="P230" s="1" t="str">
        <x:v>板支持・追撃保護・板で退出</x:v>
      </x:c>
      <x:c r="Q230" s="47" t="n">
        <x:v>0</x:v>
      </x:c>
      <x:c r="R230" s="1" t="str">
        <x:v>下落</x:v>
      </x:c>
      <x:c r="S230" s="47" t="n">
        <x:v>1</x:v>
      </x:c>
    </x:row>
    <x:row r="231" ht="22" customHeight="1">
      <x:c r="A231" s="1" t="str">
        <x:v>日経mini</x:v>
      </x:c>
      <x:c r="B231" s="1" t="str">
        <x:v>H01</x:v>
      </x:c>
      <x:c r="C231" s="1" t="str">
        <x:v>全50場</x:v>
      </x:c>
      <x:c r="D231" s="45" t="n">
        <x:v>6036652</x:v>
      </x:c>
      <x:c r="E231" s="45" t="n">
        <x:v>3725391</x:v>
      </x:c>
      <x:c r="F231" s="45" t="n">
        <x:f>D231-E231</x:f>
        <x:v>2311261</x:v>
      </x:c>
      <x:c r="G231" s="47" t="n">
        <x:v>30</x:v>
      </x:c>
      <x:c r="H231" s="47" t="n">
        <x:v>20</x:v>
      </x:c>
      <x:c r="I231" s="45" t="n">
        <x:v>1284856</x:v>
      </x:c>
      <x:c r="J231" s="47" t="n">
        <x:v>321</x:v>
      </x:c>
      <x:c r="K231" s="45" t="n">
        <x:v>-179994</x:v>
      </x:c>
      <x:c r="L231" s="45" t="n">
        <x:v>61869.7</x:v>
      </x:c>
      <x:c r="M231" s="46" t="n">
        <x:v>188.68966666666668</x:v>
      </x:c>
      <x:c r="N231" s="46" t="n">
        <x:v>148.47799999999998</x:v>
      </x:c>
      <x:c r="O231" s="47" t="n">
        <x:v>10</x:v>
      </x:c>
      <x:c r="P231" s="1" t="str">
        <x:v>逆行で半減し元の停止追尾を残す</x:v>
      </x:c>
      <x:c r="Q231" s="47" t="n">
        <x:v>0</x:v>
      </x:c>
      <x:c r="R231" s="1" t="str">
        <x:v>全場</x:v>
      </x:c>
      <x:c r="S231" s="47" t="n">
        <x:v>50</x:v>
      </x:c>
    </x:row>
    <x:row r="232" ht="22" customHeight="1">
      <x:c r="A232" s="1" t="str">
        <x:v>日経mini</x:v>
      </x:c>
      <x:c r="B232" s="1" t="str">
        <x:v>H01</x:v>
      </x:c>
      <x:c r="C232" s="1" t="str">
        <x:v>全50場</x:v>
      </x:c>
      <x:c r="D232" s="45" t="n">
        <x:v>3776673</x:v>
      </x:c>
      <x:c r="E232" s="45" t="n">
        <x:v>2537638</x:v>
      </x:c>
      <x:c r="F232" s="45" t="n">
        <x:f>D232-E232</x:f>
        <x:v>1239035</x:v>
      </x:c>
      <x:c r="G232" s="47" t="n">
        <x:v>14</x:v>
      </x:c>
      <x:c r="H232" s="47" t="n">
        <x:v>11</x:v>
      </x:c>
      <x:c r="I232" s="45" t="n">
        <x:v>293709</x:v>
      </x:c>
      <x:c r="J232" s="47" t="n">
        <x:v>192</x:v>
      </x:c>
      <x:c r="K232" s="45" t="n">
        <x:v>-179994</x:v>
      </x:c>
      <x:c r="L232" s="45" t="n">
        <x:v>73436</x:v>
      </x:c>
      <x:c r="M232" s="46" t="n">
        <x:v>80.29533333333333</x:v>
      </x:c>
      <x:c r="N232" s="46" t="n">
        <x:v>233.01399999999998</x:v>
      </x:c>
      <x:c r="O232" s="47" t="n">
        <x:v>10</x:v>
      </x:c>
      <x:c r="P232" s="1" t="str">
        <x:v>逆行で半減し元の停止追尾を残す</x:v>
      </x:c>
      <x:c r="Q232" s="47" t="n">
        <x:v>0</x:v>
      </x:c>
      <x:c r="R232" s="1" t="str">
        <x:v>デイ</x:v>
      </x:c>
      <x:c r="S232" s="47" t="n">
        <x:v>25</x:v>
      </x:c>
    </x:row>
    <x:row r="233" ht="22" customHeight="1">
      <x:c r="A233" s="1" t="str">
        <x:v>日経mini</x:v>
      </x:c>
      <x:c r="B233" s="1" t="str">
        <x:v>H01</x:v>
      </x:c>
      <x:c r="C233" s="1" t="str">
        <x:v>全50場</x:v>
      </x:c>
      <x:c r="D233" s="45" t="n">
        <x:v>2259979</x:v>
      </x:c>
      <x:c r="E233" s="45" t="n">
        <x:v>1187753</x:v>
      </x:c>
      <x:c r="F233" s="45" t="n">
        <x:f>D233-E233</x:f>
        <x:v>1072226</x:v>
      </x:c>
      <x:c r="G233" s="47" t="n">
        <x:v>16</x:v>
      </x:c>
      <x:c r="H233" s="47" t="n">
        <x:v>9</x:v>
      </x:c>
      <x:c r="I233" s="45" t="n">
        <x:v>337670</x:v>
      </x:c>
      <x:c r="J233" s="47" t="n">
        <x:v>129</x:v>
      </x:c>
      <x:c r="K233" s="45" t="n">
        <x:v>-133460</x:v>
      </x:c>
      <x:c r="L233" s="45" t="n">
        <x:v>47733.11111111111</x:v>
      </x:c>
      <x:c r="M233" s="46" t="n">
        <x:v>297.084</x:v>
      </x:c>
      <x:c r="N233" s="46" t="n">
        <x:v>63.942</x:v>
      </x:c>
      <x:c r="O233" s="47" t="n">
        <x:v>7</x:v>
      </x:c>
      <x:c r="P233" s="1" t="str">
        <x:v>逆行で半減し元の停止追尾を残す</x:v>
      </x:c>
      <x:c r="Q233" s="47" t="n">
        <x:v>0</x:v>
      </x:c>
      <x:c r="R233" s="1" t="str">
        <x:v>ナイト</x:v>
      </x:c>
      <x:c r="S233" s="47" t="n">
        <x:v>25</x:v>
      </x:c>
    </x:row>
    <x:row r="234" ht="22" customHeight="1">
      <x:c r="A234" s="1" t="str">
        <x:v>日経mini</x:v>
      </x:c>
      <x:c r="B234" s="1" t="str">
        <x:v>H01</x:v>
      </x:c>
      <x:c r="C234" s="1" t="str">
        <x:v>全50場</x:v>
      </x:c>
      <x:c r="D234" s="45" t="n">
        <x:v>2934128</x:v>
      </x:c>
      <x:c r="E234" s="45" t="n">
        <x:v>1951888</x:v>
      </x:c>
      <x:c r="F234" s="45" t="n">
        <x:f>D234-E234</x:f>
        <x:v>982240</x:v>
      </x:c>
      <x:c r="G234" s="47" t="n">
        <x:v>13</x:v>
      </x:c>
      <x:c r="H234" s="47" t="n">
        <x:v>12</x:v>
      </x:c>
      <x:c r="I234" s="45" t="n">
        <x:v>50761</x:v>
      </x:c>
      <x:c r="J234" s="47" t="n">
        <x:v>156</x:v>
      </x:c>
      <x:c r="K234" s="45" t="n">
        <x:v>-179994</x:v>
      </x:c>
      <x:c r="L234" s="45" t="n">
        <x:v>73689.08333333333</x:v>
      </x:c>
      <x:c r="M234" s="46" t="n">
        <x:v>197.69933333333339</x:v>
      </x:c>
      <x:c r="N234" s="46" t="n">
        <x:v>158.44</x:v>
      </x:c>
      <x:c r="O234" s="47" t="n">
        <x:v>8</x:v>
      </x:c>
      <x:c r="P234" s="1" t="str">
        <x:v>逆行で半減し元の停止追尾を残す</x:v>
      </x:c>
      <x:c r="Q234" s="47" t="n">
        <x:v>0</x:v>
      </x:c>
      <x:c r="R234" s="1" t="str">
        <x:v>上昇</x:v>
      </x:c>
      <x:c r="S234" s="47" t="n">
        <x:v>25</x:v>
      </x:c>
    </x:row>
    <x:row r="235" ht="22" customHeight="1">
      <x:c r="A235" s="1" t="str">
        <x:v>日経mini</x:v>
      </x:c>
      <x:c r="B235" s="1" t="str">
        <x:v>H01</x:v>
      </x:c>
      <x:c r="C235" s="1" t="str">
        <x:v>全50場</x:v>
      </x:c>
      <x:c r="D235" s="45" t="n">
        <x:v>3102524</x:v>
      </x:c>
      <x:c r="E235" s="45" t="n">
        <x:v>1773503</x:v>
      </x:c>
      <x:c r="F235" s="45" t="n">
        <x:f>D235-E235</x:f>
        <x:v>1329021</x:v>
      </x:c>
      <x:c r="G235" s="47" t="n">
        <x:v>17</x:v>
      </x:c>
      <x:c r="H235" s="47" t="n">
        <x:v>8</x:v>
      </x:c>
      <x:c r="I235" s="45" t="n">
        <x:v>504540</x:v>
      </x:c>
      <x:c r="J235" s="47" t="n">
        <x:v>165</x:v>
      </x:c>
      <x:c r="K235" s="45" t="n">
        <x:v>-140840</x:v>
      </x:c>
      <x:c r="L235" s="45" t="n">
        <x:v>44140.625</x:v>
      </x:c>
      <x:c r="M235" s="46" t="n">
        <x:v>179.67999999999995</x:v>
      </x:c>
      <x:c r="N235" s="46" t="n">
        <x:v>138.516</x:v>
      </x:c>
      <x:c r="O235" s="47" t="n">
        <x:v>10</x:v>
      </x:c>
      <x:c r="P235" s="1" t="str">
        <x:v>逆行で半減し元の停止追尾を残す</x:v>
      </x:c>
      <x:c r="Q235" s="47" t="n">
        <x:v>0</x:v>
      </x:c>
      <x:c r="R235" s="1" t="str">
        <x:v>下落</x:v>
      </x:c>
      <x:c r="S235" s="47" t="n">
        <x:v>25</x:v>
      </x:c>
    </x:row>
    <x:row r="236" ht="22" customHeight="1">
      <x:c r="A236" s="1" t="str">
        <x:v>日経mini</x:v>
      </x:c>
      <x:c r="B236" s="1" t="str">
        <x:v>H01</x:v>
      </x:c>
      <x:c r="C236" s="1" t="str">
        <x:v>対照47場</x:v>
      </x:c>
      <x:c r="D236" s="45" t="n">
        <x:v>5885342</x:v>
      </x:c>
      <x:c r="E236" s="45" t="n">
        <x:v>3478549</x:v>
      </x:c>
      <x:c r="F236" s="45" t="n">
        <x:f>D236-E236</x:f>
        <x:v>2406793</x:v>
      </x:c>
      <x:c r="G236" s="47" t="n">
        <x:v>29</x:v>
      </x:c>
      <x:c r="H236" s="47" t="n">
        <x:v>18</x:v>
      </x:c>
      <x:c r="I236" s="45" t="n">
        <x:v>1380388</x:v>
      </x:c>
      <x:c r="J236" s="47" t="n">
        <x:v>310</x:v>
      </x:c>
      <x:c r="K236" s="45" t="n">
        <x:v>-179994</x:v>
      </x:c>
      <x:c r="L236" s="45" t="n">
        <x:v>62607.61111111111</x:v>
      </x:c>
      <x:c r="M236" s="46" t="n">
        <x:v>183.38900709219854</x:v>
      </x:c>
      <x:c r="N236" s="46" t="n">
        <x:v>144.42836879432622</x:v>
      </x:c>
      <x:c r="O236" s="47" t="n">
        <x:v>10</x:v>
      </x:c>
      <x:c r="P236" s="1" t="str">
        <x:v>逆行で半減し元の停止追尾を残す</x:v>
      </x:c>
      <x:c r="Q236" s="47" t="n">
        <x:v>0</x:v>
      </x:c>
      <x:c r="R236" s="1" t="str">
        <x:v>全場</x:v>
      </x:c>
      <x:c r="S236" s="47" t="n">
        <x:v>47</x:v>
      </x:c>
    </x:row>
    <x:row r="237" ht="22" customHeight="1">
      <x:c r="A237" s="1" t="str">
        <x:v>日経mini</x:v>
      </x:c>
      <x:c r="B237" s="1" t="str">
        <x:v>H01</x:v>
      </x:c>
      <x:c r="C237" s="1" t="str">
        <x:v>対照47場</x:v>
      </x:c>
      <x:c r="D237" s="45" t="n">
        <x:v>3743826</x:v>
      </x:c>
      <x:c r="E237" s="45" t="n">
        <x:v>2435871</x:v>
      </x:c>
      <x:c r="F237" s="45" t="n">
        <x:f>D237-E237</x:f>
        <x:v>1307955</x:v>
      </x:c>
      <x:c r="G237" s="47" t="n">
        <x:v>14</x:v>
      </x:c>
      <x:c r="H237" s="47" t="n">
        <x:v>10</x:v>
      </x:c>
      <x:c r="I237" s="45" t="n">
        <x:v>362629</x:v>
      </x:c>
      <x:c r="J237" s="47" t="n">
        <x:v>187</x:v>
      </x:c>
      <x:c r="K237" s="45" t="n">
        <x:v>-179994</x:v>
      </x:c>
      <x:c r="L237" s="45" t="n">
        <x:v>73887.6</x:v>
      </x:c>
      <x:c r="M237" s="46" t="n">
        <x:v>79.67847222222223</x:v>
      </x:c>
      <x:c r="N237" s="46" t="n">
        <x:v>233.1833333333333</x:v>
      </x:c>
      <x:c r="O237" s="47" t="n">
        <x:v>10</x:v>
      </x:c>
      <x:c r="P237" s="1" t="str">
        <x:v>逆行で半減し元の停止追尾を残す</x:v>
      </x:c>
      <x:c r="Q237" s="47" t="n">
        <x:v>0</x:v>
      </x:c>
      <x:c r="R237" s="1" t="str">
        <x:v>デイ</x:v>
      </x:c>
      <x:c r="S237" s="47" t="n">
        <x:v>24</x:v>
      </x:c>
    </x:row>
    <x:row r="238" ht="22" customHeight="1">
      <x:c r="A238" s="1" t="str">
        <x:v>日経mini</x:v>
      </x:c>
      <x:c r="B238" s="1" t="str">
        <x:v>H01</x:v>
      </x:c>
      <x:c r="C238" s="1" t="str">
        <x:v>対照47場</x:v>
      </x:c>
      <x:c r="D238" s="45" t="n">
        <x:v>2141516</x:v>
      </x:c>
      <x:c r="E238" s="45" t="n">
        <x:v>1042678</x:v>
      </x:c>
      <x:c r="F238" s="45" t="n">
        <x:f>D238-E238</x:f>
        <x:v>1098838</x:v>
      </x:c>
      <x:c r="G238" s="47" t="n">
        <x:v>15</x:v>
      </x:c>
      <x:c r="H238" s="47" t="n">
        <x:v>8</x:v>
      </x:c>
      <x:c r="I238" s="45" t="n">
        <x:v>364282</x:v>
      </x:c>
      <x:c r="J238" s="47" t="n">
        <x:v>123</x:v>
      </x:c>
      <x:c r="K238" s="45" t="n">
        <x:v>-133460</x:v>
      </x:c>
      <x:c r="L238" s="45" t="n">
        <x:v>48507.625</x:v>
      </x:c>
      <x:c r="M238" s="46" t="n">
        <x:v>291.6086956521739</x:v>
      </x:c>
      <x:c r="N238" s="46" t="n">
        <x:v>51.81449275362319</x:v>
      </x:c>
      <x:c r="O238" s="47" t="n">
        <x:v>7</x:v>
      </x:c>
      <x:c r="P238" s="1" t="str">
        <x:v>逆行で半減し元の停止追尾を残す</x:v>
      </x:c>
      <x:c r="Q238" s="47" t="n">
        <x:v>0</x:v>
      </x:c>
      <x:c r="R238" s="1" t="str">
        <x:v>ナイト</x:v>
      </x:c>
      <x:c r="S238" s="47" t="n">
        <x:v>23</x:v>
      </x:c>
    </x:row>
    <x:row r="239" ht="22" customHeight="1">
      <x:c r="A239" s="1" t="str">
        <x:v>日経mini</x:v>
      </x:c>
      <x:c r="B239" s="1" t="str">
        <x:v>H01</x:v>
      </x:c>
      <x:c r="C239" s="1" t="str">
        <x:v>対照47場</x:v>
      </x:c>
      <x:c r="D239" s="45" t="n">
        <x:v>2887434</x:v>
      </x:c>
      <x:c r="E239" s="45" t="n">
        <x:v>1794737</x:v>
      </x:c>
      <x:c r="F239" s="45" t="n">
        <x:f>D239-E239</x:f>
        <x:v>1092697</x:v>
      </x:c>
      <x:c r="G239" s="47" t="n">
        <x:v>13</x:v>
      </x:c>
      <x:c r="H239" s="47" t="n">
        <x:v>10</x:v>
      </x:c>
      <x:c r="I239" s="45" t="n">
        <x:v>161218</x:v>
      </x:c>
      <x:c r="J239" s="47" t="n">
        <x:v>149</x:v>
      </x:c>
      <x:c r="K239" s="45" t="n">
        <x:v>-179994</x:v>
      </x:c>
      <x:c r="L239" s="45" t="n">
        <x:v>77381.2</x:v>
      </x:c>
      <x:c r="M239" s="46" t="n">
        <x:v>195.10217391304346</x:v>
      </x:c>
      <x:c r="N239" s="46" t="n">
        <x:v>146.3369565217391</x:v>
      </x:c>
      <x:c r="O239" s="47" t="n">
        <x:v>8</x:v>
      </x:c>
      <x:c r="P239" s="1" t="str">
        <x:v>逆行で半減し元の停止追尾を残す</x:v>
      </x:c>
      <x:c r="Q239" s="47" t="n">
        <x:v>0</x:v>
      </x:c>
      <x:c r="R239" s="1" t="str">
        <x:v>上昇</x:v>
      </x:c>
      <x:c r="S239" s="47" t="n">
        <x:v>23</x:v>
      </x:c>
    </x:row>
    <x:row r="240" ht="22" customHeight="1">
      <x:c r="A240" s="1" t="str">
        <x:v>日経mini</x:v>
      </x:c>
      <x:c r="B240" s="1" t="str">
        <x:v>H01</x:v>
      </x:c>
      <x:c r="C240" s="1" t="str">
        <x:v>対照47場</x:v>
      </x:c>
      <x:c r="D240" s="45" t="n">
        <x:v>2997908</x:v>
      </x:c>
      <x:c r="E240" s="45" t="n">
        <x:v>1683812</x:v>
      </x:c>
      <x:c r="F240" s="45" t="n">
        <x:f>D240-E240</x:f>
        <x:v>1314096</x:v>
      </x:c>
      <x:c r="G240" s="47" t="n">
        <x:v>16</x:v>
      </x:c>
      <x:c r="H240" s="47" t="n">
        <x:v>8</x:v>
      </x:c>
      <x:c r="I240" s="45" t="n">
        <x:v>489615</x:v>
      </x:c>
      <x:c r="J240" s="47" t="n">
        <x:v>161</x:v>
      </x:c>
      <x:c r="K240" s="45" t="n">
        <x:v>-140840</x:v>
      </x:c>
      <x:c r="L240" s="45" t="n">
        <x:v>44140.625</x:v>
      </x:c>
      <x:c r="M240" s="46" t="n">
        <x:v>172.16388888888886</x:v>
      </x:c>
      <x:c r="N240" s="46" t="n">
        <x:v>142.59930555555556</x:v>
      </x:c>
      <x:c r="O240" s="47" t="n">
        <x:v>10</x:v>
      </x:c>
      <x:c r="P240" s="1" t="str">
        <x:v>逆行で半減し元の停止追尾を残す</x:v>
      </x:c>
      <x:c r="Q240" s="47" t="n">
        <x:v>0</x:v>
      </x:c>
      <x:c r="R240" s="1" t="str">
        <x:v>下落</x:v>
      </x:c>
      <x:c r="S240" s="47" t="n">
        <x:v>24</x:v>
      </x:c>
    </x:row>
    <x:row r="241" ht="22" customHeight="1">
      <x:c r="A241" s="1" t="str">
        <x:v>日経mini</x:v>
      </x:c>
      <x:c r="B241" s="1" t="str">
        <x:v>H01</x:v>
      </x:c>
      <x:c r="C241" s="1" t="str">
        <x:v>診断3場</x:v>
      </x:c>
      <x:c r="D241" s="45" t="n">
        <x:v>151310</x:v>
      </x:c>
      <x:c r="E241" s="45" t="n">
        <x:v>246842</x:v>
      </x:c>
      <x:c r="F241" s="45" t="n">
        <x:f>D241-E241</x:f>
        <x:v>-95532</x:v>
      </x:c>
      <x:c r="G241" s="47" t="n">
        <x:v>1</x:v>
      </x:c>
      <x:c r="H241" s="47" t="n">
        <x:v>2</x:v>
      </x:c>
      <x:c r="I241" s="45" t="n">
        <x:v>-110457</x:v>
      </x:c>
      <x:c r="J241" s="47" t="n">
        <x:v>11</x:v>
      </x:c>
      <x:c r="K241" s="45" t="n">
        <x:v>-68920</x:v>
      </x:c>
      <x:c r="L241" s="45" t="n">
        <x:v>55228.5</x:v>
      </x:c>
      <x:c r="M241" s="46" t="n">
        <x:v>271.73333333333335</x:v>
      </x:c>
      <x:c r="N241" s="46" t="n">
        <x:v>211.92222222222222</x:v>
      </x:c>
      <x:c r="O241" s="47" t="n">
        <x:v>5</x:v>
      </x:c>
      <x:c r="P241" s="1" t="str">
        <x:v>逆行で半減し元の停止追尾を残す</x:v>
      </x:c>
      <x:c r="Q241" s="47" t="n">
        <x:v>0</x:v>
      </x:c>
      <x:c r="R241" s="1" t="str">
        <x:v>全場</x:v>
      </x:c>
      <x:c r="S241" s="47" t="n">
        <x:v>3</x:v>
      </x:c>
    </x:row>
    <x:row r="242" ht="22" customHeight="1">
      <x:c r="A242" s="1" t="str">
        <x:v>日経mini</x:v>
      </x:c>
      <x:c r="B242" s="1" t="str">
        <x:v>H01</x:v>
      </x:c>
      <x:c r="C242" s="1" t="str">
        <x:v>診断3場</x:v>
      </x:c>
      <x:c r="D242" s="45" t="n">
        <x:v>32847</x:v>
      </x:c>
      <x:c r="E242" s="45" t="n">
        <x:v>101767</x:v>
      </x:c>
      <x:c r="F242" s="45" t="n">
        <x:f>D242-E242</x:f>
        <x:v>-68920</x:v>
      </x:c>
      <x:c r="G242" s="47" t="n">
        <x:v>0</x:v>
      </x:c>
      <x:c r="H242" s="47" t="n">
        <x:v>1</x:v>
      </x:c>
      <x:c r="I242" s="45" t="n">
        <x:v>-68920</x:v>
      </x:c>
      <x:c r="J242" s="47" t="n">
        <x:v>5</x:v>
      </x:c>
      <x:c r="K242" s="45" t="n">
        <x:v>-68920</x:v>
      </x:c>
      <x:c r="L242" s="45" t="n">
        <x:v>68920</x:v>
      </x:c>
      <x:c r="M242" s="46" t="n">
        <x:v>95.1</x:v>
      </x:c>
      <x:c r="N242" s="46" t="n">
        <x:v>228.95</x:v>
      </x:c>
      <x:c r="O242" s="47" t="n">
        <x:v>5</x:v>
      </x:c>
      <x:c r="P242" s="1" t="str">
        <x:v>逆行で半減し元の停止追尾を残す</x:v>
      </x:c>
      <x:c r="Q242" s="47" t="n">
        <x:v>0</x:v>
      </x:c>
      <x:c r="R242" s="1" t="str">
        <x:v>デイ</x:v>
      </x:c>
      <x:c r="S242" s="47" t="n">
        <x:v>1</x:v>
      </x:c>
    </x:row>
    <x:row r="243" ht="22" customHeight="1">
      <x:c r="A243" s="1" t="str">
        <x:v>日経mini</x:v>
      </x:c>
      <x:c r="B243" s="1" t="str">
        <x:v>H01</x:v>
      </x:c>
      <x:c r="C243" s="1" t="str">
        <x:v>診断3場</x:v>
      </x:c>
      <x:c r="D243" s="45" t="n">
        <x:v>118463</x:v>
      </x:c>
      <x:c r="E243" s="45" t="n">
        <x:v>145075</x:v>
      </x:c>
      <x:c r="F243" s="45" t="n">
        <x:f>D243-E243</x:f>
        <x:v>-26612</x:v>
      </x:c>
      <x:c r="G243" s="47" t="n">
        <x:v>1</x:v>
      </x:c>
      <x:c r="H243" s="47" t="n">
        <x:v>1</x:v>
      </x:c>
      <x:c r="I243" s="45" t="n">
        <x:v>-41537</x:v>
      </x:c>
      <x:c r="J243" s="47" t="n">
        <x:v>6</x:v>
      </x:c>
      <x:c r="K243" s="45" t="n">
        <x:v>-41537</x:v>
      </x:c>
      <x:c r="L243" s="45" t="n">
        <x:v>41537</x:v>
      </x:c>
      <x:c r="M243" s="46" t="n">
        <x:v>360.05</x:v>
      </x:c>
      <x:c r="N243" s="46" t="n">
        <x:v>203.40833333333333</x:v>
      </x:c>
      <x:c r="O243" s="47" t="n">
        <x:v>5</x:v>
      </x:c>
      <x:c r="P243" s="1" t="str">
        <x:v>逆行で半減し元の停止追尾を残す</x:v>
      </x:c>
      <x:c r="Q243" s="47" t="n">
        <x:v>0</x:v>
      </x:c>
      <x:c r="R243" s="1" t="str">
        <x:v>ナイト</x:v>
      </x:c>
      <x:c r="S243" s="47" t="n">
        <x:v>2</x:v>
      </x:c>
    </x:row>
    <x:row r="244" ht="22" customHeight="1">
      <x:c r="A244" s="1" t="str">
        <x:v>日経mini</x:v>
      </x:c>
      <x:c r="B244" s="1" t="str">
        <x:v>H01</x:v>
      </x:c>
      <x:c r="C244" s="1" t="str">
        <x:v>診断3場</x:v>
      </x:c>
      <x:c r="D244" s="45" t="n">
        <x:v>46694</x:v>
      </x:c>
      <x:c r="E244" s="45" t="n">
        <x:v>157151</x:v>
      </x:c>
      <x:c r="F244" s="45" t="n">
        <x:f>D244-E244</x:f>
        <x:v>-110457</x:v>
      </x:c>
      <x:c r="G244" s="47" t="n">
        <x:v>0</x:v>
      </x:c>
      <x:c r="H244" s="47" t="n">
        <x:v>2</x:v>
      </x:c>
      <x:c r="I244" s="45" t="n">
        <x:v>-110457</x:v>
      </x:c>
      <x:c r="J244" s="47" t="n">
        <x:v>7</x:v>
      </x:c>
      <x:c r="K244" s="45" t="n">
        <x:v>-68920</x:v>
      </x:c>
      <x:c r="L244" s="45" t="n">
        <x:v>55228.5</x:v>
      </x:c>
      <x:c r="M244" s="46" t="n">
        <x:v>227.56666666666666</x:v>
      </x:c>
      <x:c r="N244" s="46" t="n">
        <x:v>297.625</x:v>
      </x:c>
      <x:c r="O244" s="47" t="n">
        <x:v>5</x:v>
      </x:c>
      <x:c r="P244" s="1" t="str">
        <x:v>逆行で半減し元の停止追尾を残す</x:v>
      </x:c>
      <x:c r="Q244" s="47" t="n">
        <x:v>0</x:v>
      </x:c>
      <x:c r="R244" s="1" t="str">
        <x:v>上昇</x:v>
      </x:c>
      <x:c r="S244" s="47" t="n">
        <x:v>2</x:v>
      </x:c>
    </x:row>
    <x:row r="245" ht="22" customHeight="1">
      <x:c r="A245" s="1" t="str">
        <x:v>日経mini</x:v>
      </x:c>
      <x:c r="B245" s="1" t="str">
        <x:v>H01</x:v>
      </x:c>
      <x:c r="C245" s="1" t="str">
        <x:v>診断3場</x:v>
      </x:c>
      <x:c r="D245" s="45" t="n">
        <x:v>104616</x:v>
      </x:c>
      <x:c r="E245" s="45" t="n">
        <x:v>89691</x:v>
      </x:c>
      <x:c r="F245" s="45" t="n">
        <x:f>D245-E245</x:f>
        <x:v>14925</x:v>
      </x:c>
      <x:c r="G245" s="47" t="n">
        <x:v>1</x:v>
      </x:c>
      <x:c r="H245" s="47" t="n">
        <x:v>0</x:v>
      </x:c>
      <x:c r="I245" s="45" t="n">
        <x:v>0</x:v>
      </x:c>
      <x:c r="J245" s="47" t="n">
        <x:v>4</x:v>
      </x:c>
      <x:c r="K245" s="45" t="n">
        <x:v>14925</x:v>
      </x:c>
      <x:c r="L245" s="45" t="n">
        <x:v>0</x:v>
      </x:c>
      <x:c r="M245" s="46" t="n">
        <x:v>360.06666666666666</x:v>
      </x:c>
      <x:c r="N245" s="46" t="n">
        <x:v>40.516666666666666</x:v>
      </x:c>
      <x:c r="O245" s="47" t="n">
        <x:v>5</x:v>
      </x:c>
      <x:c r="P245" s="1" t="str">
        <x:v>逆行で半減し元の停止追尾を残す</x:v>
      </x:c>
      <x:c r="Q245" s="47" t="n">
        <x:v>0</x:v>
      </x:c>
      <x:c r="R245" s="1" t="str">
        <x:v>下落</x:v>
      </x:c>
      <x:c r="S245" s="47" t="n">
        <x:v>1</x:v>
      </x:c>
    </x:row>
    <x:row r="246" ht="22" customHeight="1">
      <x:c r="A246" s="1" t="str">
        <x:v>日経mini</x:v>
      </x:c>
      <x:c r="B246" s="1" t="str">
        <x:v>H02</x:v>
      </x:c>
      <x:c r="C246" s="1" t="str">
        <x:v>全50場</x:v>
      </x:c>
      <x:c r="D246" s="45" t="n">
        <x:v>5246072</x:v>
      </x:c>
      <x:c r="E246" s="45" t="n">
        <x:v>3042553</x:v>
      </x:c>
      <x:c r="F246" s="45" t="n">
        <x:f>D246-E246</x:f>
        <x:v>2203519</x:v>
      </x:c>
      <x:c r="G246" s="47" t="n">
        <x:v>32</x:v>
      </x:c>
      <x:c r="H246" s="47" t="n">
        <x:v>18</x:v>
      </x:c>
      <x:c r="I246" s="45" t="n">
        <x:v>1210121</x:v>
      </x:c>
      <x:c r="J246" s="47" t="n">
        <x:v>217</x:v>
      </x:c>
      <x:c r="K246" s="45" t="n">
        <x:v>-133460</x:v>
      </x:c>
      <x:c r="L246" s="45" t="n">
        <x:v>60305.055555555555</x:v>
      </x:c>
      <x:c r="M246" s="46" t="n">
        <x:v>212.28466666666668</x:v>
      </x:c>
      <x:c r="N246" s="46" t="n">
        <x:v>130.11466666666666</x:v>
      </x:c>
      <x:c r="O246" s="47" t="n">
        <x:v>10</x:v>
      </x:c>
      <x:c r="P246" s="1" t="str">
        <x:v>再進行確認・追撃保護と逆行半減</x:v>
      </x:c>
      <x:c r="Q246" s="47" t="n">
        <x:v>0</x:v>
      </x:c>
      <x:c r="R246" s="1" t="str">
        <x:v>全場</x:v>
      </x:c>
      <x:c r="S246" s="47" t="n">
        <x:v>50</x:v>
      </x:c>
    </x:row>
    <x:row r="247" ht="22" customHeight="1">
      <x:c r="A247" s="1" t="str">
        <x:v>日経mini</x:v>
      </x:c>
      <x:c r="B247" s="1" t="str">
        <x:v>H02</x:v>
      </x:c>
      <x:c r="C247" s="1" t="str">
        <x:v>全50場</x:v>
      </x:c>
      <x:c r="D247" s="45" t="n">
        <x:v>3329423</x:v>
      </x:c>
      <x:c r="E247" s="45" t="n">
        <x:v>2027647</x:v>
      </x:c>
      <x:c r="F247" s="45" t="n">
        <x:f>D247-E247</x:f>
        <x:v>1301776</x:v>
      </x:c>
      <x:c r="G247" s="47" t="n">
        <x:v>14</x:v>
      </x:c>
      <x:c r="H247" s="47" t="n">
        <x:v>11</x:v>
      </x:c>
      <x:c r="I247" s="45" t="n">
        <x:v>437149</x:v>
      </x:c>
      <x:c r="J247" s="47" t="n">
        <x:v>130</x:v>
      </x:c>
      <x:c r="K247" s="45" t="n">
        <x:v>-128610</x:v>
      </x:c>
      <x:c r="L247" s="45" t="n">
        <x:v>60276.181818181816</x:v>
      </x:c>
      <x:c r="M247" s="46" t="n">
        <x:v>87.46866666666666</x:v>
      </x:c>
      <x:c r="N247" s="46" t="n">
        <x:v>223.48733333333334</x:v>
      </x:c>
      <x:c r="O247" s="47" t="n">
        <x:v>10</x:v>
      </x:c>
      <x:c r="P247" s="1" t="str">
        <x:v>再進行確認・追撃保護と逆行半減</x:v>
      </x:c>
      <x:c r="Q247" s="47" t="n">
        <x:v>0</x:v>
      </x:c>
      <x:c r="R247" s="1" t="str">
        <x:v>デイ</x:v>
      </x:c>
      <x:c r="S247" s="47" t="n">
        <x:v>25</x:v>
      </x:c>
    </x:row>
    <x:row r="248" ht="22" customHeight="1">
      <x:c r="A248" s="1" t="str">
        <x:v>日経mini</x:v>
      </x:c>
      <x:c r="B248" s="1" t="str">
        <x:v>H02</x:v>
      </x:c>
      <x:c r="C248" s="1" t="str">
        <x:v>全50場</x:v>
      </x:c>
      <x:c r="D248" s="45" t="n">
        <x:v>1916649</x:v>
      </x:c>
      <x:c r="E248" s="45" t="n">
        <x:v>1014906</x:v>
      </x:c>
      <x:c r="F248" s="45" t="n">
        <x:f>D248-E248</x:f>
        <x:v>901743</x:v>
      </x:c>
      <x:c r="G248" s="47" t="n">
        <x:v>18</x:v>
      </x:c>
      <x:c r="H248" s="47" t="n">
        <x:v>7</x:v>
      </x:c>
      <x:c r="I248" s="45" t="n">
        <x:v>267965</x:v>
      </x:c>
      <x:c r="J248" s="47" t="n">
        <x:v>87</x:v>
      </x:c>
      <x:c r="K248" s="45" t="n">
        <x:v>-133460</x:v>
      </x:c>
      <x:c r="L248" s="45" t="n">
        <x:v>60350.42857142857</x:v>
      </x:c>
      <x:c r="M248" s="46" t="n">
        <x:v>337.10066666666665</x:v>
      </x:c>
      <x:c r="N248" s="46" t="n">
        <x:v>36.742000000000004</x:v>
      </x:c>
      <x:c r="O248" s="47" t="n">
        <x:v>7</x:v>
      </x:c>
      <x:c r="P248" s="1" t="str">
        <x:v>再進行確認・追撃保護と逆行半減</x:v>
      </x:c>
      <x:c r="Q248" s="47" t="n">
        <x:v>0</x:v>
      </x:c>
      <x:c r="R248" s="1" t="str">
        <x:v>ナイト</x:v>
      </x:c>
      <x:c r="S248" s="47" t="n">
        <x:v>25</x:v>
      </x:c>
    </x:row>
    <x:row r="249" ht="22" customHeight="1">
      <x:c r="A249" s="1" t="str">
        <x:v>日経mini</x:v>
      </x:c>
      <x:c r="B249" s="1" t="str">
        <x:v>H02</x:v>
      </x:c>
      <x:c r="C249" s="1" t="str">
        <x:v>全50場</x:v>
      </x:c>
      <x:c r="D249" s="45" t="n">
        <x:v>2560724</x:v>
      </x:c>
      <x:c r="E249" s="45" t="n">
        <x:v>1622043</x:v>
      </x:c>
      <x:c r="F249" s="45" t="n">
        <x:f>D249-E249</x:f>
        <x:v>938681</x:v>
      </x:c>
      <x:c r="G249" s="47" t="n">
        <x:v>14</x:v>
      </x:c>
      <x:c r="H249" s="47" t="n">
        <x:v>11</x:v>
      </x:c>
      <x:c r="I249" s="45" t="n">
        <x:v>181980</x:v>
      </x:c>
      <x:c r="J249" s="47" t="n">
        <x:v>105</x:v>
      </x:c>
      <x:c r="K249" s="45" t="n">
        <x:v>-133460</x:v>
      </x:c>
      <x:c r="L249" s="45" t="n">
        <x:v>67801.72727272728</x:v>
      </x:c>
      <x:c r="M249" s="46" t="n">
        <x:v>207.81400000000002</x:v>
      </x:c>
      <x:c r="N249" s="46" t="n">
        <x:v>136.11666666666667</x:v>
      </x:c>
      <x:c r="O249" s="47" t="n">
        <x:v>9</x:v>
      </x:c>
      <x:c r="P249" s="1" t="str">
        <x:v>再進行確認・追撃保護と逆行半減</x:v>
      </x:c>
      <x:c r="Q249" s="47" t="n">
        <x:v>0</x:v>
      </x:c>
      <x:c r="R249" s="1" t="str">
        <x:v>上昇</x:v>
      </x:c>
      <x:c r="S249" s="47" t="n">
        <x:v>25</x:v>
      </x:c>
    </x:row>
    <x:row r="250" ht="22" customHeight="1">
      <x:c r="A250" s="1" t="str">
        <x:v>日経mini</x:v>
      </x:c>
      <x:c r="B250" s="1" t="str">
        <x:v>H02</x:v>
      </x:c>
      <x:c r="C250" s="1" t="str">
        <x:v>全50場</x:v>
      </x:c>
      <x:c r="D250" s="45" t="n">
        <x:v>2685348</x:v>
      </x:c>
      <x:c r="E250" s="45" t="n">
        <x:v>1420510</x:v>
      </x:c>
      <x:c r="F250" s="45" t="n">
        <x:f>D250-E250</x:f>
        <x:v>1264838</x:v>
      </x:c>
      <x:c r="G250" s="47" t="n">
        <x:v>18</x:v>
      </x:c>
      <x:c r="H250" s="47" t="n">
        <x:v>7</x:v>
      </x:c>
      <x:c r="I250" s="45" t="n">
        <x:v>445212</x:v>
      </x:c>
      <x:c r="J250" s="47" t="n">
        <x:v>112</x:v>
      </x:c>
      <x:c r="K250" s="45" t="n">
        <x:v>-128610</x:v>
      </x:c>
      <x:c r="L250" s="45" t="n">
        <x:v>48524.57142857143</x:v>
      </x:c>
      <x:c r="M250" s="46" t="n">
        <x:v>216.75533333333334</x:v>
      </x:c>
      <x:c r="N250" s="46" t="n">
        <x:v>124.11266666666664</x:v>
      </x:c>
      <x:c r="O250" s="47" t="n">
        <x:v>10</x:v>
      </x:c>
      <x:c r="P250" s="1" t="str">
        <x:v>再進行確認・追撃保護と逆行半減</x:v>
      </x:c>
      <x:c r="Q250" s="47" t="n">
        <x:v>0</x:v>
      </x:c>
      <x:c r="R250" s="1" t="str">
        <x:v>下落</x:v>
      </x:c>
      <x:c r="S250" s="47" t="n">
        <x:v>25</x:v>
      </x:c>
    </x:row>
    <x:row r="251" ht="22" customHeight="1">
      <x:c r="A251" s="1" t="str">
        <x:v>日経mini</x:v>
      </x:c>
      <x:c r="B251" s="1" t="str">
        <x:v>H02</x:v>
      </x:c>
      <x:c r="C251" s="1" t="str">
        <x:v>対照47場</x:v>
      </x:c>
      <x:c r="D251" s="45" t="n">
        <x:v>5108609</x:v>
      </x:c>
      <x:c r="E251" s="45" t="n">
        <x:v>2817789</x:v>
      </x:c>
      <x:c r="F251" s="45" t="n">
        <x:f>D251-E251</x:f>
        <x:v>2290820</x:v>
      </x:c>
      <x:c r="G251" s="47" t="n">
        <x:v>31</x:v>
      </x:c>
      <x:c r="H251" s="47" t="n">
        <x:v>16</x:v>
      </x:c>
      <x:c r="I251" s="45" t="n">
        <x:v>1297422</x:v>
      </x:c>
      <x:c r="J251" s="47" t="n">
        <x:v>208</x:v>
      </x:c>
      <x:c r="K251" s="45" t="n">
        <x:v>-133460</x:v>
      </x:c>
      <x:c r="L251" s="45" t="n">
        <x:v>59944.4375</x:v>
      </x:c>
      <x:c r="M251" s="46" t="n">
        <x:v>208.49007092198582</x:v>
      </x:c>
      <x:c r="N251" s="46" t="n">
        <x:v>132.59255319148934</x:v>
      </x:c>
      <x:c r="O251" s="47" t="n">
        <x:v>10</x:v>
      </x:c>
      <x:c r="P251" s="1" t="str">
        <x:v>再進行確認・追撃保護と逆行半減</x:v>
      </x:c>
      <x:c r="Q251" s="47" t="n">
        <x:v>0</x:v>
      </x:c>
      <x:c r="R251" s="1" t="str">
        <x:v>全場</x:v>
      </x:c>
      <x:c r="S251" s="47" t="n">
        <x:v>47</x:v>
      </x:c>
    </x:row>
    <x:row r="252" ht="22" customHeight="1">
      <x:c r="A252" s="1" t="str">
        <x:v>日経mini</x:v>
      </x:c>
      <x:c r="B252" s="1" t="str">
        <x:v>H02</x:v>
      </x:c>
      <x:c r="C252" s="1" t="str">
        <x:v>対照47場</x:v>
      </x:c>
      <x:c r="D252" s="45" t="n">
        <x:v>3296576</x:v>
      </x:c>
      <x:c r="E252" s="45" t="n">
        <x:v>1938957</x:v>
      </x:c>
      <x:c r="F252" s="45" t="n">
        <x:f>D252-E252</x:f>
        <x:v>1357619</x:v>
      </x:c>
      <x:c r="G252" s="47" t="n">
        <x:v>14</x:v>
      </x:c>
      <x:c r="H252" s="47" t="n">
        <x:v>10</x:v>
      </x:c>
      <x:c r="I252" s="45" t="n">
        <x:v>492992</x:v>
      </x:c>
      <x:c r="J252" s="47" t="n">
        <x:v>126</x:v>
      </x:c>
      <x:c r="K252" s="45" t="n">
        <x:v>-128610</x:v>
      </x:c>
      <x:c r="L252" s="45" t="n">
        <x:v>60719.5</x:v>
      </x:c>
      <x:c r="M252" s="46" t="n">
        <x:v>87.15069444444445</x:v>
      </x:c>
      <x:c r="N252" s="46" t="n">
        <x:v>223.72361111111113</x:v>
      </x:c>
      <x:c r="O252" s="47" t="n">
        <x:v>10</x:v>
      </x:c>
      <x:c r="P252" s="1" t="str">
        <x:v>再進行確認・追撃保護と逆行半減</x:v>
      </x:c>
      <x:c r="Q252" s="47" t="n">
        <x:v>0</x:v>
      </x:c>
      <x:c r="R252" s="1" t="str">
        <x:v>デイ</x:v>
      </x:c>
      <x:c r="S252" s="47" t="n">
        <x:v>24</x:v>
      </x:c>
    </x:row>
    <x:row r="253" ht="22" customHeight="1">
      <x:c r="A253" s="1" t="str">
        <x:v>日経mini</x:v>
      </x:c>
      <x:c r="B253" s="1" t="str">
        <x:v>H02</x:v>
      </x:c>
      <x:c r="C253" s="1" t="str">
        <x:v>対照47場</x:v>
      </x:c>
      <x:c r="D253" s="45" t="n">
        <x:v>1812033</x:v>
      </x:c>
      <x:c r="E253" s="45" t="n">
        <x:v>878832</x:v>
      </x:c>
      <x:c r="F253" s="45" t="n">
        <x:f>D253-E253</x:f>
        <x:v>933201</x:v>
      </x:c>
      <x:c r="G253" s="47" t="n">
        <x:v>17</x:v>
      </x:c>
      <x:c r="H253" s="47" t="n">
        <x:v>6</x:v>
      </x:c>
      <x:c r="I253" s="45" t="n">
        <x:v>299423</x:v>
      </x:c>
      <x:c r="J253" s="47" t="n">
        <x:v>82</x:v>
      </x:c>
      <x:c r="K253" s="45" t="n">
        <x:v>-133460</x:v>
      </x:c>
      <x:c r="L253" s="45" t="n">
        <x:v>58652.666666666664</x:v>
      </x:c>
      <x:c r="M253" s="46" t="n">
        <x:v>335.10507246376807</x:v>
      </x:c>
      <x:c r="N253" s="46" t="n">
        <x:v>37.49927536231884</x:v>
      </x:c>
      <x:c r="O253" s="47" t="n">
        <x:v>7</x:v>
      </x:c>
      <x:c r="P253" s="1" t="str">
        <x:v>再進行確認・追撃保護と逆行半減</x:v>
      </x:c>
      <x:c r="Q253" s="47" t="n">
        <x:v>0</x:v>
      </x:c>
      <x:c r="R253" s="1" t="str">
        <x:v>ナイト</x:v>
      </x:c>
      <x:c r="S253" s="47" t="n">
        <x:v>23</x:v>
      </x:c>
    </x:row>
    <x:row r="254" ht="22" customHeight="1">
      <x:c r="A254" s="1" t="str">
        <x:v>日経mini</x:v>
      </x:c>
      <x:c r="B254" s="1" t="str">
        <x:v>H02</x:v>
      </x:c>
      <x:c r="C254" s="1" t="str">
        <x:v>対照47場</x:v>
      </x:c>
      <x:c r="D254" s="45" t="n">
        <x:v>2527877</x:v>
      </x:c>
      <x:c r="E254" s="45" t="n">
        <x:v>1462816</x:v>
      </x:c>
      <x:c r="F254" s="45" t="n">
        <x:f>D254-E254</x:f>
        <x:v>1065061</x:v>
      </x:c>
      <x:c r="G254" s="47" t="n">
        <x:v>14</x:v>
      </x:c>
      <x:c r="H254" s="47" t="n">
        <x:v>9</x:v>
      </x:c>
      <x:c r="I254" s="45" t="n">
        <x:v>308360</x:v>
      </x:c>
      <x:c r="J254" s="47" t="n">
        <x:v>99</x:v>
      </x:c>
      <x:c r="K254" s="45" t="n">
        <x:v>-133460</x:v>
      </x:c>
      <x:c r="L254" s="45" t="n">
        <x:v>68826.55555555556</x:v>
      </x:c>
      <x:c r="M254" s="46" t="n">
        <x:v>206.09637681159418</x:v>
      </x:c>
      <x:c r="N254" s="46" t="n">
        <x:v>137.56521739130437</x:v>
      </x:c>
      <x:c r="O254" s="47" t="n">
        <x:v>9</x:v>
      </x:c>
      <x:c r="P254" s="1" t="str">
        <x:v>再進行確認・追撃保護と逆行半減</x:v>
      </x:c>
      <x:c r="Q254" s="47" t="n">
        <x:v>0</x:v>
      </x:c>
      <x:c r="R254" s="1" t="str">
        <x:v>上昇</x:v>
      </x:c>
      <x:c r="S254" s="47" t="n">
        <x:v>23</x:v>
      </x:c>
    </x:row>
    <x:row r="255" ht="22" customHeight="1">
      <x:c r="A255" s="1" t="str">
        <x:v>日経mini</x:v>
      </x:c>
      <x:c r="B255" s="1" t="str">
        <x:v>H02</x:v>
      </x:c>
      <x:c r="C255" s="1" t="str">
        <x:v>対照47場</x:v>
      </x:c>
      <x:c r="D255" s="45" t="n">
        <x:v>2580732</x:v>
      </x:c>
      <x:c r="E255" s="45" t="n">
        <x:v>1354973</x:v>
      </x:c>
      <x:c r="F255" s="45" t="n">
        <x:f>D255-E255</x:f>
        <x:v>1225759</x:v>
      </x:c>
      <x:c r="G255" s="47" t="n">
        <x:v>17</x:v>
      </x:c>
      <x:c r="H255" s="47" t="n">
        <x:v>7</x:v>
      </x:c>
      <x:c r="I255" s="45" t="n">
        <x:v>406133</x:v>
      </x:c>
      <x:c r="J255" s="47" t="n">
        <x:v>109</x:v>
      </x:c>
      <x:c r="K255" s="45" t="n">
        <x:v>-128610</x:v>
      </x:c>
      <x:c r="L255" s="45" t="n">
        <x:v>48524.57142857143</x:v>
      </x:c>
      <x:c r="M255" s="46" t="n">
        <x:v>210.78402777777777</x:v>
      </x:c>
      <x:c r="N255" s="46" t="n">
        <x:v>127.8270833333333</x:v>
      </x:c>
      <x:c r="O255" s="47" t="n">
        <x:v>10</x:v>
      </x:c>
      <x:c r="P255" s="1" t="str">
        <x:v>再進行確認・追撃保護と逆行半減</x:v>
      </x:c>
      <x:c r="Q255" s="47" t="n">
        <x:v>0</x:v>
      </x:c>
      <x:c r="R255" s="1" t="str">
        <x:v>下落</x:v>
      </x:c>
      <x:c r="S255" s="47" t="n">
        <x:v>24</x:v>
      </x:c>
    </x:row>
    <x:row r="256" ht="22" customHeight="1">
      <x:c r="A256" s="1" t="str">
        <x:v>日経mini</x:v>
      </x:c>
      <x:c r="B256" s="1" t="str">
        <x:v>H02</x:v>
      </x:c>
      <x:c r="C256" s="1" t="str">
        <x:v>診断3場</x:v>
      </x:c>
      <x:c r="D256" s="45" t="n">
        <x:v>137463</x:v>
      </x:c>
      <x:c r="E256" s="45" t="n">
        <x:v>224764</x:v>
      </x:c>
      <x:c r="F256" s="45" t="n">
        <x:f>D256-E256</x:f>
        <x:v>-87301</x:v>
      </x:c>
      <x:c r="G256" s="47" t="n">
        <x:v>1</x:v>
      </x:c>
      <x:c r="H256" s="47" t="n">
        <x:v>2</x:v>
      </x:c>
      <x:c r="I256" s="45" t="n">
        <x:v>-126380</x:v>
      </x:c>
      <x:c r="J256" s="47" t="n">
        <x:v>9</x:v>
      </x:c>
      <x:c r="K256" s="45" t="n">
        <x:v>-70537</x:v>
      </x:c>
      <x:c r="L256" s="45" t="n">
        <x:v>63190</x:v>
      </x:c>
      <x:c r="M256" s="46" t="n">
        <x:v>271.73333333333335</x:v>
      </x:c>
      <x:c r="N256" s="46" t="n">
        <x:v>91.29444444444444</x:v>
      </x:c>
      <x:c r="O256" s="47" t="n">
        <x:v>5</x:v>
      </x:c>
      <x:c r="P256" s="1" t="str">
        <x:v>再進行確認・追撃保護と逆行半減</x:v>
      </x:c>
      <x:c r="Q256" s="47" t="n">
        <x:v>0</x:v>
      </x:c>
      <x:c r="R256" s="1" t="str">
        <x:v>全場</x:v>
      </x:c>
      <x:c r="S256" s="47" t="n">
        <x:v>3</x:v>
      </x:c>
    </x:row>
    <x:row r="257" ht="22" customHeight="1">
      <x:c r="A257" s="1" t="str">
        <x:v>日経mini</x:v>
      </x:c>
      <x:c r="B257" s="1" t="str">
        <x:v>H02</x:v>
      </x:c>
      <x:c r="C257" s="1" t="str">
        <x:v>診断3場</x:v>
      </x:c>
      <x:c r="D257" s="45" t="n">
        <x:v>32847</x:v>
      </x:c>
      <x:c r="E257" s="45" t="n">
        <x:v>88690</x:v>
      </x:c>
      <x:c r="F257" s="45" t="n">
        <x:f>D257-E257</x:f>
        <x:v>-55843</x:v>
      </x:c>
      <x:c r="G257" s="47" t="n">
        <x:v>0</x:v>
      </x:c>
      <x:c r="H257" s="47" t="n">
        <x:v>1</x:v>
      </x:c>
      <x:c r="I257" s="45" t="n">
        <x:v>-55843</x:v>
      </x:c>
      <x:c r="J257" s="47" t="n">
        <x:v>4</x:v>
      </x:c>
      <x:c r="K257" s="45" t="n">
        <x:v>-55843</x:v>
      </x:c>
      <x:c r="L257" s="45" t="n">
        <x:v>55843</x:v>
      </x:c>
      <x:c r="M257" s="46" t="n">
        <x:v>95.1</x:v>
      </x:c>
      <x:c r="N257" s="46" t="n">
        <x:v>217.81666666666666</x:v>
      </x:c>
      <x:c r="O257" s="47" t="n">
        <x:v>5</x:v>
      </x:c>
      <x:c r="P257" s="1" t="str">
        <x:v>再進行確認・追撃保護と逆行半減</x:v>
      </x:c>
      <x:c r="Q257" s="47" t="n">
        <x:v>0</x:v>
      </x:c>
      <x:c r="R257" s="1" t="str">
        <x:v>デイ</x:v>
      </x:c>
      <x:c r="S257" s="47" t="n">
        <x:v>1</x:v>
      </x:c>
    </x:row>
    <x:row r="258" ht="22" customHeight="1">
      <x:c r="A258" s="1" t="str">
        <x:v>日経mini</x:v>
      </x:c>
      <x:c r="B258" s="1" t="str">
        <x:v>H02</x:v>
      </x:c>
      <x:c r="C258" s="1" t="str">
        <x:v>診断3場</x:v>
      </x:c>
      <x:c r="D258" s="45" t="n">
        <x:v>104616</x:v>
      </x:c>
      <x:c r="E258" s="45" t="n">
        <x:v>136074</x:v>
      </x:c>
      <x:c r="F258" s="45" t="n">
        <x:f>D258-E258</x:f>
        <x:v>-31458</x:v>
      </x:c>
      <x:c r="G258" s="47" t="n">
        <x:v>1</x:v>
      </x:c>
      <x:c r="H258" s="47" t="n">
        <x:v>1</x:v>
      </x:c>
      <x:c r="I258" s="45" t="n">
        <x:v>-70537</x:v>
      </x:c>
      <x:c r="J258" s="47" t="n">
        <x:v>5</x:v>
      </x:c>
      <x:c r="K258" s="45" t="n">
        <x:v>-70537</x:v>
      </x:c>
      <x:c r="L258" s="45" t="n">
        <x:v>70537</x:v>
      </x:c>
      <x:c r="M258" s="46" t="n">
        <x:v>360.05</x:v>
      </x:c>
      <x:c r="N258" s="46" t="n">
        <x:v>28.033333333333335</x:v>
      </x:c>
      <x:c r="O258" s="47" t="n">
        <x:v>5</x:v>
      </x:c>
      <x:c r="P258" s="1" t="str">
        <x:v>再進行確認・追撃保護と逆行半減</x:v>
      </x:c>
      <x:c r="Q258" s="47" t="n">
        <x:v>0</x:v>
      </x:c>
      <x:c r="R258" s="1" t="str">
        <x:v>ナイト</x:v>
      </x:c>
      <x:c r="S258" s="47" t="n">
        <x:v>2</x:v>
      </x:c>
    </x:row>
    <x:row r="259" ht="22" customHeight="1">
      <x:c r="A259" s="1" t="str">
        <x:v>日経mini</x:v>
      </x:c>
      <x:c r="B259" s="1" t="str">
        <x:v>H02</x:v>
      </x:c>
      <x:c r="C259" s="1" t="str">
        <x:v>診断3場</x:v>
      </x:c>
      <x:c r="D259" s="45" t="n">
        <x:v>32847</x:v>
      </x:c>
      <x:c r="E259" s="45" t="n">
        <x:v>159227</x:v>
      </x:c>
      <x:c r="F259" s="45" t="n">
        <x:f>D259-E259</x:f>
        <x:v>-126380</x:v>
      </x:c>
      <x:c r="G259" s="47" t="n">
        <x:v>0</x:v>
      </x:c>
      <x:c r="H259" s="47" t="n">
        <x:v>2</x:v>
      </x:c>
      <x:c r="I259" s="45" t="n">
        <x:v>-126380</x:v>
      </x:c>
      <x:c r="J259" s="47" t="n">
        <x:v>6</x:v>
      </x:c>
      <x:c r="K259" s="45" t="n">
        <x:v>-70537</x:v>
      </x:c>
      <x:c r="L259" s="45" t="n">
        <x:v>63190</x:v>
      </x:c>
      <x:c r="M259" s="46" t="n">
        <x:v>227.56666666666666</x:v>
      </x:c>
      <x:c r="N259" s="46" t="n">
        <x:v>119.45833333333333</x:v>
      </x:c>
      <x:c r="O259" s="47" t="n">
        <x:v>5</x:v>
      </x:c>
      <x:c r="P259" s="1" t="str">
        <x:v>再進行確認・追撃保護と逆行半減</x:v>
      </x:c>
      <x:c r="Q259" s="47" t="n">
        <x:v>0</x:v>
      </x:c>
      <x:c r="R259" s="1" t="str">
        <x:v>上昇</x:v>
      </x:c>
      <x:c r="S259" s="47" t="n">
        <x:v>2</x:v>
      </x:c>
    </x:row>
    <x:row r="260" ht="22" customHeight="1">
      <x:c r="A260" s="1" t="str">
        <x:v>日経mini</x:v>
      </x:c>
      <x:c r="B260" s="1" t="str">
        <x:v>H02</x:v>
      </x:c>
      <x:c r="C260" s="1" t="str">
        <x:v>診断3場</x:v>
      </x:c>
      <x:c r="D260" s="45" t="n">
        <x:v>104616</x:v>
      </x:c>
      <x:c r="E260" s="45" t="n">
        <x:v>65537</x:v>
      </x:c>
      <x:c r="F260" s="45" t="n">
        <x:f>D260-E260</x:f>
        <x:v>39079</x:v>
      </x:c>
      <x:c r="G260" s="47" t="n">
        <x:v>1</x:v>
      </x:c>
      <x:c r="H260" s="47" t="n">
        <x:v>0</x:v>
      </x:c>
      <x:c r="I260" s="45" t="n">
        <x:v>0</x:v>
      </x:c>
      <x:c r="J260" s="47" t="n">
        <x:v>3</x:v>
      </x:c>
      <x:c r="K260" s="45" t="n">
        <x:v>39079</x:v>
      </x:c>
      <x:c r="L260" s="45" t="n">
        <x:v>0</x:v>
      </x:c>
      <x:c r="M260" s="46" t="n">
        <x:v>360.06666666666666</x:v>
      </x:c>
      <x:c r="N260" s="46" t="n">
        <x:v>34.96666666666667</x:v>
      </x:c>
      <x:c r="O260" s="47" t="n">
        <x:v>5</x:v>
      </x:c>
      <x:c r="P260" s="1" t="str">
        <x:v>再進行確認・追撃保護と逆行半減</x:v>
      </x:c>
      <x:c r="Q260" s="47" t="n">
        <x:v>0</x:v>
      </x:c>
      <x:c r="R260" s="1" t="str">
        <x:v>下落</x:v>
      </x:c>
      <x:c r="S260" s="47" t="n">
        <x:v>1</x:v>
      </x:c>
    </x:row>
    <x:row r="261" ht="22" customHeight="1">
      <x:c r="A261" s="1" t="str">
        <x:v>日経mini</x:v>
      </x:c>
      <x:c r="B261" s="1" t="str">
        <x:v>N01</x:v>
      </x:c>
      <x:c r="C261" s="1" t="str">
        <x:v>全50場</x:v>
      </x:c>
      <x:c r="D261" s="45" t="n">
        <x:v>4130112</x:v>
      </x:c>
      <x:c r="E261" s="45" t="n">
        <x:v>2343584</x:v>
      </x:c>
      <x:c r="F261" s="45" t="n">
        <x:f>D261-E261</x:f>
        <x:v>1786528</x:v>
      </x:c>
      <x:c r="G261" s="47" t="n">
        <x:v>31</x:v>
      </x:c>
      <x:c r="H261" s="47" t="n">
        <x:v>19</x:v>
      </x:c>
      <x:c r="I261" s="45" t="n">
        <x:v>787448</x:v>
      </x:c>
      <x:c r="J261" s="47" t="n">
        <x:v>108</x:v>
      </x:c>
      <x:c r="K261" s="45" t="n">
        <x:v>-153304</x:v>
      </x:c>
      <x:c r="L261" s="45" t="n">
        <x:v>66338.52631578948</x:v>
      </x:c>
      <x:c r="M261" s="46" t="n">
        <x:v>239.903</x:v>
      </x:c>
      <x:c r="N261" s="46" t="n">
        <x:v>88.32466666666667</x:v>
      </x:c>
      <x:c r="O261" s="47" t="n">
        <x:v>5</x:v>
      </x:c>
      <x:c r="P261" s="1" t="str">
        <x:v>始値方向を残し5分支持を待つ</x:v>
      </x:c>
      <x:c r="Q261" s="47" t="n">
        <x:v>0</x:v>
      </x:c>
      <x:c r="R261" s="1" t="str">
        <x:v>全場</x:v>
      </x:c>
      <x:c r="S261" s="47" t="n">
        <x:v>50</x:v>
      </x:c>
    </x:row>
    <x:row r="262" ht="22" customHeight="1">
      <x:c r="A262" s="1" t="str">
        <x:v>日経mini</x:v>
      </x:c>
      <x:c r="B262" s="1" t="str">
        <x:v>N01</x:v>
      </x:c>
      <x:c r="C262" s="1" t="str">
        <x:v>全50場</x:v>
      </x:c>
      <x:c r="D262" s="45" t="n">
        <x:v>2930864</x:v>
      </x:c>
      <x:c r="E262" s="45" t="n">
        <x:v>1361672</x:v>
      </x:c>
      <x:c r="F262" s="45" t="n">
        <x:f>D262-E262</x:f>
        <x:v>1569192</x:v>
      </x:c>
      <x:c r="G262" s="47" t="n">
        <x:v>16</x:v>
      </x:c>
      <x:c r="H262" s="47" t="n">
        <x:v>9</x:v>
      </x:c>
      <x:c r="I262" s="45" t="n">
        <x:v>570112</x:v>
      </x:c>
      <x:c r="J262" s="47" t="n">
        <x:v>62</x:v>
      </x:c>
      <x:c r="K262" s="45" t="n">
        <x:v>-153304</x:v>
      </x:c>
      <x:c r="L262" s="45" t="n">
        <x:v>75989.33333333333</x:v>
      </x:c>
      <x:c r="M262" s="46" t="n">
        <x:v>118.31466666666667</x:v>
      </x:c>
      <x:c r="N262" s="46" t="n">
        <x:v>153.21800000000002</x:v>
      </x:c>
      <x:c r="O262" s="47" t="n">
        <x:v>5</x:v>
      </x:c>
      <x:c r="P262" s="1" t="str">
        <x:v>始値方向を残し5分支持を待つ</x:v>
      </x:c>
      <x:c r="Q262" s="47" t="n">
        <x:v>0</x:v>
      </x:c>
      <x:c r="R262" s="1" t="str">
        <x:v>デイ</x:v>
      </x:c>
      <x:c r="S262" s="47" t="n">
        <x:v>25</x:v>
      </x:c>
    </x:row>
    <x:row r="263" ht="22" customHeight="1">
      <x:c r="A263" s="1" t="str">
        <x:v>日経mini</x:v>
      </x:c>
      <x:c r="B263" s="1" t="str">
        <x:v>N01</x:v>
      </x:c>
      <x:c r="C263" s="1" t="str">
        <x:v>全50場</x:v>
      </x:c>
      <x:c r="D263" s="45" t="n">
        <x:v>1199248</x:v>
      </x:c>
      <x:c r="E263" s="45" t="n">
        <x:v>981912</x:v>
      </x:c>
      <x:c r="F263" s="45" t="n">
        <x:f>D263-E263</x:f>
        <x:v>217336</x:v>
      </x:c>
      <x:c r="G263" s="47" t="n">
        <x:v>15</x:v>
      </x:c>
      <x:c r="H263" s="47" t="n">
        <x:v>10</x:v>
      </x:c>
      <x:c r="I263" s="45" t="n">
        <x:v>-93824</x:v>
      </x:c>
      <x:c r="J263" s="47" t="n">
        <x:v>46</x:v>
      </x:c>
      <x:c r="K263" s="45" t="n">
        <x:v>-140384</x:v>
      </x:c>
      <x:c r="L263" s="45" t="n">
        <x:v>57652.8</x:v>
      </x:c>
      <x:c r="M263" s="46" t="n">
        <x:v>361.49133333333333</x:v>
      </x:c>
      <x:c r="N263" s="46" t="n">
        <x:v>23.43133333333333</x:v>
      </x:c>
      <x:c r="O263" s="47" t="n">
        <x:v>5</x:v>
      </x:c>
      <x:c r="P263" s="1" t="str">
        <x:v>始値方向を残し5分支持を待つ</x:v>
      </x:c>
      <x:c r="Q263" s="47" t="n">
        <x:v>0</x:v>
      </x:c>
      <x:c r="R263" s="1" t="str">
        <x:v>ナイト</x:v>
      </x:c>
      <x:c r="S263" s="47" t="n">
        <x:v>25</x:v>
      </x:c>
    </x:row>
    <x:row r="264" ht="22" customHeight="1">
      <x:c r="A264" s="1" t="str">
        <x:v>日経mini</x:v>
      </x:c>
      <x:c r="B264" s="1" t="str">
        <x:v>N01</x:v>
      </x:c>
      <x:c r="C264" s="1" t="str">
        <x:v>全50場</x:v>
      </x:c>
      <x:c r="D264" s="45" t="n">
        <x:v>1882400</x:v>
      </x:c>
      <x:c r="E264" s="45" t="n">
        <x:v>1249984</x:v>
      </x:c>
      <x:c r="F264" s="45" t="n">
        <x:f>D264-E264</x:f>
        <x:v>632416</x:v>
      </x:c>
      <x:c r="G264" s="47" t="n">
        <x:v>14</x:v>
      </x:c>
      <x:c r="H264" s="47" t="n">
        <x:v>11</x:v>
      </x:c>
      <x:c r="I264" s="45" t="n">
        <x:v>10720</x:v>
      </x:c>
      <x:c r="J264" s="47" t="n">
        <x:v>51</x:v>
      </x:c>
      <x:c r="K264" s="45" t="n">
        <x:v>-140384</x:v>
      </x:c>
      <x:c r="L264" s="45" t="n">
        <x:v>72089.45454545454</x:v>
      </x:c>
      <x:c r="M264" s="46" t="n">
        <x:v>238.2386666666667</x:v>
      </x:c>
      <x:c r="N264" s="46" t="n">
        <x:v>78.12066666666665</x:v>
      </x:c>
      <x:c r="O264" s="47" t="n">
        <x:v>5</x:v>
      </x:c>
      <x:c r="P264" s="1" t="str">
        <x:v>始値方向を残し5分支持を待つ</x:v>
      </x:c>
      <x:c r="Q264" s="47" t="n">
        <x:v>0</x:v>
      </x:c>
      <x:c r="R264" s="1" t="str">
        <x:v>上昇</x:v>
      </x:c>
      <x:c r="S264" s="47" t="n">
        <x:v>25</x:v>
      </x:c>
    </x:row>
    <x:row r="265" ht="22" customHeight="1">
      <x:c r="A265" s="1" t="str">
        <x:v>日経mini</x:v>
      </x:c>
      <x:c r="B265" s="1" t="str">
        <x:v>N01</x:v>
      </x:c>
      <x:c r="C265" s="1" t="str">
        <x:v>全50場</x:v>
      </x:c>
      <x:c r="D265" s="45" t="n">
        <x:v>2247712</x:v>
      </x:c>
      <x:c r="E265" s="45" t="n">
        <x:v>1093600</x:v>
      </x:c>
      <x:c r="F265" s="45" t="n">
        <x:f>D265-E265</x:f>
        <x:v>1154112</x:v>
      </x:c>
      <x:c r="G265" s="47" t="n">
        <x:v>17</x:v>
      </x:c>
      <x:c r="H265" s="47" t="n">
        <x:v>8</x:v>
      </x:c>
      <x:c r="I265" s="45" t="n">
        <x:v>251032</x:v>
      </x:c>
      <x:c r="J265" s="47" t="n">
        <x:v>57</x:v>
      </x:c>
      <x:c r="K265" s="45" t="n">
        <x:v>-153304</x:v>
      </x:c>
      <x:c r="L265" s="45" t="n">
        <x:v>58431</x:v>
      </x:c>
      <x:c r="M265" s="46" t="n">
        <x:v>241.56733333333332</x:v>
      </x:c>
      <x:c r="N265" s="46" t="n">
        <x:v>98.52866666666667</x:v>
      </x:c>
      <x:c r="O265" s="47" t="n">
        <x:v>5</x:v>
      </x:c>
      <x:c r="P265" s="1" t="str">
        <x:v>始値方向を残し5分支持を待つ</x:v>
      </x:c>
      <x:c r="Q265" s="47" t="n">
        <x:v>0</x:v>
      </x:c>
      <x:c r="R265" s="1" t="str">
        <x:v>下落</x:v>
      </x:c>
      <x:c r="S265" s="47" t="n">
        <x:v>25</x:v>
      </x:c>
    </x:row>
    <x:row r="266" ht="22" customHeight="1">
      <x:c r="A266" s="1" t="str">
        <x:v>日経mini</x:v>
      </x:c>
      <x:c r="B266" s="1" t="str">
        <x:v>N01</x:v>
      </x:c>
      <x:c r="C266" s="1" t="str">
        <x:v>対照47場</x:v>
      </x:c>
      <x:c r="D266" s="45" t="n">
        <x:v>3995880</x:v>
      </x:c>
      <x:c r="E266" s="45" t="n">
        <x:v>2242816</x:v>
      </x:c>
      <x:c r="F266" s="45" t="n">
        <x:f>D266-E266</x:f>
        <x:v>1753064</x:v>
      </x:c>
      <x:c r="G266" s="47" t="n">
        <x:v>29</x:v>
      </x:c>
      <x:c r="H266" s="47" t="n">
        <x:v>18</x:v>
      </x:c>
      <x:c r="I266" s="45" t="n">
        <x:v>753984</x:v>
      </x:c>
      <x:c r="J266" s="47" t="n">
        <x:v>104</x:v>
      </x:c>
      <x:c r="K266" s="45" t="n">
        <x:v>-153304</x:v>
      </x:c>
      <x:c r="L266" s="45" t="n">
        <x:v>67502.66666666667</x:v>
      </x:c>
      <x:c r="M266" s="46" t="n">
        <x:v>236.93014184397165</x:v>
      </x:c>
      <x:c r="N266" s="46" t="n">
        <x:v>93.37943262411346</x:v>
      </x:c>
      <x:c r="O266" s="47" t="n">
        <x:v>5</x:v>
      </x:c>
      <x:c r="P266" s="1" t="str">
        <x:v>始値方向を残し5分支持を待つ</x:v>
      </x:c>
      <x:c r="Q266" s="47" t="n">
        <x:v>0</x:v>
      </x:c>
      <x:c r="R266" s="1" t="str">
        <x:v>全場</x:v>
      </x:c>
      <x:c r="S266" s="47" t="n">
        <x:v>47</x:v>
      </x:c>
    </x:row>
    <x:row r="267" ht="22" customHeight="1">
      <x:c r="A267" s="1" t="str">
        <x:v>日経mini</x:v>
      </x:c>
      <x:c r="B267" s="1" t="str">
        <x:v>N01</x:v>
      </x:c>
      <x:c r="C267" s="1" t="str">
        <x:v>対照47場</x:v>
      </x:c>
      <x:c r="D267" s="45" t="n">
        <x:v>2930864</x:v>
      </x:c>
      <x:c r="E267" s="45" t="n">
        <x:v>1316288</x:v>
      </x:c>
      <x:c r="F267" s="45" t="n">
        <x:f>D267-E267</x:f>
        <x:v>1614576</x:v>
      </x:c>
      <x:c r="G267" s="47" t="n">
        <x:v>16</x:v>
      </x:c>
      <x:c r="H267" s="47" t="n">
        <x:v>8</x:v>
      </x:c>
      <x:c r="I267" s="45" t="n">
        <x:v>615496</x:v>
      </x:c>
      <x:c r="J267" s="47" t="n">
        <x:v>61</x:v>
      </x:c>
      <x:c r="K267" s="45" t="n">
        <x:v>-153304</x:v>
      </x:c>
      <x:c r="L267" s="45" t="n">
        <x:v>79815</x:v>
      </x:c>
      <x:c r="M267" s="46" t="n">
        <x:v>117.47916666666667</x:v>
      </x:c>
      <x:c r="N267" s="46" t="n">
        <x:v>159.42569444444447</x:v>
      </x:c>
      <x:c r="O267" s="47" t="n">
        <x:v>5</x:v>
      </x:c>
      <x:c r="P267" s="1" t="str">
        <x:v>始値方向を残し5分支持を待つ</x:v>
      </x:c>
      <x:c r="Q267" s="47" t="n">
        <x:v>0</x:v>
      </x:c>
      <x:c r="R267" s="1" t="str">
        <x:v>デイ</x:v>
      </x:c>
      <x:c r="S267" s="47" t="n">
        <x:v>24</x:v>
      </x:c>
    </x:row>
    <x:row r="268" ht="22" customHeight="1">
      <x:c r="A268" s="1" t="str">
        <x:v>日経mini</x:v>
      </x:c>
      <x:c r="B268" s="1" t="str">
        <x:v>N01</x:v>
      </x:c>
      <x:c r="C268" s="1" t="str">
        <x:v>対照47場</x:v>
      </x:c>
      <x:c r="D268" s="45" t="n">
        <x:v>1065016</x:v>
      </x:c>
      <x:c r="E268" s="45" t="n">
        <x:v>926528</x:v>
      </x:c>
      <x:c r="F268" s="45" t="n">
        <x:f>D268-E268</x:f>
        <x:v>138488</x:v>
      </x:c>
      <x:c r="G268" s="47" t="n">
        <x:v>13</x:v>
      </x:c>
      <x:c r="H268" s="47" t="n">
        <x:v>10</x:v>
      </x:c>
      <x:c r="I268" s="45" t="n">
        <x:v>-172672</x:v>
      </x:c>
      <x:c r="J268" s="47" t="n">
        <x:v>43</x:v>
      </x:c>
      <x:c r="K268" s="45" t="n">
        <x:v>-140384</x:v>
      </x:c>
      <x:c r="L268" s="45" t="n">
        <x:v>57652.8</x:v>
      </x:c>
      <x:c r="M268" s="46" t="n">
        <x:v>361.57463768115946</x:v>
      </x:c>
      <x:c r="N268" s="46" t="n">
        <x:v>24.461594202898546</x:v>
      </x:c>
      <x:c r="O268" s="47" t="n">
        <x:v>5</x:v>
      </x:c>
      <x:c r="P268" s="1" t="str">
        <x:v>始値方向を残し5分支持を待つ</x:v>
      </x:c>
      <x:c r="Q268" s="47" t="n">
        <x:v>0</x:v>
      </x:c>
      <x:c r="R268" s="1" t="str">
        <x:v>ナイト</x:v>
      </x:c>
      <x:c r="S268" s="47" t="n">
        <x:v>23</x:v>
      </x:c>
    </x:row>
    <x:row r="269" ht="22" customHeight="1">
      <x:c r="A269" s="1" t="str">
        <x:v>日経mini</x:v>
      </x:c>
      <x:c r="B269" s="1" t="str">
        <x:v>N01</x:v>
      </x:c>
      <x:c r="C269" s="1" t="str">
        <x:v>対照47場</x:v>
      </x:c>
      <x:c r="D269" s="45" t="n">
        <x:v>1852784</x:v>
      </x:c>
      <x:c r="E269" s="45" t="n">
        <x:v>1204600</x:v>
      </x:c>
      <x:c r="F269" s="45" t="n">
        <x:f>D269-E269</x:f>
        <x:v>648184</x:v>
      </x:c>
      <x:c r="G269" s="47" t="n">
        <x:v>13</x:v>
      </x:c>
      <x:c r="H269" s="47" t="n">
        <x:v>10</x:v>
      </x:c>
      <x:c r="I269" s="45" t="n">
        <x:v>26488</x:v>
      </x:c>
      <x:c r="J269" s="47" t="n">
        <x:v>49</x:v>
      </x:c>
      <x:c r="K269" s="45" t="n">
        <x:v>-140384</x:v>
      </x:c>
      <x:c r="L269" s="45" t="n">
        <x:v>74760</x:v>
      </x:c>
      <x:c r="M269" s="46" t="n">
        <x:v>237.24347826086955</x:v>
      </x:c>
      <x:c r="N269" s="46" t="n">
        <x:v>84.68260869565219</x:v>
      </x:c>
      <x:c r="O269" s="47" t="n">
        <x:v>5</x:v>
      </x:c>
      <x:c r="P269" s="1" t="str">
        <x:v>始値方向を残し5分支持を待つ</x:v>
      </x:c>
      <x:c r="Q269" s="47" t="n">
        <x:v>0</x:v>
      </x:c>
      <x:c r="R269" s="1" t="str">
        <x:v>上昇</x:v>
      </x:c>
      <x:c r="S269" s="47" t="n">
        <x:v>23</x:v>
      </x:c>
    </x:row>
    <x:row r="270" ht="22" customHeight="1">
      <x:c r="A270" s="1" t="str">
        <x:v>日経mini</x:v>
      </x:c>
      <x:c r="B270" s="1" t="str">
        <x:v>N01</x:v>
      </x:c>
      <x:c r="C270" s="1" t="str">
        <x:v>対照47場</x:v>
      </x:c>
      <x:c r="D270" s="45" t="n">
        <x:v>2143096</x:v>
      </x:c>
      <x:c r="E270" s="45" t="n">
        <x:v>1038216</x:v>
      </x:c>
      <x:c r="F270" s="45" t="n">
        <x:f>D270-E270</x:f>
        <x:v>1104880</x:v>
      </x:c>
      <x:c r="G270" s="47" t="n">
        <x:v>16</x:v>
      </x:c>
      <x:c r="H270" s="47" t="n">
        <x:v>8</x:v>
      </x:c>
      <x:c r="I270" s="45" t="n">
        <x:v>201800</x:v>
      </x:c>
      <x:c r="J270" s="47" t="n">
        <x:v>55</x:v>
      </x:c>
      <x:c r="K270" s="45" t="n">
        <x:v>-153304</x:v>
      </x:c>
      <x:c r="L270" s="45" t="n">
        <x:v>58431</x:v>
      </x:c>
      <x:c r="M270" s="46" t="n">
        <x:v>236.62986111111113</x:v>
      </x:c>
      <x:c r="N270" s="46" t="n">
        <x:v>101.71388888888889</x:v>
      </x:c>
      <x:c r="O270" s="47" t="n">
        <x:v>5</x:v>
      </x:c>
      <x:c r="P270" s="1" t="str">
        <x:v>始値方向を残し5分支持を待つ</x:v>
      </x:c>
      <x:c r="Q270" s="47" t="n">
        <x:v>0</x:v>
      </x:c>
      <x:c r="R270" s="1" t="str">
        <x:v>下落</x:v>
      </x:c>
      <x:c r="S270" s="47" t="n">
        <x:v>24</x:v>
      </x:c>
    </x:row>
    <x:row r="271" ht="22" customHeight="1">
      <x:c r="A271" s="1" t="str">
        <x:v>日経mini</x:v>
      </x:c>
      <x:c r="B271" s="1" t="str">
        <x:v>N01</x:v>
      </x:c>
      <x:c r="C271" s="1" t="str">
        <x:v>診断3場</x:v>
      </x:c>
      <x:c r="D271" s="45" t="n">
        <x:v>134232</x:v>
      </x:c>
      <x:c r="E271" s="45" t="n">
        <x:v>100768</x:v>
      </x:c>
      <x:c r="F271" s="45" t="n">
        <x:f>D271-E271</x:f>
        <x:v>33464</x:v>
      </x:c>
      <x:c r="G271" s="47" t="n">
        <x:v>2</x:v>
      </x:c>
      <x:c r="H271" s="47" t="n">
        <x:v>1</x:v>
      </x:c>
      <x:c r="I271" s="45" t="n">
        <x:v>-45384</x:v>
      </x:c>
      <x:c r="J271" s="47" t="n">
        <x:v>4</x:v>
      </x:c>
      <x:c r="K271" s="45" t="n">
        <x:v>-45384</x:v>
      </x:c>
      <x:c r="L271" s="45" t="n">
        <x:v>45384</x:v>
      </x:c>
      <x:c r="M271" s="46" t="n">
        <x:v>286.4777777777778</x:v>
      </x:c>
      <x:c r="N271" s="46" t="n">
        <x:v>9.133333333333333</x:v>
      </x:c>
      <x:c r="O271" s="47" t="n">
        <x:v>5</x:v>
      </x:c>
      <x:c r="P271" s="1" t="str">
        <x:v>始値方向を残し5分支持を待つ</x:v>
      </x:c>
      <x:c r="Q271" s="47" t="n">
        <x:v>0</x:v>
      </x:c>
      <x:c r="R271" s="1" t="str">
        <x:v>全場</x:v>
      </x:c>
      <x:c r="S271" s="47" t="n">
        <x:v>3</x:v>
      </x:c>
    </x:row>
    <x:row r="272" ht="22" customHeight="1">
      <x:c r="A272" s="1" t="str">
        <x:v>日経mini</x:v>
      </x:c>
      <x:c r="B272" s="1" t="str">
        <x:v>N01</x:v>
      </x:c>
      <x:c r="C272" s="1" t="str">
        <x:v>診断3場</x:v>
      </x:c>
      <x:c r="D272" s="45" t="n">
        <x:v>0</x:v>
      </x:c>
      <x:c r="E272" s="45" t="n">
        <x:v>45384</x:v>
      </x:c>
      <x:c r="F272" s="45" t="n">
        <x:f>D272-E272</x:f>
        <x:v>-45384</x:v>
      </x:c>
      <x:c r="G272" s="47" t="n">
        <x:v>0</x:v>
      </x:c>
      <x:c r="H272" s="47" t="n">
        <x:v>1</x:v>
      </x:c>
      <x:c r="I272" s="45" t="n">
        <x:v>-45384</x:v>
      </x:c>
      <x:c r="J272" s="47" t="n">
        <x:v>1</x:v>
      </x:c>
      <x:c r="K272" s="45" t="n">
        <x:v>-45384</x:v>
      </x:c>
      <x:c r="L272" s="45" t="n">
        <x:v>45384</x:v>
      </x:c>
      <x:c r="M272" s="46" t="n">
        <x:v>138.36666666666667</x:v>
      </x:c>
      <x:c r="N272" s="46" t="n">
        <x:v>4.233333333333333</x:v>
      </x:c>
      <x:c r="O272" s="47" t="n">
        <x:v>5</x:v>
      </x:c>
      <x:c r="P272" s="1" t="str">
        <x:v>始値方向を残し5分支持を待つ</x:v>
      </x:c>
      <x:c r="Q272" s="47" t="n">
        <x:v>0</x:v>
      </x:c>
      <x:c r="R272" s="1" t="str">
        <x:v>デイ</x:v>
      </x:c>
      <x:c r="S272" s="47" t="n">
        <x:v>1</x:v>
      </x:c>
    </x:row>
    <x:row r="273" ht="22" customHeight="1">
      <x:c r="A273" s="1" t="str">
        <x:v>日経mini</x:v>
      </x:c>
      <x:c r="B273" s="1" t="str">
        <x:v>N01</x:v>
      </x:c>
      <x:c r="C273" s="1" t="str">
        <x:v>診断3場</x:v>
      </x:c>
      <x:c r="D273" s="45" t="n">
        <x:v>134232</x:v>
      </x:c>
      <x:c r="E273" s="45" t="n">
        <x:v>55384</x:v>
      </x:c>
      <x:c r="F273" s="45" t="n">
        <x:f>D273-E273</x:f>
        <x:v>78848</x:v>
      </x:c>
      <x:c r="G273" s="47" t="n">
        <x:v>2</x:v>
      </x:c>
      <x:c r="H273" s="47" t="n">
        <x:v>0</x:v>
      </x:c>
      <x:c r="I273" s="45" t="n">
        <x:v>0</x:v>
      </x:c>
      <x:c r="J273" s="47" t="n">
        <x:v>3</x:v>
      </x:c>
      <x:c r="K273" s="45" t="n">
        <x:v>29616</x:v>
      </x:c>
      <x:c r="L273" s="45" t="n">
        <x:v>0</x:v>
      </x:c>
      <x:c r="M273" s="46" t="n">
        <x:v>360.5333333333333</x:v>
      </x:c>
      <x:c r="N273" s="46" t="n">
        <x:v>11.583333333333332</x:v>
      </x:c>
      <x:c r="O273" s="47" t="n">
        <x:v>5</x:v>
      </x:c>
      <x:c r="P273" s="1" t="str">
        <x:v>始値方向を残し5分支持を待つ</x:v>
      </x:c>
      <x:c r="Q273" s="47" t="n">
        <x:v>0</x:v>
      </x:c>
      <x:c r="R273" s="1" t="str">
        <x:v>ナイト</x:v>
      </x:c>
      <x:c r="S273" s="47" t="n">
        <x:v>2</x:v>
      </x:c>
    </x:row>
    <x:row r="274" ht="22" customHeight="1">
      <x:c r="A274" s="1" t="str">
        <x:v>日経mini</x:v>
      </x:c>
      <x:c r="B274" s="1" t="str">
        <x:v>N01</x:v>
      </x:c>
      <x:c r="C274" s="1" t="str">
        <x:v>診断3場</x:v>
      </x:c>
      <x:c r="D274" s="45" t="n">
        <x:v>29616</x:v>
      </x:c>
      <x:c r="E274" s="45" t="n">
        <x:v>45384</x:v>
      </x:c>
      <x:c r="F274" s="45" t="n">
        <x:f>D274-E274</x:f>
        <x:v>-15768</x:v>
      </x:c>
      <x:c r="G274" s="47" t="n">
        <x:v>1</x:v>
      </x:c>
      <x:c r="H274" s="47" t="n">
        <x:v>1</x:v>
      </x:c>
      <x:c r="I274" s="45" t="n">
        <x:v>-45384</x:v>
      </x:c>
      <x:c r="J274" s="47" t="n">
        <x:v>2</x:v>
      </x:c>
      <x:c r="K274" s="45" t="n">
        <x:v>-45384</x:v>
      </x:c>
      <x:c r="L274" s="45" t="n">
        <x:v>45384</x:v>
      </x:c>
      <x:c r="M274" s="46" t="n">
        <x:v>249.68333333333334</x:v>
      </x:c>
      <x:c r="N274" s="46" t="n">
        <x:v>2.658333333333333</x:v>
      </x:c>
      <x:c r="O274" s="47" t="n">
        <x:v>5</x:v>
      </x:c>
      <x:c r="P274" s="1" t="str">
        <x:v>始値方向を残し5分支持を待つ</x:v>
      </x:c>
      <x:c r="Q274" s="47" t="n">
        <x:v>0</x:v>
      </x:c>
      <x:c r="R274" s="1" t="str">
        <x:v>上昇</x:v>
      </x:c>
      <x:c r="S274" s="47" t="n">
        <x:v>2</x:v>
      </x:c>
    </x:row>
    <x:row r="275" ht="22" customHeight="1">
      <x:c r="A275" s="1" t="str">
        <x:v>日経mini</x:v>
      </x:c>
      <x:c r="B275" s="1" t="str">
        <x:v>N01</x:v>
      </x:c>
      <x:c r="C275" s="1" t="str">
        <x:v>診断3場</x:v>
      </x:c>
      <x:c r="D275" s="45" t="n">
        <x:v>104616</x:v>
      </x:c>
      <x:c r="E275" s="45" t="n">
        <x:v>55384</x:v>
      </x:c>
      <x:c r="F275" s="45" t="n">
        <x:f>D275-E275</x:f>
        <x:v>49232</x:v>
      </x:c>
      <x:c r="G275" s="47" t="n">
        <x:v>1</x:v>
      </x:c>
      <x:c r="H275" s="47" t="n">
        <x:v>0</x:v>
      </x:c>
      <x:c r="I275" s="45" t="n">
        <x:v>0</x:v>
      </x:c>
      <x:c r="J275" s="47" t="n">
        <x:v>2</x:v>
      </x:c>
      <x:c r="K275" s="45" t="n">
        <x:v>49232</x:v>
      </x:c>
      <x:c r="L275" s="45" t="n">
        <x:v>0</x:v>
      </x:c>
      <x:c r="M275" s="46" t="n">
        <x:v>360.06666666666666</x:v>
      </x:c>
      <x:c r="N275" s="46" t="n">
        <x:v>22.083333333333332</x:v>
      </x:c>
      <x:c r="O275" s="47" t="n">
        <x:v>5</x:v>
      </x:c>
      <x:c r="P275" s="1" t="str">
        <x:v>始値方向を残し5分支持を待つ</x:v>
      </x:c>
      <x:c r="Q275" s="47" t="n">
        <x:v>0</x:v>
      </x:c>
      <x:c r="R275" s="1" t="str">
        <x:v>下落</x:v>
      </x:c>
      <x:c r="S275" s="47" t="n">
        <x:v>1</x:v>
      </x:c>
    </x:row>
    <x:row r="276" ht="22" customHeight="1">
      <x:c r="A276" s="1" t="str">
        <x:v>日経mini</x:v>
      </x:c>
      <x:c r="B276" s="1" t="str">
        <x:v>N02</x:v>
      </x:c>
      <x:c r="C276" s="1" t="str">
        <x:v>全50場</x:v>
      </x:c>
      <x:c r="D276" s="45" t="n">
        <x:v>4085496</x:v>
      </x:c>
      <x:c r="E276" s="45" t="n">
        <x:v>2398968</x:v>
      </x:c>
      <x:c r="F276" s="45" t="n">
        <x:f>D276-E276</x:f>
        <x:v>1686528</x:v>
      </x:c>
      <x:c r="G276" s="47" t="n">
        <x:v>30</x:v>
      </x:c>
      <x:c r="H276" s="47" t="n">
        <x:v>20</x:v>
      </x:c>
      <x:c r="I276" s="45" t="n">
        <x:v>687448</x:v>
      </x:c>
      <x:c r="J276" s="47" t="n">
        <x:v>108</x:v>
      </x:c>
      <x:c r="K276" s="45" t="n">
        <x:v>-153304</x:v>
      </x:c>
      <x:c r="L276" s="45" t="n">
        <x:v>64329.2</x:v>
      </x:c>
      <x:c r="M276" s="46" t="n">
        <x:v>240.16100000000003</x:v>
      </x:c>
      <x:c r="N276" s="46" t="n">
        <x:v>88.62500000000001</x:v>
      </x:c>
      <x:c r="O276" s="47" t="n">
        <x:v>5</x:v>
      </x:c>
      <x:c r="P276" s="1" t="str">
        <x:v>20分合議を優先し5分逆行を待つ</x:v>
      </x:c>
      <x:c r="Q276" s="47" t="n">
        <x:v>0</x:v>
      </x:c>
      <x:c r="R276" s="1" t="str">
        <x:v>全場</x:v>
      </x:c>
      <x:c r="S276" s="47" t="n">
        <x:v>50</x:v>
      </x:c>
    </x:row>
    <x:row r="277" ht="22" customHeight="1">
      <x:c r="A277" s="1" t="str">
        <x:v>日経mini</x:v>
      </x:c>
      <x:c r="B277" s="1" t="str">
        <x:v>N02</x:v>
      </x:c>
      <x:c r="C277" s="1" t="str">
        <x:v>全50場</x:v>
      </x:c>
      <x:c r="D277" s="45" t="n">
        <x:v>2930864</x:v>
      </x:c>
      <x:c r="E277" s="45" t="n">
        <x:v>1361672</x:v>
      </x:c>
      <x:c r="F277" s="45" t="n">
        <x:f>D277-E277</x:f>
        <x:v>1569192</x:v>
      </x:c>
      <x:c r="G277" s="47" t="n">
        <x:v>16</x:v>
      </x:c>
      <x:c r="H277" s="47" t="n">
        <x:v>9</x:v>
      </x:c>
      <x:c r="I277" s="45" t="n">
        <x:v>570112</x:v>
      </x:c>
      <x:c r="J277" s="47" t="n">
        <x:v>62</x:v>
      </x:c>
      <x:c r="K277" s="45" t="n">
        <x:v>-153304</x:v>
      </x:c>
      <x:c r="L277" s="45" t="n">
        <x:v>75989.33333333333</x:v>
      </x:c>
      <x:c r="M277" s="46" t="n">
        <x:v>118.31466666666667</x:v>
      </x:c>
      <x:c r="N277" s="46" t="n">
        <x:v>153.21800000000002</x:v>
      </x:c>
      <x:c r="O277" s="47" t="n">
        <x:v>5</x:v>
      </x:c>
      <x:c r="P277" s="1" t="str">
        <x:v>20分合議を優先し5分逆行を待つ</x:v>
      </x:c>
      <x:c r="Q277" s="47" t="n">
        <x:v>0</x:v>
      </x:c>
      <x:c r="R277" s="1" t="str">
        <x:v>デイ</x:v>
      </x:c>
      <x:c r="S277" s="47" t="n">
        <x:v>25</x:v>
      </x:c>
    </x:row>
    <x:row r="278" ht="22" customHeight="1">
      <x:c r="A278" s="1" t="str">
        <x:v>日経mini</x:v>
      </x:c>
      <x:c r="B278" s="1" t="str">
        <x:v>N02</x:v>
      </x:c>
      <x:c r="C278" s="1" t="str">
        <x:v>全50場</x:v>
      </x:c>
      <x:c r="D278" s="45" t="n">
        <x:v>1154632</x:v>
      </x:c>
      <x:c r="E278" s="45" t="n">
        <x:v>1037296</x:v>
      </x:c>
      <x:c r="F278" s="45" t="n">
        <x:f>D278-E278</x:f>
        <x:v>117336</x:v>
      </x:c>
      <x:c r="G278" s="47" t="n">
        <x:v>14</x:v>
      </x:c>
      <x:c r="H278" s="47" t="n">
        <x:v>11</x:v>
      </x:c>
      <x:c r="I278" s="45" t="n">
        <x:v>-193824</x:v>
      </x:c>
      <x:c r="J278" s="47" t="n">
        <x:v>46</x:v>
      </x:c>
      <x:c r="K278" s="45" t="n">
        <x:v>-140384</x:v>
      </x:c>
      <x:c r="L278" s="45" t="n">
        <x:v>54789.09090909091</x:v>
      </x:c>
      <x:c r="M278" s="46" t="n">
        <x:v>362.0073333333333</x:v>
      </x:c>
      <x:c r="N278" s="46" t="n">
        <x:v>24.031999999999996</x:v>
      </x:c>
      <x:c r="O278" s="47" t="n">
        <x:v>5</x:v>
      </x:c>
      <x:c r="P278" s="1" t="str">
        <x:v>20分合議を優先し5分逆行を待つ</x:v>
      </x:c>
      <x:c r="Q278" s="47" t="n">
        <x:v>0</x:v>
      </x:c>
      <x:c r="R278" s="1" t="str">
        <x:v>ナイト</x:v>
      </x:c>
      <x:c r="S278" s="47" t="n">
        <x:v>25</x:v>
      </x:c>
    </x:row>
    <x:row r="279" ht="22" customHeight="1">
      <x:c r="A279" s="1" t="str">
        <x:v>日経mini</x:v>
      </x:c>
      <x:c r="B279" s="1" t="str">
        <x:v>N02</x:v>
      </x:c>
      <x:c r="C279" s="1" t="str">
        <x:v>全50場</x:v>
      </x:c>
      <x:c r="D279" s="45" t="n">
        <x:v>1847784</x:v>
      </x:c>
      <x:c r="E279" s="45" t="n">
        <x:v>1300368</x:v>
      </x:c>
      <x:c r="F279" s="45" t="n">
        <x:f>D279-E279</x:f>
        <x:v>547416</x:v>
      </x:c>
      <x:c r="G279" s="47" t="n">
        <x:v>13</x:v>
      </x:c>
      <x:c r="H279" s="47" t="n">
        <x:v>12</x:v>
      </x:c>
      <x:c r="I279" s="45" t="n">
        <x:v>-74280</x:v>
      </x:c>
      <x:c r="J279" s="47" t="n">
        <x:v>51</x:v>
      </x:c>
      <x:c r="K279" s="45" t="n">
        <x:v>-140384</x:v>
      </x:c>
      <x:c r="L279" s="45" t="n">
        <x:v>68261.33333333333</x:v>
      </x:c>
      <x:c r="M279" s="46" t="n">
        <x:v>237.99733333333333</x:v>
      </x:c>
      <x:c r="N279" s="46" t="n">
        <x:v>78.01799999999999</x:v>
      </x:c>
      <x:c r="O279" s="47" t="n">
        <x:v>5</x:v>
      </x:c>
      <x:c r="P279" s="1" t="str">
        <x:v>20分合議を優先し5分逆行を待つ</x:v>
      </x:c>
      <x:c r="Q279" s="47" t="n">
        <x:v>0</x:v>
      </x:c>
      <x:c r="R279" s="1" t="str">
        <x:v>上昇</x:v>
      </x:c>
      <x:c r="S279" s="47" t="n">
        <x:v>25</x:v>
      </x:c>
    </x:row>
    <x:row r="280" ht="22" customHeight="1">
      <x:c r="A280" s="1" t="str">
        <x:v>日経mini</x:v>
      </x:c>
      <x:c r="B280" s="1" t="str">
        <x:v>N02</x:v>
      </x:c>
      <x:c r="C280" s="1" t="str">
        <x:v>全50場</x:v>
      </x:c>
      <x:c r="D280" s="45" t="n">
        <x:v>2237712</x:v>
      </x:c>
      <x:c r="E280" s="45" t="n">
        <x:v>1098600</x:v>
      </x:c>
      <x:c r="F280" s="45" t="n">
        <x:f>D280-E280</x:f>
        <x:v>1139112</x:v>
      </x:c>
      <x:c r="G280" s="47" t="n">
        <x:v>17</x:v>
      </x:c>
      <x:c r="H280" s="47" t="n">
        <x:v>8</x:v>
      </x:c>
      <x:c r="I280" s="45" t="n">
        <x:v>236032</x:v>
      </x:c>
      <x:c r="J280" s="47" t="n">
        <x:v>57</x:v>
      </x:c>
      <x:c r="K280" s="45" t="n">
        <x:v>-153304</x:v>
      </x:c>
      <x:c r="L280" s="45" t="n">
        <x:v>58431</x:v>
      </x:c>
      <x:c r="M280" s="46" t="n">
        <x:v>242.32466666666667</x:v>
      </x:c>
      <x:c r="N280" s="46" t="n">
        <x:v>99.23199999999999</x:v>
      </x:c>
      <x:c r="O280" s="47" t="n">
        <x:v>5</x:v>
      </x:c>
      <x:c r="P280" s="1" t="str">
        <x:v>20分合議を優先し5分逆行を待つ</x:v>
      </x:c>
      <x:c r="Q280" s="47" t="n">
        <x:v>0</x:v>
      </x:c>
      <x:c r="R280" s="1" t="str">
        <x:v>下落</x:v>
      </x:c>
      <x:c r="S280" s="47" t="n">
        <x:v>25</x:v>
      </x:c>
    </x:row>
    <x:row r="281" ht="22" customHeight="1">
      <x:c r="A281" s="1" t="str">
        <x:v>日経mini</x:v>
      </x:c>
      <x:c r="B281" s="1" t="str">
        <x:v>N02</x:v>
      </x:c>
      <x:c r="C281" s="1" t="str">
        <x:v>対照47場</x:v>
      </x:c>
      <x:c r="D281" s="45" t="n">
        <x:v>3946264</x:v>
      </x:c>
      <x:c r="E281" s="45" t="n">
        <x:v>2293200</x:v>
      </x:c>
      <x:c r="F281" s="45" t="n">
        <x:f>D281-E281</x:f>
        <x:v>1653064</x:v>
      </x:c>
      <x:c r="G281" s="47" t="n">
        <x:v>28</x:v>
      </x:c>
      <x:c r="H281" s="47" t="n">
        <x:v>19</x:v>
      </x:c>
      <x:c r="I281" s="45" t="n">
        <x:v>653984</x:v>
      </x:c>
      <x:c r="J281" s="47" t="n">
        <x:v>104</x:v>
      </x:c>
      <x:c r="K281" s="45" t="n">
        <x:v>-153304</x:v>
      </x:c>
      <x:c r="L281" s="45" t="n">
        <x:v>65326.31578947369</x:v>
      </x:c>
      <x:c r="M281" s="46" t="n">
        <x:v>237.1617021276596</x:v>
      </x:c>
      <x:c r="N281" s="46" t="n">
        <x:v>93.75248226950355</x:v>
      </x:c>
      <x:c r="O281" s="47" t="n">
        <x:v>5</x:v>
      </x:c>
      <x:c r="P281" s="1" t="str">
        <x:v>20分合議を優先し5分逆行を待つ</x:v>
      </x:c>
      <x:c r="Q281" s="47" t="n">
        <x:v>0</x:v>
      </x:c>
      <x:c r="R281" s="1" t="str">
        <x:v>全場</x:v>
      </x:c>
      <x:c r="S281" s="47" t="n">
        <x:v>47</x:v>
      </x:c>
    </x:row>
    <x:row r="282" ht="22" customHeight="1">
      <x:c r="A282" s="1" t="str">
        <x:v>日経mini</x:v>
      </x:c>
      <x:c r="B282" s="1" t="str">
        <x:v>N02</x:v>
      </x:c>
      <x:c r="C282" s="1" t="str">
        <x:v>対照47場</x:v>
      </x:c>
      <x:c r="D282" s="45" t="n">
        <x:v>2930864</x:v>
      </x:c>
      <x:c r="E282" s="45" t="n">
        <x:v>1316288</x:v>
      </x:c>
      <x:c r="F282" s="45" t="n">
        <x:f>D282-E282</x:f>
        <x:v>1614576</x:v>
      </x:c>
      <x:c r="G282" s="47" t="n">
        <x:v>16</x:v>
      </x:c>
      <x:c r="H282" s="47" t="n">
        <x:v>8</x:v>
      </x:c>
      <x:c r="I282" s="45" t="n">
        <x:v>615496</x:v>
      </x:c>
      <x:c r="J282" s="47" t="n">
        <x:v>61</x:v>
      </x:c>
      <x:c r="K282" s="45" t="n">
        <x:v>-153304</x:v>
      </x:c>
      <x:c r="L282" s="45" t="n">
        <x:v>79815</x:v>
      </x:c>
      <x:c r="M282" s="46" t="n">
        <x:v>117.47916666666667</x:v>
      </x:c>
      <x:c r="N282" s="46" t="n">
        <x:v>159.42569444444447</x:v>
      </x:c>
      <x:c r="O282" s="47" t="n">
        <x:v>5</x:v>
      </x:c>
      <x:c r="P282" s="1" t="str">
        <x:v>20分合議を優先し5分逆行を待つ</x:v>
      </x:c>
      <x:c r="Q282" s="47" t="n">
        <x:v>0</x:v>
      </x:c>
      <x:c r="R282" s="1" t="str">
        <x:v>デイ</x:v>
      </x:c>
      <x:c r="S282" s="47" t="n">
        <x:v>24</x:v>
      </x:c>
    </x:row>
    <x:row r="283" ht="22" customHeight="1">
      <x:c r="A283" s="1" t="str">
        <x:v>日経mini</x:v>
      </x:c>
      <x:c r="B283" s="1" t="str">
        <x:v>N02</x:v>
      </x:c>
      <x:c r="C283" s="1" t="str">
        <x:v>対照47場</x:v>
      </x:c>
      <x:c r="D283" s="45" t="n">
        <x:v>1015400</x:v>
      </x:c>
      <x:c r="E283" s="45" t="n">
        <x:v>976912</x:v>
      </x:c>
      <x:c r="F283" s="45" t="n">
        <x:f>D283-E283</x:f>
        <x:v>38488</x:v>
      </x:c>
      <x:c r="G283" s="47" t="n">
        <x:v>12</x:v>
      </x:c>
      <x:c r="H283" s="47" t="n">
        <x:v>11</x:v>
      </x:c>
      <x:c r="I283" s="45" t="n">
        <x:v>-272672</x:v>
      </x:c>
      <x:c r="J283" s="47" t="n">
        <x:v>43</x:v>
      </x:c>
      <x:c r="K283" s="45" t="n">
        <x:v>-140384</x:v>
      </x:c>
      <x:c r="L283" s="45" t="n">
        <x:v>54789.09090909091</x:v>
      </x:c>
      <x:c r="M283" s="46" t="n">
        <x:v>362.04782608695655</x:v>
      </x:c>
      <x:c r="N283" s="46" t="n">
        <x:v>25.22391304347826</x:v>
      </x:c>
      <x:c r="O283" s="47" t="n">
        <x:v>5</x:v>
      </x:c>
      <x:c r="P283" s="1" t="str">
        <x:v>20分合議を優先し5分逆行を待つ</x:v>
      </x:c>
      <x:c r="Q283" s="47" t="n">
        <x:v>0</x:v>
      </x:c>
      <x:c r="R283" s="1" t="str">
        <x:v>ナイト</x:v>
      </x:c>
      <x:c r="S283" s="47" t="n">
        <x:v>23</x:v>
      </x:c>
    </x:row>
    <x:row r="284" ht="22" customHeight="1">
      <x:c r="A284" s="1" t="str">
        <x:v>日経mini</x:v>
      </x:c>
      <x:c r="B284" s="1" t="str">
        <x:v>N02</x:v>
      </x:c>
      <x:c r="C284" s="1" t="str">
        <x:v>対照47場</x:v>
      </x:c>
      <x:c r="D284" s="45" t="n">
        <x:v>1813168</x:v>
      </x:c>
      <x:c r="E284" s="45" t="n">
        <x:v>1254984</x:v>
      </x:c>
      <x:c r="F284" s="45" t="n">
        <x:f>D284-E284</x:f>
        <x:v>558184</x:v>
      </x:c>
      <x:c r="G284" s="47" t="n">
        <x:v>12</x:v>
      </x:c>
      <x:c r="H284" s="47" t="n">
        <x:v>11</x:v>
      </x:c>
      <x:c r="I284" s="45" t="n">
        <x:v>-63512</x:v>
      </x:c>
      <x:c r="J284" s="47" t="n">
        <x:v>49</x:v>
      </x:c>
      <x:c r="K284" s="45" t="n">
        <x:v>-140384</x:v>
      </x:c>
      <x:c r="L284" s="45" t="n">
        <x:v>70341.09090909091</x:v>
      </x:c>
      <x:c r="M284" s="46" t="n">
        <x:v>237.02318840579707</x:v>
      </x:c>
      <x:c r="N284" s="46" t="n">
        <x:v>84.52898550724639</x:v>
      </x:c>
      <x:c r="O284" s="47" t="n">
        <x:v>5</x:v>
      </x:c>
      <x:c r="P284" s="1" t="str">
        <x:v>20分合議を優先し5分逆行を待つ</x:v>
      </x:c>
      <x:c r="Q284" s="47" t="n">
        <x:v>0</x:v>
      </x:c>
      <x:c r="R284" s="1" t="str">
        <x:v>上昇</x:v>
      </x:c>
      <x:c r="S284" s="47" t="n">
        <x:v>23</x:v>
      </x:c>
    </x:row>
    <x:row r="285" ht="22" customHeight="1">
      <x:c r="A285" s="1" t="str">
        <x:v>日経mini</x:v>
      </x:c>
      <x:c r="B285" s="1" t="str">
        <x:v>N02</x:v>
      </x:c>
      <x:c r="C285" s="1" t="str">
        <x:v>対照47場</x:v>
      </x:c>
      <x:c r="D285" s="45" t="n">
        <x:v>2133096</x:v>
      </x:c>
      <x:c r="E285" s="45" t="n">
        <x:v>1038216</x:v>
      </x:c>
      <x:c r="F285" s="45" t="n">
        <x:f>D285-E285</x:f>
        <x:v>1094880</x:v>
      </x:c>
      <x:c r="G285" s="47" t="n">
        <x:v>16</x:v>
      </x:c>
      <x:c r="H285" s="47" t="n">
        <x:v>8</x:v>
      </x:c>
      <x:c r="I285" s="45" t="n">
        <x:v>191800</x:v>
      </x:c>
      <x:c r="J285" s="47" t="n">
        <x:v>55</x:v>
      </x:c>
      <x:c r="K285" s="45" t="n">
        <x:v>-153304</x:v>
      </x:c>
      <x:c r="L285" s="45" t="n">
        <x:v>58431</x:v>
      </x:c>
      <x:c r="M285" s="46" t="n">
        <x:v>237.29444444444445</x:v>
      </x:c>
      <x:c r="N285" s="46" t="n">
        <x:v>102.59166666666665</x:v>
      </x:c>
      <x:c r="O285" s="47" t="n">
        <x:v>5</x:v>
      </x:c>
      <x:c r="P285" s="1" t="str">
        <x:v>20分合議を優先し5分逆行を待つ</x:v>
      </x:c>
      <x:c r="Q285" s="47" t="n">
        <x:v>0</x:v>
      </x:c>
      <x:c r="R285" s="1" t="str">
        <x:v>下落</x:v>
      </x:c>
      <x:c r="S285" s="47" t="n">
        <x:v>24</x:v>
      </x:c>
    </x:row>
    <x:row r="286" ht="22" customHeight="1">
      <x:c r="A286" s="1" t="str">
        <x:v>日経mini</x:v>
      </x:c>
      <x:c r="B286" s="1" t="str">
        <x:v>N02</x:v>
      </x:c>
      <x:c r="C286" s="1" t="str">
        <x:v>診断3場</x:v>
      </x:c>
      <x:c r="D286" s="45" t="n">
        <x:v>139232</x:v>
      </x:c>
      <x:c r="E286" s="45" t="n">
        <x:v>105768</x:v>
      </x:c>
      <x:c r="F286" s="45" t="n">
        <x:f>D286-E286</x:f>
        <x:v>33464</x:v>
      </x:c>
      <x:c r="G286" s="47" t="n">
        <x:v>2</x:v>
      </x:c>
      <x:c r="H286" s="47" t="n">
        <x:v>1</x:v>
      </x:c>
      <x:c r="I286" s="45" t="n">
        <x:v>-45384</x:v>
      </x:c>
      <x:c r="J286" s="47" t="n">
        <x:v>4</x:v>
      </x:c>
      <x:c r="K286" s="45" t="n">
        <x:v>-45384</x:v>
      </x:c>
      <x:c r="L286" s="45" t="n">
        <x:v>45384</x:v>
      </x:c>
      <x:c r="M286" s="46" t="n">
        <x:v>287.15000000000003</x:v>
      </x:c>
      <x:c r="N286" s="46" t="n">
        <x:v>8.294444444444446</x:v>
      </x:c>
      <x:c r="O286" s="47" t="n">
        <x:v>5</x:v>
      </x:c>
      <x:c r="P286" s="1" t="str">
        <x:v>20分合議を優先し5分逆行を待つ</x:v>
      </x:c>
      <x:c r="Q286" s="47" t="n">
        <x:v>0</x:v>
      </x:c>
      <x:c r="R286" s="1" t="str">
        <x:v>全場</x:v>
      </x:c>
      <x:c r="S286" s="47" t="n">
        <x:v>3</x:v>
      </x:c>
    </x:row>
    <x:row r="287" ht="22" customHeight="1">
      <x:c r="A287" s="1" t="str">
        <x:v>日経mini</x:v>
      </x:c>
      <x:c r="B287" s="1" t="str">
        <x:v>N02</x:v>
      </x:c>
      <x:c r="C287" s="1" t="str">
        <x:v>診断3場</x:v>
      </x:c>
      <x:c r="D287" s="45" t="n">
        <x:v>0</x:v>
      </x:c>
      <x:c r="E287" s="45" t="n">
        <x:v>45384</x:v>
      </x:c>
      <x:c r="F287" s="45" t="n">
        <x:f>D287-E287</x:f>
        <x:v>-45384</x:v>
      </x:c>
      <x:c r="G287" s="47" t="n">
        <x:v>0</x:v>
      </x:c>
      <x:c r="H287" s="47" t="n">
        <x:v>1</x:v>
      </x:c>
      <x:c r="I287" s="45" t="n">
        <x:v>-45384</x:v>
      </x:c>
      <x:c r="J287" s="47" t="n">
        <x:v>1</x:v>
      </x:c>
      <x:c r="K287" s="45" t="n">
        <x:v>-45384</x:v>
      </x:c>
      <x:c r="L287" s="45" t="n">
        <x:v>45384</x:v>
      </x:c>
      <x:c r="M287" s="46" t="n">
        <x:v>138.36666666666667</x:v>
      </x:c>
      <x:c r="N287" s="46" t="n">
        <x:v>4.233333333333333</x:v>
      </x:c>
      <x:c r="O287" s="47" t="n">
        <x:v>5</x:v>
      </x:c>
      <x:c r="P287" s="1" t="str">
        <x:v>20分合議を優先し5分逆行を待つ</x:v>
      </x:c>
      <x:c r="Q287" s="47" t="n">
        <x:v>0</x:v>
      </x:c>
      <x:c r="R287" s="1" t="str">
        <x:v>デイ</x:v>
      </x:c>
      <x:c r="S287" s="47" t="n">
        <x:v>1</x:v>
      </x:c>
    </x:row>
    <x:row r="288" ht="22" customHeight="1">
      <x:c r="A288" s="1" t="str">
        <x:v>日経mini</x:v>
      </x:c>
      <x:c r="B288" s="1" t="str">
        <x:v>N02</x:v>
      </x:c>
      <x:c r="C288" s="1" t="str">
        <x:v>診断3場</x:v>
      </x:c>
      <x:c r="D288" s="45" t="n">
        <x:v>139232</x:v>
      </x:c>
      <x:c r="E288" s="45" t="n">
        <x:v>60384</x:v>
      </x:c>
      <x:c r="F288" s="45" t="n">
        <x:f>D288-E288</x:f>
        <x:v>78848</x:v>
      </x:c>
      <x:c r="G288" s="47" t="n">
        <x:v>2</x:v>
      </x:c>
      <x:c r="H288" s="47" t="n">
        <x:v>0</x:v>
      </x:c>
      <x:c r="I288" s="45" t="n">
        <x:v>0</x:v>
      </x:c>
      <x:c r="J288" s="47" t="n">
        <x:v>3</x:v>
      </x:c>
      <x:c r="K288" s="45" t="n">
        <x:v>34616</x:v>
      </x:c>
      <x:c r="L288" s="45" t="n">
        <x:v>0</x:v>
      </x:c>
      <x:c r="M288" s="46" t="n">
        <x:v>361.5416666666667</x:v>
      </x:c>
      <x:c r="N288" s="46" t="n">
        <x:v>10.325000000000001</x:v>
      </x:c>
      <x:c r="O288" s="47" t="n">
        <x:v>5</x:v>
      </x:c>
      <x:c r="P288" s="1" t="str">
        <x:v>20分合議を優先し5分逆行を待つ</x:v>
      </x:c>
      <x:c r="Q288" s="47" t="n">
        <x:v>0</x:v>
      </x:c>
      <x:c r="R288" s="1" t="str">
        <x:v>ナイト</x:v>
      </x:c>
      <x:c r="S288" s="47" t="n">
        <x:v>2</x:v>
      </x:c>
    </x:row>
    <x:row r="289" ht="22" customHeight="1">
      <x:c r="A289" s="1" t="str">
        <x:v>日経mini</x:v>
      </x:c>
      <x:c r="B289" s="1" t="str">
        <x:v>N02</x:v>
      </x:c>
      <x:c r="C289" s="1" t="str">
        <x:v>診断3場</x:v>
      </x:c>
      <x:c r="D289" s="45" t="n">
        <x:v>34616</x:v>
      </x:c>
      <x:c r="E289" s="45" t="n">
        <x:v>45384</x:v>
      </x:c>
      <x:c r="F289" s="45" t="n">
        <x:f>D289-E289</x:f>
        <x:v>-10768</x:v>
      </x:c>
      <x:c r="G289" s="47" t="n">
        <x:v>1</x:v>
      </x:c>
      <x:c r="H289" s="47" t="n">
        <x:v>1</x:v>
      </x:c>
      <x:c r="I289" s="45" t="n">
        <x:v>-45384</x:v>
      </x:c>
      <x:c r="J289" s="47" t="n">
        <x:v>2</x:v>
      </x:c>
      <x:c r="K289" s="45" t="n">
        <x:v>-45384</x:v>
      </x:c>
      <x:c r="L289" s="45" t="n">
        <x:v>45384</x:v>
      </x:c>
      <x:c r="M289" s="46" t="n">
        <x:v>249.20000000000002</x:v>
      </x:c>
      <x:c r="N289" s="46" t="n">
        <x:v>3.1416666666666666</x:v>
      </x:c>
      <x:c r="O289" s="47" t="n">
        <x:v>5</x:v>
      </x:c>
      <x:c r="P289" s="1" t="str">
        <x:v>20分合議を優先し5分逆行を待つ</x:v>
      </x:c>
      <x:c r="Q289" s="47" t="n">
        <x:v>0</x:v>
      </x:c>
      <x:c r="R289" s="1" t="str">
        <x:v>上昇</x:v>
      </x:c>
      <x:c r="S289" s="47" t="n">
        <x:v>2</x:v>
      </x:c>
    </x:row>
    <x:row r="290" ht="22" customHeight="1">
      <x:c r="A290" s="1" t="str">
        <x:v>日経mini</x:v>
      </x:c>
      <x:c r="B290" s="1" t="str">
        <x:v>N02</x:v>
      </x:c>
      <x:c r="C290" s="1" t="str">
        <x:v>診断3場</x:v>
      </x:c>
      <x:c r="D290" s="45" t="n">
        <x:v>104616</x:v>
      </x:c>
      <x:c r="E290" s="45" t="n">
        <x:v>60384</x:v>
      </x:c>
      <x:c r="F290" s="45" t="n">
        <x:f>D290-E290</x:f>
        <x:v>44232</x:v>
      </x:c>
      <x:c r="G290" s="47" t="n">
        <x:v>1</x:v>
      </x:c>
      <x:c r="H290" s="47" t="n">
        <x:v>0</x:v>
      </x:c>
      <x:c r="I290" s="45" t="n">
        <x:v>0</x:v>
      </x:c>
      <x:c r="J290" s="47" t="n">
        <x:v>2</x:v>
      </x:c>
      <x:c r="K290" s="45" t="n">
        <x:v>44232</x:v>
      </x:c>
      <x:c r="L290" s="45" t="n">
        <x:v>0</x:v>
      </x:c>
      <x:c r="M290" s="46" t="n">
        <x:v>363.05</x:v>
      </x:c>
      <x:c r="N290" s="46" t="n">
        <x:v>18.6</x:v>
      </x:c>
      <x:c r="O290" s="47" t="n">
        <x:v>5</x:v>
      </x:c>
      <x:c r="P290" s="1" t="str">
        <x:v>20分合議を優先し5分逆行を待つ</x:v>
      </x:c>
      <x:c r="Q290" s="47" t="n">
        <x:v>0</x:v>
      </x:c>
      <x:c r="R290" s="1" t="str">
        <x:v>下落</x:v>
      </x:c>
      <x:c r="S290" s="47" t="n">
        <x:v>1</x:v>
      </x:c>
    </x:row>
    <x:row r="291" ht="22" customHeight="1">
      <x:c r="A291" s="1" t="str">
        <x:v>日経mini</x:v>
      </x:c>
      <x:c r="B291" s="1" t="str">
        <x:v>N03</x:v>
      </x:c>
      <x:c r="C291" s="1" t="str">
        <x:v>全50場</x:v>
      </x:c>
      <x:c r="D291" s="45" t="n">
        <x:v>3946648</x:v>
      </x:c>
      <x:c r="E291" s="45" t="n">
        <x:v>2180120</x:v>
      </x:c>
      <x:c r="F291" s="45" t="n">
        <x:f>D291-E291</x:f>
        <x:v>1766528</x:v>
      </x:c>
      <x:c r="G291" s="47" t="n">
        <x:v>30</x:v>
      </x:c>
      <x:c r="H291" s="47" t="n">
        <x:v>20</x:v>
      </x:c>
      <x:c r="I291" s="45" t="n">
        <x:v>767448</x:v>
      </x:c>
      <x:c r="J291" s="47" t="n">
        <x:v>108</x:v>
      </x:c>
      <x:c r="K291" s="45" t="n">
        <x:v>-153304</x:v>
      </x:c>
      <x:c r="L291" s="45" t="n">
        <x:v>55310</x:v>
      </x:c>
      <x:c r="M291" s="46" t="n">
        <x:v>240.16100000000003</x:v>
      </x:c>
      <x:c r="N291" s="46" t="n">
        <x:v>86.37233333333336</x:v>
      </x:c>
      <x:c r="O291" s="47" t="n">
        <x:v>5</x:v>
      </x:c>
      <x:c r="P291" s="1" t="str">
        <x:v>20分合議と二市場の逆行継続返済</x:v>
      </x:c>
      <x:c r="Q291" s="47" t="n">
        <x:v>0</x:v>
      </x:c>
      <x:c r="R291" s="1" t="str">
        <x:v>全場</x:v>
      </x:c>
      <x:c r="S291" s="47" t="n">
        <x:v>50</x:v>
      </x:c>
    </x:row>
    <x:row r="292" ht="22" customHeight="1">
      <x:c r="A292" s="1" t="str">
        <x:v>日経mini</x:v>
      </x:c>
      <x:c r="B292" s="1" t="str">
        <x:v>N03</x:v>
      </x:c>
      <x:c r="C292" s="1" t="str">
        <x:v>全50場</x:v>
      </x:c>
      <x:c r="D292" s="45" t="n">
        <x:v>2930864</x:v>
      </x:c>
      <x:c r="E292" s="45" t="n">
        <x:v>1361672</x:v>
      </x:c>
      <x:c r="F292" s="45" t="n">
        <x:f>D292-E292</x:f>
        <x:v>1569192</x:v>
      </x:c>
      <x:c r="G292" s="47" t="n">
        <x:v>16</x:v>
      </x:c>
      <x:c r="H292" s="47" t="n">
        <x:v>9</x:v>
      </x:c>
      <x:c r="I292" s="45" t="n">
        <x:v>570112</x:v>
      </x:c>
      <x:c r="J292" s="47" t="n">
        <x:v>62</x:v>
      </x:c>
      <x:c r="K292" s="45" t="n">
        <x:v>-153304</x:v>
      </x:c>
      <x:c r="L292" s="45" t="n">
        <x:v>75989.33333333333</x:v>
      </x:c>
      <x:c r="M292" s="46" t="n">
        <x:v>118.31466666666667</x:v>
      </x:c>
      <x:c r="N292" s="46" t="n">
        <x:v>153.21800000000002</x:v>
      </x:c>
      <x:c r="O292" s="47" t="n">
        <x:v>5</x:v>
      </x:c>
      <x:c r="P292" s="1" t="str">
        <x:v>20分合議と二市場の逆行継続返済</x:v>
      </x:c>
      <x:c r="Q292" s="47" t="n">
        <x:v>0</x:v>
      </x:c>
      <x:c r="R292" s="1" t="str">
        <x:v>デイ</x:v>
      </x:c>
      <x:c r="S292" s="47" t="n">
        <x:v>25</x:v>
      </x:c>
    </x:row>
    <x:row r="293" ht="22" customHeight="1">
      <x:c r="A293" s="1" t="str">
        <x:v>日経mini</x:v>
      </x:c>
      <x:c r="B293" s="1" t="str">
        <x:v>N03</x:v>
      </x:c>
      <x:c r="C293" s="1" t="str">
        <x:v>全50場</x:v>
      </x:c>
      <x:c r="D293" s="45" t="n">
        <x:v>1015784</x:v>
      </x:c>
      <x:c r="E293" s="45" t="n">
        <x:v>818448</x:v>
      </x:c>
      <x:c r="F293" s="45" t="n">
        <x:f>D293-E293</x:f>
        <x:v>197336</x:v>
      </x:c>
      <x:c r="G293" s="47" t="n">
        <x:v>14</x:v>
      </x:c>
      <x:c r="H293" s="47" t="n">
        <x:v>11</x:v>
      </x:c>
      <x:c r="I293" s="45" t="n">
        <x:v>-125360</x:v>
      </x:c>
      <x:c r="J293" s="47" t="n">
        <x:v>46</x:v>
      </x:c>
      <x:c r="K293" s="45" t="n">
        <x:v>-136152</x:v>
      </x:c>
      <x:c r="L293" s="45" t="n">
        <x:v>38390.545454545456</x:v>
      </x:c>
      <x:c r="M293" s="46" t="n">
        <x:v>362.0073333333333</x:v>
      </x:c>
      <x:c r="N293" s="46" t="n">
        <x:v>19.526666666666664</x:v>
      </x:c>
      <x:c r="O293" s="47" t="n">
        <x:v>5</x:v>
      </x:c>
      <x:c r="P293" s="1" t="str">
        <x:v>20分合議と二市場の逆行継続返済</x:v>
      </x:c>
      <x:c r="Q293" s="47" t="n">
        <x:v>0</x:v>
      </x:c>
      <x:c r="R293" s="1" t="str">
        <x:v>ナイト</x:v>
      </x:c>
      <x:c r="S293" s="47" t="n">
        <x:v>25</x:v>
      </x:c>
    </x:row>
    <x:row r="294" ht="22" customHeight="1">
      <x:c r="A294" s="1" t="str">
        <x:v>日経mini</x:v>
      </x:c>
      <x:c r="B294" s="1" t="str">
        <x:v>N03</x:v>
      </x:c>
      <x:c r="C294" s="1" t="str">
        <x:v>全50場</x:v>
      </x:c>
      <x:c r="D294" s="45" t="n">
        <x:v>1768168</x:v>
      </x:c>
      <x:c r="E294" s="45" t="n">
        <x:v>1135752</x:v>
      </x:c>
      <x:c r="F294" s="45" t="n">
        <x:f>D294-E294</x:f>
        <x:v>632416</x:v>
      </x:c>
      <x:c r="G294" s="47" t="n">
        <x:v>14</x:v>
      </x:c>
      <x:c r="H294" s="47" t="n">
        <x:v>11</x:v>
      </x:c>
      <x:c r="I294" s="45" t="n">
        <x:v>10720</x:v>
      </x:c>
      <x:c r="J294" s="47" t="n">
        <x:v>51</x:v>
      </x:c>
      <x:c r="K294" s="45" t="n">
        <x:v>-136152</x:v>
      </x:c>
      <x:c r="L294" s="45" t="n">
        <x:v>58907.63636363636</x:v>
      </x:c>
      <x:c r="M294" s="46" t="n">
        <x:v>237.99733333333333</x:v>
      </x:c>
      <x:c r="N294" s="46" t="n">
        <x:v>77.09933333333332</x:v>
      </x:c>
      <x:c r="O294" s="47" t="n">
        <x:v>5</x:v>
      </x:c>
      <x:c r="P294" s="1" t="str">
        <x:v>20分合議と二市場の逆行継続返済</x:v>
      </x:c>
      <x:c r="Q294" s="47" t="n">
        <x:v>0</x:v>
      </x:c>
      <x:c r="R294" s="1" t="str">
        <x:v>上昇</x:v>
      </x:c>
      <x:c r="S294" s="47" t="n">
        <x:v>25</x:v>
      </x:c>
    </x:row>
    <x:row r="295" ht="22" customHeight="1">
      <x:c r="A295" s="1" t="str">
        <x:v>日経mini</x:v>
      </x:c>
      <x:c r="B295" s="1" t="str">
        <x:v>N03</x:v>
      </x:c>
      <x:c r="C295" s="1" t="str">
        <x:v>全50場</x:v>
      </x:c>
      <x:c r="D295" s="45" t="n">
        <x:v>2178480</x:v>
      </x:c>
      <x:c r="E295" s="45" t="n">
        <x:v>1044368</x:v>
      </x:c>
      <x:c r="F295" s="45" t="n">
        <x:f>D295-E295</x:f>
        <x:v>1134112</x:v>
      </x:c>
      <x:c r="G295" s="47" t="n">
        <x:v>16</x:v>
      </x:c>
      <x:c r="H295" s="47" t="n">
        <x:v>9</x:v>
      </x:c>
      <x:c r="I295" s="45" t="n">
        <x:v>231032</x:v>
      </x:c>
      <x:c r="J295" s="47" t="n">
        <x:v>57</x:v>
      </x:c>
      <x:c r="K295" s="45" t="n">
        <x:v>-153304</x:v>
      </x:c>
      <x:c r="L295" s="45" t="n">
        <x:v>50912.88888888889</x:v>
      </x:c>
      <x:c r="M295" s="46" t="n">
        <x:v>242.32466666666667</x:v>
      </x:c>
      <x:c r="N295" s="46" t="n">
        <x:v>95.64533333333333</x:v>
      </x:c>
      <x:c r="O295" s="47" t="n">
        <x:v>5</x:v>
      </x:c>
      <x:c r="P295" s="1" t="str">
        <x:v>20分合議と二市場の逆行継続返済</x:v>
      </x:c>
      <x:c r="Q295" s="47" t="n">
        <x:v>0</x:v>
      </x:c>
      <x:c r="R295" s="1" t="str">
        <x:v>下落</x:v>
      </x:c>
      <x:c r="S295" s="47" t="n">
        <x:v>25</x:v>
      </x:c>
    </x:row>
    <x:row r="296" ht="22" customHeight="1">
      <x:c r="A296" s="1" t="str">
        <x:v>日経mini</x:v>
      </x:c>
      <x:c r="B296" s="1" t="str">
        <x:v>N03</x:v>
      </x:c>
      <x:c r="C296" s="1" t="str">
        <x:v>対照47場</x:v>
      </x:c>
      <x:c r="D296" s="45" t="n">
        <x:v>3807416</x:v>
      </x:c>
      <x:c r="E296" s="45" t="n">
        <x:v>2099352</x:v>
      </x:c>
      <x:c r="F296" s="45" t="n">
        <x:f>D296-E296</x:f>
        <x:v>1708064</x:v>
      </x:c>
      <x:c r="G296" s="47" t="n">
        <x:v>28</x:v>
      </x:c>
      <x:c r="H296" s="47" t="n">
        <x:v>19</x:v>
      </x:c>
      <x:c r="I296" s="45" t="n">
        <x:v>708984</x:v>
      </x:c>
      <x:c r="J296" s="47" t="n">
        <x:v>104</x:v>
      </x:c>
      <x:c r="K296" s="45" t="n">
        <x:v>-153304</x:v>
      </x:c>
      <x:c r="L296" s="45" t="n">
        <x:v>55832.42105263158</x:v>
      </x:c>
      <x:c r="M296" s="46" t="n">
        <x:v>237.1617021276596</x:v>
      </x:c>
      <x:c r="N296" s="46" t="n">
        <x:v>91.3762411347518</x:v>
      </x:c>
      <x:c r="O296" s="47" t="n">
        <x:v>5</x:v>
      </x:c>
      <x:c r="P296" s="1" t="str">
        <x:v>20分合議と二市場の逆行継続返済</x:v>
      </x:c>
      <x:c r="Q296" s="47" t="n">
        <x:v>0</x:v>
      </x:c>
      <x:c r="R296" s="1" t="str">
        <x:v>全場</x:v>
      </x:c>
      <x:c r="S296" s="47" t="n">
        <x:v>47</x:v>
      </x:c>
    </x:row>
    <x:row r="297" ht="22" customHeight="1">
      <x:c r="A297" s="1" t="str">
        <x:v>日経mini</x:v>
      </x:c>
      <x:c r="B297" s="1" t="str">
        <x:v>N03</x:v>
      </x:c>
      <x:c r="C297" s="1" t="str">
        <x:v>対照47場</x:v>
      </x:c>
      <x:c r="D297" s="45" t="n">
        <x:v>2930864</x:v>
      </x:c>
      <x:c r="E297" s="45" t="n">
        <x:v>1316288</x:v>
      </x:c>
      <x:c r="F297" s="45" t="n">
        <x:f>D297-E297</x:f>
        <x:v>1614576</x:v>
      </x:c>
      <x:c r="G297" s="47" t="n">
        <x:v>16</x:v>
      </x:c>
      <x:c r="H297" s="47" t="n">
        <x:v>8</x:v>
      </x:c>
      <x:c r="I297" s="45" t="n">
        <x:v>615496</x:v>
      </x:c>
      <x:c r="J297" s="47" t="n">
        <x:v>61</x:v>
      </x:c>
      <x:c r="K297" s="45" t="n">
        <x:v>-153304</x:v>
      </x:c>
      <x:c r="L297" s="45" t="n">
        <x:v>79815</x:v>
      </x:c>
      <x:c r="M297" s="46" t="n">
        <x:v>117.47916666666667</x:v>
      </x:c>
      <x:c r="N297" s="46" t="n">
        <x:v>159.42569444444447</x:v>
      </x:c>
      <x:c r="O297" s="47" t="n">
        <x:v>5</x:v>
      </x:c>
      <x:c r="P297" s="1" t="str">
        <x:v>20分合議と二市場の逆行継続返済</x:v>
      </x:c>
      <x:c r="Q297" s="47" t="n">
        <x:v>0</x:v>
      </x:c>
      <x:c r="R297" s="1" t="str">
        <x:v>デイ</x:v>
      </x:c>
      <x:c r="S297" s="47" t="n">
        <x:v>24</x:v>
      </x:c>
    </x:row>
    <x:row r="298" ht="22" customHeight="1">
      <x:c r="A298" s="1" t="str">
        <x:v>日経mini</x:v>
      </x:c>
      <x:c r="B298" s="1" t="str">
        <x:v>N03</x:v>
      </x:c>
      <x:c r="C298" s="1" t="str">
        <x:v>対照47場</x:v>
      </x:c>
      <x:c r="D298" s="45" t="n">
        <x:v>876552</x:v>
      </x:c>
      <x:c r="E298" s="45" t="n">
        <x:v>783064</x:v>
      </x:c>
      <x:c r="F298" s="45" t="n">
        <x:f>D298-E298</x:f>
        <x:v>93488</x:v>
      </x:c>
      <x:c r="G298" s="47" t="n">
        <x:v>12</x:v>
      </x:c>
      <x:c r="H298" s="47" t="n">
        <x:v>11</x:v>
      </x:c>
      <x:c r="I298" s="45" t="n">
        <x:v>-219208</x:v>
      </x:c>
      <x:c r="J298" s="47" t="n">
        <x:v>43</x:v>
      </x:c>
      <x:c r="K298" s="45" t="n">
        <x:v>-136152</x:v>
      </x:c>
      <x:c r="L298" s="45" t="n">
        <x:v>38390.545454545456</x:v>
      </x:c>
      <x:c r="M298" s="46" t="n">
        <x:v>362.04782608695655</x:v>
      </x:c>
      <x:c r="N298" s="46" t="n">
        <x:v>20.368115942028986</x:v>
      </x:c>
      <x:c r="O298" s="47" t="n">
        <x:v>5</x:v>
      </x:c>
      <x:c r="P298" s="1" t="str">
        <x:v>20分合議と二市場の逆行継続返済</x:v>
      </x:c>
      <x:c r="Q298" s="47" t="n">
        <x:v>0</x:v>
      </x:c>
      <x:c r="R298" s="1" t="str">
        <x:v>ナイト</x:v>
      </x:c>
      <x:c r="S298" s="47" t="n">
        <x:v>23</x:v>
      </x:c>
    </x:row>
    <x:row r="299" ht="22" customHeight="1">
      <x:c r="A299" s="1" t="str">
        <x:v>日経mini</x:v>
      </x:c>
      <x:c r="B299" s="1" t="str">
        <x:v>N03</x:v>
      </x:c>
      <x:c r="C299" s="1" t="str">
        <x:v>対照47場</x:v>
      </x:c>
      <x:c r="D299" s="45" t="n">
        <x:v>1733552</x:v>
      </x:c>
      <x:c r="E299" s="45" t="n">
        <x:v>1090368</x:v>
      </x:c>
      <x:c r="F299" s="45" t="n">
        <x:f>D299-E299</x:f>
        <x:v>643184</x:v>
      </x:c>
      <x:c r="G299" s="47" t="n">
        <x:v>13</x:v>
      </x:c>
      <x:c r="H299" s="47" t="n">
        <x:v>10</x:v>
      </x:c>
      <x:c r="I299" s="45" t="n">
        <x:v>21488</x:v>
      </x:c>
      <x:c r="J299" s="47" t="n">
        <x:v>49</x:v>
      </x:c>
      <x:c r="K299" s="45" t="n">
        <x:v>-136152</x:v>
      </x:c>
      <x:c r="L299" s="45" t="n">
        <x:v>60260</x:v>
      </x:c>
      <x:c r="M299" s="46" t="n">
        <x:v>237.02318840579707</x:v>
      </x:c>
      <x:c r="N299" s="46" t="n">
        <x:v>83.5304347826087</x:v>
      </x:c>
      <x:c r="O299" s="47" t="n">
        <x:v>5</x:v>
      </x:c>
      <x:c r="P299" s="1" t="str">
        <x:v>20分合議と二市場の逆行継続返済</x:v>
      </x:c>
      <x:c r="Q299" s="47" t="n">
        <x:v>0</x:v>
      </x:c>
      <x:c r="R299" s="1" t="str">
        <x:v>上昇</x:v>
      </x:c>
      <x:c r="S299" s="47" t="n">
        <x:v>23</x:v>
      </x:c>
    </x:row>
    <x:row r="300" ht="22" customHeight="1">
      <x:c r="A300" s="1" t="str">
        <x:v>日経mini</x:v>
      </x:c>
      <x:c r="B300" s="1" t="str">
        <x:v>N03</x:v>
      </x:c>
      <x:c r="C300" s="1" t="str">
        <x:v>対照47場</x:v>
      </x:c>
      <x:c r="D300" s="45" t="n">
        <x:v>2073864</x:v>
      </x:c>
      <x:c r="E300" s="45" t="n">
        <x:v>1008984</x:v>
      </x:c>
      <x:c r="F300" s="45" t="n">
        <x:f>D300-E300</x:f>
        <x:v>1064880</x:v>
      </x:c>
      <x:c r="G300" s="47" t="n">
        <x:v>15</x:v>
      </x:c>
      <x:c r="H300" s="47" t="n">
        <x:v>9</x:v>
      </x:c>
      <x:c r="I300" s="45" t="n">
        <x:v>161800</x:v>
      </x:c>
      <x:c r="J300" s="47" t="n">
        <x:v>55</x:v>
      </x:c>
      <x:c r="K300" s="45" t="n">
        <x:v>-153304</x:v>
      </x:c>
      <x:c r="L300" s="45" t="n">
        <x:v>50912.88888888889</x:v>
      </x:c>
      <x:c r="M300" s="46" t="n">
        <x:v>237.29444444444445</x:v>
      </x:c>
      <x:c r="N300" s="46" t="n">
        <x:v>98.89513888888888</x:v>
      </x:c>
      <x:c r="O300" s="47" t="n">
        <x:v>5</x:v>
      </x:c>
      <x:c r="P300" s="1" t="str">
        <x:v>20分合議と二市場の逆行継続返済</x:v>
      </x:c>
      <x:c r="Q300" s="47" t="n">
        <x:v>0</x:v>
      </x:c>
      <x:c r="R300" s="1" t="str">
        <x:v>下落</x:v>
      </x:c>
      <x:c r="S300" s="47" t="n">
        <x:v>24</x:v>
      </x:c>
    </x:row>
    <x:row r="301" ht="22" customHeight="1">
      <x:c r="A301" s="1" t="str">
        <x:v>日経mini</x:v>
      </x:c>
      <x:c r="B301" s="1" t="str">
        <x:v>N03</x:v>
      </x:c>
      <x:c r="C301" s="1" t="str">
        <x:v>診断3場</x:v>
      </x:c>
      <x:c r="D301" s="45" t="n">
        <x:v>139232</x:v>
      </x:c>
      <x:c r="E301" s="45" t="n">
        <x:v>80768</x:v>
      </x:c>
      <x:c r="F301" s="45" t="n">
        <x:f>D301-E301</x:f>
        <x:v>58464</x:v>
      </x:c>
      <x:c r="G301" s="47" t="n">
        <x:v>2</x:v>
      </x:c>
      <x:c r="H301" s="47" t="n">
        <x:v>1</x:v>
      </x:c>
      <x:c r="I301" s="45" t="n">
        <x:v>-45384</x:v>
      </x:c>
      <x:c r="J301" s="47" t="n">
        <x:v>4</x:v>
      </x:c>
      <x:c r="K301" s="45" t="n">
        <x:v>-45384</x:v>
      </x:c>
      <x:c r="L301" s="45" t="n">
        <x:v>45384</x:v>
      </x:c>
      <x:c r="M301" s="46" t="n">
        <x:v>287.15000000000003</x:v>
      </x:c>
      <x:c r="N301" s="46" t="n">
        <x:v>7.977777777777778</x:v>
      </x:c>
      <x:c r="O301" s="47" t="n">
        <x:v>5</x:v>
      </x:c>
      <x:c r="P301" s="1" t="str">
        <x:v>20分合議と二市場の逆行継続返済</x:v>
      </x:c>
      <x:c r="Q301" s="47" t="n">
        <x:v>0</x:v>
      </x:c>
      <x:c r="R301" s="1" t="str">
        <x:v>全場</x:v>
      </x:c>
      <x:c r="S301" s="47" t="n">
        <x:v>3</x:v>
      </x:c>
    </x:row>
    <x:row r="302" ht="22" customHeight="1">
      <x:c r="A302" s="1" t="str">
        <x:v>日経mini</x:v>
      </x:c>
      <x:c r="B302" s="1" t="str">
        <x:v>N03</x:v>
      </x:c>
      <x:c r="C302" s="1" t="str">
        <x:v>診断3場</x:v>
      </x:c>
      <x:c r="D302" s="45" t="n">
        <x:v>0</x:v>
      </x:c>
      <x:c r="E302" s="45" t="n">
        <x:v>45384</x:v>
      </x:c>
      <x:c r="F302" s="45" t="n">
        <x:f>D302-E302</x:f>
        <x:v>-45384</x:v>
      </x:c>
      <x:c r="G302" s="47" t="n">
        <x:v>0</x:v>
      </x:c>
      <x:c r="H302" s="47" t="n">
        <x:v>1</x:v>
      </x:c>
      <x:c r="I302" s="45" t="n">
        <x:v>-45384</x:v>
      </x:c>
      <x:c r="J302" s="47" t="n">
        <x:v>1</x:v>
      </x:c>
      <x:c r="K302" s="45" t="n">
        <x:v>-45384</x:v>
      </x:c>
      <x:c r="L302" s="45" t="n">
        <x:v>45384</x:v>
      </x:c>
      <x:c r="M302" s="46" t="n">
        <x:v>138.36666666666667</x:v>
      </x:c>
      <x:c r="N302" s="46" t="n">
        <x:v>4.233333333333333</x:v>
      </x:c>
      <x:c r="O302" s="47" t="n">
        <x:v>5</x:v>
      </x:c>
      <x:c r="P302" s="1" t="str">
        <x:v>20分合議と二市場の逆行継続返済</x:v>
      </x:c>
      <x:c r="Q302" s="47" t="n">
        <x:v>0</x:v>
      </x:c>
      <x:c r="R302" s="1" t="str">
        <x:v>デイ</x:v>
      </x:c>
      <x:c r="S302" s="47" t="n">
        <x:v>1</x:v>
      </x:c>
    </x:row>
    <x:row r="303" ht="22" customHeight="1">
      <x:c r="A303" s="1" t="str">
        <x:v>日経mini</x:v>
      </x:c>
      <x:c r="B303" s="1" t="str">
        <x:v>N03</x:v>
      </x:c>
      <x:c r="C303" s="1" t="str">
        <x:v>診断3場</x:v>
      </x:c>
      <x:c r="D303" s="45" t="n">
        <x:v>139232</x:v>
      </x:c>
      <x:c r="E303" s="45" t="n">
        <x:v>35384</x:v>
      </x:c>
      <x:c r="F303" s="45" t="n">
        <x:f>D303-E303</x:f>
        <x:v>103848</x:v>
      </x:c>
      <x:c r="G303" s="47" t="n">
        <x:v>2</x:v>
      </x:c>
      <x:c r="H303" s="47" t="n">
        <x:v>0</x:v>
      </x:c>
      <x:c r="I303" s="45" t="n">
        <x:v>0</x:v>
      </x:c>
      <x:c r="J303" s="47" t="n">
        <x:v>3</x:v>
      </x:c>
      <x:c r="K303" s="45" t="n">
        <x:v>34616</x:v>
      </x:c>
      <x:c r="L303" s="45" t="n">
        <x:v>0</x:v>
      </x:c>
      <x:c r="M303" s="46" t="n">
        <x:v>361.5416666666667</x:v>
      </x:c>
      <x:c r="N303" s="46" t="n">
        <x:v>9.85</x:v>
      </x:c>
      <x:c r="O303" s="47" t="n">
        <x:v>5</x:v>
      </x:c>
      <x:c r="P303" s="1" t="str">
        <x:v>20分合議と二市場の逆行継続返済</x:v>
      </x:c>
      <x:c r="Q303" s="47" t="n">
        <x:v>0</x:v>
      </x:c>
      <x:c r="R303" s="1" t="str">
        <x:v>ナイト</x:v>
      </x:c>
      <x:c r="S303" s="47" t="n">
        <x:v>2</x:v>
      </x:c>
    </x:row>
    <x:row r="304" ht="22" customHeight="1">
      <x:c r="A304" s="1" t="str">
        <x:v>日経mini</x:v>
      </x:c>
      <x:c r="B304" s="1" t="str">
        <x:v>N03</x:v>
      </x:c>
      <x:c r="C304" s="1" t="str">
        <x:v>診断3場</x:v>
      </x:c>
      <x:c r="D304" s="45" t="n">
        <x:v>34616</x:v>
      </x:c>
      <x:c r="E304" s="45" t="n">
        <x:v>45384</x:v>
      </x:c>
      <x:c r="F304" s="45" t="n">
        <x:f>D304-E304</x:f>
        <x:v>-10768</x:v>
      </x:c>
      <x:c r="G304" s="47" t="n">
        <x:v>1</x:v>
      </x:c>
      <x:c r="H304" s="47" t="n">
        <x:v>1</x:v>
      </x:c>
      <x:c r="I304" s="45" t="n">
        <x:v>-45384</x:v>
      </x:c>
      <x:c r="J304" s="47" t="n">
        <x:v>2</x:v>
      </x:c>
      <x:c r="K304" s="45" t="n">
        <x:v>-45384</x:v>
      </x:c>
      <x:c r="L304" s="45" t="n">
        <x:v>45384</x:v>
      </x:c>
      <x:c r="M304" s="46" t="n">
        <x:v>249.20000000000002</x:v>
      </x:c>
      <x:c r="N304" s="46" t="n">
        <x:v>3.1416666666666666</x:v>
      </x:c>
      <x:c r="O304" s="47" t="n">
        <x:v>5</x:v>
      </x:c>
      <x:c r="P304" s="1" t="str">
        <x:v>20分合議と二市場の逆行継続返済</x:v>
      </x:c>
      <x:c r="Q304" s="47" t="n">
        <x:v>0</x:v>
      </x:c>
      <x:c r="R304" s="1" t="str">
        <x:v>上昇</x:v>
      </x:c>
      <x:c r="S304" s="47" t="n">
        <x:v>2</x:v>
      </x:c>
    </x:row>
    <x:row r="305" ht="22" customHeight="1">
      <x:c r="A305" s="1" t="str">
        <x:v>日経mini</x:v>
      </x:c>
      <x:c r="B305" s="1" t="str">
        <x:v>N03</x:v>
      </x:c>
      <x:c r="C305" s="1" t="str">
        <x:v>診断3場</x:v>
      </x:c>
      <x:c r="D305" s="45" t="n">
        <x:v>104616</x:v>
      </x:c>
      <x:c r="E305" s="45" t="n">
        <x:v>35384</x:v>
      </x:c>
      <x:c r="F305" s="45" t="n">
        <x:f>D305-E305</x:f>
        <x:v>69232</x:v>
      </x:c>
      <x:c r="G305" s="47" t="n">
        <x:v>1</x:v>
      </x:c>
      <x:c r="H305" s="47" t="n">
        <x:v>0</x:v>
      </x:c>
      <x:c r="I305" s="45" t="n">
        <x:v>0</x:v>
      </x:c>
      <x:c r="J305" s="47" t="n">
        <x:v>2</x:v>
      </x:c>
      <x:c r="K305" s="45" t="n">
        <x:v>69232</x:v>
      </x:c>
      <x:c r="L305" s="45" t="n">
        <x:v>0</x:v>
      </x:c>
      <x:c r="M305" s="46" t="n">
        <x:v>363.05</x:v>
      </x:c>
      <x:c r="N305" s="46" t="n">
        <x:v>17.65</x:v>
      </x:c>
      <x:c r="O305" s="47" t="n">
        <x:v>5</x:v>
      </x:c>
      <x:c r="P305" s="1" t="str">
        <x:v>20分合議と二市場の逆行継続返済</x:v>
      </x:c>
      <x:c r="Q305" s="47" t="n">
        <x:v>0</x:v>
      </x:c>
      <x:c r="R305" s="1" t="str">
        <x:v>下落</x:v>
      </x:c>
      <x:c r="S305" s="47" t="n">
        <x:v>1</x:v>
      </x:c>
    </x:row>
    <x:row r="306" ht="22" customHeight="1">
      <x:c r="A306" s="1" t="str">
        <x:v>日経mini</x:v>
      </x:c>
      <x:c r="B306" s="1" t="str">
        <x:v>Q01</x:v>
      </x:c>
      <x:c r="C306" s="1" t="str">
        <x:v>全50場</x:v>
      </x:c>
      <x:c r="D306" s="45" t="n">
        <x:v>4084496</x:v>
      </x:c>
      <x:c r="E306" s="45" t="n">
        <x:v>2190124</x:v>
      </x:c>
      <x:c r="F306" s="45" t="n">
        <x:f>D306-E306</x:f>
        <x:v>1894372</x:v>
      </x:c>
      <x:c r="G306" s="47" t="n">
        <x:v>31</x:v>
      </x:c>
      <x:c r="H306" s="47" t="n">
        <x:v>19</x:v>
      </x:c>
      <x:c r="I306" s="45" t="n">
        <x:v>895292</x:v>
      </x:c>
      <x:c r="J306" s="47" t="n">
        <x:v>108</x:v>
      </x:c>
      <x:c r="K306" s="45" t="n">
        <x:v>-153304</x:v>
      </x:c>
      <x:c r="L306" s="45" t="n">
        <x:v>63472.21052631579</x:v>
      </x:c>
      <x:c r="M306" s="46" t="n">
        <x:v>239.903</x:v>
      </x:c>
      <x:c r="N306" s="46" t="n">
        <x:v>88.32466666666667</x:v>
      </x:c>
      <x:c r="O306" s="47" t="n">
        <x:v>5</x:v>
      </x:c>
      <x:c r="P306" s="1" t="str">
        <x:v>始値方向を残し5分支持を待つ・旧数量縮小</x:v>
      </x:c>
      <x:c r="Q306" s="47" t="n">
        <x:v>0</x:v>
      </x:c>
      <x:c r="R306" s="1" t="str">
        <x:v>全場</x:v>
      </x:c>
      <x:c r="S306" s="47" t="n">
        <x:v>50</x:v>
      </x:c>
    </x:row>
    <x:row r="307" ht="22" customHeight="1">
      <x:c r="A307" s="1" t="str">
        <x:v>日経mini</x:v>
      </x:c>
      <x:c r="B307" s="1" t="str">
        <x:v>Q01</x:v>
      </x:c>
      <x:c r="C307" s="1" t="str">
        <x:v>全50場</x:v>
      </x:c>
      <x:c r="D307" s="45" t="n">
        <x:v>2930864</x:v>
      </x:c>
      <x:c r="E307" s="45" t="n">
        <x:v>1361672</x:v>
      </x:c>
      <x:c r="F307" s="45" t="n">
        <x:f>D307-E307</x:f>
        <x:v>1569192</x:v>
      </x:c>
      <x:c r="G307" s="47" t="n">
        <x:v>16</x:v>
      </x:c>
      <x:c r="H307" s="47" t="n">
        <x:v>9</x:v>
      </x:c>
      <x:c r="I307" s="45" t="n">
        <x:v>570112</x:v>
      </x:c>
      <x:c r="J307" s="47" t="n">
        <x:v>62</x:v>
      </x:c>
      <x:c r="K307" s="45" t="n">
        <x:v>-153304</x:v>
      </x:c>
      <x:c r="L307" s="45" t="n">
        <x:v>75989.33333333333</x:v>
      </x:c>
      <x:c r="M307" s="46" t="n">
        <x:v>118.31466666666667</x:v>
      </x:c>
      <x:c r="N307" s="46" t="n">
        <x:v>153.21800000000002</x:v>
      </x:c>
      <x:c r="O307" s="47" t="n">
        <x:v>5</x:v>
      </x:c>
      <x:c r="P307" s="1" t="str">
        <x:v>始値方向を残し5分支持を待つ・旧数量縮小</x:v>
      </x:c>
      <x:c r="Q307" s="47" t="n">
        <x:v>0</x:v>
      </x:c>
      <x:c r="R307" s="1" t="str">
        <x:v>デイ</x:v>
      </x:c>
      <x:c r="S307" s="47" t="n">
        <x:v>25</x:v>
      </x:c>
    </x:row>
    <x:row r="308" ht="22" customHeight="1">
      <x:c r="A308" s="1" t="str">
        <x:v>日経mini</x:v>
      </x:c>
      <x:c r="B308" s="1" t="str">
        <x:v>Q01</x:v>
      </x:c>
      <x:c r="C308" s="1" t="str">
        <x:v>全50場</x:v>
      </x:c>
      <x:c r="D308" s="45" t="n">
        <x:v>1153632</x:v>
      </x:c>
      <x:c r="E308" s="45" t="n">
        <x:v>828452</x:v>
      </x:c>
      <x:c r="F308" s="45" t="n">
        <x:f>D308-E308</x:f>
        <x:v>325180</x:v>
      </x:c>
      <x:c r="G308" s="47" t="n">
        <x:v>15</x:v>
      </x:c>
      <x:c r="H308" s="47" t="n">
        <x:v>10</x:v>
      </x:c>
      <x:c r="I308" s="45" t="n">
        <x:v>-40978</x:v>
      </x:c>
      <x:c r="J308" s="47" t="n">
        <x:v>46</x:v>
      </x:c>
      <x:c r="K308" s="45" t="n">
        <x:v>-136152</x:v>
      </x:c>
      <x:c r="L308" s="45" t="n">
        <x:v>52206.8</x:v>
      </x:c>
      <x:c r="M308" s="46" t="n">
        <x:v>361.49133333333333</x:v>
      </x:c>
      <x:c r="N308" s="46" t="n">
        <x:v>23.43133333333333</x:v>
      </x:c>
      <x:c r="O308" s="47" t="n">
        <x:v>5</x:v>
      </x:c>
      <x:c r="P308" s="1" t="str">
        <x:v>始値方向を残し5分支持を待つ・旧数量縮小</x:v>
      </x:c>
      <x:c r="Q308" s="47" t="n">
        <x:v>0</x:v>
      </x:c>
      <x:c r="R308" s="1" t="str">
        <x:v>ナイト</x:v>
      </x:c>
      <x:c r="S308" s="47" t="n">
        <x:v>25</x:v>
      </x:c>
    </x:row>
    <x:row r="309" ht="22" customHeight="1">
      <x:c r="A309" s="1" t="str">
        <x:v>日経mini</x:v>
      </x:c>
      <x:c r="B309" s="1" t="str">
        <x:v>Q01</x:v>
      </x:c>
      <x:c r="C309" s="1" t="str">
        <x:v>全50場</x:v>
      </x:c>
      <x:c r="D309" s="45" t="n">
        <x:v>1852630</x:v>
      </x:c>
      <x:c r="E309" s="45" t="n">
        <x:v>1165754</x:v>
      </x:c>
      <x:c r="F309" s="45" t="n">
        <x:f>D309-E309</x:f>
        <x:v>686876</x:v>
      </x:c>
      <x:c r="G309" s="47" t="n">
        <x:v>14</x:v>
      </x:c>
      <x:c r="H309" s="47" t="n">
        <x:v>11</x:v>
      </x:c>
      <x:c r="I309" s="45" t="n">
        <x:v>65180</x:v>
      </x:c>
      <x:c r="J309" s="47" t="n">
        <x:v>51</x:v>
      </x:c>
      <x:c r="K309" s="45" t="n">
        <x:v>-136152</x:v>
      </x:c>
      <x:c r="L309" s="45" t="n">
        <x:v>67138.54545454546</x:v>
      </x:c>
      <x:c r="M309" s="46" t="n">
        <x:v>238.2386666666667</x:v>
      </x:c>
      <x:c r="N309" s="46" t="n">
        <x:v>78.12066666666665</x:v>
      </x:c>
      <x:c r="O309" s="47" t="n">
        <x:v>5</x:v>
      </x:c>
      <x:c r="P309" s="1" t="str">
        <x:v>始値方向を残し5分支持を待つ・旧数量縮小</x:v>
      </x:c>
      <x:c r="Q309" s="47" t="n">
        <x:v>0</x:v>
      </x:c>
      <x:c r="R309" s="1" t="str">
        <x:v>上昇</x:v>
      </x:c>
      <x:c r="S309" s="47" t="n">
        <x:v>25</x:v>
      </x:c>
    </x:row>
    <x:row r="310" ht="22" customHeight="1">
      <x:c r="A310" s="1" t="str">
        <x:v>日経mini</x:v>
      </x:c>
      <x:c r="B310" s="1" t="str">
        <x:v>Q01</x:v>
      </x:c>
      <x:c r="C310" s="1" t="str">
        <x:v>全50場</x:v>
      </x:c>
      <x:c r="D310" s="45" t="n">
        <x:v>2231866</x:v>
      </x:c>
      <x:c r="E310" s="45" t="n">
        <x:v>1024370</x:v>
      </x:c>
      <x:c r="F310" s="45" t="n">
        <x:f>D310-E310</x:f>
        <x:v>1207496</x:v>
      </x:c>
      <x:c r="G310" s="47" t="n">
        <x:v>17</x:v>
      </x:c>
      <x:c r="H310" s="47" t="n">
        <x:v>8</x:v>
      </x:c>
      <x:c r="I310" s="45" t="n">
        <x:v>304416</x:v>
      </x:c>
      <x:c r="J310" s="47" t="n">
        <x:v>57</x:v>
      </x:c>
      <x:c r="K310" s="45" t="n">
        <x:v>-153304</x:v>
      </x:c>
      <x:c r="L310" s="45" t="n">
        <x:v>58431</x:v>
      </x:c>
      <x:c r="M310" s="46" t="n">
        <x:v>241.56733333333332</x:v>
      </x:c>
      <x:c r="N310" s="46" t="n">
        <x:v>98.52866666666667</x:v>
      </x:c>
      <x:c r="O310" s="47" t="n">
        <x:v>5</x:v>
      </x:c>
      <x:c r="P310" s="1" t="str">
        <x:v>始値方向を残し5分支持を待つ・旧数量縮小</x:v>
      </x:c>
      <x:c r="Q310" s="47" t="n">
        <x:v>0</x:v>
      </x:c>
      <x:c r="R310" s="1" t="str">
        <x:v>下落</x:v>
      </x:c>
      <x:c r="S310" s="47" t="n">
        <x:v>25</x:v>
      </x:c>
    </x:row>
    <x:row r="311" ht="22" customHeight="1">
      <x:c r="A311" s="1" t="str">
        <x:v>日経mini</x:v>
      </x:c>
      <x:c r="B311" s="1" t="str">
        <x:v>Q01</x:v>
      </x:c>
      <x:c r="C311" s="1" t="str">
        <x:v>対照47場</x:v>
      </x:c>
      <x:c r="D311" s="45" t="n">
        <x:v>3950264</x:v>
      </x:c>
      <x:c r="E311" s="45" t="n">
        <x:v>2089356</x:v>
      </x:c>
      <x:c r="F311" s="45" t="n">
        <x:f>D311-E311</x:f>
        <x:v>1860908</x:v>
      </x:c>
      <x:c r="G311" s="47" t="n">
        <x:v>29</x:v>
      </x:c>
      <x:c r="H311" s="47" t="n">
        <x:v>18</x:v>
      </x:c>
      <x:c r="I311" s="45" t="n">
        <x:v>861828</x:v>
      </x:c>
      <x:c r="J311" s="47" t="n">
        <x:v>104</x:v>
      </x:c>
      <x:c r="K311" s="45" t="n">
        <x:v>-153304</x:v>
      </x:c>
      <x:c r="L311" s="45" t="n">
        <x:v>64477.11111111111</x:v>
      </x:c>
      <x:c r="M311" s="46" t="n">
        <x:v>236.93014184397165</x:v>
      </x:c>
      <x:c r="N311" s="46" t="n">
        <x:v>93.37943262411346</x:v>
      </x:c>
      <x:c r="O311" s="47" t="n">
        <x:v>5</x:v>
      </x:c>
      <x:c r="P311" s="1" t="str">
        <x:v>始値方向を残し5分支持を待つ・旧数量縮小</x:v>
      </x:c>
      <x:c r="Q311" s="47" t="n">
        <x:v>0</x:v>
      </x:c>
      <x:c r="R311" s="1" t="str">
        <x:v>全場</x:v>
      </x:c>
      <x:c r="S311" s="47" t="n">
        <x:v>47</x:v>
      </x:c>
    </x:row>
    <x:row r="312" ht="22" customHeight="1">
      <x:c r="A312" s="1" t="str">
        <x:v>日経mini</x:v>
      </x:c>
      <x:c r="B312" s="1" t="str">
        <x:v>Q01</x:v>
      </x:c>
      <x:c r="C312" s="1" t="str">
        <x:v>対照47場</x:v>
      </x:c>
      <x:c r="D312" s="45" t="n">
        <x:v>2930864</x:v>
      </x:c>
      <x:c r="E312" s="45" t="n">
        <x:v>1316288</x:v>
      </x:c>
      <x:c r="F312" s="45" t="n">
        <x:f>D312-E312</x:f>
        <x:v>1614576</x:v>
      </x:c>
      <x:c r="G312" s="47" t="n">
        <x:v>16</x:v>
      </x:c>
      <x:c r="H312" s="47" t="n">
        <x:v>8</x:v>
      </x:c>
      <x:c r="I312" s="45" t="n">
        <x:v>615496</x:v>
      </x:c>
      <x:c r="J312" s="47" t="n">
        <x:v>61</x:v>
      </x:c>
      <x:c r="K312" s="45" t="n">
        <x:v>-153304</x:v>
      </x:c>
      <x:c r="L312" s="45" t="n">
        <x:v>79815</x:v>
      </x:c>
      <x:c r="M312" s="46" t="n">
        <x:v>117.47916666666667</x:v>
      </x:c>
      <x:c r="N312" s="46" t="n">
        <x:v>159.42569444444447</x:v>
      </x:c>
      <x:c r="O312" s="47" t="n">
        <x:v>5</x:v>
      </x:c>
      <x:c r="P312" s="1" t="str">
        <x:v>始値方向を残し5分支持を待つ・旧数量縮小</x:v>
      </x:c>
      <x:c r="Q312" s="47" t="n">
        <x:v>0</x:v>
      </x:c>
      <x:c r="R312" s="1" t="str">
        <x:v>デイ</x:v>
      </x:c>
      <x:c r="S312" s="47" t="n">
        <x:v>24</x:v>
      </x:c>
    </x:row>
    <x:row r="313" ht="22" customHeight="1">
      <x:c r="A313" s="1" t="str">
        <x:v>日経mini</x:v>
      </x:c>
      <x:c r="B313" s="1" t="str">
        <x:v>Q01</x:v>
      </x:c>
      <x:c r="C313" s="1" t="str">
        <x:v>対照47場</x:v>
      </x:c>
      <x:c r="D313" s="45" t="n">
        <x:v>1019400</x:v>
      </x:c>
      <x:c r="E313" s="45" t="n">
        <x:v>773068</x:v>
      </x:c>
      <x:c r="F313" s="45" t="n">
        <x:f>D313-E313</x:f>
        <x:v>246332</x:v>
      </x:c>
      <x:c r="G313" s="47" t="n">
        <x:v>13</x:v>
      </x:c>
      <x:c r="H313" s="47" t="n">
        <x:v>10</x:v>
      </x:c>
      <x:c r="I313" s="45" t="n">
        <x:v>-119826</x:v>
      </x:c>
      <x:c r="J313" s="47" t="n">
        <x:v>43</x:v>
      </x:c>
      <x:c r="K313" s="45" t="n">
        <x:v>-136152</x:v>
      </x:c>
      <x:c r="L313" s="45" t="n">
        <x:v>52206.8</x:v>
      </x:c>
      <x:c r="M313" s="46" t="n">
        <x:v>361.57463768115946</x:v>
      </x:c>
      <x:c r="N313" s="46" t="n">
        <x:v>24.461594202898546</x:v>
      </x:c>
      <x:c r="O313" s="47" t="n">
        <x:v>5</x:v>
      </x:c>
      <x:c r="P313" s="1" t="str">
        <x:v>始値方向を残し5分支持を待つ・旧数量縮小</x:v>
      </x:c>
      <x:c r="Q313" s="47" t="n">
        <x:v>0</x:v>
      </x:c>
      <x:c r="R313" s="1" t="str">
        <x:v>ナイト</x:v>
      </x:c>
      <x:c r="S313" s="47" t="n">
        <x:v>23</x:v>
      </x:c>
    </x:row>
    <x:row r="314" ht="22" customHeight="1">
      <x:c r="A314" s="1" t="str">
        <x:v>日経mini</x:v>
      </x:c>
      <x:c r="B314" s="1" t="str">
        <x:v>Q01</x:v>
      </x:c>
      <x:c r="C314" s="1" t="str">
        <x:v>対照47場</x:v>
      </x:c>
      <x:c r="D314" s="45" t="n">
        <x:v>1823014</x:v>
      </x:c>
      <x:c r="E314" s="45" t="n">
        <x:v>1120370</x:v>
      </x:c>
      <x:c r="F314" s="45" t="n">
        <x:f>D314-E314</x:f>
        <x:v>702644</x:v>
      </x:c>
      <x:c r="G314" s="47" t="n">
        <x:v>13</x:v>
      </x:c>
      <x:c r="H314" s="47" t="n">
        <x:v>10</x:v>
      </x:c>
      <x:c r="I314" s="45" t="n">
        <x:v>80948</x:v>
      </x:c>
      <x:c r="J314" s="47" t="n">
        <x:v>49</x:v>
      </x:c>
      <x:c r="K314" s="45" t="n">
        <x:v>-136152</x:v>
      </x:c>
      <x:c r="L314" s="45" t="n">
        <x:v>69314</x:v>
      </x:c>
      <x:c r="M314" s="46" t="n">
        <x:v>237.24347826086955</x:v>
      </x:c>
      <x:c r="N314" s="46" t="n">
        <x:v>84.68260869565219</x:v>
      </x:c>
      <x:c r="O314" s="47" t="n">
        <x:v>5</x:v>
      </x:c>
      <x:c r="P314" s="1" t="str">
        <x:v>始値方向を残し5分支持を待つ・旧数量縮小</x:v>
      </x:c>
      <x:c r="Q314" s="47" t="n">
        <x:v>0</x:v>
      </x:c>
      <x:c r="R314" s="1" t="str">
        <x:v>上昇</x:v>
      </x:c>
      <x:c r="S314" s="47" t="n">
        <x:v>23</x:v>
      </x:c>
    </x:row>
    <x:row r="315" ht="22" customHeight="1">
      <x:c r="A315" s="1" t="str">
        <x:v>日経mini</x:v>
      </x:c>
      <x:c r="B315" s="1" t="str">
        <x:v>Q01</x:v>
      </x:c>
      <x:c r="C315" s="1" t="str">
        <x:v>対照47場</x:v>
      </x:c>
      <x:c r="D315" s="45" t="n">
        <x:v>2127250</x:v>
      </x:c>
      <x:c r="E315" s="45" t="n">
        <x:v>968986</x:v>
      </x:c>
      <x:c r="F315" s="45" t="n">
        <x:f>D315-E315</x:f>
        <x:v>1158264</x:v>
      </x:c>
      <x:c r="G315" s="47" t="n">
        <x:v>16</x:v>
      </x:c>
      <x:c r="H315" s="47" t="n">
        <x:v>8</x:v>
      </x:c>
      <x:c r="I315" s="45" t="n">
        <x:v>255184</x:v>
      </x:c>
      <x:c r="J315" s="47" t="n">
        <x:v>55</x:v>
      </x:c>
      <x:c r="K315" s="45" t="n">
        <x:v>-153304</x:v>
      </x:c>
      <x:c r="L315" s="45" t="n">
        <x:v>58431</x:v>
      </x:c>
      <x:c r="M315" s="46" t="n">
        <x:v>236.62986111111113</x:v>
      </x:c>
      <x:c r="N315" s="46" t="n">
        <x:v>101.71388888888889</x:v>
      </x:c>
      <x:c r="O315" s="47" t="n">
        <x:v>5</x:v>
      </x:c>
      <x:c r="P315" s="1" t="str">
        <x:v>始値方向を残し5分支持を待つ・旧数量縮小</x:v>
      </x:c>
      <x:c r="Q315" s="47" t="n">
        <x:v>0</x:v>
      </x:c>
      <x:c r="R315" s="1" t="str">
        <x:v>下落</x:v>
      </x:c>
      <x:c r="S315" s="47" t="n">
        <x:v>24</x:v>
      </x:c>
    </x:row>
    <x:row r="316" ht="22" customHeight="1">
      <x:c r="A316" s="1" t="str">
        <x:v>日経mini</x:v>
      </x:c>
      <x:c r="B316" s="1" t="str">
        <x:v>Q01</x:v>
      </x:c>
      <x:c r="C316" s="1" t="str">
        <x:v>診断3場</x:v>
      </x:c>
      <x:c r="D316" s="45" t="n">
        <x:v>134232</x:v>
      </x:c>
      <x:c r="E316" s="45" t="n">
        <x:v>100768</x:v>
      </x:c>
      <x:c r="F316" s="45" t="n">
        <x:f>D316-E316</x:f>
        <x:v>33464</x:v>
      </x:c>
      <x:c r="G316" s="47" t="n">
        <x:v>2</x:v>
      </x:c>
      <x:c r="H316" s="47" t="n">
        <x:v>1</x:v>
      </x:c>
      <x:c r="I316" s="45" t="n">
        <x:v>-45384</x:v>
      </x:c>
      <x:c r="J316" s="47" t="n">
        <x:v>4</x:v>
      </x:c>
      <x:c r="K316" s="45" t="n">
        <x:v>-45384</x:v>
      </x:c>
      <x:c r="L316" s="45" t="n">
        <x:v>45384</x:v>
      </x:c>
      <x:c r="M316" s="46" t="n">
        <x:v>286.4777777777778</x:v>
      </x:c>
      <x:c r="N316" s="46" t="n">
        <x:v>9.133333333333333</x:v>
      </x:c>
      <x:c r="O316" s="47" t="n">
        <x:v>5</x:v>
      </x:c>
      <x:c r="P316" s="1" t="str">
        <x:v>始値方向を残し5分支持を待つ・旧数量縮小</x:v>
      </x:c>
      <x:c r="Q316" s="47" t="n">
        <x:v>0</x:v>
      </x:c>
      <x:c r="R316" s="1" t="str">
        <x:v>全場</x:v>
      </x:c>
      <x:c r="S316" s="47" t="n">
        <x:v>3</x:v>
      </x:c>
    </x:row>
    <x:row r="317" ht="22" customHeight="1">
      <x:c r="A317" s="1" t="str">
        <x:v>日経mini</x:v>
      </x:c>
      <x:c r="B317" s="1" t="str">
        <x:v>Q01</x:v>
      </x:c>
      <x:c r="C317" s="1" t="str">
        <x:v>診断3場</x:v>
      </x:c>
      <x:c r="D317" s="45" t="n">
        <x:v>0</x:v>
      </x:c>
      <x:c r="E317" s="45" t="n">
        <x:v>45384</x:v>
      </x:c>
      <x:c r="F317" s="45" t="n">
        <x:f>D317-E317</x:f>
        <x:v>-45384</x:v>
      </x:c>
      <x:c r="G317" s="47" t="n">
        <x:v>0</x:v>
      </x:c>
      <x:c r="H317" s="47" t="n">
        <x:v>1</x:v>
      </x:c>
      <x:c r="I317" s="45" t="n">
        <x:v>-45384</x:v>
      </x:c>
      <x:c r="J317" s="47" t="n">
        <x:v>1</x:v>
      </x:c>
      <x:c r="K317" s="45" t="n">
        <x:v>-45384</x:v>
      </x:c>
      <x:c r="L317" s="45" t="n">
        <x:v>45384</x:v>
      </x:c>
      <x:c r="M317" s="46" t="n">
        <x:v>138.36666666666667</x:v>
      </x:c>
      <x:c r="N317" s="46" t="n">
        <x:v>4.233333333333333</x:v>
      </x:c>
      <x:c r="O317" s="47" t="n">
        <x:v>5</x:v>
      </x:c>
      <x:c r="P317" s="1" t="str">
        <x:v>始値方向を残し5分支持を待つ・旧数量縮小</x:v>
      </x:c>
      <x:c r="Q317" s="47" t="n">
        <x:v>0</x:v>
      </x:c>
      <x:c r="R317" s="1" t="str">
        <x:v>デイ</x:v>
      </x:c>
      <x:c r="S317" s="47" t="n">
        <x:v>1</x:v>
      </x:c>
    </x:row>
    <x:row r="318" ht="22" customHeight="1">
      <x:c r="A318" s="1" t="str">
        <x:v>日経mini</x:v>
      </x:c>
      <x:c r="B318" s="1" t="str">
        <x:v>Q01</x:v>
      </x:c>
      <x:c r="C318" s="1" t="str">
        <x:v>診断3場</x:v>
      </x:c>
      <x:c r="D318" s="45" t="n">
        <x:v>134232</x:v>
      </x:c>
      <x:c r="E318" s="45" t="n">
        <x:v>55384</x:v>
      </x:c>
      <x:c r="F318" s="45" t="n">
        <x:f>D318-E318</x:f>
        <x:v>78848</x:v>
      </x:c>
      <x:c r="G318" s="47" t="n">
        <x:v>2</x:v>
      </x:c>
      <x:c r="H318" s="47" t="n">
        <x:v>0</x:v>
      </x:c>
      <x:c r="I318" s="45" t="n">
        <x:v>0</x:v>
      </x:c>
      <x:c r="J318" s="47" t="n">
        <x:v>3</x:v>
      </x:c>
      <x:c r="K318" s="45" t="n">
        <x:v>29616</x:v>
      </x:c>
      <x:c r="L318" s="45" t="n">
        <x:v>0</x:v>
      </x:c>
      <x:c r="M318" s="46" t="n">
        <x:v>360.5333333333333</x:v>
      </x:c>
      <x:c r="N318" s="46" t="n">
        <x:v>11.583333333333332</x:v>
      </x:c>
      <x:c r="O318" s="47" t="n">
        <x:v>5</x:v>
      </x:c>
      <x:c r="P318" s="1" t="str">
        <x:v>始値方向を残し5分支持を待つ・旧数量縮小</x:v>
      </x:c>
      <x:c r="Q318" s="47" t="n">
        <x:v>0</x:v>
      </x:c>
      <x:c r="R318" s="1" t="str">
        <x:v>ナイト</x:v>
      </x:c>
      <x:c r="S318" s="47" t="n">
        <x:v>2</x:v>
      </x:c>
    </x:row>
    <x:row r="319" ht="22" customHeight="1">
      <x:c r="A319" s="1" t="str">
        <x:v>日経mini</x:v>
      </x:c>
      <x:c r="B319" s="1" t="str">
        <x:v>Q01</x:v>
      </x:c>
      <x:c r="C319" s="1" t="str">
        <x:v>診断3場</x:v>
      </x:c>
      <x:c r="D319" s="45" t="n">
        <x:v>29616</x:v>
      </x:c>
      <x:c r="E319" s="45" t="n">
        <x:v>45384</x:v>
      </x:c>
      <x:c r="F319" s="45" t="n">
        <x:f>D319-E319</x:f>
        <x:v>-15768</x:v>
      </x:c>
      <x:c r="G319" s="47" t="n">
        <x:v>1</x:v>
      </x:c>
      <x:c r="H319" s="47" t="n">
        <x:v>1</x:v>
      </x:c>
      <x:c r="I319" s="45" t="n">
        <x:v>-45384</x:v>
      </x:c>
      <x:c r="J319" s="47" t="n">
        <x:v>2</x:v>
      </x:c>
      <x:c r="K319" s="45" t="n">
        <x:v>-45384</x:v>
      </x:c>
      <x:c r="L319" s="45" t="n">
        <x:v>45384</x:v>
      </x:c>
      <x:c r="M319" s="46" t="n">
        <x:v>249.68333333333334</x:v>
      </x:c>
      <x:c r="N319" s="46" t="n">
        <x:v>2.658333333333333</x:v>
      </x:c>
      <x:c r="O319" s="47" t="n">
        <x:v>5</x:v>
      </x:c>
      <x:c r="P319" s="1" t="str">
        <x:v>始値方向を残し5分支持を待つ・旧数量縮小</x:v>
      </x:c>
      <x:c r="Q319" s="47" t="n">
        <x:v>0</x:v>
      </x:c>
      <x:c r="R319" s="1" t="str">
        <x:v>上昇</x:v>
      </x:c>
      <x:c r="S319" s="47" t="n">
        <x:v>2</x:v>
      </x:c>
    </x:row>
    <x:row r="320" ht="22" customHeight="1">
      <x:c r="A320" s="1" t="str">
        <x:v>日経mini</x:v>
      </x:c>
      <x:c r="B320" s="1" t="str">
        <x:v>Q01</x:v>
      </x:c>
      <x:c r="C320" s="1" t="str">
        <x:v>診断3場</x:v>
      </x:c>
      <x:c r="D320" s="45" t="n">
        <x:v>104616</x:v>
      </x:c>
      <x:c r="E320" s="45" t="n">
        <x:v>55384</x:v>
      </x:c>
      <x:c r="F320" s="45" t="n">
        <x:f>D320-E320</x:f>
        <x:v>49232</x:v>
      </x:c>
      <x:c r="G320" s="47" t="n">
        <x:v>1</x:v>
      </x:c>
      <x:c r="H320" s="47" t="n">
        <x:v>0</x:v>
      </x:c>
      <x:c r="I320" s="45" t="n">
        <x:v>0</x:v>
      </x:c>
      <x:c r="J320" s="47" t="n">
        <x:v>2</x:v>
      </x:c>
      <x:c r="K320" s="45" t="n">
        <x:v>49232</x:v>
      </x:c>
      <x:c r="L320" s="45" t="n">
        <x:v>0</x:v>
      </x:c>
      <x:c r="M320" s="46" t="n">
        <x:v>360.06666666666666</x:v>
      </x:c>
      <x:c r="N320" s="46" t="n">
        <x:v>22.083333333333332</x:v>
      </x:c>
      <x:c r="O320" s="47" t="n">
        <x:v>5</x:v>
      </x:c>
      <x:c r="P320" s="1" t="str">
        <x:v>始値方向を残し5分支持を待つ・旧数量縮小</x:v>
      </x:c>
      <x:c r="Q320" s="47" t="n">
        <x:v>0</x:v>
      </x:c>
      <x:c r="R320" s="1" t="str">
        <x:v>下落</x:v>
      </x:c>
      <x:c r="S320" s="47" t="n">
        <x:v>1</x:v>
      </x:c>
    </x:row>
    <x:row r="321" ht="22" customHeight="1">
      <x:c r="A321" s="1" t="str">
        <x:v>日経mini</x:v>
      </x:c>
      <x:c r="B321" s="1" t="str">
        <x:v>Q02</x:v>
      </x:c>
      <x:c r="C321" s="1" t="str">
        <x:v>全50場</x:v>
      </x:c>
      <x:c r="D321" s="45" t="n">
        <x:v>4032956</x:v>
      </x:c>
      <x:c r="E321" s="45" t="n">
        <x:v>2245508</x:v>
      </x:c>
      <x:c r="F321" s="45" t="n">
        <x:f>D321-E321</x:f>
        <x:v>1787448</x:v>
      </x:c>
      <x:c r="G321" s="47" t="n">
        <x:v>30</x:v>
      </x:c>
      <x:c r="H321" s="47" t="n">
        <x:v>20</x:v>
      </x:c>
      <x:c r="I321" s="45" t="n">
        <x:v>788368</x:v>
      </x:c>
      <x:c r="J321" s="47" t="n">
        <x:v>108</x:v>
      </x:c>
      <x:c r="K321" s="45" t="n">
        <x:v>-153304</x:v>
      </x:c>
      <x:c r="L321" s="45" t="n">
        <x:v>61606.2</x:v>
      </x:c>
      <x:c r="M321" s="46" t="n">
        <x:v>240.16100000000003</x:v>
      </x:c>
      <x:c r="N321" s="46" t="n">
        <x:v>88.62500000000001</x:v>
      </x:c>
      <x:c r="O321" s="47" t="n">
        <x:v>5</x:v>
      </x:c>
      <x:c r="P321" s="1" t="str">
        <x:v>20分合議を優先し5分逆行を待つ・旧数量縮小</x:v>
      </x:c>
      <x:c r="Q321" s="47" t="n">
        <x:v>0</x:v>
      </x:c>
      <x:c r="R321" s="1" t="str">
        <x:v>全場</x:v>
      </x:c>
      <x:c r="S321" s="47" t="n">
        <x:v>50</x:v>
      </x:c>
    </x:row>
    <x:row r="322" ht="22" customHeight="1">
      <x:c r="A322" s="1" t="str">
        <x:v>日経mini</x:v>
      </x:c>
      <x:c r="B322" s="1" t="str">
        <x:v>Q02</x:v>
      </x:c>
      <x:c r="C322" s="1" t="str">
        <x:v>全50場</x:v>
      </x:c>
      <x:c r="D322" s="45" t="n">
        <x:v>2930864</x:v>
      </x:c>
      <x:c r="E322" s="45" t="n">
        <x:v>1361672</x:v>
      </x:c>
      <x:c r="F322" s="45" t="n">
        <x:f>D322-E322</x:f>
        <x:v>1569192</x:v>
      </x:c>
      <x:c r="G322" s="47" t="n">
        <x:v>16</x:v>
      </x:c>
      <x:c r="H322" s="47" t="n">
        <x:v>9</x:v>
      </x:c>
      <x:c r="I322" s="45" t="n">
        <x:v>570112</x:v>
      </x:c>
      <x:c r="J322" s="47" t="n">
        <x:v>62</x:v>
      </x:c>
      <x:c r="K322" s="45" t="n">
        <x:v>-153304</x:v>
      </x:c>
      <x:c r="L322" s="45" t="n">
        <x:v>75989.33333333333</x:v>
      </x:c>
      <x:c r="M322" s="46" t="n">
        <x:v>118.31466666666667</x:v>
      </x:c>
      <x:c r="N322" s="46" t="n">
        <x:v>153.21800000000002</x:v>
      </x:c>
      <x:c r="O322" s="47" t="n">
        <x:v>5</x:v>
      </x:c>
      <x:c r="P322" s="1" t="str">
        <x:v>20分合議を優先し5分逆行を待つ・旧数量縮小</x:v>
      </x:c>
      <x:c r="Q322" s="47" t="n">
        <x:v>0</x:v>
      </x:c>
      <x:c r="R322" s="1" t="str">
        <x:v>デイ</x:v>
      </x:c>
      <x:c r="S322" s="47" t="n">
        <x:v>25</x:v>
      </x:c>
    </x:row>
    <x:row r="323" ht="22" customHeight="1">
      <x:c r="A323" s="1" t="str">
        <x:v>日経mini</x:v>
      </x:c>
      <x:c r="B323" s="1" t="str">
        <x:v>Q02</x:v>
      </x:c>
      <x:c r="C323" s="1" t="str">
        <x:v>全50場</x:v>
      </x:c>
      <x:c r="D323" s="45" t="n">
        <x:v>1102092</x:v>
      </x:c>
      <x:c r="E323" s="45" t="n">
        <x:v>883836</x:v>
      </x:c>
      <x:c r="F323" s="45" t="n">
        <x:f>D323-E323</x:f>
        <x:v>218256</x:v>
      </x:c>
      <x:c r="G323" s="47" t="n">
        <x:v>14</x:v>
      </x:c>
      <x:c r="H323" s="47" t="n">
        <x:v>11</x:v>
      </x:c>
      <x:c r="I323" s="45" t="n">
        <x:v>-157902</x:v>
      </x:c>
      <x:c r="J323" s="47" t="n">
        <x:v>46</x:v>
      </x:c>
      <x:c r="K323" s="45" t="n">
        <x:v>-136152</x:v>
      </x:c>
      <x:c r="L323" s="45" t="n">
        <x:v>49838.181818181816</x:v>
      </x:c>
      <x:c r="M323" s="46" t="n">
        <x:v>362.0073333333333</x:v>
      </x:c>
      <x:c r="N323" s="46" t="n">
        <x:v>24.031999999999996</x:v>
      </x:c>
      <x:c r="O323" s="47" t="n">
        <x:v>5</x:v>
      </x:c>
      <x:c r="P323" s="1" t="str">
        <x:v>20分合議を優先し5分逆行を待つ・旧数量縮小</x:v>
      </x:c>
      <x:c r="Q323" s="47" t="n">
        <x:v>0</x:v>
      </x:c>
      <x:c r="R323" s="1" t="str">
        <x:v>ナイト</x:v>
      </x:c>
      <x:c r="S323" s="47" t="n">
        <x:v>25</x:v>
      </x:c>
    </x:row>
    <x:row r="324" ht="22" customHeight="1">
      <x:c r="A324" s="1" t="str">
        <x:v>日経mini</x:v>
      </x:c>
      <x:c r="B324" s="1" t="str">
        <x:v>Q02</x:v>
      </x:c>
      <x:c r="C324" s="1" t="str">
        <x:v>全50場</x:v>
      </x:c>
      <x:c r="D324" s="45" t="n">
        <x:v>1818014</x:v>
      </x:c>
      <x:c r="E324" s="45" t="n">
        <x:v>1216138</x:v>
      </x:c>
      <x:c r="F324" s="45" t="n">
        <x:f>D324-E324</x:f>
        <x:v>601876</x:v>
      </x:c>
      <x:c r="G324" s="47" t="n">
        <x:v>13</x:v>
      </x:c>
      <x:c r="H324" s="47" t="n">
        <x:v>12</x:v>
      </x:c>
      <x:c r="I324" s="45" t="n">
        <x:v>-19820</x:v>
      </x:c>
      <x:c r="J324" s="47" t="n">
        <x:v>51</x:v>
      </x:c>
      <x:c r="K324" s="45" t="n">
        <x:v>-136152</x:v>
      </x:c>
      <x:c r="L324" s="45" t="n">
        <x:v>63723</x:v>
      </x:c>
      <x:c r="M324" s="46" t="n">
        <x:v>237.99733333333333</x:v>
      </x:c>
      <x:c r="N324" s="46" t="n">
        <x:v>78.01799999999999</x:v>
      </x:c>
      <x:c r="O324" s="47" t="n">
        <x:v>5</x:v>
      </x:c>
      <x:c r="P324" s="1" t="str">
        <x:v>20分合議を優先し5分逆行を待つ・旧数量縮小</x:v>
      </x:c>
      <x:c r="Q324" s="47" t="n">
        <x:v>0</x:v>
      </x:c>
      <x:c r="R324" s="1" t="str">
        <x:v>上昇</x:v>
      </x:c>
      <x:c r="S324" s="47" t="n">
        <x:v>25</x:v>
      </x:c>
    </x:row>
    <x:row r="325" ht="22" customHeight="1">
      <x:c r="A325" s="1" t="str">
        <x:v>日経mini</x:v>
      </x:c>
      <x:c r="B325" s="1" t="str">
        <x:v>Q02</x:v>
      </x:c>
      <x:c r="C325" s="1" t="str">
        <x:v>全50場</x:v>
      </x:c>
      <x:c r="D325" s="45" t="n">
        <x:v>2214942</x:v>
      </x:c>
      <x:c r="E325" s="45" t="n">
        <x:v>1029370</x:v>
      </x:c>
      <x:c r="F325" s="45" t="n">
        <x:f>D325-E325</x:f>
        <x:v>1185572</x:v>
      </x:c>
      <x:c r="G325" s="47" t="n">
        <x:v>17</x:v>
      </x:c>
      <x:c r="H325" s="47" t="n">
        <x:v>8</x:v>
      </x:c>
      <x:c r="I325" s="45" t="n">
        <x:v>282492</x:v>
      </x:c>
      <x:c r="J325" s="47" t="n">
        <x:v>57</x:v>
      </x:c>
      <x:c r="K325" s="45" t="n">
        <x:v>-153304</x:v>
      </x:c>
      <x:c r="L325" s="45" t="n">
        <x:v>58431</x:v>
      </x:c>
      <x:c r="M325" s="46" t="n">
        <x:v>242.32466666666667</x:v>
      </x:c>
      <x:c r="N325" s="46" t="n">
        <x:v>99.23199999999999</x:v>
      </x:c>
      <x:c r="O325" s="47" t="n">
        <x:v>5</x:v>
      </x:c>
      <x:c r="P325" s="1" t="str">
        <x:v>20分合議を優先し5分逆行を待つ・旧数量縮小</x:v>
      </x:c>
      <x:c r="Q325" s="47" t="n">
        <x:v>0</x:v>
      </x:c>
      <x:c r="R325" s="1" t="str">
        <x:v>下落</x:v>
      </x:c>
      <x:c r="S325" s="47" t="n">
        <x:v>25</x:v>
      </x:c>
    </x:row>
    <x:row r="326" ht="22" customHeight="1">
      <x:c r="A326" s="1" t="str">
        <x:v>日経mini</x:v>
      </x:c>
      <x:c r="B326" s="1" t="str">
        <x:v>Q02</x:v>
      </x:c>
      <x:c r="C326" s="1" t="str">
        <x:v>対照47場</x:v>
      </x:c>
      <x:c r="D326" s="45" t="n">
        <x:v>3893724</x:v>
      </x:c>
      <x:c r="E326" s="45" t="n">
        <x:v>2139740</x:v>
      </x:c>
      <x:c r="F326" s="45" t="n">
        <x:f>D326-E326</x:f>
        <x:v>1753984</x:v>
      </x:c>
      <x:c r="G326" s="47" t="n">
        <x:v>28</x:v>
      </x:c>
      <x:c r="H326" s="47" t="n">
        <x:v>19</x:v>
      </x:c>
      <x:c r="I326" s="45" t="n">
        <x:v>754904</x:v>
      </x:c>
      <x:c r="J326" s="47" t="n">
        <x:v>104</x:v>
      </x:c>
      <x:c r="K326" s="45" t="n">
        <x:v>-153304</x:v>
      </x:c>
      <x:c r="L326" s="45" t="n">
        <x:v>62460</x:v>
      </x:c>
      <x:c r="M326" s="46" t="n">
        <x:v>237.1617021276596</x:v>
      </x:c>
      <x:c r="N326" s="46" t="n">
        <x:v>93.75248226950355</x:v>
      </x:c>
      <x:c r="O326" s="47" t="n">
        <x:v>5</x:v>
      </x:c>
      <x:c r="P326" s="1" t="str">
        <x:v>20分合議を優先し5分逆行を待つ・旧数量縮小</x:v>
      </x:c>
      <x:c r="Q326" s="47" t="n">
        <x:v>0</x:v>
      </x:c>
      <x:c r="R326" s="1" t="str">
        <x:v>全場</x:v>
      </x:c>
      <x:c r="S326" s="47" t="n">
        <x:v>47</x:v>
      </x:c>
    </x:row>
    <x:row r="327" ht="22" customHeight="1">
      <x:c r="A327" s="1" t="str">
        <x:v>日経mini</x:v>
      </x:c>
      <x:c r="B327" s="1" t="str">
        <x:v>Q02</x:v>
      </x:c>
      <x:c r="C327" s="1" t="str">
        <x:v>対照47場</x:v>
      </x:c>
      <x:c r="D327" s="45" t="n">
        <x:v>2930864</x:v>
      </x:c>
      <x:c r="E327" s="45" t="n">
        <x:v>1316288</x:v>
      </x:c>
      <x:c r="F327" s="45" t="n">
        <x:f>D327-E327</x:f>
        <x:v>1614576</x:v>
      </x:c>
      <x:c r="G327" s="47" t="n">
        <x:v>16</x:v>
      </x:c>
      <x:c r="H327" s="47" t="n">
        <x:v>8</x:v>
      </x:c>
      <x:c r="I327" s="45" t="n">
        <x:v>615496</x:v>
      </x:c>
      <x:c r="J327" s="47" t="n">
        <x:v>61</x:v>
      </x:c>
      <x:c r="K327" s="45" t="n">
        <x:v>-153304</x:v>
      </x:c>
      <x:c r="L327" s="45" t="n">
        <x:v>79815</x:v>
      </x:c>
      <x:c r="M327" s="46" t="n">
        <x:v>117.47916666666667</x:v>
      </x:c>
      <x:c r="N327" s="46" t="n">
        <x:v>159.42569444444447</x:v>
      </x:c>
      <x:c r="O327" s="47" t="n">
        <x:v>5</x:v>
      </x:c>
      <x:c r="P327" s="1" t="str">
        <x:v>20分合議を優先し5分逆行を待つ・旧数量縮小</x:v>
      </x:c>
      <x:c r="Q327" s="47" t="n">
        <x:v>0</x:v>
      </x:c>
      <x:c r="R327" s="1" t="str">
        <x:v>デイ</x:v>
      </x:c>
      <x:c r="S327" s="47" t="n">
        <x:v>24</x:v>
      </x:c>
    </x:row>
    <x:row r="328" ht="22" customHeight="1">
      <x:c r="A328" s="1" t="str">
        <x:v>日経mini</x:v>
      </x:c>
      <x:c r="B328" s="1" t="str">
        <x:v>Q02</x:v>
      </x:c>
      <x:c r="C328" s="1" t="str">
        <x:v>対照47場</x:v>
      </x:c>
      <x:c r="D328" s="45" t="n">
        <x:v>962860</x:v>
      </x:c>
      <x:c r="E328" s="45" t="n">
        <x:v>823452</x:v>
      </x:c>
      <x:c r="F328" s="45" t="n">
        <x:f>D328-E328</x:f>
        <x:v>139408</x:v>
      </x:c>
      <x:c r="G328" s="47" t="n">
        <x:v>12</x:v>
      </x:c>
      <x:c r="H328" s="47" t="n">
        <x:v>11</x:v>
      </x:c>
      <x:c r="I328" s="45" t="n">
        <x:v>-236750</x:v>
      </x:c>
      <x:c r="J328" s="47" t="n">
        <x:v>43</x:v>
      </x:c>
      <x:c r="K328" s="45" t="n">
        <x:v>-136152</x:v>
      </x:c>
      <x:c r="L328" s="45" t="n">
        <x:v>49838.181818181816</x:v>
      </x:c>
      <x:c r="M328" s="46" t="n">
        <x:v>362.04782608695655</x:v>
      </x:c>
      <x:c r="N328" s="46" t="n">
        <x:v>25.22391304347826</x:v>
      </x:c>
      <x:c r="O328" s="47" t="n">
        <x:v>5</x:v>
      </x:c>
      <x:c r="P328" s="1" t="str">
        <x:v>20分合議を優先し5分逆行を待つ・旧数量縮小</x:v>
      </x:c>
      <x:c r="Q328" s="47" t="n">
        <x:v>0</x:v>
      </x:c>
      <x:c r="R328" s="1" t="str">
        <x:v>ナイト</x:v>
      </x:c>
      <x:c r="S328" s="47" t="n">
        <x:v>23</x:v>
      </x:c>
    </x:row>
    <x:row r="329" ht="22" customHeight="1">
      <x:c r="A329" s="1" t="str">
        <x:v>日経mini</x:v>
      </x:c>
      <x:c r="B329" s="1" t="str">
        <x:v>Q02</x:v>
      </x:c>
      <x:c r="C329" s="1" t="str">
        <x:v>対照47場</x:v>
      </x:c>
      <x:c r="D329" s="45" t="n">
        <x:v>1783398</x:v>
      </x:c>
      <x:c r="E329" s="45" t="n">
        <x:v>1170754</x:v>
      </x:c>
      <x:c r="F329" s="45" t="n">
        <x:f>D329-E329</x:f>
        <x:v>612644</x:v>
      </x:c>
      <x:c r="G329" s="47" t="n">
        <x:v>12</x:v>
      </x:c>
      <x:c r="H329" s="47" t="n">
        <x:v>11</x:v>
      </x:c>
      <x:c r="I329" s="45" t="n">
        <x:v>-9052</x:v>
      </x:c>
      <x:c r="J329" s="47" t="n">
        <x:v>49</x:v>
      </x:c>
      <x:c r="K329" s="45" t="n">
        <x:v>-136152</x:v>
      </x:c>
      <x:c r="L329" s="45" t="n">
        <x:v>65390.181818181816</x:v>
      </x:c>
      <x:c r="M329" s="46" t="n">
        <x:v>237.02318840579707</x:v>
      </x:c>
      <x:c r="N329" s="46" t="n">
        <x:v>84.52898550724639</x:v>
      </x:c>
      <x:c r="O329" s="47" t="n">
        <x:v>5</x:v>
      </x:c>
      <x:c r="P329" s="1" t="str">
        <x:v>20分合議を優先し5分逆行を待つ・旧数量縮小</x:v>
      </x:c>
      <x:c r="Q329" s="47" t="n">
        <x:v>0</x:v>
      </x:c>
      <x:c r="R329" s="1" t="str">
        <x:v>上昇</x:v>
      </x:c>
      <x:c r="S329" s="47" t="n">
        <x:v>23</x:v>
      </x:c>
    </x:row>
    <x:row r="330" ht="22" customHeight="1">
      <x:c r="A330" s="1" t="str">
        <x:v>日経mini</x:v>
      </x:c>
      <x:c r="B330" s="1" t="str">
        <x:v>Q02</x:v>
      </x:c>
      <x:c r="C330" s="1" t="str">
        <x:v>対照47場</x:v>
      </x:c>
      <x:c r="D330" s="45" t="n">
        <x:v>2110326</x:v>
      </x:c>
      <x:c r="E330" s="45" t="n">
        <x:v>968986</x:v>
      </x:c>
      <x:c r="F330" s="45" t="n">
        <x:f>D330-E330</x:f>
        <x:v>1141340</x:v>
      </x:c>
      <x:c r="G330" s="47" t="n">
        <x:v>16</x:v>
      </x:c>
      <x:c r="H330" s="47" t="n">
        <x:v>8</x:v>
      </x:c>
      <x:c r="I330" s="45" t="n">
        <x:v>238260</x:v>
      </x:c>
      <x:c r="J330" s="47" t="n">
        <x:v>55</x:v>
      </x:c>
      <x:c r="K330" s="45" t="n">
        <x:v>-153304</x:v>
      </x:c>
      <x:c r="L330" s="45" t="n">
        <x:v>58431</x:v>
      </x:c>
      <x:c r="M330" s="46" t="n">
        <x:v>237.29444444444445</x:v>
      </x:c>
      <x:c r="N330" s="46" t="n">
        <x:v>102.59166666666665</x:v>
      </x:c>
      <x:c r="O330" s="47" t="n">
        <x:v>5</x:v>
      </x:c>
      <x:c r="P330" s="1" t="str">
        <x:v>20分合議を優先し5分逆行を待つ・旧数量縮小</x:v>
      </x:c>
      <x:c r="Q330" s="47" t="n">
        <x:v>0</x:v>
      </x:c>
      <x:c r="R330" s="1" t="str">
        <x:v>下落</x:v>
      </x:c>
      <x:c r="S330" s="47" t="n">
        <x:v>24</x:v>
      </x:c>
    </x:row>
    <x:row r="331" ht="22" customHeight="1">
      <x:c r="A331" s="1" t="str">
        <x:v>日経mini</x:v>
      </x:c>
      <x:c r="B331" s="1" t="str">
        <x:v>Q02</x:v>
      </x:c>
      <x:c r="C331" s="1" t="str">
        <x:v>診断3場</x:v>
      </x:c>
      <x:c r="D331" s="45" t="n">
        <x:v>139232</x:v>
      </x:c>
      <x:c r="E331" s="45" t="n">
        <x:v>105768</x:v>
      </x:c>
      <x:c r="F331" s="45" t="n">
        <x:f>D331-E331</x:f>
        <x:v>33464</x:v>
      </x:c>
      <x:c r="G331" s="47" t="n">
        <x:v>2</x:v>
      </x:c>
      <x:c r="H331" s="47" t="n">
        <x:v>1</x:v>
      </x:c>
      <x:c r="I331" s="45" t="n">
        <x:v>-45384</x:v>
      </x:c>
      <x:c r="J331" s="47" t="n">
        <x:v>4</x:v>
      </x:c>
      <x:c r="K331" s="45" t="n">
        <x:v>-45384</x:v>
      </x:c>
      <x:c r="L331" s="45" t="n">
        <x:v>45384</x:v>
      </x:c>
      <x:c r="M331" s="46" t="n">
        <x:v>287.15000000000003</x:v>
      </x:c>
      <x:c r="N331" s="46" t="n">
        <x:v>8.294444444444446</x:v>
      </x:c>
      <x:c r="O331" s="47" t="n">
        <x:v>5</x:v>
      </x:c>
      <x:c r="P331" s="1" t="str">
        <x:v>20分合議を優先し5分逆行を待つ・旧数量縮小</x:v>
      </x:c>
      <x:c r="Q331" s="47" t="n">
        <x:v>0</x:v>
      </x:c>
      <x:c r="R331" s="1" t="str">
        <x:v>全場</x:v>
      </x:c>
      <x:c r="S331" s="47" t="n">
        <x:v>3</x:v>
      </x:c>
    </x:row>
    <x:row r="332" ht="22" customHeight="1">
      <x:c r="A332" s="1" t="str">
        <x:v>日経mini</x:v>
      </x:c>
      <x:c r="B332" s="1" t="str">
        <x:v>Q02</x:v>
      </x:c>
      <x:c r="C332" s="1" t="str">
        <x:v>診断3場</x:v>
      </x:c>
      <x:c r="D332" s="45" t="n">
        <x:v>0</x:v>
      </x:c>
      <x:c r="E332" s="45" t="n">
        <x:v>45384</x:v>
      </x:c>
      <x:c r="F332" s="45" t="n">
        <x:f>D332-E332</x:f>
        <x:v>-45384</x:v>
      </x:c>
      <x:c r="G332" s="47" t="n">
        <x:v>0</x:v>
      </x:c>
      <x:c r="H332" s="47" t="n">
        <x:v>1</x:v>
      </x:c>
      <x:c r="I332" s="45" t="n">
        <x:v>-45384</x:v>
      </x:c>
      <x:c r="J332" s="47" t="n">
        <x:v>1</x:v>
      </x:c>
      <x:c r="K332" s="45" t="n">
        <x:v>-45384</x:v>
      </x:c>
      <x:c r="L332" s="45" t="n">
        <x:v>45384</x:v>
      </x:c>
      <x:c r="M332" s="46" t="n">
        <x:v>138.36666666666667</x:v>
      </x:c>
      <x:c r="N332" s="46" t="n">
        <x:v>4.233333333333333</x:v>
      </x:c>
      <x:c r="O332" s="47" t="n">
        <x:v>5</x:v>
      </x:c>
      <x:c r="P332" s="1" t="str">
        <x:v>20分合議を優先し5分逆行を待つ・旧数量縮小</x:v>
      </x:c>
      <x:c r="Q332" s="47" t="n">
        <x:v>0</x:v>
      </x:c>
      <x:c r="R332" s="1" t="str">
        <x:v>デイ</x:v>
      </x:c>
      <x:c r="S332" s="47" t="n">
        <x:v>1</x:v>
      </x:c>
    </x:row>
    <x:row r="333" ht="22" customHeight="1">
      <x:c r="A333" s="1" t="str">
        <x:v>日経mini</x:v>
      </x:c>
      <x:c r="B333" s="1" t="str">
        <x:v>Q02</x:v>
      </x:c>
      <x:c r="C333" s="1" t="str">
        <x:v>診断3場</x:v>
      </x:c>
      <x:c r="D333" s="45" t="n">
        <x:v>139232</x:v>
      </x:c>
      <x:c r="E333" s="45" t="n">
        <x:v>60384</x:v>
      </x:c>
      <x:c r="F333" s="45" t="n">
        <x:f>D333-E333</x:f>
        <x:v>78848</x:v>
      </x:c>
      <x:c r="G333" s="47" t="n">
        <x:v>2</x:v>
      </x:c>
      <x:c r="H333" s="47" t="n">
        <x:v>0</x:v>
      </x:c>
      <x:c r="I333" s="45" t="n">
        <x:v>0</x:v>
      </x:c>
      <x:c r="J333" s="47" t="n">
        <x:v>3</x:v>
      </x:c>
      <x:c r="K333" s="45" t="n">
        <x:v>34616</x:v>
      </x:c>
      <x:c r="L333" s="45" t="n">
        <x:v>0</x:v>
      </x:c>
      <x:c r="M333" s="46" t="n">
        <x:v>361.5416666666667</x:v>
      </x:c>
      <x:c r="N333" s="46" t="n">
        <x:v>10.325000000000001</x:v>
      </x:c>
      <x:c r="O333" s="47" t="n">
        <x:v>5</x:v>
      </x:c>
      <x:c r="P333" s="1" t="str">
        <x:v>20分合議を優先し5分逆行を待つ・旧数量縮小</x:v>
      </x:c>
      <x:c r="Q333" s="47" t="n">
        <x:v>0</x:v>
      </x:c>
      <x:c r="R333" s="1" t="str">
        <x:v>ナイト</x:v>
      </x:c>
      <x:c r="S333" s="47" t="n">
        <x:v>2</x:v>
      </x:c>
    </x:row>
    <x:row r="334" ht="22" customHeight="1">
      <x:c r="A334" s="1" t="str">
        <x:v>日経mini</x:v>
      </x:c>
      <x:c r="B334" s="1" t="str">
        <x:v>Q02</x:v>
      </x:c>
      <x:c r="C334" s="1" t="str">
        <x:v>診断3場</x:v>
      </x:c>
      <x:c r="D334" s="45" t="n">
        <x:v>34616</x:v>
      </x:c>
      <x:c r="E334" s="45" t="n">
        <x:v>45384</x:v>
      </x:c>
      <x:c r="F334" s="45" t="n">
        <x:f>D334-E334</x:f>
        <x:v>-10768</x:v>
      </x:c>
      <x:c r="G334" s="47" t="n">
        <x:v>1</x:v>
      </x:c>
      <x:c r="H334" s="47" t="n">
        <x:v>1</x:v>
      </x:c>
      <x:c r="I334" s="45" t="n">
        <x:v>-45384</x:v>
      </x:c>
      <x:c r="J334" s="47" t="n">
        <x:v>2</x:v>
      </x:c>
      <x:c r="K334" s="45" t="n">
        <x:v>-45384</x:v>
      </x:c>
      <x:c r="L334" s="45" t="n">
        <x:v>45384</x:v>
      </x:c>
      <x:c r="M334" s="46" t="n">
        <x:v>249.20000000000002</x:v>
      </x:c>
      <x:c r="N334" s="46" t="n">
        <x:v>3.1416666666666666</x:v>
      </x:c>
      <x:c r="O334" s="47" t="n">
        <x:v>5</x:v>
      </x:c>
      <x:c r="P334" s="1" t="str">
        <x:v>20分合議を優先し5分逆行を待つ・旧数量縮小</x:v>
      </x:c>
      <x:c r="Q334" s="47" t="n">
        <x:v>0</x:v>
      </x:c>
      <x:c r="R334" s="1" t="str">
        <x:v>上昇</x:v>
      </x:c>
      <x:c r="S334" s="47" t="n">
        <x:v>2</x:v>
      </x:c>
    </x:row>
    <x:row r="335" ht="22" customHeight="1">
      <x:c r="A335" s="1" t="str">
        <x:v>日経mini</x:v>
      </x:c>
      <x:c r="B335" s="1" t="str">
        <x:v>Q02</x:v>
      </x:c>
      <x:c r="C335" s="1" t="str">
        <x:v>診断3場</x:v>
      </x:c>
      <x:c r="D335" s="45" t="n">
        <x:v>104616</x:v>
      </x:c>
      <x:c r="E335" s="45" t="n">
        <x:v>60384</x:v>
      </x:c>
      <x:c r="F335" s="45" t="n">
        <x:f>D335-E335</x:f>
        <x:v>44232</x:v>
      </x:c>
      <x:c r="G335" s="47" t="n">
        <x:v>1</x:v>
      </x:c>
      <x:c r="H335" s="47" t="n">
        <x:v>0</x:v>
      </x:c>
      <x:c r="I335" s="45" t="n">
        <x:v>0</x:v>
      </x:c>
      <x:c r="J335" s="47" t="n">
        <x:v>2</x:v>
      </x:c>
      <x:c r="K335" s="45" t="n">
        <x:v>44232</x:v>
      </x:c>
      <x:c r="L335" s="45" t="n">
        <x:v>0</x:v>
      </x:c>
      <x:c r="M335" s="46" t="n">
        <x:v>363.05</x:v>
      </x:c>
      <x:c r="N335" s="46" t="n">
        <x:v>18.6</x:v>
      </x:c>
      <x:c r="O335" s="47" t="n">
        <x:v>5</x:v>
      </x:c>
      <x:c r="P335" s="1" t="str">
        <x:v>20分合議を優先し5分逆行を待つ・旧数量縮小</x:v>
      </x:c>
      <x:c r="Q335" s="47" t="n">
        <x:v>0</x:v>
      </x:c>
      <x:c r="R335" s="1" t="str">
        <x:v>下落</x:v>
      </x:c>
      <x:c r="S335" s="47" t="n">
        <x:v>1</x:v>
      </x:c>
    </x:row>
    <x:row r="336" ht="22" customHeight="1">
      <x:c r="A336" s="1" t="str">
        <x:v>日経mini</x:v>
      </x:c>
      <x:c r="B336" s="1" t="str">
        <x:v>Q03</x:v>
      </x:c>
      <x:c r="C336" s="1" t="str">
        <x:v>全50場</x:v>
      </x:c>
      <x:c r="D336" s="45" t="n">
        <x:v>3909954</x:v>
      </x:c>
      <x:c r="E336" s="45" t="n">
        <x:v>2124506</x:v>
      </x:c>
      <x:c r="F336" s="45" t="n">
        <x:f>D336-E336</x:f>
        <x:v>1785448</x:v>
      </x:c>
      <x:c r="G336" s="47" t="n">
        <x:v>31</x:v>
      </x:c>
      <x:c r="H336" s="47" t="n">
        <x:v>19</x:v>
      </x:c>
      <x:c r="I336" s="45" t="n">
        <x:v>786368</x:v>
      </x:c>
      <x:c r="J336" s="47" t="n">
        <x:v>108</x:v>
      </x:c>
      <x:c r="K336" s="45" t="n">
        <x:v>-153304</x:v>
      </x:c>
      <x:c r="L336" s="45" t="n">
        <x:v>59557.26315789474</x:v>
      </x:c>
      <x:c r="M336" s="46" t="n">
        <x:v>240.16100000000003</x:v>
      </x:c>
      <x:c r="N336" s="46" t="n">
        <x:v>86.37233333333336</x:v>
      </x:c>
      <x:c r="O336" s="47" t="n">
        <x:v>5</x:v>
      </x:c>
      <x:c r="P336" s="1" t="str">
        <x:v>20分合議と二市場の逆行継続返済・旧数量縮小</x:v>
      </x:c>
      <x:c r="Q336" s="47" t="n">
        <x:v>0</x:v>
      </x:c>
      <x:c r="R336" s="1" t="str">
        <x:v>全場</x:v>
      </x:c>
      <x:c r="S336" s="47" t="n">
        <x:v>50</x:v>
      </x:c>
    </x:row>
    <x:row r="337" ht="22" customHeight="1">
      <x:c r="A337" s="1" t="str">
        <x:v>日経mini</x:v>
      </x:c>
      <x:c r="B337" s="1" t="str">
        <x:v>Q03</x:v>
      </x:c>
      <x:c r="C337" s="1" t="str">
        <x:v>全50場</x:v>
      </x:c>
      <x:c r="D337" s="45" t="n">
        <x:v>2930864</x:v>
      </x:c>
      <x:c r="E337" s="45" t="n">
        <x:v>1361672</x:v>
      </x:c>
      <x:c r="F337" s="45" t="n">
        <x:f>D337-E337</x:f>
        <x:v>1569192</x:v>
      </x:c>
      <x:c r="G337" s="47" t="n">
        <x:v>16</x:v>
      </x:c>
      <x:c r="H337" s="47" t="n">
        <x:v>9</x:v>
      </x:c>
      <x:c r="I337" s="45" t="n">
        <x:v>570112</x:v>
      </x:c>
      <x:c r="J337" s="47" t="n">
        <x:v>62</x:v>
      </x:c>
      <x:c r="K337" s="45" t="n">
        <x:v>-153304</x:v>
      </x:c>
      <x:c r="L337" s="45" t="n">
        <x:v>75989.33333333333</x:v>
      </x:c>
      <x:c r="M337" s="46" t="n">
        <x:v>118.31466666666667</x:v>
      </x:c>
      <x:c r="N337" s="46" t="n">
        <x:v>153.21800000000002</x:v>
      </x:c>
      <x:c r="O337" s="47" t="n">
        <x:v>5</x:v>
      </x:c>
      <x:c r="P337" s="1" t="str">
        <x:v>20分合議と二市場の逆行継続返済・旧数量縮小</x:v>
      </x:c>
      <x:c r="Q337" s="47" t="n">
        <x:v>0</x:v>
      </x:c>
      <x:c r="R337" s="1" t="str">
        <x:v>デイ</x:v>
      </x:c>
      <x:c r="S337" s="47" t="n">
        <x:v>25</x:v>
      </x:c>
    </x:row>
    <x:row r="338" ht="22" customHeight="1">
      <x:c r="A338" s="1" t="str">
        <x:v>日経mini</x:v>
      </x:c>
      <x:c r="B338" s="1" t="str">
        <x:v>Q03</x:v>
      </x:c>
      <x:c r="C338" s="1" t="str">
        <x:v>全50場</x:v>
      </x:c>
      <x:c r="D338" s="45" t="n">
        <x:v>979090</x:v>
      </x:c>
      <x:c r="E338" s="45" t="n">
        <x:v>762834</x:v>
      </x:c>
      <x:c r="F338" s="45" t="n">
        <x:f>D338-E338</x:f>
        <x:v>216256</x:v>
      </x:c>
      <x:c r="G338" s="47" t="n">
        <x:v>15</x:v>
      </x:c>
      <x:c r="H338" s="47" t="n">
        <x:v>10</x:v>
      </x:c>
      <x:c r="I338" s="45" t="n">
        <x:v>-136670</x:v>
      </x:c>
      <x:c r="J338" s="47" t="n">
        <x:v>46</x:v>
      </x:c>
      <x:c r="K338" s="45" t="n">
        <x:v>-136152</x:v>
      </x:c>
      <x:c r="L338" s="45" t="n">
        <x:v>44768.4</x:v>
      </x:c>
      <x:c r="M338" s="46" t="n">
        <x:v>362.0073333333333</x:v>
      </x:c>
      <x:c r="N338" s="46" t="n">
        <x:v>19.526666666666664</x:v>
      </x:c>
      <x:c r="O338" s="47" t="n">
        <x:v>5</x:v>
      </x:c>
      <x:c r="P338" s="1" t="str">
        <x:v>20分合議と二市場の逆行継続返済・旧数量縮小</x:v>
      </x:c>
      <x:c r="Q338" s="47" t="n">
        <x:v>0</x:v>
      </x:c>
      <x:c r="R338" s="1" t="str">
        <x:v>ナイト</x:v>
      </x:c>
      <x:c r="S338" s="47" t="n">
        <x:v>25</x:v>
      </x:c>
    </x:row>
    <x:row r="339" ht="22" customHeight="1">
      <x:c r="A339" s="1" t="str">
        <x:v>日経mini</x:v>
      </x:c>
      <x:c r="B339" s="1" t="str">
        <x:v>Q03</x:v>
      </x:c>
      <x:c r="C339" s="1" t="str">
        <x:v>全50場</x:v>
      </x:c>
      <x:c r="D339" s="45" t="n">
        <x:v>1738398</x:v>
      </x:c>
      <x:c r="E339" s="45" t="n">
        <x:v>1132522</x:v>
      </x:c>
      <x:c r="F339" s="45" t="n">
        <x:f>D339-E339</x:f>
        <x:v>605876</x:v>
      </x:c>
      <x:c r="G339" s="47" t="n">
        <x:v>14</x:v>
      </x:c>
      <x:c r="H339" s="47" t="n">
        <x:v>11</x:v>
      </x:c>
      <x:c r="I339" s="45" t="n">
        <x:v>-15820</x:v>
      </x:c>
      <x:c r="J339" s="47" t="n">
        <x:v>51</x:v>
      </x:c>
      <x:c r="K339" s="45" t="n">
        <x:v>-136152</x:v>
      </x:c>
      <x:c r="L339" s="45" t="n">
        <x:v>61320.36363636364</x:v>
      </x:c>
      <x:c r="M339" s="46" t="n">
        <x:v>237.99733333333333</x:v>
      </x:c>
      <x:c r="N339" s="46" t="n">
        <x:v>77.09933333333332</x:v>
      </x:c>
      <x:c r="O339" s="47" t="n">
        <x:v>5</x:v>
      </x:c>
      <x:c r="P339" s="1" t="str">
        <x:v>20分合議と二市場の逆行継続返済・旧数量縮小</x:v>
      </x:c>
      <x:c r="Q339" s="47" t="n">
        <x:v>0</x:v>
      </x:c>
      <x:c r="R339" s="1" t="str">
        <x:v>上昇</x:v>
      </x:c>
      <x:c r="S339" s="47" t="n">
        <x:v>25</x:v>
      </x:c>
    </x:row>
    <x:row r="340" ht="22" customHeight="1">
      <x:c r="A340" s="1" t="str">
        <x:v>日経mini</x:v>
      </x:c>
      <x:c r="B340" s="1" t="str">
        <x:v>Q03</x:v>
      </x:c>
      <x:c r="C340" s="1" t="str">
        <x:v>全50場</x:v>
      </x:c>
      <x:c r="D340" s="45" t="n">
        <x:v>2171556</x:v>
      </x:c>
      <x:c r="E340" s="45" t="n">
        <x:v>991984</x:v>
      </x:c>
      <x:c r="F340" s="45" t="n">
        <x:f>D340-E340</x:f>
        <x:v>1179572</x:v>
      </x:c>
      <x:c r="G340" s="47" t="n">
        <x:v>17</x:v>
      </x:c>
      <x:c r="H340" s="47" t="n">
        <x:v>8</x:v>
      </x:c>
      <x:c r="I340" s="45" t="n">
        <x:v>268646</x:v>
      </x:c>
      <x:c r="J340" s="47" t="n">
        <x:v>57</x:v>
      </x:c>
      <x:c r="K340" s="45" t="n">
        <x:v>-153304</x:v>
      </x:c>
      <x:c r="L340" s="45" t="n">
        <x:v>57133</x:v>
      </x:c>
      <x:c r="M340" s="46" t="n">
        <x:v>242.32466666666667</x:v>
      </x:c>
      <x:c r="N340" s="46" t="n">
        <x:v>95.64533333333333</x:v>
      </x:c>
      <x:c r="O340" s="47" t="n">
        <x:v>5</x:v>
      </x:c>
      <x:c r="P340" s="1" t="str">
        <x:v>20分合議と二市場の逆行継続返済・旧数量縮小</x:v>
      </x:c>
      <x:c r="Q340" s="47" t="n">
        <x:v>0</x:v>
      </x:c>
      <x:c r="R340" s="1" t="str">
        <x:v>下落</x:v>
      </x:c>
      <x:c r="S340" s="47" t="n">
        <x:v>25</x:v>
      </x:c>
    </x:row>
    <x:row r="341" ht="22" customHeight="1">
      <x:c r="A341" s="1" t="str">
        <x:v>日経mini</x:v>
      </x:c>
      <x:c r="B341" s="1" t="str">
        <x:v>Q03</x:v>
      </x:c>
      <x:c r="C341" s="1" t="str">
        <x:v>対照47場</x:v>
      </x:c>
      <x:c r="D341" s="45" t="n">
        <x:v>3770722</x:v>
      </x:c>
      <x:c r="E341" s="45" t="n">
        <x:v>2043738</x:v>
      </x:c>
      <x:c r="F341" s="45" t="n">
        <x:f>D341-E341</x:f>
        <x:v>1726984</x:v>
      </x:c>
      <x:c r="G341" s="47" t="n">
        <x:v>29</x:v>
      </x:c>
      <x:c r="H341" s="47" t="n">
        <x:v>18</x:v>
      </x:c>
      <x:c r="I341" s="45" t="n">
        <x:v>727904</x:v>
      </x:c>
      <x:c r="J341" s="47" t="n">
        <x:v>104</x:v>
      </x:c>
      <x:c r="K341" s="45" t="n">
        <x:v>-153304</x:v>
      </x:c>
      <x:c r="L341" s="45" t="n">
        <x:v>60344.666666666664</x:v>
      </x:c>
      <x:c r="M341" s="46" t="n">
        <x:v>237.1617021276596</x:v>
      </x:c>
      <x:c r="N341" s="46" t="n">
        <x:v>91.3762411347518</x:v>
      </x:c>
      <x:c r="O341" s="47" t="n">
        <x:v>5</x:v>
      </x:c>
      <x:c r="P341" s="1" t="str">
        <x:v>20分合議と二市場の逆行継続返済・旧数量縮小</x:v>
      </x:c>
      <x:c r="Q341" s="47" t="n">
        <x:v>0</x:v>
      </x:c>
      <x:c r="R341" s="1" t="str">
        <x:v>全場</x:v>
      </x:c>
      <x:c r="S341" s="47" t="n">
        <x:v>47</x:v>
      </x:c>
    </x:row>
    <x:row r="342" ht="22" customHeight="1">
      <x:c r="A342" s="1" t="str">
        <x:v>日経mini</x:v>
      </x:c>
      <x:c r="B342" s="1" t="str">
        <x:v>Q03</x:v>
      </x:c>
      <x:c r="C342" s="1" t="str">
        <x:v>対照47場</x:v>
      </x:c>
      <x:c r="D342" s="45" t="n">
        <x:v>2930864</x:v>
      </x:c>
      <x:c r="E342" s="45" t="n">
        <x:v>1316288</x:v>
      </x:c>
      <x:c r="F342" s="45" t="n">
        <x:f>D342-E342</x:f>
        <x:v>1614576</x:v>
      </x:c>
      <x:c r="G342" s="47" t="n">
        <x:v>16</x:v>
      </x:c>
      <x:c r="H342" s="47" t="n">
        <x:v>8</x:v>
      </x:c>
      <x:c r="I342" s="45" t="n">
        <x:v>615496</x:v>
      </x:c>
      <x:c r="J342" s="47" t="n">
        <x:v>61</x:v>
      </x:c>
      <x:c r="K342" s="45" t="n">
        <x:v>-153304</x:v>
      </x:c>
      <x:c r="L342" s="45" t="n">
        <x:v>79815</x:v>
      </x:c>
      <x:c r="M342" s="46" t="n">
        <x:v>117.47916666666667</x:v>
      </x:c>
      <x:c r="N342" s="46" t="n">
        <x:v>159.42569444444447</x:v>
      </x:c>
      <x:c r="O342" s="47" t="n">
        <x:v>5</x:v>
      </x:c>
      <x:c r="P342" s="1" t="str">
        <x:v>20分合議と二市場の逆行継続返済・旧数量縮小</x:v>
      </x:c>
      <x:c r="Q342" s="47" t="n">
        <x:v>0</x:v>
      </x:c>
      <x:c r="R342" s="1" t="str">
        <x:v>デイ</x:v>
      </x:c>
      <x:c r="S342" s="47" t="n">
        <x:v>24</x:v>
      </x:c>
    </x:row>
    <x:row r="343" ht="22" customHeight="1">
      <x:c r="A343" s="1" t="str">
        <x:v>日経mini</x:v>
      </x:c>
      <x:c r="B343" s="1" t="str">
        <x:v>Q03</x:v>
      </x:c>
      <x:c r="C343" s="1" t="str">
        <x:v>対照47場</x:v>
      </x:c>
      <x:c r="D343" s="45" t="n">
        <x:v>839858</x:v>
      </x:c>
      <x:c r="E343" s="45" t="n">
        <x:v>727450</x:v>
      </x:c>
      <x:c r="F343" s="45" t="n">
        <x:f>D343-E343</x:f>
        <x:v>112408</x:v>
      </x:c>
      <x:c r="G343" s="47" t="n">
        <x:v>13</x:v>
      </x:c>
      <x:c r="H343" s="47" t="n">
        <x:v>10</x:v>
      </x:c>
      <x:c r="I343" s="45" t="n">
        <x:v>-230518</x:v>
      </x:c>
      <x:c r="J343" s="47" t="n">
        <x:v>43</x:v>
      </x:c>
      <x:c r="K343" s="45" t="n">
        <x:v>-136152</x:v>
      </x:c>
      <x:c r="L343" s="45" t="n">
        <x:v>44768.4</x:v>
      </x:c>
      <x:c r="M343" s="46" t="n">
        <x:v>362.04782608695655</x:v>
      </x:c>
      <x:c r="N343" s="46" t="n">
        <x:v>20.368115942028986</x:v>
      </x:c>
      <x:c r="O343" s="47" t="n">
        <x:v>5</x:v>
      </x:c>
      <x:c r="P343" s="1" t="str">
        <x:v>20分合議と二市場の逆行継続返済・旧数量縮小</x:v>
      </x:c>
      <x:c r="Q343" s="47" t="n">
        <x:v>0</x:v>
      </x:c>
      <x:c r="R343" s="1" t="str">
        <x:v>ナイト</x:v>
      </x:c>
      <x:c r="S343" s="47" t="n">
        <x:v>23</x:v>
      </x:c>
    </x:row>
    <x:row r="344" ht="22" customHeight="1">
      <x:c r="A344" s="1" t="str">
        <x:v>日経mini</x:v>
      </x:c>
      <x:c r="B344" s="1" t="str">
        <x:v>Q03</x:v>
      </x:c>
      <x:c r="C344" s="1" t="str">
        <x:v>対照47場</x:v>
      </x:c>
      <x:c r="D344" s="45" t="n">
        <x:v>1703782</x:v>
      </x:c>
      <x:c r="E344" s="45" t="n">
        <x:v>1087138</x:v>
      </x:c>
      <x:c r="F344" s="45" t="n">
        <x:f>D344-E344</x:f>
        <x:v>616644</x:v>
      </x:c>
      <x:c r="G344" s="47" t="n">
        <x:v>13</x:v>
      </x:c>
      <x:c r="H344" s="47" t="n">
        <x:v>10</x:v>
      </x:c>
      <x:c r="I344" s="45" t="n">
        <x:v>-5052</x:v>
      </x:c>
      <x:c r="J344" s="47" t="n">
        <x:v>49</x:v>
      </x:c>
      <x:c r="K344" s="45" t="n">
        <x:v>-136152</x:v>
      </x:c>
      <x:c r="L344" s="45" t="n">
        <x:v>62914</x:v>
      </x:c>
      <x:c r="M344" s="46" t="n">
        <x:v>237.02318840579707</x:v>
      </x:c>
      <x:c r="N344" s="46" t="n">
        <x:v>83.5304347826087</x:v>
      </x:c>
      <x:c r="O344" s="47" t="n">
        <x:v>5</x:v>
      </x:c>
      <x:c r="P344" s="1" t="str">
        <x:v>20分合議と二市場の逆行継続返済・旧数量縮小</x:v>
      </x:c>
      <x:c r="Q344" s="47" t="n">
        <x:v>0</x:v>
      </x:c>
      <x:c r="R344" s="1" t="str">
        <x:v>上昇</x:v>
      </x:c>
      <x:c r="S344" s="47" t="n">
        <x:v>23</x:v>
      </x:c>
    </x:row>
    <x:row r="345" ht="22" customHeight="1">
      <x:c r="A345" s="1" t="str">
        <x:v>日経mini</x:v>
      </x:c>
      <x:c r="B345" s="1" t="str">
        <x:v>Q03</x:v>
      </x:c>
      <x:c r="C345" s="1" t="str">
        <x:v>対照47場</x:v>
      </x:c>
      <x:c r="D345" s="45" t="n">
        <x:v>2066940</x:v>
      </x:c>
      <x:c r="E345" s="45" t="n">
        <x:v>956600</x:v>
      </x:c>
      <x:c r="F345" s="45" t="n">
        <x:f>D345-E345</x:f>
        <x:v>1110340</x:v>
      </x:c>
      <x:c r="G345" s="47" t="n">
        <x:v>16</x:v>
      </x:c>
      <x:c r="H345" s="47" t="n">
        <x:v>8</x:v>
      </x:c>
      <x:c r="I345" s="45" t="n">
        <x:v>199414</x:v>
      </x:c>
      <x:c r="J345" s="47" t="n">
        <x:v>55</x:v>
      </x:c>
      <x:c r="K345" s="45" t="n">
        <x:v>-153304</x:v>
      </x:c>
      <x:c r="L345" s="45" t="n">
        <x:v>57133</x:v>
      </x:c>
      <x:c r="M345" s="46" t="n">
        <x:v>237.29444444444445</x:v>
      </x:c>
      <x:c r="N345" s="46" t="n">
        <x:v>98.89513888888888</x:v>
      </x:c>
      <x:c r="O345" s="47" t="n">
        <x:v>5</x:v>
      </x:c>
      <x:c r="P345" s="1" t="str">
        <x:v>20分合議と二市場の逆行継続返済・旧数量縮小</x:v>
      </x:c>
      <x:c r="Q345" s="47" t="n">
        <x:v>0</x:v>
      </x:c>
      <x:c r="R345" s="1" t="str">
        <x:v>下落</x:v>
      </x:c>
      <x:c r="S345" s="47" t="n">
        <x:v>24</x:v>
      </x:c>
    </x:row>
    <x:row r="346" ht="22" customHeight="1">
      <x:c r="A346" s="1" t="str">
        <x:v>日経mini</x:v>
      </x:c>
      <x:c r="B346" s="1" t="str">
        <x:v>Q03</x:v>
      </x:c>
      <x:c r="C346" s="1" t="str">
        <x:v>診断3場</x:v>
      </x:c>
      <x:c r="D346" s="45" t="n">
        <x:v>139232</x:v>
      </x:c>
      <x:c r="E346" s="45" t="n">
        <x:v>80768</x:v>
      </x:c>
      <x:c r="F346" s="45" t="n">
        <x:f>D346-E346</x:f>
        <x:v>58464</x:v>
      </x:c>
      <x:c r="G346" s="47" t="n">
        <x:v>2</x:v>
      </x:c>
      <x:c r="H346" s="47" t="n">
        <x:v>1</x:v>
      </x:c>
      <x:c r="I346" s="45" t="n">
        <x:v>-45384</x:v>
      </x:c>
      <x:c r="J346" s="47" t="n">
        <x:v>4</x:v>
      </x:c>
      <x:c r="K346" s="45" t="n">
        <x:v>-45384</x:v>
      </x:c>
      <x:c r="L346" s="45" t="n">
        <x:v>45384</x:v>
      </x:c>
      <x:c r="M346" s="46" t="n">
        <x:v>287.15000000000003</x:v>
      </x:c>
      <x:c r="N346" s="46" t="n">
        <x:v>7.977777777777778</x:v>
      </x:c>
      <x:c r="O346" s="47" t="n">
        <x:v>5</x:v>
      </x:c>
      <x:c r="P346" s="1" t="str">
        <x:v>20分合議と二市場の逆行継続返済・旧数量縮小</x:v>
      </x:c>
      <x:c r="Q346" s="47" t="n">
        <x:v>0</x:v>
      </x:c>
      <x:c r="R346" s="1" t="str">
        <x:v>全場</x:v>
      </x:c>
      <x:c r="S346" s="47" t="n">
        <x:v>3</x:v>
      </x:c>
    </x:row>
    <x:row r="347" ht="22" customHeight="1">
      <x:c r="A347" s="1" t="str">
        <x:v>日経mini</x:v>
      </x:c>
      <x:c r="B347" s="1" t="str">
        <x:v>Q03</x:v>
      </x:c>
      <x:c r="C347" s="1" t="str">
        <x:v>診断3場</x:v>
      </x:c>
      <x:c r="D347" s="45" t="n">
        <x:v>0</x:v>
      </x:c>
      <x:c r="E347" s="45" t="n">
        <x:v>45384</x:v>
      </x:c>
      <x:c r="F347" s="45" t="n">
        <x:f>D347-E347</x:f>
        <x:v>-45384</x:v>
      </x:c>
      <x:c r="G347" s="47" t="n">
        <x:v>0</x:v>
      </x:c>
      <x:c r="H347" s="47" t="n">
        <x:v>1</x:v>
      </x:c>
      <x:c r="I347" s="45" t="n">
        <x:v>-45384</x:v>
      </x:c>
      <x:c r="J347" s="47" t="n">
        <x:v>1</x:v>
      </x:c>
      <x:c r="K347" s="45" t="n">
        <x:v>-45384</x:v>
      </x:c>
      <x:c r="L347" s="45" t="n">
        <x:v>45384</x:v>
      </x:c>
      <x:c r="M347" s="46" t="n">
        <x:v>138.36666666666667</x:v>
      </x:c>
      <x:c r="N347" s="46" t="n">
        <x:v>4.233333333333333</x:v>
      </x:c>
      <x:c r="O347" s="47" t="n">
        <x:v>5</x:v>
      </x:c>
      <x:c r="P347" s="1" t="str">
        <x:v>20分合議と二市場の逆行継続返済・旧数量縮小</x:v>
      </x:c>
      <x:c r="Q347" s="47" t="n">
        <x:v>0</x:v>
      </x:c>
      <x:c r="R347" s="1" t="str">
        <x:v>デイ</x:v>
      </x:c>
      <x:c r="S347" s="47" t="n">
        <x:v>1</x:v>
      </x:c>
    </x:row>
    <x:row r="348" ht="22" customHeight="1">
      <x:c r="A348" s="1" t="str">
        <x:v>日経mini</x:v>
      </x:c>
      <x:c r="B348" s="1" t="str">
        <x:v>Q03</x:v>
      </x:c>
      <x:c r="C348" s="1" t="str">
        <x:v>診断3場</x:v>
      </x:c>
      <x:c r="D348" s="45" t="n">
        <x:v>139232</x:v>
      </x:c>
      <x:c r="E348" s="45" t="n">
        <x:v>35384</x:v>
      </x:c>
      <x:c r="F348" s="45" t="n">
        <x:f>D348-E348</x:f>
        <x:v>103848</x:v>
      </x:c>
      <x:c r="G348" s="47" t="n">
        <x:v>2</x:v>
      </x:c>
      <x:c r="H348" s="47" t="n">
        <x:v>0</x:v>
      </x:c>
      <x:c r="I348" s="45" t="n">
        <x:v>0</x:v>
      </x:c>
      <x:c r="J348" s="47" t="n">
        <x:v>3</x:v>
      </x:c>
      <x:c r="K348" s="45" t="n">
        <x:v>34616</x:v>
      </x:c>
      <x:c r="L348" s="45" t="n">
        <x:v>0</x:v>
      </x:c>
      <x:c r="M348" s="46" t="n">
        <x:v>361.5416666666667</x:v>
      </x:c>
      <x:c r="N348" s="46" t="n">
        <x:v>9.85</x:v>
      </x:c>
      <x:c r="O348" s="47" t="n">
        <x:v>5</x:v>
      </x:c>
      <x:c r="P348" s="1" t="str">
        <x:v>20分合議と二市場の逆行継続返済・旧数量縮小</x:v>
      </x:c>
      <x:c r="Q348" s="47" t="n">
        <x:v>0</x:v>
      </x:c>
      <x:c r="R348" s="1" t="str">
        <x:v>ナイト</x:v>
      </x:c>
      <x:c r="S348" s="47" t="n">
        <x:v>2</x:v>
      </x:c>
    </x:row>
    <x:row r="349" ht="22" customHeight="1">
      <x:c r="A349" s="1" t="str">
        <x:v>日経mini</x:v>
      </x:c>
      <x:c r="B349" s="1" t="str">
        <x:v>Q03</x:v>
      </x:c>
      <x:c r="C349" s="1" t="str">
        <x:v>診断3場</x:v>
      </x:c>
      <x:c r="D349" s="45" t="n">
        <x:v>34616</x:v>
      </x:c>
      <x:c r="E349" s="45" t="n">
        <x:v>45384</x:v>
      </x:c>
      <x:c r="F349" s="45" t="n">
        <x:f>D349-E349</x:f>
        <x:v>-10768</x:v>
      </x:c>
      <x:c r="G349" s="47" t="n">
        <x:v>1</x:v>
      </x:c>
      <x:c r="H349" s="47" t="n">
        <x:v>1</x:v>
      </x:c>
      <x:c r="I349" s="45" t="n">
        <x:v>-45384</x:v>
      </x:c>
      <x:c r="J349" s="47" t="n">
        <x:v>2</x:v>
      </x:c>
      <x:c r="K349" s="45" t="n">
        <x:v>-45384</x:v>
      </x:c>
      <x:c r="L349" s="45" t="n">
        <x:v>45384</x:v>
      </x:c>
      <x:c r="M349" s="46" t="n">
        <x:v>249.20000000000002</x:v>
      </x:c>
      <x:c r="N349" s="46" t="n">
        <x:v>3.1416666666666666</x:v>
      </x:c>
      <x:c r="O349" s="47" t="n">
        <x:v>5</x:v>
      </x:c>
      <x:c r="P349" s="1" t="str">
        <x:v>20分合議と二市場の逆行継続返済・旧数量縮小</x:v>
      </x:c>
      <x:c r="Q349" s="47" t="n">
        <x:v>0</x:v>
      </x:c>
      <x:c r="R349" s="1" t="str">
        <x:v>上昇</x:v>
      </x:c>
      <x:c r="S349" s="47" t="n">
        <x:v>2</x:v>
      </x:c>
    </x:row>
    <x:row r="350" ht="22" customHeight="1">
      <x:c r="A350" s="1" t="str">
        <x:v>日経mini</x:v>
      </x:c>
      <x:c r="B350" s="1" t="str">
        <x:v>Q03</x:v>
      </x:c>
      <x:c r="C350" s="1" t="str">
        <x:v>診断3場</x:v>
      </x:c>
      <x:c r="D350" s="45" t="n">
        <x:v>104616</x:v>
      </x:c>
      <x:c r="E350" s="45" t="n">
        <x:v>35384</x:v>
      </x:c>
      <x:c r="F350" s="45" t="n">
        <x:f>D350-E350</x:f>
        <x:v>69232</x:v>
      </x:c>
      <x:c r="G350" s="47" t="n">
        <x:v>1</x:v>
      </x:c>
      <x:c r="H350" s="47" t="n">
        <x:v>0</x:v>
      </x:c>
      <x:c r="I350" s="45" t="n">
        <x:v>0</x:v>
      </x:c>
      <x:c r="J350" s="47" t="n">
        <x:v>2</x:v>
      </x:c>
      <x:c r="K350" s="45" t="n">
        <x:v>69232</x:v>
      </x:c>
      <x:c r="L350" s="45" t="n">
        <x:v>0</x:v>
      </x:c>
      <x:c r="M350" s="46" t="n">
        <x:v>363.05</x:v>
      </x:c>
      <x:c r="N350" s="46" t="n">
        <x:v>17.65</x:v>
      </x:c>
      <x:c r="O350" s="47" t="n">
        <x:v>5</x:v>
      </x:c>
      <x:c r="P350" s="1" t="str">
        <x:v>20分合議と二市場の逆行継続返済・旧数量縮小</x:v>
      </x:c>
      <x:c r="Q350" s="47" t="n">
        <x:v>0</x:v>
      </x:c>
      <x:c r="R350" s="1" t="str">
        <x:v>下落</x:v>
      </x:c>
      <x:c r="S350" s="47" t="n">
        <x:v>1</x:v>
      </x:c>
    </x:row>
    <x:row r="351" ht="22" customHeight="1">
      <x:c r="A351" s="1" t="str">
        <x:v>日経mini</x:v>
      </x:c>
      <x:c r="B351" s="1" t="str">
        <x:v>Q04</x:v>
      </x:c>
      <x:c r="C351" s="1" t="str">
        <x:v>全50場</x:v>
      </x:c>
      <x:c r="D351" s="45" t="n">
        <x:v>4114342</x:v>
      </x:c>
      <x:c r="E351" s="45" t="n">
        <x:v>2149740</x:v>
      </x:c>
      <x:c r="F351" s="45" t="n">
        <x:f>D351-E351</x:f>
        <x:v>1964602</x:v>
      </x:c>
      <x:c r="G351" s="47" t="n">
        <x:v>31</x:v>
      </x:c>
      <x:c r="H351" s="47" t="n">
        <x:v>19</x:v>
      </x:c>
      <x:c r="I351" s="45" t="n">
        <x:v>965522</x:v>
      </x:c>
      <x:c r="J351" s="47" t="n">
        <x:v>108</x:v>
      </x:c>
      <x:c r="K351" s="45" t="n">
        <x:v>-153304</x:v>
      </x:c>
      <x:c r="L351" s="45" t="n">
        <x:v>61383.15789473684</x:v>
      </x:c>
      <x:c r="M351" s="46" t="n">
        <x:v>240.89333333333332</x:v>
      </x:c>
      <x:c r="N351" s="46" t="n">
        <x:v>89.29700000000001</x:v>
      </x:c>
      <x:c r="O351" s="47" t="n">
        <x:v>5</x:v>
      </x:c>
      <x:c r="P351" s="1" t="str">
        <x:v>初回始値票の方向を固定し5分支持を待つ</x:v>
      </x:c>
      <x:c r="Q351" s="47" t="n">
        <x:v>0</x:v>
      </x:c>
      <x:c r="R351" s="1" t="str">
        <x:v>全場</x:v>
      </x:c>
      <x:c r="S351" s="47" t="n">
        <x:v>50</x:v>
      </x:c>
    </x:row>
    <x:row r="352" ht="22" customHeight="1">
      <x:c r="A352" s="1" t="str">
        <x:v>日経mini</x:v>
      </x:c>
      <x:c r="B352" s="1" t="str">
        <x:v>Q04</x:v>
      </x:c>
      <x:c r="C352" s="1" t="str">
        <x:v>全50場</x:v>
      </x:c>
      <x:c r="D352" s="45" t="n">
        <x:v>2930864</x:v>
      </x:c>
      <x:c r="E352" s="45" t="n">
        <x:v>1361672</x:v>
      </x:c>
      <x:c r="F352" s="45" t="n">
        <x:f>D352-E352</x:f>
        <x:v>1569192</x:v>
      </x:c>
      <x:c r="G352" s="47" t="n">
        <x:v>16</x:v>
      </x:c>
      <x:c r="H352" s="47" t="n">
        <x:v>9</x:v>
      </x:c>
      <x:c r="I352" s="45" t="n">
        <x:v>570112</x:v>
      </x:c>
      <x:c r="J352" s="47" t="n">
        <x:v>62</x:v>
      </x:c>
      <x:c r="K352" s="45" t="n">
        <x:v>-153304</x:v>
      </x:c>
      <x:c r="L352" s="45" t="n">
        <x:v>75989.33333333333</x:v>
      </x:c>
      <x:c r="M352" s="46" t="n">
        <x:v>118.31466666666667</x:v>
      </x:c>
      <x:c r="N352" s="46" t="n">
        <x:v>153.21800000000002</x:v>
      </x:c>
      <x:c r="O352" s="47" t="n">
        <x:v>5</x:v>
      </x:c>
      <x:c r="P352" s="1" t="str">
        <x:v>初回始値票の方向を固定し5分支持を待つ</x:v>
      </x:c>
      <x:c r="Q352" s="47" t="n">
        <x:v>0</x:v>
      </x:c>
      <x:c r="R352" s="1" t="str">
        <x:v>デイ</x:v>
      </x:c>
      <x:c r="S352" s="47" t="n">
        <x:v>25</x:v>
      </x:c>
    </x:row>
    <x:row r="353" ht="22" customHeight="1">
      <x:c r="A353" s="1" t="str">
        <x:v>日経mini</x:v>
      </x:c>
      <x:c r="B353" s="1" t="str">
        <x:v>Q04</x:v>
      </x:c>
      <x:c r="C353" s="1" t="str">
        <x:v>全50場</x:v>
      </x:c>
      <x:c r="D353" s="45" t="n">
        <x:v>1183478</x:v>
      </x:c>
      <x:c r="E353" s="45" t="n">
        <x:v>788068</x:v>
      </x:c>
      <x:c r="F353" s="45" t="n">
        <x:f>D353-E353</x:f>
        <x:v>395410</x:v>
      </x:c>
      <x:c r="G353" s="47" t="n">
        <x:v>15</x:v>
      </x:c>
      <x:c r="H353" s="47" t="n">
        <x:v>10</x:v>
      </x:c>
      <x:c r="I353" s="45" t="n">
        <x:v>29252</x:v>
      </x:c>
      <x:c r="J353" s="47" t="n">
        <x:v>46</x:v>
      </x:c>
      <x:c r="K353" s="45" t="n">
        <x:v>-141152</x:v>
      </x:c>
      <x:c r="L353" s="45" t="n">
        <x:v>48237.6</x:v>
      </x:c>
      <x:c r="M353" s="46" t="n">
        <x:v>363.472</x:v>
      </x:c>
      <x:c r="N353" s="46" t="n">
        <x:v>25.375999999999998</x:v>
      </x:c>
      <x:c r="O353" s="47" t="n">
        <x:v>5</x:v>
      </x:c>
      <x:c r="P353" s="1" t="str">
        <x:v>初回始値票の方向を固定し5分支持を待つ</x:v>
      </x:c>
      <x:c r="Q353" s="47" t="n">
        <x:v>0</x:v>
      </x:c>
      <x:c r="R353" s="1" t="str">
        <x:v>ナイト</x:v>
      </x:c>
      <x:c r="S353" s="47" t="n">
        <x:v>25</x:v>
      </x:c>
    </x:row>
    <x:row r="354" ht="22" customHeight="1">
      <x:c r="A354" s="1" t="str">
        <x:v>日経mini</x:v>
      </x:c>
      <x:c r="B354" s="1" t="str">
        <x:v>Q04</x:v>
      </x:c>
      <x:c r="C354" s="1" t="str">
        <x:v>全50場</x:v>
      </x:c>
      <x:c r="D354" s="45" t="n">
        <x:v>1852784</x:v>
      </x:c>
      <x:c r="E354" s="45" t="n">
        <x:v>1170754</x:v>
      </x:c>
      <x:c r="F354" s="45" t="n">
        <x:f>D354-E354</x:f>
        <x:v>682030</x:v>
      </x:c>
      <x:c r="G354" s="47" t="n">
        <x:v>14</x:v>
      </x:c>
      <x:c r="H354" s="47" t="n">
        <x:v>11</x:v>
      </x:c>
      <x:c r="I354" s="45" t="n">
        <x:v>60334</x:v>
      </x:c>
      <x:c r="J354" s="47" t="n">
        <x:v>51</x:v>
      </x:c>
      <x:c r="K354" s="45" t="n">
        <x:v>-141152</x:v>
      </x:c>
      <x:c r="L354" s="45" t="n">
        <x:v>67593.09090909091</x:v>
      </x:c>
      <x:c r="M354" s="46" t="n">
        <x:v>238.6506666666667</x:v>
      </x:c>
      <x:c r="N354" s="46" t="n">
        <x:v>78.87866666666667</x:v>
      </x:c>
      <x:c r="O354" s="47" t="n">
        <x:v>5</x:v>
      </x:c>
      <x:c r="P354" s="1" t="str">
        <x:v>初回始値票の方向を固定し5分支持を待つ</x:v>
      </x:c>
      <x:c r="Q354" s="47" t="n">
        <x:v>0</x:v>
      </x:c>
      <x:c r="R354" s="1" t="str">
        <x:v>上昇</x:v>
      </x:c>
      <x:c r="S354" s="47" t="n">
        <x:v>25</x:v>
      </x:c>
    </x:row>
    <x:row r="355" ht="22" customHeight="1">
      <x:c r="A355" s="1" t="str">
        <x:v>日経mini</x:v>
      </x:c>
      <x:c r="B355" s="1" t="str">
        <x:v>Q04</x:v>
      </x:c>
      <x:c r="C355" s="1" t="str">
        <x:v>全50場</x:v>
      </x:c>
      <x:c r="D355" s="45" t="n">
        <x:v>2261558</x:v>
      </x:c>
      <x:c r="E355" s="45" t="n">
        <x:v>978986</x:v>
      </x:c>
      <x:c r="F355" s="45" t="n">
        <x:f>D355-E355</x:f>
        <x:v>1282572</x:v>
      </x:c>
      <x:c r="G355" s="47" t="n">
        <x:v>17</x:v>
      </x:c>
      <x:c r="H355" s="47" t="n">
        <x:v>8</x:v>
      </x:c>
      <x:c r="I355" s="45" t="n">
        <x:v>379492</x:v>
      </x:c>
      <x:c r="J355" s="47" t="n">
        <x:v>57</x:v>
      </x:c>
      <x:c r="K355" s="45" t="n">
        <x:v>-153304</x:v>
      </x:c>
      <x:c r="L355" s="45" t="n">
        <x:v>52844.5</x:v>
      </x:c>
      <x:c r="M355" s="46" t="n">
        <x:v>243.13600000000002</x:v>
      </x:c>
      <x:c r="N355" s="46" t="n">
        <x:v>99.71533333333333</x:v>
      </x:c>
      <x:c r="O355" s="47" t="n">
        <x:v>5</x:v>
      </x:c>
      <x:c r="P355" s="1" t="str">
        <x:v>初回始値票の方向を固定し5分支持を待つ</x:v>
      </x:c>
      <x:c r="Q355" s="47" t="n">
        <x:v>0</x:v>
      </x:c>
      <x:c r="R355" s="1" t="str">
        <x:v>下落</x:v>
      </x:c>
      <x:c r="S355" s="47" t="n">
        <x:v>25</x:v>
      </x:c>
    </x:row>
    <x:row r="356" ht="22" customHeight="1">
      <x:c r="A356" s="1" t="str">
        <x:v>日経mini</x:v>
      </x:c>
      <x:c r="B356" s="1" t="str">
        <x:v>Q04</x:v>
      </x:c>
      <x:c r="C356" s="1" t="str">
        <x:v>対照47場</x:v>
      </x:c>
      <x:c r="D356" s="45" t="n">
        <x:v>3979956</x:v>
      </x:c>
      <x:c r="E356" s="45" t="n">
        <x:v>2048972</x:v>
      </x:c>
      <x:c r="F356" s="45" t="n">
        <x:f>D356-E356</x:f>
        <x:v>1930984</x:v>
      </x:c>
      <x:c r="G356" s="47" t="n">
        <x:v>29</x:v>
      </x:c>
      <x:c r="H356" s="47" t="n">
        <x:v>18</x:v>
      </x:c>
      <x:c r="I356" s="45" t="n">
        <x:v>931904</x:v>
      </x:c>
      <x:c r="J356" s="47" t="n">
        <x:v>104</x:v>
      </x:c>
      <x:c r="K356" s="45" t="n">
        <x:v>-153304</x:v>
      </x:c>
      <x:c r="L356" s="45" t="n">
        <x:v>62272</x:v>
      </x:c>
      <x:c r="M356" s="46" t="n">
        <x:v>237.80709219858159</x:v>
      </x:c>
      <x:c r="N356" s="46" t="n">
        <x:v>94.19964539007091</x:v>
      </x:c>
      <x:c r="O356" s="47" t="n">
        <x:v>5</x:v>
      </x:c>
      <x:c r="P356" s="1" t="str">
        <x:v>初回始値票の方向を固定し5分支持を待つ</x:v>
      </x:c>
      <x:c r="Q356" s="47" t="n">
        <x:v>0</x:v>
      </x:c>
      <x:c r="R356" s="1" t="str">
        <x:v>全場</x:v>
      </x:c>
      <x:c r="S356" s="47" t="n">
        <x:v>47</x:v>
      </x:c>
    </x:row>
    <x:row r="357" ht="22" customHeight="1">
      <x:c r="A357" s="1" t="str">
        <x:v>日経mini</x:v>
      </x:c>
      <x:c r="B357" s="1" t="str">
        <x:v>Q04</x:v>
      </x:c>
      <x:c r="C357" s="1" t="str">
        <x:v>対照47場</x:v>
      </x:c>
      <x:c r="D357" s="45" t="n">
        <x:v>2930864</x:v>
      </x:c>
      <x:c r="E357" s="45" t="n">
        <x:v>1316288</x:v>
      </x:c>
      <x:c r="F357" s="45" t="n">
        <x:f>D357-E357</x:f>
        <x:v>1614576</x:v>
      </x:c>
      <x:c r="G357" s="47" t="n">
        <x:v>16</x:v>
      </x:c>
      <x:c r="H357" s="47" t="n">
        <x:v>8</x:v>
      </x:c>
      <x:c r="I357" s="45" t="n">
        <x:v>615496</x:v>
      </x:c>
      <x:c r="J357" s="47" t="n">
        <x:v>61</x:v>
      </x:c>
      <x:c r="K357" s="45" t="n">
        <x:v>-153304</x:v>
      </x:c>
      <x:c r="L357" s="45" t="n">
        <x:v>79815</x:v>
      </x:c>
      <x:c r="M357" s="46" t="n">
        <x:v>117.47916666666667</x:v>
      </x:c>
      <x:c r="N357" s="46" t="n">
        <x:v>159.42569444444447</x:v>
      </x:c>
      <x:c r="O357" s="47" t="n">
        <x:v>5</x:v>
      </x:c>
      <x:c r="P357" s="1" t="str">
        <x:v>初回始値票の方向を固定し5分支持を待つ</x:v>
      </x:c>
      <x:c r="Q357" s="47" t="n">
        <x:v>0</x:v>
      </x:c>
      <x:c r="R357" s="1" t="str">
        <x:v>デイ</x:v>
      </x:c>
      <x:c r="S357" s="47" t="n">
        <x:v>24</x:v>
      </x:c>
    </x:row>
    <x:row r="358" ht="22" customHeight="1">
      <x:c r="A358" s="1" t="str">
        <x:v>日経mini</x:v>
      </x:c>
      <x:c r="B358" s="1" t="str">
        <x:v>Q04</x:v>
      </x:c>
      <x:c r="C358" s="1" t="str">
        <x:v>対照47場</x:v>
      </x:c>
      <x:c r="D358" s="45" t="n">
        <x:v>1049092</x:v>
      </x:c>
      <x:c r="E358" s="45" t="n">
        <x:v>732684</x:v>
      </x:c>
      <x:c r="F358" s="45" t="n">
        <x:f>D358-E358</x:f>
        <x:v>316408</x:v>
      </x:c>
      <x:c r="G358" s="47" t="n">
        <x:v>13</x:v>
      </x:c>
      <x:c r="H358" s="47" t="n">
        <x:v>10</x:v>
      </x:c>
      <x:c r="I358" s="45" t="n">
        <x:v>-49750</x:v>
      </x:c>
      <x:c r="J358" s="47" t="n">
        <x:v>43</x:v>
      </x:c>
      <x:c r="K358" s="45" t="n">
        <x:v>-141152</x:v>
      </x:c>
      <x:c r="L358" s="45" t="n">
        <x:v>48237.6</x:v>
      </x:c>
      <x:c r="M358" s="46" t="n">
        <x:v>363.36666666666673</x:v>
      </x:c>
      <x:c r="N358" s="46" t="n">
        <x:v>26.13768115942029</x:v>
      </x:c>
      <x:c r="O358" s="47" t="n">
        <x:v>5</x:v>
      </x:c>
      <x:c r="P358" s="1" t="str">
        <x:v>初回始値票の方向を固定し5分支持を待つ</x:v>
      </x:c>
      <x:c r="Q358" s="47" t="n">
        <x:v>0</x:v>
      </x:c>
      <x:c r="R358" s="1" t="str">
        <x:v>ナイト</x:v>
      </x:c>
      <x:c r="S358" s="47" t="n">
        <x:v>23</x:v>
      </x:c>
    </x:row>
    <x:row r="359" ht="22" customHeight="1">
      <x:c r="A359" s="1" t="str">
        <x:v>日経mini</x:v>
      </x:c>
      <x:c r="B359" s="1" t="str">
        <x:v>Q04</x:v>
      </x:c>
      <x:c r="C359" s="1" t="str">
        <x:v>対照47場</x:v>
      </x:c>
      <x:c r="D359" s="45" t="n">
        <x:v>1823014</x:v>
      </x:c>
      <x:c r="E359" s="45" t="n">
        <x:v>1125370</x:v>
      </x:c>
      <x:c r="F359" s="45" t="n">
        <x:f>D359-E359</x:f>
        <x:v>697644</x:v>
      </x:c>
      <x:c r="G359" s="47" t="n">
        <x:v>13</x:v>
      </x:c>
      <x:c r="H359" s="47" t="n">
        <x:v>10</x:v>
      </x:c>
      <x:c r="I359" s="45" t="n">
        <x:v>75948</x:v>
      </x:c>
      <x:c r="J359" s="47" t="n">
        <x:v>49</x:v>
      </x:c>
      <x:c r="K359" s="45" t="n">
        <x:v>-141152</x:v>
      </x:c>
      <x:c r="L359" s="45" t="n">
        <x:v>69814</x:v>
      </x:c>
      <x:c r="M359" s="46" t="n">
        <x:v>237.33043478260868</x:v>
      </x:c>
      <x:c r="N359" s="46" t="n">
        <x:v>85.06884057971016</x:v>
      </x:c>
      <x:c r="O359" s="47" t="n">
        <x:v>5</x:v>
      </x:c>
      <x:c r="P359" s="1" t="str">
        <x:v>初回始値票の方向を固定し5分支持を待つ</x:v>
      </x:c>
      <x:c r="Q359" s="47" t="n">
        <x:v>0</x:v>
      </x:c>
      <x:c r="R359" s="1" t="str">
        <x:v>上昇</x:v>
      </x:c>
      <x:c r="S359" s="47" t="n">
        <x:v>23</x:v>
      </x:c>
    </x:row>
    <x:row r="360" ht="22" customHeight="1">
      <x:c r="A360" s="1" t="str">
        <x:v>日経mini</x:v>
      </x:c>
      <x:c r="B360" s="1" t="str">
        <x:v>Q04</x:v>
      </x:c>
      <x:c r="C360" s="1" t="str">
        <x:v>対照47場</x:v>
      </x:c>
      <x:c r="D360" s="45" t="n">
        <x:v>2156942</x:v>
      </x:c>
      <x:c r="E360" s="45" t="n">
        <x:v>923602</x:v>
      </x:c>
      <x:c r="F360" s="45" t="n">
        <x:f>D360-E360</x:f>
        <x:v>1233340</x:v>
      </x:c>
      <x:c r="G360" s="47" t="n">
        <x:v>16</x:v>
      </x:c>
      <x:c r="H360" s="47" t="n">
        <x:v>8</x:v>
      </x:c>
      <x:c r="I360" s="45" t="n">
        <x:v>330260</x:v>
      </x:c>
      <x:c r="J360" s="47" t="n">
        <x:v>55</x:v>
      </x:c>
      <x:c r="K360" s="45" t="n">
        <x:v>-153304</x:v>
      </x:c>
      <x:c r="L360" s="45" t="n">
        <x:v>52844.5</x:v>
      </x:c>
      <x:c r="M360" s="46" t="n">
        <x:v>238.2638888888889</x:v>
      </x:c>
      <x:c r="N360" s="46" t="n">
        <x:v>102.94999999999999</x:v>
      </x:c>
      <x:c r="O360" s="47" t="n">
        <x:v>5</x:v>
      </x:c>
      <x:c r="P360" s="1" t="str">
        <x:v>初回始値票の方向を固定し5分支持を待つ</x:v>
      </x:c>
      <x:c r="Q360" s="47" t="n">
        <x:v>0</x:v>
      </x:c>
      <x:c r="R360" s="1" t="str">
        <x:v>下落</x:v>
      </x:c>
      <x:c r="S360" s="47" t="n">
        <x:v>24</x:v>
      </x:c>
    </x:row>
    <x:row r="361" ht="22" customHeight="1">
      <x:c r="A361" s="1" t="str">
        <x:v>日経mini</x:v>
      </x:c>
      <x:c r="B361" s="1" t="str">
        <x:v>Q04</x:v>
      </x:c>
      <x:c r="C361" s="1" t="str">
        <x:v>診断3場</x:v>
      </x:c>
      <x:c r="D361" s="45" t="n">
        <x:v>134386</x:v>
      </x:c>
      <x:c r="E361" s="45" t="n">
        <x:v>100768</x:v>
      </x:c>
      <x:c r="F361" s="45" t="n">
        <x:f>D361-E361</x:f>
        <x:v>33618</x:v>
      </x:c>
      <x:c r="G361" s="47" t="n">
        <x:v>2</x:v>
      </x:c>
      <x:c r="H361" s="47" t="n">
        <x:v>1</x:v>
      </x:c>
      <x:c r="I361" s="45" t="n">
        <x:v>-45384</x:v>
      </x:c>
      <x:c r="J361" s="47" t="n">
        <x:v>4</x:v>
      </x:c>
      <x:c r="K361" s="45" t="n">
        <x:v>-45384</x:v>
      </x:c>
      <x:c r="L361" s="45" t="n">
        <x:v>45384</x:v>
      </x:c>
      <x:c r="M361" s="46" t="n">
        <x:v>289.24444444444447</x:v>
      </x:c>
      <x:c r="N361" s="46" t="n">
        <x:v>12.488888888888889</x:v>
      </x:c>
      <x:c r="O361" s="47" t="n">
        <x:v>5</x:v>
      </x:c>
      <x:c r="P361" s="1" t="str">
        <x:v>初回始値票の方向を固定し5分支持を待つ</x:v>
      </x:c>
      <x:c r="Q361" s="47" t="n">
        <x:v>0</x:v>
      </x:c>
      <x:c r="R361" s="1" t="str">
        <x:v>全場</x:v>
      </x:c>
      <x:c r="S361" s="47" t="n">
        <x:v>3</x:v>
      </x:c>
    </x:row>
    <x:row r="362" ht="22" customHeight="1">
      <x:c r="A362" s="1" t="str">
        <x:v>日経mini</x:v>
      </x:c>
      <x:c r="B362" s="1" t="str">
        <x:v>Q04</x:v>
      </x:c>
      <x:c r="C362" s="1" t="str">
        <x:v>診断3場</x:v>
      </x:c>
      <x:c r="D362" s="45" t="n">
        <x:v>0</x:v>
      </x:c>
      <x:c r="E362" s="45" t="n">
        <x:v>45384</x:v>
      </x:c>
      <x:c r="F362" s="45" t="n">
        <x:f>D362-E362</x:f>
        <x:v>-45384</x:v>
      </x:c>
      <x:c r="G362" s="47" t="n">
        <x:v>0</x:v>
      </x:c>
      <x:c r="H362" s="47" t="n">
        <x:v>1</x:v>
      </x:c>
      <x:c r="I362" s="45" t="n">
        <x:v>-45384</x:v>
      </x:c>
      <x:c r="J362" s="47" t="n">
        <x:v>1</x:v>
      </x:c>
      <x:c r="K362" s="45" t="n">
        <x:v>-45384</x:v>
      </x:c>
      <x:c r="L362" s="45" t="n">
        <x:v>45384</x:v>
      </x:c>
      <x:c r="M362" s="46" t="n">
        <x:v>138.36666666666667</x:v>
      </x:c>
      <x:c r="N362" s="46" t="n">
        <x:v>4.233333333333333</x:v>
      </x:c>
      <x:c r="O362" s="47" t="n">
        <x:v>5</x:v>
      </x:c>
      <x:c r="P362" s="1" t="str">
        <x:v>初回始値票の方向を固定し5分支持を待つ</x:v>
      </x:c>
      <x:c r="Q362" s="47" t="n">
        <x:v>0</x:v>
      </x:c>
      <x:c r="R362" s="1" t="str">
        <x:v>デイ</x:v>
      </x:c>
      <x:c r="S362" s="47" t="n">
        <x:v>1</x:v>
      </x:c>
    </x:row>
    <x:row r="363" ht="22" customHeight="1">
      <x:c r="A363" s="1" t="str">
        <x:v>日経mini</x:v>
      </x:c>
      <x:c r="B363" s="1" t="str">
        <x:v>Q04</x:v>
      </x:c>
      <x:c r="C363" s="1" t="str">
        <x:v>診断3場</x:v>
      </x:c>
      <x:c r="D363" s="45" t="n">
        <x:v>134386</x:v>
      </x:c>
      <x:c r="E363" s="45" t="n">
        <x:v>55384</x:v>
      </x:c>
      <x:c r="F363" s="45" t="n">
        <x:f>D363-E363</x:f>
        <x:v>79002</x:v>
      </x:c>
      <x:c r="G363" s="47" t="n">
        <x:v>2</x:v>
      </x:c>
      <x:c r="H363" s="47" t="n">
        <x:v>0</x:v>
      </x:c>
      <x:c r="I363" s="45" t="n">
        <x:v>0</x:v>
      </x:c>
      <x:c r="J363" s="47" t="n">
        <x:v>3</x:v>
      </x:c>
      <x:c r="K363" s="45" t="n">
        <x:v>29770</x:v>
      </x:c>
      <x:c r="L363" s="45" t="n">
        <x:v>0</x:v>
      </x:c>
      <x:c r="M363" s="46" t="n">
        <x:v>364.68333333333334</x:v>
      </x:c>
      <x:c r="N363" s="46" t="n">
        <x:v>16.616666666666667</x:v>
      </x:c>
      <x:c r="O363" s="47" t="n">
        <x:v>5</x:v>
      </x:c>
      <x:c r="P363" s="1" t="str">
        <x:v>初回始値票の方向を固定し5分支持を待つ</x:v>
      </x:c>
      <x:c r="Q363" s="47" t="n">
        <x:v>0</x:v>
      </x:c>
      <x:c r="R363" s="1" t="str">
        <x:v>ナイト</x:v>
      </x:c>
      <x:c r="S363" s="47" t="n">
        <x:v>2</x:v>
      </x:c>
    </x:row>
    <x:row r="364" ht="22" customHeight="1">
      <x:c r="A364" s="1" t="str">
        <x:v>日経mini</x:v>
      </x:c>
      <x:c r="B364" s="1" t="str">
        <x:v>Q04</x:v>
      </x:c>
      <x:c r="C364" s="1" t="str">
        <x:v>診断3場</x:v>
      </x:c>
      <x:c r="D364" s="45" t="n">
        <x:v>29770</x:v>
      </x:c>
      <x:c r="E364" s="45" t="n">
        <x:v>45384</x:v>
      </x:c>
      <x:c r="F364" s="45" t="n">
        <x:f>D364-E364</x:f>
        <x:v>-15614</x:v>
      </x:c>
      <x:c r="G364" s="47" t="n">
        <x:v>1</x:v>
      </x:c>
      <x:c r="H364" s="47" t="n">
        <x:v>1</x:v>
      </x:c>
      <x:c r="I364" s="45" t="n">
        <x:v>-45384</x:v>
      </x:c>
      <x:c r="J364" s="47" t="n">
        <x:v>2</x:v>
      </x:c>
      <x:c r="K364" s="45" t="n">
        <x:v>-45384</x:v>
      </x:c>
      <x:c r="L364" s="45" t="n">
        <x:v>45384</x:v>
      </x:c>
      <x:c r="M364" s="46" t="n">
        <x:v>253.83333333333334</x:v>
      </x:c>
      <x:c r="N364" s="46" t="n">
        <x:v>7.691666666666666</x:v>
      </x:c>
      <x:c r="O364" s="47" t="n">
        <x:v>5</x:v>
      </x:c>
      <x:c r="P364" s="1" t="str">
        <x:v>初回始値票の方向を固定し5分支持を待つ</x:v>
      </x:c>
      <x:c r="Q364" s="47" t="n">
        <x:v>0</x:v>
      </x:c>
      <x:c r="R364" s="1" t="str">
        <x:v>上昇</x:v>
      </x:c>
      <x:c r="S364" s="47" t="n">
        <x:v>2</x:v>
      </x:c>
    </x:row>
    <x:row r="365" ht="22" customHeight="1">
      <x:c r="A365" s="1" t="str">
        <x:v>日経mini</x:v>
      </x:c>
      <x:c r="B365" s="1" t="str">
        <x:v>Q04</x:v>
      </x:c>
      <x:c r="C365" s="1" t="str">
        <x:v>診断3場</x:v>
      </x:c>
      <x:c r="D365" s="45" t="n">
        <x:v>104616</x:v>
      </x:c>
      <x:c r="E365" s="45" t="n">
        <x:v>55384</x:v>
      </x:c>
      <x:c r="F365" s="45" t="n">
        <x:f>D365-E365</x:f>
        <x:v>49232</x:v>
      </x:c>
      <x:c r="G365" s="47" t="n">
        <x:v>1</x:v>
      </x:c>
      <x:c r="H365" s="47" t="n">
        <x:v>0</x:v>
      </x:c>
      <x:c r="I365" s="45" t="n">
        <x:v>0</x:v>
      </x:c>
      <x:c r="J365" s="47" t="n">
        <x:v>2</x:v>
      </x:c>
      <x:c r="K365" s="45" t="n">
        <x:v>49232</x:v>
      </x:c>
      <x:c r="L365" s="45" t="n">
        <x:v>0</x:v>
      </x:c>
      <x:c r="M365" s="46" t="n">
        <x:v>360.06666666666666</x:v>
      </x:c>
      <x:c r="N365" s="46" t="n">
        <x:v>22.083333333333332</x:v>
      </x:c>
      <x:c r="O365" s="47" t="n">
        <x:v>5</x:v>
      </x:c>
      <x:c r="P365" s="1" t="str">
        <x:v>初回始値票の方向を固定し5分支持を待つ</x:v>
      </x:c>
      <x:c r="Q365" s="47" t="n">
        <x:v>0</x:v>
      </x:c>
      <x:c r="R365" s="1" t="str">
        <x:v>下落</x:v>
      </x:c>
      <x:c r="S365" s="47" t="n">
        <x:v>1</x:v>
      </x:c>
    </x:row>
    <x:row r="366" ht="22" customHeight="1">
      <x:c r="A366" s="1" t="str">
        <x:v>日経mini</x:v>
      </x:c>
      <x:c r="B366" s="1" t="str">
        <x:v>Q05</x:v>
      </x:c>
      <x:c r="C366" s="1" t="str">
        <x:v>全50場</x:v>
      </x:c>
      <x:c r="D366" s="45" t="n">
        <x:v>3924340</x:v>
      </x:c>
      <x:c r="E366" s="45" t="n">
        <x:v>1993738</x:v>
      </x:c>
      <x:c r="F366" s="45" t="n">
        <x:f>D366-E366</x:f>
        <x:v>1930602</x:v>
      </x:c>
      <x:c r="G366" s="47" t="n">
        <x:v>31</x:v>
      </x:c>
      <x:c r="H366" s="47" t="n">
        <x:v>19</x:v>
      </x:c>
      <x:c r="I366" s="45" t="n">
        <x:v>931522</x:v>
      </x:c>
      <x:c r="J366" s="47" t="n">
        <x:v>108</x:v>
      </x:c>
      <x:c r="K366" s="45" t="n">
        <x:v>-153304</x:v>
      </x:c>
      <x:c r="L366" s="45" t="n">
        <x:v>55099.78947368421</x:v>
      </x:c>
      <x:c r="M366" s="46" t="n">
        <x:v>240.89333333333332</x:v>
      </x:c>
      <x:c r="N366" s="46" t="n">
        <x:v>87.29766666666666</x:v>
      </x:c>
      <x:c r="O366" s="47" t="n">
        <x:v>5</x:v>
      </x:c>
      <x:c r="P366" s="1" t="str">
        <x:v>方向固定の支持待ちと二市場逆行の継続返済</x:v>
      </x:c>
      <x:c r="Q366" s="47" t="n">
        <x:v>0</x:v>
      </x:c>
      <x:c r="R366" s="1" t="str">
        <x:v>全場</x:v>
      </x:c>
      <x:c r="S366" s="47" t="n">
        <x:v>50</x:v>
      </x:c>
    </x:row>
    <x:row r="367" ht="22" customHeight="1">
      <x:c r="A367" s="1" t="str">
        <x:v>日経mini</x:v>
      </x:c>
      <x:c r="B367" s="1" t="str">
        <x:v>Q05</x:v>
      </x:c>
      <x:c r="C367" s="1" t="str">
        <x:v>全50場</x:v>
      </x:c>
      <x:c r="D367" s="45" t="n">
        <x:v>2930864</x:v>
      </x:c>
      <x:c r="E367" s="45" t="n">
        <x:v>1361672</x:v>
      </x:c>
      <x:c r="F367" s="45" t="n">
        <x:f>D367-E367</x:f>
        <x:v>1569192</x:v>
      </x:c>
      <x:c r="G367" s="47" t="n">
        <x:v>16</x:v>
      </x:c>
      <x:c r="H367" s="47" t="n">
        <x:v>9</x:v>
      </x:c>
      <x:c r="I367" s="45" t="n">
        <x:v>570112</x:v>
      </x:c>
      <x:c r="J367" s="47" t="n">
        <x:v>62</x:v>
      </x:c>
      <x:c r="K367" s="45" t="n">
        <x:v>-153304</x:v>
      </x:c>
      <x:c r="L367" s="45" t="n">
        <x:v>75989.33333333333</x:v>
      </x:c>
      <x:c r="M367" s="46" t="n">
        <x:v>118.31466666666667</x:v>
      </x:c>
      <x:c r="N367" s="46" t="n">
        <x:v>153.21800000000002</x:v>
      </x:c>
      <x:c r="O367" s="47" t="n">
        <x:v>5</x:v>
      </x:c>
      <x:c r="P367" s="1" t="str">
        <x:v>方向固定の支持待ちと二市場逆行の継続返済</x:v>
      </x:c>
      <x:c r="Q367" s="47" t="n">
        <x:v>0</x:v>
      </x:c>
      <x:c r="R367" s="1" t="str">
        <x:v>デイ</x:v>
      </x:c>
      <x:c r="S367" s="47" t="n">
        <x:v>25</x:v>
      </x:c>
    </x:row>
    <x:row r="368" ht="22" customHeight="1">
      <x:c r="A368" s="1" t="str">
        <x:v>日経mini</x:v>
      </x:c>
      <x:c r="B368" s="1" t="str">
        <x:v>Q05</x:v>
      </x:c>
      <x:c r="C368" s="1" t="str">
        <x:v>全50場</x:v>
      </x:c>
      <x:c r="D368" s="45" t="n">
        <x:v>993476</x:v>
      </x:c>
      <x:c r="E368" s="45" t="n">
        <x:v>632066</x:v>
      </x:c>
      <x:c r="F368" s="45" t="n">
        <x:f>D368-E368</x:f>
        <x:v>361410</x:v>
      </x:c>
      <x:c r="G368" s="47" t="n">
        <x:v>15</x:v>
      </x:c>
      <x:c r="H368" s="47" t="n">
        <x:v>10</x:v>
      </x:c>
      <x:c r="I368" s="45" t="n">
        <x:v>-11516</x:v>
      </x:c>
      <x:c r="J368" s="47" t="n">
        <x:v>46</x:v>
      </x:c>
      <x:c r="K368" s="45" t="n">
        <x:v>-116152</x:v>
      </x:c>
      <x:c r="L368" s="45" t="n">
        <x:v>36299.2</x:v>
      </x:c>
      <x:c r="M368" s="46" t="n">
        <x:v>363.472</x:v>
      </x:c>
      <x:c r="N368" s="46" t="n">
        <x:v>21.377333333333336</x:v>
      </x:c>
      <x:c r="O368" s="47" t="n">
        <x:v>5</x:v>
      </x:c>
      <x:c r="P368" s="1" t="str">
        <x:v>方向固定の支持待ちと二市場逆行の継続返済</x:v>
      </x:c>
      <x:c r="Q368" s="47" t="n">
        <x:v>0</x:v>
      </x:c>
      <x:c r="R368" s="1" t="str">
        <x:v>ナイト</x:v>
      </x:c>
      <x:c r="S368" s="47" t="n">
        <x:v>25</x:v>
      </x:c>
    </x:row>
    <x:row r="369" ht="22" customHeight="1">
      <x:c r="A369" s="1" t="str">
        <x:v>日経mini</x:v>
      </x:c>
      <x:c r="B369" s="1" t="str">
        <x:v>Q05</x:v>
      </x:c>
      <x:c r="C369" s="1" t="str">
        <x:v>全50場</x:v>
      </x:c>
      <x:c r="D369" s="45" t="n">
        <x:v>1746168</x:v>
      </x:c>
      <x:c r="E369" s="45" t="n">
        <x:v>1092138</x:v>
      </x:c>
      <x:c r="F369" s="45" t="n">
        <x:f>D369-E369</x:f>
        <x:v>654030</x:v>
      </x:c>
      <x:c r="G369" s="47" t="n">
        <x:v>14</x:v>
      </x:c>
      <x:c r="H369" s="47" t="n">
        <x:v>11</x:v>
      </x:c>
      <x:c r="I369" s="45" t="n">
        <x:v>32334</x:v>
      </x:c>
      <x:c r="J369" s="47" t="n">
        <x:v>51</x:v>
      </x:c>
      <x:c r="K369" s="45" t="n">
        <x:v>-121920</x:v>
      </x:c>
      <x:c r="L369" s="45" t="n">
        <x:v>59047.63636363636</x:v>
      </x:c>
      <x:c r="M369" s="46" t="n">
        <x:v>238.6506666666667</x:v>
      </x:c>
      <x:c r="N369" s="46" t="n">
        <x:v>77.59866666666666</x:v>
      </x:c>
      <x:c r="O369" s="47" t="n">
        <x:v>5</x:v>
      </x:c>
      <x:c r="P369" s="1" t="str">
        <x:v>方向固定の支持待ちと二市場逆行の継続返済</x:v>
      </x:c>
      <x:c r="Q369" s="47" t="n">
        <x:v>0</x:v>
      </x:c>
      <x:c r="R369" s="1" t="str">
        <x:v>上昇</x:v>
      </x:c>
      <x:c r="S369" s="47" t="n">
        <x:v>25</x:v>
      </x:c>
    </x:row>
    <x:row r="370" ht="22" customHeight="1">
      <x:c r="A370" s="1" t="str">
        <x:v>日経mini</x:v>
      </x:c>
      <x:c r="B370" s="1" t="str">
        <x:v>Q05</x:v>
      </x:c>
      <x:c r="C370" s="1" t="str">
        <x:v>全50場</x:v>
      </x:c>
      <x:c r="D370" s="45" t="n">
        <x:v>2178172</x:v>
      </x:c>
      <x:c r="E370" s="45" t="n">
        <x:v>901600</x:v>
      </x:c>
      <x:c r="F370" s="45" t="n">
        <x:f>D370-E370</x:f>
        <x:v>1276572</x:v>
      </x:c>
      <x:c r="G370" s="47" t="n">
        <x:v>17</x:v>
      </x:c>
      <x:c r="H370" s="47" t="n">
        <x:v>8</x:v>
      </x:c>
      <x:c r="I370" s="45" t="n">
        <x:v>365646</x:v>
      </x:c>
      <x:c r="J370" s="47" t="n">
        <x:v>57</x:v>
      </x:c>
      <x:c r="K370" s="45" t="n">
        <x:v>-153304</x:v>
      </x:c>
      <x:c r="L370" s="45" t="n">
        <x:v>49671.5</x:v>
      </x:c>
      <x:c r="M370" s="46" t="n">
        <x:v>243.13600000000002</x:v>
      </x:c>
      <x:c r="N370" s="46" t="n">
        <x:v>96.99666666666668</x:v>
      </x:c>
      <x:c r="O370" s="47" t="n">
        <x:v>5</x:v>
      </x:c>
      <x:c r="P370" s="1" t="str">
        <x:v>方向固定の支持待ちと二市場逆行の継続返済</x:v>
      </x:c>
      <x:c r="Q370" s="47" t="n">
        <x:v>0</x:v>
      </x:c>
      <x:c r="R370" s="1" t="str">
        <x:v>下落</x:v>
      </x:c>
      <x:c r="S370" s="47" t="n">
        <x:v>25</x:v>
      </x:c>
    </x:row>
    <x:row r="371" ht="22" customHeight="1">
      <x:c r="A371" s="1" t="str">
        <x:v>日経mini</x:v>
      </x:c>
      <x:c r="B371" s="1" t="str">
        <x:v>Q05</x:v>
      </x:c>
      <x:c r="C371" s="1" t="str">
        <x:v>対照47場</x:v>
      </x:c>
      <x:c r="D371" s="45" t="n">
        <x:v>3816954</x:v>
      </x:c>
      <x:c r="E371" s="45" t="n">
        <x:v>1942970</x:v>
      </x:c>
      <x:c r="F371" s="45" t="n">
        <x:f>D371-E371</x:f>
        <x:v>1873984</x:v>
      </x:c>
      <x:c r="G371" s="47" t="n">
        <x:v>29</x:v>
      </x:c>
      <x:c r="H371" s="47" t="n">
        <x:v>18</x:v>
      </x:c>
      <x:c r="I371" s="45" t="n">
        <x:v>874904</x:v>
      </x:c>
      <x:c r="J371" s="47" t="n">
        <x:v>104</x:v>
      </x:c>
      <x:c r="K371" s="45" t="n">
        <x:v>-153304</x:v>
      </x:c>
      <x:c r="L371" s="45" t="n">
        <x:v>55639.555555555555</x:v>
      </x:c>
      <x:c r="M371" s="46" t="n">
        <x:v>237.80709219858159</x:v>
      </x:c>
      <x:c r="N371" s="46" t="n">
        <x:v>92.30886524822697</x:v>
      </x:c>
      <x:c r="O371" s="47" t="n">
        <x:v>5</x:v>
      </x:c>
      <x:c r="P371" s="1" t="str">
        <x:v>方向固定の支持待ちと二市場逆行の継続返済</x:v>
      </x:c>
      <x:c r="Q371" s="47" t="n">
        <x:v>0</x:v>
      </x:c>
      <x:c r="R371" s="1" t="str">
        <x:v>全場</x:v>
      </x:c>
      <x:c r="S371" s="47" t="n">
        <x:v>47</x:v>
      </x:c>
    </x:row>
    <x:row r="372" ht="22" customHeight="1">
      <x:c r="A372" s="1" t="str">
        <x:v>日経mini</x:v>
      </x:c>
      <x:c r="B372" s="1" t="str">
        <x:v>Q05</x:v>
      </x:c>
      <x:c r="C372" s="1" t="str">
        <x:v>対照47場</x:v>
      </x:c>
      <x:c r="D372" s="45" t="n">
        <x:v>2930864</x:v>
      </x:c>
      <x:c r="E372" s="45" t="n">
        <x:v>1316288</x:v>
      </x:c>
      <x:c r="F372" s="45" t="n">
        <x:f>D372-E372</x:f>
        <x:v>1614576</x:v>
      </x:c>
      <x:c r="G372" s="47" t="n">
        <x:v>16</x:v>
      </x:c>
      <x:c r="H372" s="47" t="n">
        <x:v>8</x:v>
      </x:c>
      <x:c r="I372" s="45" t="n">
        <x:v>615496</x:v>
      </x:c>
      <x:c r="J372" s="47" t="n">
        <x:v>61</x:v>
      </x:c>
      <x:c r="K372" s="45" t="n">
        <x:v>-153304</x:v>
      </x:c>
      <x:c r="L372" s="45" t="n">
        <x:v>79815</x:v>
      </x:c>
      <x:c r="M372" s="46" t="n">
        <x:v>117.47916666666667</x:v>
      </x:c>
      <x:c r="N372" s="46" t="n">
        <x:v>159.42569444444447</x:v>
      </x:c>
      <x:c r="O372" s="47" t="n">
        <x:v>5</x:v>
      </x:c>
      <x:c r="P372" s="1" t="str">
        <x:v>方向固定の支持待ちと二市場逆行の継続返済</x:v>
      </x:c>
      <x:c r="Q372" s="47" t="n">
        <x:v>0</x:v>
      </x:c>
      <x:c r="R372" s="1" t="str">
        <x:v>デイ</x:v>
      </x:c>
      <x:c r="S372" s="47" t="n">
        <x:v>24</x:v>
      </x:c>
    </x:row>
    <x:row r="373" ht="22" customHeight="1">
      <x:c r="A373" s="1" t="str">
        <x:v>日経mini</x:v>
      </x:c>
      <x:c r="B373" s="1" t="str">
        <x:v>Q05</x:v>
      </x:c>
      <x:c r="C373" s="1" t="str">
        <x:v>対照47場</x:v>
      </x:c>
      <x:c r="D373" s="45" t="n">
        <x:v>886090</x:v>
      </x:c>
      <x:c r="E373" s="45" t="n">
        <x:v>626682</x:v>
      </x:c>
      <x:c r="F373" s="45" t="n">
        <x:f>D373-E373</x:f>
        <x:v>259408</x:v>
      </x:c>
      <x:c r="G373" s="47" t="n">
        <x:v>13</x:v>
      </x:c>
      <x:c r="H373" s="47" t="n">
        <x:v>10</x:v>
      </x:c>
      <x:c r="I373" s="45" t="n">
        <x:v>-93134</x:v>
      </x:c>
      <x:c r="J373" s="47" t="n">
        <x:v>43</x:v>
      </x:c>
      <x:c r="K373" s="45" t="n">
        <x:v>-116152</x:v>
      </x:c>
      <x:c r="L373" s="45" t="n">
        <x:v>36299.2</x:v>
      </x:c>
      <x:c r="M373" s="46" t="n">
        <x:v>363.36666666666673</x:v>
      </x:c>
      <x:c r="N373" s="46" t="n">
        <x:v>22.27391304347826</x:v>
      </x:c>
      <x:c r="O373" s="47" t="n">
        <x:v>5</x:v>
      </x:c>
      <x:c r="P373" s="1" t="str">
        <x:v>方向固定の支持待ちと二市場逆行の継続返済</x:v>
      </x:c>
      <x:c r="Q373" s="47" t="n">
        <x:v>0</x:v>
      </x:c>
      <x:c r="R373" s="1" t="str">
        <x:v>ナイト</x:v>
      </x:c>
      <x:c r="S373" s="47" t="n">
        <x:v>23</x:v>
      </x:c>
    </x:row>
    <x:row r="374" ht="22" customHeight="1">
      <x:c r="A374" s="1" t="str">
        <x:v>日経mini</x:v>
      </x:c>
      <x:c r="B374" s="1" t="str">
        <x:v>Q05</x:v>
      </x:c>
      <x:c r="C374" s="1" t="str">
        <x:v>対照47場</x:v>
      </x:c>
      <x:c r="D374" s="45" t="n">
        <x:v>1743398</x:v>
      </x:c>
      <x:c r="E374" s="45" t="n">
        <x:v>1046754</x:v>
      </x:c>
      <x:c r="F374" s="45" t="n">
        <x:f>D374-E374</x:f>
        <x:v>696644</x:v>
      </x:c>
      <x:c r="G374" s="47" t="n">
        <x:v>13</x:v>
      </x:c>
      <x:c r="H374" s="47" t="n">
        <x:v>10</x:v>
      </x:c>
      <x:c r="I374" s="45" t="n">
        <x:v>74948</x:v>
      </x:c>
      <x:c r="J374" s="47" t="n">
        <x:v>49</x:v>
      </x:c>
      <x:c r="K374" s="45" t="n">
        <x:v>-121920</x:v>
      </x:c>
      <x:c r="L374" s="45" t="n">
        <x:v>60414</x:v>
      </x:c>
      <x:c r="M374" s="46" t="n">
        <x:v>237.33043478260868</x:v>
      </x:c>
      <x:c r="N374" s="46" t="n">
        <x:v>83.91159420289856</x:v>
      </x:c>
      <x:c r="O374" s="47" t="n">
        <x:v>5</x:v>
      </x:c>
      <x:c r="P374" s="1" t="str">
        <x:v>方向固定の支持待ちと二市場逆行の継続返済</x:v>
      </x:c>
      <x:c r="Q374" s="47" t="n">
        <x:v>0</x:v>
      </x:c>
      <x:c r="R374" s="1" t="str">
        <x:v>上昇</x:v>
      </x:c>
      <x:c r="S374" s="47" t="n">
        <x:v>23</x:v>
      </x:c>
    </x:row>
    <x:row r="375" ht="22" customHeight="1">
      <x:c r="A375" s="1" t="str">
        <x:v>日経mini</x:v>
      </x:c>
      <x:c r="B375" s="1" t="str">
        <x:v>Q05</x:v>
      </x:c>
      <x:c r="C375" s="1" t="str">
        <x:v>対照47場</x:v>
      </x:c>
      <x:c r="D375" s="45" t="n">
        <x:v>2073556</x:v>
      </x:c>
      <x:c r="E375" s="45" t="n">
        <x:v>896216</x:v>
      </x:c>
      <x:c r="F375" s="45" t="n">
        <x:f>D375-E375</x:f>
        <x:v>1177340</x:v>
      </x:c>
      <x:c r="G375" s="47" t="n">
        <x:v>16</x:v>
      </x:c>
      <x:c r="H375" s="47" t="n">
        <x:v>8</x:v>
      </x:c>
      <x:c r="I375" s="45" t="n">
        <x:v>266414</x:v>
      </x:c>
      <x:c r="J375" s="47" t="n">
        <x:v>55</x:v>
      </x:c>
      <x:c r="K375" s="45" t="n">
        <x:v>-153304</x:v>
      </x:c>
      <x:c r="L375" s="45" t="n">
        <x:v>49671.5</x:v>
      </x:c>
      <x:c r="M375" s="46" t="n">
        <x:v>238.2638888888889</x:v>
      </x:c>
      <x:c r="N375" s="46" t="n">
        <x:v>100.35625</x:v>
      </x:c>
      <x:c r="O375" s="47" t="n">
        <x:v>5</x:v>
      </x:c>
      <x:c r="P375" s="1" t="str">
        <x:v>方向固定の支持待ちと二市場逆行の継続返済</x:v>
      </x:c>
      <x:c r="Q375" s="47" t="n">
        <x:v>0</x:v>
      </x:c>
      <x:c r="R375" s="1" t="str">
        <x:v>下落</x:v>
      </x:c>
      <x:c r="S375" s="47" t="n">
        <x:v>24</x:v>
      </x:c>
    </x:row>
    <x:row r="376" ht="22" customHeight="1">
      <x:c r="A376" s="1" t="str">
        <x:v>日経mini</x:v>
      </x:c>
      <x:c r="B376" s="1" t="str">
        <x:v>Q05</x:v>
      </x:c>
      <x:c r="C376" s="1" t="str">
        <x:v>診断3場</x:v>
      </x:c>
      <x:c r="D376" s="45" t="n">
        <x:v>107386</x:v>
      </x:c>
      <x:c r="E376" s="45" t="n">
        <x:v>50768</x:v>
      </x:c>
      <x:c r="F376" s="45" t="n">
        <x:f>D376-E376</x:f>
        <x:v>56618</x:v>
      </x:c>
      <x:c r="G376" s="47" t="n">
        <x:v>2</x:v>
      </x:c>
      <x:c r="H376" s="47" t="n">
        <x:v>1</x:v>
      </x:c>
      <x:c r="I376" s="45" t="n">
        <x:v>-45384</x:v>
      </x:c>
      <x:c r="J376" s="47" t="n">
        <x:v>4</x:v>
      </x:c>
      <x:c r="K376" s="45" t="n">
        <x:v>-45384</x:v>
      </x:c>
      <x:c r="L376" s="45" t="n">
        <x:v>45384</x:v>
      </x:c>
      <x:c r="M376" s="46" t="n">
        <x:v>289.24444444444447</x:v>
      </x:c>
      <x:c r="N376" s="46" t="n">
        <x:v>8.78888888888889</x:v>
      </x:c>
      <x:c r="O376" s="47" t="n">
        <x:v>5</x:v>
      </x:c>
      <x:c r="P376" s="1" t="str">
        <x:v>方向固定の支持待ちと二市場逆行の継続返済</x:v>
      </x:c>
      <x:c r="Q376" s="47" t="n">
        <x:v>0</x:v>
      </x:c>
      <x:c r="R376" s="1" t="str">
        <x:v>全場</x:v>
      </x:c>
      <x:c r="S376" s="47" t="n">
        <x:v>3</x:v>
      </x:c>
    </x:row>
    <x:row r="377" ht="22" customHeight="1">
      <x:c r="A377" s="1" t="str">
        <x:v>日経mini</x:v>
      </x:c>
      <x:c r="B377" s="1" t="str">
        <x:v>Q05</x:v>
      </x:c>
      <x:c r="C377" s="1" t="str">
        <x:v>診断3場</x:v>
      </x:c>
      <x:c r="D377" s="45" t="n">
        <x:v>0</x:v>
      </x:c>
      <x:c r="E377" s="45" t="n">
        <x:v>45384</x:v>
      </x:c>
      <x:c r="F377" s="45" t="n">
        <x:f>D377-E377</x:f>
        <x:v>-45384</x:v>
      </x:c>
      <x:c r="G377" s="47" t="n">
        <x:v>0</x:v>
      </x:c>
      <x:c r="H377" s="47" t="n">
        <x:v>1</x:v>
      </x:c>
      <x:c r="I377" s="45" t="n">
        <x:v>-45384</x:v>
      </x:c>
      <x:c r="J377" s="47" t="n">
        <x:v>1</x:v>
      </x:c>
      <x:c r="K377" s="45" t="n">
        <x:v>-45384</x:v>
      </x:c>
      <x:c r="L377" s="45" t="n">
        <x:v>45384</x:v>
      </x:c>
      <x:c r="M377" s="46" t="n">
        <x:v>138.36666666666667</x:v>
      </x:c>
      <x:c r="N377" s="46" t="n">
        <x:v>4.233333333333333</x:v>
      </x:c>
      <x:c r="O377" s="47" t="n">
        <x:v>5</x:v>
      </x:c>
      <x:c r="P377" s="1" t="str">
        <x:v>方向固定の支持待ちと二市場逆行の継続返済</x:v>
      </x:c>
      <x:c r="Q377" s="47" t="n">
        <x:v>0</x:v>
      </x:c>
      <x:c r="R377" s="1" t="str">
        <x:v>デイ</x:v>
      </x:c>
      <x:c r="S377" s="47" t="n">
        <x:v>1</x:v>
      </x:c>
    </x:row>
    <x:row r="378" ht="22" customHeight="1">
      <x:c r="A378" s="1" t="str">
        <x:v>日経mini</x:v>
      </x:c>
      <x:c r="B378" s="1" t="str">
        <x:v>Q05</x:v>
      </x:c>
      <x:c r="C378" s="1" t="str">
        <x:v>診断3場</x:v>
      </x:c>
      <x:c r="D378" s="45" t="n">
        <x:v>107386</x:v>
      </x:c>
      <x:c r="E378" s="45" t="n">
        <x:v>5384</x:v>
      </x:c>
      <x:c r="F378" s="45" t="n">
        <x:f>D378-E378</x:f>
        <x:v>102002</x:v>
      </x:c>
      <x:c r="G378" s="47" t="n">
        <x:v>2</x:v>
      </x:c>
      <x:c r="H378" s="47" t="n">
        <x:v>0</x:v>
      </x:c>
      <x:c r="I378" s="45" t="n">
        <x:v>0</x:v>
      </x:c>
      <x:c r="J378" s="47" t="n">
        <x:v>3</x:v>
      </x:c>
      <x:c r="K378" s="45" t="n">
        <x:v>2770</x:v>
      </x:c>
      <x:c r="L378" s="45" t="n">
        <x:v>0</x:v>
      </x:c>
      <x:c r="M378" s="46" t="n">
        <x:v>364.68333333333334</x:v>
      </x:c>
      <x:c r="N378" s="46" t="n">
        <x:v>11.066666666666666</x:v>
      </x:c>
      <x:c r="O378" s="47" t="n">
        <x:v>5</x:v>
      </x:c>
      <x:c r="P378" s="1" t="str">
        <x:v>方向固定の支持待ちと二市場逆行の継続返済</x:v>
      </x:c>
      <x:c r="Q378" s="47" t="n">
        <x:v>0</x:v>
      </x:c>
      <x:c r="R378" s="1" t="str">
        <x:v>ナイト</x:v>
      </x:c>
      <x:c r="S378" s="47" t="n">
        <x:v>2</x:v>
      </x:c>
    </x:row>
    <x:row r="379" ht="22" customHeight="1">
      <x:c r="A379" s="1" t="str">
        <x:v>日経mini</x:v>
      </x:c>
      <x:c r="B379" s="1" t="str">
        <x:v>Q05</x:v>
      </x:c>
      <x:c r="C379" s="1" t="str">
        <x:v>診断3場</x:v>
      </x:c>
      <x:c r="D379" s="45" t="n">
        <x:v>2770</x:v>
      </x:c>
      <x:c r="E379" s="45" t="n">
        <x:v>45384</x:v>
      </x:c>
      <x:c r="F379" s="45" t="n">
        <x:f>D379-E379</x:f>
        <x:v>-42614</x:v>
      </x:c>
      <x:c r="G379" s="47" t="n">
        <x:v>1</x:v>
      </x:c>
      <x:c r="H379" s="47" t="n">
        <x:v>1</x:v>
      </x:c>
      <x:c r="I379" s="45" t="n">
        <x:v>-45384</x:v>
      </x:c>
      <x:c r="J379" s="47" t="n">
        <x:v>2</x:v>
      </x:c>
      <x:c r="K379" s="45" t="n">
        <x:v>-45384</x:v>
      </x:c>
      <x:c r="L379" s="45" t="n">
        <x:v>45384</x:v>
      </x:c>
      <x:c r="M379" s="46" t="n">
        <x:v>253.83333333333334</x:v>
      </x:c>
      <x:c r="N379" s="46" t="n">
        <x:v>5</x:v>
      </x:c>
      <x:c r="O379" s="47" t="n">
        <x:v>5</x:v>
      </x:c>
      <x:c r="P379" s="1" t="str">
        <x:v>方向固定の支持待ちと二市場逆行の継続返済</x:v>
      </x:c>
      <x:c r="Q379" s="47" t="n">
        <x:v>0</x:v>
      </x:c>
      <x:c r="R379" s="1" t="str">
        <x:v>上昇</x:v>
      </x:c>
      <x:c r="S379" s="47" t="n">
        <x:v>2</x:v>
      </x:c>
    </x:row>
    <x:row r="380" ht="22" customHeight="1">
      <x:c r="A380" s="1" t="str">
        <x:v>日経mini</x:v>
      </x:c>
      <x:c r="B380" s="1" t="str">
        <x:v>Q05</x:v>
      </x:c>
      <x:c r="C380" s="1" t="str">
        <x:v>診断3場</x:v>
      </x:c>
      <x:c r="D380" s="45" t="n">
        <x:v>104616</x:v>
      </x:c>
      <x:c r="E380" s="45" t="n">
        <x:v>5384</x:v>
      </x:c>
      <x:c r="F380" s="45" t="n">
        <x:f>D380-E380</x:f>
        <x:v>99232</x:v>
      </x:c>
      <x:c r="G380" s="47" t="n">
        <x:v>1</x:v>
      </x:c>
      <x:c r="H380" s="47" t="n">
        <x:v>0</x:v>
      </x:c>
      <x:c r="I380" s="45" t="n">
        <x:v>0</x:v>
      </x:c>
      <x:c r="J380" s="47" t="n">
        <x:v>2</x:v>
      </x:c>
      <x:c r="K380" s="45" t="n">
        <x:v>99232</x:v>
      </x:c>
      <x:c r="L380" s="45" t="n">
        <x:v>0</x:v>
      </x:c>
      <x:c r="M380" s="46" t="n">
        <x:v>360.06666666666666</x:v>
      </x:c>
      <x:c r="N380" s="46" t="n">
        <x:v>16.366666666666667</x:v>
      </x:c>
      <x:c r="O380" s="47" t="n">
        <x:v>5</x:v>
      </x:c>
      <x:c r="P380" s="1" t="str">
        <x:v>方向固定の支持待ちと二市場逆行の継続返済</x:v>
      </x:c>
      <x:c r="Q380" s="47" t="n">
        <x:v>0</x:v>
      </x:c>
      <x:c r="R380" s="1" t="str">
        <x:v>下落</x:v>
      </x:c>
      <x:c r="S380" s="47" t="n">
        <x:v>1</x:v>
      </x:c>
    </x:row>
    <x:row r="381" ht="22" customHeight="1">
      <x:c r="A381" s="1" t="str">
        <x:v>日経mini</x:v>
      </x:c>
      <x:c r="B381" s="1" t="str">
        <x:v>Q06</x:v>
      </x:c>
      <x:c r="C381" s="1" t="str">
        <x:v>全50場</x:v>
      </x:c>
      <x:c r="D381" s="45" t="n">
        <x:v>4149342</x:v>
      </x:c>
      <x:c r="E381" s="45" t="n">
        <x:v>2144740</x:v>
      </x:c>
      <x:c r="F381" s="45" t="n">
        <x:f>D381-E381</x:f>
        <x:v>2004602</x:v>
      </x:c>
      <x:c r="G381" s="47" t="n">
        <x:v>31</x:v>
      </x:c>
      <x:c r="H381" s="47" t="n">
        <x:v>19</x:v>
      </x:c>
      <x:c r="I381" s="45" t="n">
        <x:v>1005522</x:v>
      </x:c>
      <x:c r="J381" s="47" t="n">
        <x:v>108</x:v>
      </x:c>
      <x:c r="K381" s="45" t="n">
        <x:v>-153304</x:v>
      </x:c>
      <x:c r="L381" s="45" t="n">
        <x:v>61120</x:v>
      </x:c>
      <x:c r="M381" s="46" t="n">
        <x:v>240.72633333333334</x:v>
      </x:c>
      <x:c r="N381" s="46" t="n">
        <x:v>89.44400000000002</x:v>
      </x:c>
      <x:c r="O381" s="47" t="n">
        <x:v>5</x:v>
      </x:c>
      <x:c r="P381" s="1" t="str">
        <x:v>方向固定の支持待ち・一方の5分同値を許す</x:v>
      </x:c>
      <x:c r="Q381" s="47" t="n">
        <x:v>0</x:v>
      </x:c>
      <x:c r="R381" s="1" t="str">
        <x:v>全場</x:v>
      </x:c>
      <x:c r="S381" s="47" t="n">
        <x:v>50</x:v>
      </x:c>
    </x:row>
    <x:row r="382" ht="22" customHeight="1">
      <x:c r="A382" s="1" t="str">
        <x:v>日経mini</x:v>
      </x:c>
      <x:c r="B382" s="1" t="str">
        <x:v>Q06</x:v>
      </x:c>
      <x:c r="C382" s="1" t="str">
        <x:v>全50場</x:v>
      </x:c>
      <x:c r="D382" s="45" t="n">
        <x:v>2930864</x:v>
      </x:c>
      <x:c r="E382" s="45" t="n">
        <x:v>1361672</x:v>
      </x:c>
      <x:c r="F382" s="45" t="n">
        <x:f>D382-E382</x:f>
        <x:v>1569192</x:v>
      </x:c>
      <x:c r="G382" s="47" t="n">
        <x:v>16</x:v>
      </x:c>
      <x:c r="H382" s="47" t="n">
        <x:v>9</x:v>
      </x:c>
      <x:c r="I382" s="45" t="n">
        <x:v>570112</x:v>
      </x:c>
      <x:c r="J382" s="47" t="n">
        <x:v>62</x:v>
      </x:c>
      <x:c r="K382" s="45" t="n">
        <x:v>-153304</x:v>
      </x:c>
      <x:c r="L382" s="45" t="n">
        <x:v>75989.33333333333</x:v>
      </x:c>
      <x:c r="M382" s="46" t="n">
        <x:v>118.31466666666667</x:v>
      </x:c>
      <x:c r="N382" s="46" t="n">
        <x:v>153.21800000000002</x:v>
      </x:c>
      <x:c r="O382" s="47" t="n">
        <x:v>5</x:v>
      </x:c>
      <x:c r="P382" s="1" t="str">
        <x:v>方向固定の支持待ち・一方の5分同値を許す</x:v>
      </x:c>
      <x:c r="Q382" s="47" t="n">
        <x:v>0</x:v>
      </x:c>
      <x:c r="R382" s="1" t="str">
        <x:v>デイ</x:v>
      </x:c>
      <x:c r="S382" s="47" t="n">
        <x:v>25</x:v>
      </x:c>
    </x:row>
    <x:row r="383" ht="22" customHeight="1">
      <x:c r="A383" s="1" t="str">
        <x:v>日経mini</x:v>
      </x:c>
      <x:c r="B383" s="1" t="str">
        <x:v>Q06</x:v>
      </x:c>
      <x:c r="C383" s="1" t="str">
        <x:v>全50場</x:v>
      </x:c>
      <x:c r="D383" s="45" t="n">
        <x:v>1218478</x:v>
      </x:c>
      <x:c r="E383" s="45" t="n">
        <x:v>783068</x:v>
      </x:c>
      <x:c r="F383" s="45" t="n">
        <x:f>D383-E383</x:f>
        <x:v>435410</x:v>
      </x:c>
      <x:c r="G383" s="47" t="n">
        <x:v>15</x:v>
      </x:c>
      <x:c r="H383" s="47" t="n">
        <x:v>10</x:v>
      </x:c>
      <x:c r="I383" s="45" t="n">
        <x:v>59252</x:v>
      </x:c>
      <x:c r="J383" s="47" t="n">
        <x:v>46</x:v>
      </x:c>
      <x:c r="K383" s="45" t="n">
        <x:v>-141152</x:v>
      </x:c>
      <x:c r="L383" s="45" t="n">
        <x:v>47737.6</x:v>
      </x:c>
      <x:c r="M383" s="46" t="n">
        <x:v>363.138</x:v>
      </x:c>
      <x:c r="N383" s="46" t="n">
        <x:v>25.67</x:v>
      </x:c>
      <x:c r="O383" s="47" t="n">
        <x:v>5</x:v>
      </x:c>
      <x:c r="P383" s="1" t="str">
        <x:v>方向固定の支持待ち・一方の5分同値を許す</x:v>
      </x:c>
      <x:c r="Q383" s="47" t="n">
        <x:v>0</x:v>
      </x:c>
      <x:c r="R383" s="1" t="str">
        <x:v>ナイト</x:v>
      </x:c>
      <x:c r="S383" s="47" t="n">
        <x:v>25</x:v>
      </x:c>
    </x:row>
    <x:row r="384" ht="22" customHeight="1">
      <x:c r="A384" s="1" t="str">
        <x:v>日経mini</x:v>
      </x:c>
      <x:c r="B384" s="1" t="str">
        <x:v>Q06</x:v>
      </x:c>
      <x:c r="C384" s="1" t="str">
        <x:v>全50場</x:v>
      </x:c>
      <x:c r="D384" s="45" t="n">
        <x:v>1867784</x:v>
      </x:c>
      <x:c r="E384" s="45" t="n">
        <x:v>1165754</x:v>
      </x:c>
      <x:c r="F384" s="45" t="n">
        <x:f>D384-E384</x:f>
        <x:v>702030</x:v>
      </x:c>
      <x:c r="G384" s="47" t="n">
        <x:v>14</x:v>
      </x:c>
      <x:c r="H384" s="47" t="n">
        <x:v>11</x:v>
      </x:c>
      <x:c r="I384" s="45" t="n">
        <x:v>80334</x:v>
      </x:c>
      <x:c r="J384" s="47" t="n">
        <x:v>51</x:v>
      </x:c>
      <x:c r="K384" s="45" t="n">
        <x:v>-141152</x:v>
      </x:c>
      <x:c r="L384" s="45" t="n">
        <x:v>67138.54545454546</x:v>
      </x:c>
      <x:c r="M384" s="46" t="n">
        <x:v>238.52866666666665</x:v>
      </x:c>
      <x:c r="N384" s="46" t="n">
        <x:v>78.852</x:v>
      </x:c>
      <x:c r="O384" s="47" t="n">
        <x:v>5</x:v>
      </x:c>
      <x:c r="P384" s="1" t="str">
        <x:v>方向固定の支持待ち・一方の5分同値を許す</x:v>
      </x:c>
      <x:c r="Q384" s="47" t="n">
        <x:v>0</x:v>
      </x:c>
      <x:c r="R384" s="1" t="str">
        <x:v>上昇</x:v>
      </x:c>
      <x:c r="S384" s="47" t="n">
        <x:v>25</x:v>
      </x:c>
    </x:row>
    <x:row r="385" ht="22" customHeight="1">
      <x:c r="A385" s="1" t="str">
        <x:v>日経mini</x:v>
      </x:c>
      <x:c r="B385" s="1" t="str">
        <x:v>Q06</x:v>
      </x:c>
      <x:c r="C385" s="1" t="str">
        <x:v>全50場</x:v>
      </x:c>
      <x:c r="D385" s="45" t="n">
        <x:v>2281558</x:v>
      </x:c>
      <x:c r="E385" s="45" t="n">
        <x:v>978986</x:v>
      </x:c>
      <x:c r="F385" s="45" t="n">
        <x:f>D385-E385</x:f>
        <x:v>1302572</x:v>
      </x:c>
      <x:c r="G385" s="47" t="n">
        <x:v>17</x:v>
      </x:c>
      <x:c r="H385" s="47" t="n">
        <x:v>8</x:v>
      </x:c>
      <x:c r="I385" s="45" t="n">
        <x:v>399492</x:v>
      </x:c>
      <x:c r="J385" s="47" t="n">
        <x:v>57</x:v>
      </x:c>
      <x:c r="K385" s="45" t="n">
        <x:v>-153304</x:v>
      </x:c>
      <x:c r="L385" s="45" t="n">
        <x:v>52844.5</x:v>
      </x:c>
      <x:c r="M385" s="46" t="n">
        <x:v>242.92399999999998</x:v>
      </x:c>
      <x:c r="N385" s="46" t="n">
        <x:v>100.036</x:v>
      </x:c>
      <x:c r="O385" s="47" t="n">
        <x:v>5</x:v>
      </x:c>
      <x:c r="P385" s="1" t="str">
        <x:v>方向固定の支持待ち・一方の5分同値を許す</x:v>
      </x:c>
      <x:c r="Q385" s="47" t="n">
        <x:v>0</x:v>
      </x:c>
      <x:c r="R385" s="1" t="str">
        <x:v>下落</x:v>
      </x:c>
      <x:c r="S385" s="47" t="n">
        <x:v>25</x:v>
      </x:c>
    </x:row>
    <x:row r="386" ht="22" customHeight="1">
      <x:c r="A386" s="1" t="str">
        <x:v>日経mini</x:v>
      </x:c>
      <x:c r="B386" s="1" t="str">
        <x:v>Q06</x:v>
      </x:c>
      <x:c r="C386" s="1" t="str">
        <x:v>対照47場</x:v>
      </x:c>
      <x:c r="D386" s="45" t="n">
        <x:v>4014956</x:v>
      </x:c>
      <x:c r="E386" s="45" t="n">
        <x:v>2043972</x:v>
      </x:c>
      <x:c r="F386" s="45" t="n">
        <x:f>D386-E386</x:f>
        <x:v>1970984</x:v>
      </x:c>
      <x:c r="G386" s="47" t="n">
        <x:v>29</x:v>
      </x:c>
      <x:c r="H386" s="47" t="n">
        <x:v>18</x:v>
      </x:c>
      <x:c r="I386" s="45" t="n">
        <x:v>971904</x:v>
      </x:c>
      <x:c r="J386" s="47" t="n">
        <x:v>104</x:v>
      </x:c>
      <x:c r="K386" s="45" t="n">
        <x:v>-153304</x:v>
      </x:c>
      <x:c r="L386" s="45" t="n">
        <x:v>61994.22222222222</x:v>
      </x:c>
      <x:c r="M386" s="46" t="n">
        <x:v>237.6294326241135</x:v>
      </x:c>
      <x:c r="N386" s="46" t="n">
        <x:v>94.35602836879433</x:v>
      </x:c>
      <x:c r="O386" s="47" t="n">
        <x:v>5</x:v>
      </x:c>
      <x:c r="P386" s="1" t="str">
        <x:v>方向固定の支持待ち・一方の5分同値を許す</x:v>
      </x:c>
      <x:c r="Q386" s="47" t="n">
        <x:v>0</x:v>
      </x:c>
      <x:c r="R386" s="1" t="str">
        <x:v>全場</x:v>
      </x:c>
      <x:c r="S386" s="47" t="n">
        <x:v>47</x:v>
      </x:c>
    </x:row>
    <x:row r="387" ht="22" customHeight="1">
      <x:c r="A387" s="1" t="str">
        <x:v>日経mini</x:v>
      </x:c>
      <x:c r="B387" s="1" t="str">
        <x:v>Q06</x:v>
      </x:c>
      <x:c r="C387" s="1" t="str">
        <x:v>対照47場</x:v>
      </x:c>
      <x:c r="D387" s="45" t="n">
        <x:v>2930864</x:v>
      </x:c>
      <x:c r="E387" s="45" t="n">
        <x:v>1316288</x:v>
      </x:c>
      <x:c r="F387" s="45" t="n">
        <x:f>D387-E387</x:f>
        <x:v>1614576</x:v>
      </x:c>
      <x:c r="G387" s="47" t="n">
        <x:v>16</x:v>
      </x:c>
      <x:c r="H387" s="47" t="n">
        <x:v>8</x:v>
      </x:c>
      <x:c r="I387" s="45" t="n">
        <x:v>615496</x:v>
      </x:c>
      <x:c r="J387" s="47" t="n">
        <x:v>61</x:v>
      </x:c>
      <x:c r="K387" s="45" t="n">
        <x:v>-153304</x:v>
      </x:c>
      <x:c r="L387" s="45" t="n">
        <x:v>79815</x:v>
      </x:c>
      <x:c r="M387" s="46" t="n">
        <x:v>117.47916666666667</x:v>
      </x:c>
      <x:c r="N387" s="46" t="n">
        <x:v>159.42569444444447</x:v>
      </x:c>
      <x:c r="O387" s="47" t="n">
        <x:v>5</x:v>
      </x:c>
      <x:c r="P387" s="1" t="str">
        <x:v>方向固定の支持待ち・一方の5分同値を許す</x:v>
      </x:c>
      <x:c r="Q387" s="47" t="n">
        <x:v>0</x:v>
      </x:c>
      <x:c r="R387" s="1" t="str">
        <x:v>デイ</x:v>
      </x:c>
      <x:c r="S387" s="47" t="n">
        <x:v>24</x:v>
      </x:c>
    </x:row>
    <x:row r="388" ht="22" customHeight="1">
      <x:c r="A388" s="1" t="str">
        <x:v>日経mini</x:v>
      </x:c>
      <x:c r="B388" s="1" t="str">
        <x:v>Q06</x:v>
      </x:c>
      <x:c r="C388" s="1" t="str">
        <x:v>対照47場</x:v>
      </x:c>
      <x:c r="D388" s="45" t="n">
        <x:v>1084092</x:v>
      </x:c>
      <x:c r="E388" s="45" t="n">
        <x:v>727684</x:v>
      </x:c>
      <x:c r="F388" s="45" t="n">
        <x:f>D388-E388</x:f>
        <x:v>356408</x:v>
      </x:c>
      <x:c r="G388" s="47" t="n">
        <x:v>13</x:v>
      </x:c>
      <x:c r="H388" s="47" t="n">
        <x:v>10</x:v>
      </x:c>
      <x:c r="I388" s="45" t="n">
        <x:v>-19750</x:v>
      </x:c>
      <x:c r="J388" s="47" t="n">
        <x:v>43</x:v>
      </x:c>
      <x:c r="K388" s="45" t="n">
        <x:v>-141152</x:v>
      </x:c>
      <x:c r="L388" s="45" t="n">
        <x:v>47737.6</x:v>
      </x:c>
      <x:c r="M388" s="46" t="n">
        <x:v>363.0036231884058</x:v>
      </x:c>
      <x:c r="N388" s="46" t="n">
        <x:v>26.457246376811593</x:v>
      </x:c>
      <x:c r="O388" s="47" t="n">
        <x:v>5</x:v>
      </x:c>
      <x:c r="P388" s="1" t="str">
        <x:v>方向固定の支持待ち・一方の5分同値を許す</x:v>
      </x:c>
      <x:c r="Q388" s="47" t="n">
        <x:v>0</x:v>
      </x:c>
      <x:c r="R388" s="1" t="str">
        <x:v>ナイト</x:v>
      </x:c>
      <x:c r="S388" s="47" t="n">
        <x:v>23</x:v>
      </x:c>
    </x:row>
    <x:row r="389" ht="22" customHeight="1">
      <x:c r="A389" s="1" t="str">
        <x:v>日経mini</x:v>
      </x:c>
      <x:c r="B389" s="1" t="str">
        <x:v>Q06</x:v>
      </x:c>
      <x:c r="C389" s="1" t="str">
        <x:v>対照47場</x:v>
      </x:c>
      <x:c r="D389" s="45" t="n">
        <x:v>1838014</x:v>
      </x:c>
      <x:c r="E389" s="45" t="n">
        <x:v>1120370</x:v>
      </x:c>
      <x:c r="F389" s="45" t="n">
        <x:f>D389-E389</x:f>
        <x:v>717644</x:v>
      </x:c>
      <x:c r="G389" s="47" t="n">
        <x:v>13</x:v>
      </x:c>
      <x:c r="H389" s="47" t="n">
        <x:v>10</x:v>
      </x:c>
      <x:c r="I389" s="45" t="n">
        <x:v>95948</x:v>
      </x:c>
      <x:c r="J389" s="47" t="n">
        <x:v>49</x:v>
      </x:c>
      <x:c r="K389" s="45" t="n">
        <x:v>-141152</x:v>
      </x:c>
      <x:c r="L389" s="45" t="n">
        <x:v>69314</x:v>
      </x:c>
      <x:c r="M389" s="46" t="n">
        <x:v>237.1978260869565</x:v>
      </x:c>
      <x:c r="N389" s="46" t="n">
        <x:v>85.03985507246378</x:v>
      </x:c>
      <x:c r="O389" s="47" t="n">
        <x:v>5</x:v>
      </x:c>
      <x:c r="P389" s="1" t="str">
        <x:v>方向固定の支持待ち・一方の5分同値を許す</x:v>
      </x:c>
      <x:c r="Q389" s="47" t="n">
        <x:v>0</x:v>
      </x:c>
      <x:c r="R389" s="1" t="str">
        <x:v>上昇</x:v>
      </x:c>
      <x:c r="S389" s="47" t="n">
        <x:v>23</x:v>
      </x:c>
    </x:row>
    <x:row r="390" ht="22" customHeight="1">
      <x:c r="A390" s="1" t="str">
        <x:v>日経mini</x:v>
      </x:c>
      <x:c r="B390" s="1" t="str">
        <x:v>Q06</x:v>
      </x:c>
      <x:c r="C390" s="1" t="str">
        <x:v>対照47場</x:v>
      </x:c>
      <x:c r="D390" s="45" t="n">
        <x:v>2176942</x:v>
      </x:c>
      <x:c r="E390" s="45" t="n">
        <x:v>923602</x:v>
      </x:c>
      <x:c r="F390" s="45" t="n">
        <x:f>D390-E390</x:f>
        <x:v>1253340</x:v>
      </x:c>
      <x:c r="G390" s="47" t="n">
        <x:v>16</x:v>
      </x:c>
      <x:c r="H390" s="47" t="n">
        <x:v>8</x:v>
      </x:c>
      <x:c r="I390" s="45" t="n">
        <x:v>350260</x:v>
      </x:c>
      <x:c r="J390" s="47" t="n">
        <x:v>55</x:v>
      </x:c>
      <x:c r="K390" s="45" t="n">
        <x:v>-153304</x:v>
      </x:c>
      <x:c r="L390" s="45" t="n">
        <x:v>52844.5</x:v>
      </x:c>
      <x:c r="M390" s="46" t="n">
        <x:v>238.04305555555553</x:v>
      </x:c>
      <x:c r="N390" s="46" t="n">
        <x:v>103.28402777777778</x:v>
      </x:c>
      <x:c r="O390" s="47" t="n">
        <x:v>5</x:v>
      </x:c>
      <x:c r="P390" s="1" t="str">
        <x:v>方向固定の支持待ち・一方の5分同値を許す</x:v>
      </x:c>
      <x:c r="Q390" s="47" t="n">
        <x:v>0</x:v>
      </x:c>
      <x:c r="R390" s="1" t="str">
        <x:v>下落</x:v>
      </x:c>
      <x:c r="S390" s="47" t="n">
        <x:v>24</x:v>
      </x:c>
    </x:row>
    <x:row r="391" ht="22" customHeight="1">
      <x:c r="A391" s="1" t="str">
        <x:v>日経mini</x:v>
      </x:c>
      <x:c r="B391" s="1" t="str">
        <x:v>Q06</x:v>
      </x:c>
      <x:c r="C391" s="1" t="str">
        <x:v>診断3場</x:v>
      </x:c>
      <x:c r="D391" s="45" t="n">
        <x:v>134386</x:v>
      </x:c>
      <x:c r="E391" s="45" t="n">
        <x:v>100768</x:v>
      </x:c>
      <x:c r="F391" s="45" t="n">
        <x:f>D391-E391</x:f>
        <x:v>33618</x:v>
      </x:c>
      <x:c r="G391" s="47" t="n">
        <x:v>2</x:v>
      </x:c>
      <x:c r="H391" s="47" t="n">
        <x:v>1</x:v>
      </x:c>
      <x:c r="I391" s="45" t="n">
        <x:v>-45384</x:v>
      </x:c>
      <x:c r="J391" s="47" t="n">
        <x:v>4</x:v>
      </x:c>
      <x:c r="K391" s="45" t="n">
        <x:v>-45384</x:v>
      </x:c>
      <x:c r="L391" s="45" t="n">
        <x:v>45384</x:v>
      </x:c>
      <x:c r="M391" s="46" t="n">
        <x:v>289.24444444444447</x:v>
      </x:c>
      <x:c r="N391" s="46" t="n">
        <x:v>12.488888888888889</x:v>
      </x:c>
      <x:c r="O391" s="47" t="n">
        <x:v>5</x:v>
      </x:c>
      <x:c r="P391" s="1" t="str">
        <x:v>方向固定の支持待ち・一方の5分同値を許す</x:v>
      </x:c>
      <x:c r="Q391" s="47" t="n">
        <x:v>0</x:v>
      </x:c>
      <x:c r="R391" s="1" t="str">
        <x:v>全場</x:v>
      </x:c>
      <x:c r="S391" s="47" t="n">
        <x:v>3</x:v>
      </x:c>
    </x:row>
    <x:row r="392" ht="22" customHeight="1">
      <x:c r="A392" s="1" t="str">
        <x:v>日経mini</x:v>
      </x:c>
      <x:c r="B392" s="1" t="str">
        <x:v>Q06</x:v>
      </x:c>
      <x:c r="C392" s="1" t="str">
        <x:v>診断3場</x:v>
      </x:c>
      <x:c r="D392" s="45" t="n">
        <x:v>0</x:v>
      </x:c>
      <x:c r="E392" s="45" t="n">
        <x:v>45384</x:v>
      </x:c>
      <x:c r="F392" s="45" t="n">
        <x:f>D392-E392</x:f>
        <x:v>-45384</x:v>
      </x:c>
      <x:c r="G392" s="47" t="n">
        <x:v>0</x:v>
      </x:c>
      <x:c r="H392" s="47" t="n">
        <x:v>1</x:v>
      </x:c>
      <x:c r="I392" s="45" t="n">
        <x:v>-45384</x:v>
      </x:c>
      <x:c r="J392" s="47" t="n">
        <x:v>1</x:v>
      </x:c>
      <x:c r="K392" s="45" t="n">
        <x:v>-45384</x:v>
      </x:c>
      <x:c r="L392" s="45" t="n">
        <x:v>45384</x:v>
      </x:c>
      <x:c r="M392" s="46" t="n">
        <x:v>138.36666666666667</x:v>
      </x:c>
      <x:c r="N392" s="46" t="n">
        <x:v>4.233333333333333</x:v>
      </x:c>
      <x:c r="O392" s="47" t="n">
        <x:v>5</x:v>
      </x:c>
      <x:c r="P392" s="1" t="str">
        <x:v>方向固定の支持待ち・一方の5分同値を許す</x:v>
      </x:c>
      <x:c r="Q392" s="47" t="n">
        <x:v>0</x:v>
      </x:c>
      <x:c r="R392" s="1" t="str">
        <x:v>デイ</x:v>
      </x:c>
      <x:c r="S392" s="47" t="n">
        <x:v>1</x:v>
      </x:c>
    </x:row>
    <x:row r="393" ht="22" customHeight="1">
      <x:c r="A393" s="1" t="str">
        <x:v>日経mini</x:v>
      </x:c>
      <x:c r="B393" s="1" t="str">
        <x:v>Q06</x:v>
      </x:c>
      <x:c r="C393" s="1" t="str">
        <x:v>診断3場</x:v>
      </x:c>
      <x:c r="D393" s="45" t="n">
        <x:v>134386</x:v>
      </x:c>
      <x:c r="E393" s="45" t="n">
        <x:v>55384</x:v>
      </x:c>
      <x:c r="F393" s="45" t="n">
        <x:f>D393-E393</x:f>
        <x:v>79002</x:v>
      </x:c>
      <x:c r="G393" s="47" t="n">
        <x:v>2</x:v>
      </x:c>
      <x:c r="H393" s="47" t="n">
        <x:v>0</x:v>
      </x:c>
      <x:c r="I393" s="45" t="n">
        <x:v>0</x:v>
      </x:c>
      <x:c r="J393" s="47" t="n">
        <x:v>3</x:v>
      </x:c>
      <x:c r="K393" s="45" t="n">
        <x:v>29770</x:v>
      </x:c>
      <x:c r="L393" s="45" t="n">
        <x:v>0</x:v>
      </x:c>
      <x:c r="M393" s="46" t="n">
        <x:v>364.68333333333334</x:v>
      </x:c>
      <x:c r="N393" s="46" t="n">
        <x:v>16.616666666666667</x:v>
      </x:c>
      <x:c r="O393" s="47" t="n">
        <x:v>5</x:v>
      </x:c>
      <x:c r="P393" s="1" t="str">
        <x:v>方向固定の支持待ち・一方の5分同値を許す</x:v>
      </x:c>
      <x:c r="Q393" s="47" t="n">
        <x:v>0</x:v>
      </x:c>
      <x:c r="R393" s="1" t="str">
        <x:v>ナイト</x:v>
      </x:c>
      <x:c r="S393" s="47" t="n">
        <x:v>2</x:v>
      </x:c>
    </x:row>
    <x:row r="394" ht="22" customHeight="1">
      <x:c r="A394" s="1" t="str">
        <x:v>日経mini</x:v>
      </x:c>
      <x:c r="B394" s="1" t="str">
        <x:v>Q06</x:v>
      </x:c>
      <x:c r="C394" s="1" t="str">
        <x:v>診断3場</x:v>
      </x:c>
      <x:c r="D394" s="45" t="n">
        <x:v>29770</x:v>
      </x:c>
      <x:c r="E394" s="45" t="n">
        <x:v>45384</x:v>
      </x:c>
      <x:c r="F394" s="45" t="n">
        <x:f>D394-E394</x:f>
        <x:v>-15614</x:v>
      </x:c>
      <x:c r="G394" s="47" t="n">
        <x:v>1</x:v>
      </x:c>
      <x:c r="H394" s="47" t="n">
        <x:v>1</x:v>
      </x:c>
      <x:c r="I394" s="45" t="n">
        <x:v>-45384</x:v>
      </x:c>
      <x:c r="J394" s="47" t="n">
        <x:v>2</x:v>
      </x:c>
      <x:c r="K394" s="45" t="n">
        <x:v>-45384</x:v>
      </x:c>
      <x:c r="L394" s="45" t="n">
        <x:v>45384</x:v>
      </x:c>
      <x:c r="M394" s="46" t="n">
        <x:v>253.83333333333334</x:v>
      </x:c>
      <x:c r="N394" s="46" t="n">
        <x:v>7.691666666666666</x:v>
      </x:c>
      <x:c r="O394" s="47" t="n">
        <x:v>5</x:v>
      </x:c>
      <x:c r="P394" s="1" t="str">
        <x:v>方向固定の支持待ち・一方の5分同値を許す</x:v>
      </x:c>
      <x:c r="Q394" s="47" t="n">
        <x:v>0</x:v>
      </x:c>
      <x:c r="R394" s="1" t="str">
        <x:v>上昇</x:v>
      </x:c>
      <x:c r="S394" s="47" t="n">
        <x:v>2</x:v>
      </x:c>
    </x:row>
    <x:row r="395" ht="22" customHeight="1">
      <x:c r="A395" s="1" t="str">
        <x:v>日経mini</x:v>
      </x:c>
      <x:c r="B395" s="1" t="str">
        <x:v>Q06</x:v>
      </x:c>
      <x:c r="C395" s="1" t="str">
        <x:v>診断3場</x:v>
      </x:c>
      <x:c r="D395" s="45" t="n">
        <x:v>104616</x:v>
      </x:c>
      <x:c r="E395" s="45" t="n">
        <x:v>55384</x:v>
      </x:c>
      <x:c r="F395" s="45" t="n">
        <x:f>D395-E395</x:f>
        <x:v>49232</x:v>
      </x:c>
      <x:c r="G395" s="47" t="n">
        <x:v>1</x:v>
      </x:c>
      <x:c r="H395" s="47" t="n">
        <x:v>0</x:v>
      </x:c>
      <x:c r="I395" s="45" t="n">
        <x:v>0</x:v>
      </x:c>
      <x:c r="J395" s="47" t="n">
        <x:v>2</x:v>
      </x:c>
      <x:c r="K395" s="45" t="n">
        <x:v>49232</x:v>
      </x:c>
      <x:c r="L395" s="45" t="n">
        <x:v>0</x:v>
      </x:c>
      <x:c r="M395" s="46" t="n">
        <x:v>360.06666666666666</x:v>
      </x:c>
      <x:c r="N395" s="46" t="n">
        <x:v>22.083333333333332</x:v>
      </x:c>
      <x:c r="O395" s="47" t="n">
        <x:v>5</x:v>
      </x:c>
      <x:c r="P395" s="1" t="str">
        <x:v>方向固定の支持待ち・一方の5分同値を許す</x:v>
      </x:c>
      <x:c r="Q395" s="47" t="n">
        <x:v>0</x:v>
      </x:c>
      <x:c r="R395" s="1" t="str">
        <x:v>下落</x:v>
      </x:c>
      <x:c r="S395" s="47" t="n">
        <x:v>1</x:v>
      </x:c>
    </x:row>
    <x:row r="396" ht="22" customHeight="1">
      <x:c r="A396" s="1" t="str">
        <x:v>日経mini</x:v>
      </x:c>
      <x:c r="B396" s="1" t="str">
        <x:v>S36</x:v>
      </x:c>
      <x:c r="C396" s="1" t="str">
        <x:v>全50場</x:v>
      </x:c>
      <x:c r="D396" s="45" t="n">
        <x:v>6598066</x:v>
      </x:c>
      <x:c r="E396" s="45" t="n">
        <x:v>4206806</x:v>
      </x:c>
      <x:c r="F396" s="45" t="n">
        <x:f>D396-E396</x:f>
        <x:v>2391260</x:v>
      </x:c>
      <x:c r="G396" s="47" t="n">
        <x:v>31</x:v>
      </x:c>
      <x:c r="H396" s="47" t="n">
        <x:v>19</x:v>
      </x:c>
      <x:c r="I396" s="45" t="n">
        <x:v>1226860</x:v>
      </x:c>
      <x:c r="J396" s="47" t="n">
        <x:v>373</x:v>
      </x:c>
      <x:c r="K396" s="45" t="n">
        <x:v>-185148</x:v>
      </x:c>
      <x:c r="L396" s="45" t="n">
        <x:v>70166.94736842105</x:v>
      </x:c>
      <x:c r="M396" s="46" t="n">
        <x:v>188.68966666666668</x:v>
      </x:c>
      <x:c r="N396" s="46" t="n">
        <x:v>148.47799999999998</x:v>
      </x:c>
      <x:c r="O396" s="47" t="n">
        <x:v>10</x:v>
      </x:c>
      <x:c r="P396" s="1" t="str">
        <x:v>前回の追加手法を独立併用</x:v>
      </x:c>
      <x:c r="Q396" s="47" t="n">
        <x:v>0</x:v>
      </x:c>
      <x:c r="R396" s="1" t="str">
        <x:v>全場</x:v>
      </x:c>
      <x:c r="S396" s="47" t="n">
        <x:v>50</x:v>
      </x:c>
    </x:row>
    <x:row r="397" ht="22" customHeight="1">
      <x:c r="A397" s="1" t="str">
        <x:v>日経mini</x:v>
      </x:c>
      <x:c r="B397" s="1" t="str">
        <x:v>S36</x:v>
      </x:c>
      <x:c r="C397" s="1" t="str">
        <x:v>全50場</x:v>
      </x:c>
      <x:c r="D397" s="45" t="n">
        <x:v>4366088</x:v>
      </x:c>
      <x:c r="E397" s="45" t="n">
        <x:v>2909894</x:v>
      </x:c>
      <x:c r="F397" s="45" t="n">
        <x:f>D397-E397</x:f>
        <x:v>1456194</x:v>
      </x:c>
      <x:c r="G397" s="47" t="n">
        <x:v>17</x:v>
      </x:c>
      <x:c r="H397" s="47" t="n">
        <x:v>8</x:v>
      </x:c>
      <x:c r="I397" s="45" t="n">
        <x:v>377414</x:v>
      </x:c>
      <x:c r="J397" s="47" t="n">
        <x:v>242</x:v>
      </x:c>
      <x:c r="K397" s="45" t="n">
        <x:v>-185148</x:v>
      </x:c>
      <x:c r="L397" s="45" t="n">
        <x:v>102639.25</x:v>
      </x:c>
      <x:c r="M397" s="46" t="n">
        <x:v>80.29533333333333</x:v>
      </x:c>
      <x:c r="N397" s="46" t="n">
        <x:v>233.01399999999998</x:v>
      </x:c>
      <x:c r="O397" s="47" t="n">
        <x:v>10</x:v>
      </x:c>
      <x:c r="P397" s="1" t="str">
        <x:v>前回の追加手法を独立併用</x:v>
      </x:c>
      <x:c r="Q397" s="47" t="n">
        <x:v>0</x:v>
      </x:c>
      <x:c r="R397" s="1" t="str">
        <x:v>デイ</x:v>
      </x:c>
      <x:c r="S397" s="47" t="n">
        <x:v>25</x:v>
      </x:c>
    </x:row>
    <x:row r="398" ht="22" customHeight="1">
      <x:c r="A398" s="1" t="str">
        <x:v>日経mini</x:v>
      </x:c>
      <x:c r="B398" s="1" t="str">
        <x:v>S36</x:v>
      </x:c>
      <x:c r="C398" s="1" t="str">
        <x:v>全50場</x:v>
      </x:c>
      <x:c r="D398" s="45" t="n">
        <x:v>2231978</x:v>
      </x:c>
      <x:c r="E398" s="45" t="n">
        <x:v>1296912</x:v>
      </x:c>
      <x:c r="F398" s="45" t="n">
        <x:f>D398-E398</x:f>
        <x:v>935066</x:v>
      </x:c>
      <x:c r="G398" s="47" t="n">
        <x:v>14</x:v>
      </x:c>
      <x:c r="H398" s="47" t="n">
        <x:v>11</x:v>
      </x:c>
      <x:c r="I398" s="45" t="n">
        <x:v>204510</x:v>
      </x:c>
      <x:c r="J398" s="47" t="n">
        <x:v>131</x:v>
      </x:c>
      <x:c r="K398" s="45" t="n">
        <x:v>-148462</x:v>
      </x:c>
      <x:c r="L398" s="45" t="n">
        <x:v>46550.72727272727</x:v>
      </x:c>
      <x:c r="M398" s="46" t="n">
        <x:v>297.084</x:v>
      </x:c>
      <x:c r="N398" s="46" t="n">
        <x:v>63.942</x:v>
      </x:c>
      <x:c r="O398" s="47" t="n">
        <x:v>8</x:v>
      </x:c>
      <x:c r="P398" s="1" t="str">
        <x:v>前回の追加手法を独立併用</x:v>
      </x:c>
      <x:c r="Q398" s="47" t="n">
        <x:v>0</x:v>
      </x:c>
      <x:c r="R398" s="1" t="str">
        <x:v>ナイト</x:v>
      </x:c>
      <x:c r="S398" s="47" t="n">
        <x:v>25</x:v>
      </x:c>
    </x:row>
    <x:row r="399" ht="22" customHeight="1">
      <x:c r="A399" s="1" t="str">
        <x:v>日経mini</x:v>
      </x:c>
      <x:c r="B399" s="1" t="str">
        <x:v>S36</x:v>
      </x:c>
      <x:c r="C399" s="1" t="str">
        <x:v>全50場</x:v>
      </x:c>
      <x:c r="D399" s="45" t="n">
        <x:v>3276992</x:v>
      </x:c>
      <x:c r="E399" s="45" t="n">
        <x:v>2190208</x:v>
      </x:c>
      <x:c r="F399" s="45" t="n">
        <x:f>D399-E399</x:f>
        <x:v>1086784</x:v>
      </x:c>
      <x:c r="G399" s="47" t="n">
        <x:v>14</x:v>
      </x:c>
      <x:c r="H399" s="47" t="n">
        <x:v>11</x:v>
      </x:c>
      <x:c r="I399" s="45" t="n">
        <x:v>-13468</x:v>
      </x:c>
      <x:c r="J399" s="47" t="n">
        <x:v>188</x:v>
      </x:c>
      <x:c r="K399" s="45" t="n">
        <x:v>-185148</x:v>
      </x:c>
      <x:c r="L399" s="45" t="n">
        <x:v>86990</x:v>
      </x:c>
      <x:c r="M399" s="46" t="n">
        <x:v>197.69933333333339</x:v>
      </x:c>
      <x:c r="N399" s="46" t="n">
        <x:v>158.44</x:v>
      </x:c>
      <x:c r="O399" s="47" t="n">
        <x:v>10</x:v>
      </x:c>
      <x:c r="P399" s="1" t="str">
        <x:v>前回の追加手法を独立併用</x:v>
      </x:c>
      <x:c r="Q399" s="47" t="n">
        <x:v>0</x:v>
      </x:c>
      <x:c r="R399" s="1" t="str">
        <x:v>上昇</x:v>
      </x:c>
      <x:c r="S399" s="47" t="n">
        <x:v>25</x:v>
      </x:c>
    </x:row>
    <x:row r="400" ht="22" customHeight="1">
      <x:c r="A400" s="1" t="str">
        <x:v>日経mini</x:v>
      </x:c>
      <x:c r="B400" s="1" t="str">
        <x:v>S36</x:v>
      </x:c>
      <x:c r="C400" s="1" t="str">
        <x:v>全50場</x:v>
      </x:c>
      <x:c r="D400" s="45" t="n">
        <x:v>3321074</x:v>
      </x:c>
      <x:c r="E400" s="45" t="n">
        <x:v>2016598</x:v>
      </x:c>
      <x:c r="F400" s="45" t="n">
        <x:f>D400-E400</x:f>
        <x:v>1304476</x:v>
      </x:c>
      <x:c r="G400" s="47" t="n">
        <x:v>17</x:v>
      </x:c>
      <x:c r="H400" s="47" t="n">
        <x:v>8</x:v>
      </x:c>
      <x:c r="I400" s="45" t="n">
        <x:v>496850</x:v>
      </x:c>
      <x:c r="J400" s="47" t="n">
        <x:v>185</x:v>
      </x:c>
      <x:c r="K400" s="45" t="n">
        <x:v>-106152</x:v>
      </x:c>
      <x:c r="L400" s="45" t="n">
        <x:v>47035.25</x:v>
      </x:c>
      <x:c r="M400" s="46" t="n">
        <x:v>179.67999999999995</x:v>
      </x:c>
      <x:c r="N400" s="46" t="n">
        <x:v>138.516</x:v>
      </x:c>
      <x:c r="O400" s="47" t="n">
        <x:v>10</x:v>
      </x:c>
      <x:c r="P400" s="1" t="str">
        <x:v>前回の追加手法を独立併用</x:v>
      </x:c>
      <x:c r="Q400" s="47" t="n">
        <x:v>0</x:v>
      </x:c>
      <x:c r="R400" s="1" t="str">
        <x:v>下落</x:v>
      </x:c>
      <x:c r="S400" s="47" t="n">
        <x:v>25</x:v>
      </x:c>
    </x:row>
    <x:row r="401" ht="22" customHeight="1">
      <x:c r="A401" s="1" t="str">
        <x:v>日経mini</x:v>
      </x:c>
      <x:c r="B401" s="1" t="str">
        <x:v>S36</x:v>
      </x:c>
      <x:c r="C401" s="1" t="str">
        <x:v>対照47場</x:v>
      </x:c>
      <x:c r="D401" s="45" t="n">
        <x:v>6404986</x:v>
      </x:c>
      <x:c r="E401" s="45" t="n">
        <x:v>3889810</x:v>
      </x:c>
      <x:c r="F401" s="45" t="n">
        <x:f>D401-E401</x:f>
        <x:v>2515176</x:v>
      </x:c>
      <x:c r="G401" s="47" t="n">
        <x:v>31</x:v>
      </x:c>
      <x:c r="H401" s="47" t="n">
        <x:v>16</x:v>
      </x:c>
      <x:c r="I401" s="45" t="n">
        <x:v>1350776</x:v>
      </x:c>
      <x:c r="J401" s="47" t="n">
        <x:v>357</x:v>
      </x:c>
      <x:c r="K401" s="45" t="n">
        <x:v>-185148</x:v>
      </x:c>
      <x:c r="L401" s="45" t="n">
        <x:v>75578.5</x:v>
      </x:c>
      <x:c r="M401" s="46" t="n">
        <x:v>183.38900709219854</x:v>
      </x:c>
      <x:c r="N401" s="46" t="n">
        <x:v>144.42836879432622</x:v>
      </x:c>
      <x:c r="O401" s="47" t="n">
        <x:v>10</x:v>
      </x:c>
      <x:c r="P401" s="1" t="str">
        <x:v>前回の追加手法を独立併用</x:v>
      </x:c>
      <x:c r="Q401" s="47" t="n">
        <x:v>0</x:v>
      </x:c>
      <x:c r="R401" s="1" t="str">
        <x:v>全場</x:v>
      </x:c>
      <x:c r="S401" s="47" t="n">
        <x:v>47</x:v>
      </x:c>
    </x:row>
    <x:row r="402" ht="22" customHeight="1">
      <x:c r="A402" s="1" t="str">
        <x:v>日経mini</x:v>
      </x:c>
      <x:c r="B402" s="1" t="str">
        <x:v>S36</x:v>
      </x:c>
      <x:c r="C402" s="1" t="str">
        <x:v>対照47場</x:v>
      </x:c>
      <x:c r="D402" s="45" t="n">
        <x:v>4289470</x:v>
      </x:c>
      <x:c r="E402" s="45" t="n">
        <x:v>2791126</x:v>
      </x:c>
      <x:c r="F402" s="45" t="n">
        <x:f>D402-E402</x:f>
        <x:v>1498344</x:v>
      </x:c>
      <x:c r="G402" s="47" t="n">
        <x:v>17</x:v>
      </x:c>
      <x:c r="H402" s="47" t="n">
        <x:v>7</x:v>
      </x:c>
      <x:c r="I402" s="45" t="n">
        <x:v>419564</x:v>
      </x:c>
      <x:c r="J402" s="47" t="n">
        <x:v>234</x:v>
      </x:c>
      <x:c r="K402" s="45" t="n">
        <x:v>-185148</x:v>
      </x:c>
      <x:c r="L402" s="45" t="n">
        <x:v>111280.57142857143</x:v>
      </x:c>
      <x:c r="M402" s="46" t="n">
        <x:v>79.67847222222223</x:v>
      </x:c>
      <x:c r="N402" s="46" t="n">
        <x:v>233.1833333333333</x:v>
      </x:c>
      <x:c r="O402" s="47" t="n">
        <x:v>10</x:v>
      </x:c>
      <x:c r="P402" s="1" t="str">
        <x:v>前回の追加手法を独立併用</x:v>
      </x:c>
      <x:c r="Q402" s="47" t="n">
        <x:v>0</x:v>
      </x:c>
      <x:c r="R402" s="1" t="str">
        <x:v>デイ</x:v>
      </x:c>
      <x:c r="S402" s="47" t="n">
        <x:v>24</x:v>
      </x:c>
    </x:row>
    <x:row r="403" ht="22" customHeight="1">
      <x:c r="A403" s="1" t="str">
        <x:v>日経mini</x:v>
      </x:c>
      <x:c r="B403" s="1" t="str">
        <x:v>S36</x:v>
      </x:c>
      <x:c r="C403" s="1" t="str">
        <x:v>対照47場</x:v>
      </x:c>
      <x:c r="D403" s="45" t="n">
        <x:v>2115516</x:v>
      </x:c>
      <x:c r="E403" s="45" t="n">
        <x:v>1098684</x:v>
      </x:c>
      <x:c r="F403" s="45" t="n">
        <x:f>D403-E403</x:f>
        <x:v>1016832</x:v>
      </x:c>
      <x:c r="G403" s="47" t="n">
        <x:v>14</x:v>
      </x:c>
      <x:c r="H403" s="47" t="n">
        <x:v>9</x:v>
      </x:c>
      <x:c r="I403" s="45" t="n">
        <x:v>286276</x:v>
      </x:c>
      <x:c r="J403" s="47" t="n">
        <x:v>123</x:v>
      </x:c>
      <x:c r="K403" s="45" t="n">
        <x:v>-148462</x:v>
      </x:c>
      <x:c r="L403" s="45" t="n">
        <x:v>47810.22222222222</x:v>
      </x:c>
      <x:c r="M403" s="46" t="n">
        <x:v>291.6086956521739</x:v>
      </x:c>
      <x:c r="N403" s="46" t="n">
        <x:v>51.81449275362319</x:v>
      </x:c>
      <x:c r="O403" s="47" t="n">
        <x:v>8</x:v>
      </x:c>
      <x:c r="P403" s="1" t="str">
        <x:v>前回の追加手法を独立併用</x:v>
      </x:c>
      <x:c r="Q403" s="47" t="n">
        <x:v>0</x:v>
      </x:c>
      <x:c r="R403" s="1" t="str">
        <x:v>ナイト</x:v>
      </x:c>
      <x:c r="S403" s="47" t="n">
        <x:v>23</x:v>
      </x:c>
    </x:row>
    <x:row r="404" ht="22" customHeight="1">
      <x:c r="A404" s="1" t="str">
        <x:v>日経mini</x:v>
      </x:c>
      <x:c r="B404" s="1" t="str">
        <x:v>S36</x:v>
      </x:c>
      <x:c r="C404" s="1" t="str">
        <x:v>対照47場</x:v>
      </x:c>
      <x:c r="D404" s="45" t="n">
        <x:v>3188528</x:v>
      </x:c>
      <x:c r="E404" s="45" t="n">
        <x:v>2016056</x:v>
      </x:c>
      <x:c r="F404" s="45" t="n">
        <x:f>D404-E404</x:f>
        <x:v>1172472</x:v>
      </x:c>
      <x:c r="G404" s="47" t="n">
        <x:v>14</x:v>
      </x:c>
      <x:c r="H404" s="47" t="n">
        <x:v>9</x:v>
      </x:c>
      <x:c r="I404" s="45" t="n">
        <x:v>72220</x:v>
      </x:c>
      <x:c r="J404" s="47" t="n">
        <x:v>178</x:v>
      </x:c>
      <x:c r="K404" s="45" t="n">
        <x:v>-185148</x:v>
      </x:c>
      <x:c r="L404" s="45" t="n">
        <x:v>96800.22222222222</x:v>
      </x:c>
      <x:c r="M404" s="46" t="n">
        <x:v>195.10217391304346</x:v>
      </x:c>
      <x:c r="N404" s="46" t="n">
        <x:v>146.3369565217391</x:v>
      </x:c>
      <x:c r="O404" s="47" t="n">
        <x:v>10</x:v>
      </x:c>
      <x:c r="P404" s="1" t="str">
        <x:v>前回の追加手法を独立併用</x:v>
      </x:c>
      <x:c r="Q404" s="47" t="n">
        <x:v>0</x:v>
      </x:c>
      <x:c r="R404" s="1" t="str">
        <x:v>上昇</x:v>
      </x:c>
      <x:c r="S404" s="47" t="n">
        <x:v>23</x:v>
      </x:c>
    </x:row>
    <x:row r="405" ht="22" customHeight="1">
      <x:c r="A405" s="1" t="str">
        <x:v>日経mini</x:v>
      </x:c>
      <x:c r="B405" s="1" t="str">
        <x:v>S36</x:v>
      </x:c>
      <x:c r="C405" s="1" t="str">
        <x:v>対照47場</x:v>
      </x:c>
      <x:c r="D405" s="45" t="n">
        <x:v>3216458</x:v>
      </x:c>
      <x:c r="E405" s="45" t="n">
        <x:v>1873754</x:v>
      </x:c>
      <x:c r="F405" s="45" t="n">
        <x:f>D405-E405</x:f>
        <x:v>1342704</x:v>
      </x:c>
      <x:c r="G405" s="47" t="n">
        <x:v>17</x:v>
      </x:c>
      <x:c r="H405" s="47" t="n">
        <x:v>7</x:v>
      </x:c>
      <x:c r="I405" s="45" t="n">
        <x:v>535078</x:v>
      </x:c>
      <x:c r="J405" s="47" t="n">
        <x:v>179</x:v>
      </x:c>
      <x:c r="K405" s="45" t="n">
        <x:v>-106152</x:v>
      </x:c>
      <x:c r="L405" s="45" t="n">
        <x:v>48293.42857142857</x:v>
      </x:c>
      <x:c r="M405" s="46" t="n">
        <x:v>172.16388888888886</x:v>
      </x:c>
      <x:c r="N405" s="46" t="n">
        <x:v>142.59930555555556</x:v>
      </x:c>
      <x:c r="O405" s="47" t="n">
        <x:v>10</x:v>
      </x:c>
      <x:c r="P405" s="1" t="str">
        <x:v>前回の追加手法を独立併用</x:v>
      </x:c>
      <x:c r="Q405" s="47" t="n">
        <x:v>0</x:v>
      </x:c>
      <x:c r="R405" s="1" t="str">
        <x:v>下落</x:v>
      </x:c>
      <x:c r="S405" s="47" t="n">
        <x:v>24</x:v>
      </x:c>
    </x:row>
    <x:row r="406" ht="22" customHeight="1">
      <x:c r="A406" s="1" t="str">
        <x:v>日経mini</x:v>
      </x:c>
      <x:c r="B406" s="1" t="str">
        <x:v>S36</x:v>
      </x:c>
      <x:c r="C406" s="1" t="str">
        <x:v>診断3場</x:v>
      </x:c>
      <x:c r="D406" s="45" t="n">
        <x:v>193080</x:v>
      </x:c>
      <x:c r="E406" s="45" t="n">
        <x:v>316996</x:v>
      </x:c>
      <x:c r="F406" s="45" t="n">
        <x:f>D406-E406</x:f>
        <x:v>-123916</x:v>
      </x:c>
      <x:c r="G406" s="47" t="n">
        <x:v>0</x:v>
      </x:c>
      <x:c r="H406" s="47" t="n">
        <x:v>3</x:v>
      </x:c>
      <x:c r="I406" s="45" t="n">
        <x:v>-123916</x:v>
      </x:c>
      <x:c r="J406" s="47" t="n">
        <x:v>16</x:v>
      </x:c>
      <x:c r="K406" s="45" t="n">
        <x:v>-43538</x:v>
      </x:c>
      <x:c r="L406" s="45" t="n">
        <x:v>41305.333333333336</x:v>
      </x:c>
      <x:c r="M406" s="46" t="n">
        <x:v>271.73333333333335</x:v>
      </x:c>
      <x:c r="N406" s="46" t="n">
        <x:v>211.92222222222222</x:v>
      </x:c>
      <x:c r="O406" s="47" t="n">
        <x:v>5</x:v>
      </x:c>
      <x:c r="P406" s="1" t="str">
        <x:v>前回の追加手法を独立併用</x:v>
      </x:c>
      <x:c r="Q406" s="47" t="n">
        <x:v>0</x:v>
      </x:c>
      <x:c r="R406" s="1" t="str">
        <x:v>全場</x:v>
      </x:c>
      <x:c r="S406" s="47" t="n">
        <x:v>3</x:v>
      </x:c>
    </x:row>
    <x:row r="407" ht="22" customHeight="1">
      <x:c r="A407" s="1" t="str">
        <x:v>日経mini</x:v>
      </x:c>
      <x:c r="B407" s="1" t="str">
        <x:v>S36</x:v>
      </x:c>
      <x:c r="C407" s="1" t="str">
        <x:v>診断3場</x:v>
      </x:c>
      <x:c r="D407" s="45" t="n">
        <x:v>76618</x:v>
      </x:c>
      <x:c r="E407" s="45" t="n">
        <x:v>118768</x:v>
      </x:c>
      <x:c r="F407" s="45" t="n">
        <x:f>D407-E407</x:f>
        <x:v>-42150</x:v>
      </x:c>
      <x:c r="G407" s="47" t="n">
        <x:v>0</x:v>
      </x:c>
      <x:c r="H407" s="47" t="n">
        <x:v>1</x:v>
      </x:c>
      <x:c r="I407" s="45" t="n">
        <x:v>-42150</x:v>
      </x:c>
      <x:c r="J407" s="47" t="n">
        <x:v>8</x:v>
      </x:c>
      <x:c r="K407" s="45" t="n">
        <x:v>-42150</x:v>
      </x:c>
      <x:c r="L407" s="45" t="n">
        <x:v>42150</x:v>
      </x:c>
      <x:c r="M407" s="46" t="n">
        <x:v>95.1</x:v>
      </x:c>
      <x:c r="N407" s="46" t="n">
        <x:v>228.95</x:v>
      </x:c>
      <x:c r="O407" s="47" t="n">
        <x:v>5</x:v>
      </x:c>
      <x:c r="P407" s="1" t="str">
        <x:v>前回の追加手法を独立併用</x:v>
      </x:c>
      <x:c r="Q407" s="47" t="n">
        <x:v>0</x:v>
      </x:c>
      <x:c r="R407" s="1" t="str">
        <x:v>デイ</x:v>
      </x:c>
      <x:c r="S407" s="47" t="n">
        <x:v>1</x:v>
      </x:c>
    </x:row>
    <x:row r="408" ht="22" customHeight="1">
      <x:c r="A408" s="1" t="str">
        <x:v>日経mini</x:v>
      </x:c>
      <x:c r="B408" s="1" t="str">
        <x:v>S36</x:v>
      </x:c>
      <x:c r="C408" s="1" t="str">
        <x:v>診断3場</x:v>
      </x:c>
      <x:c r="D408" s="45" t="n">
        <x:v>116462</x:v>
      </x:c>
      <x:c r="E408" s="45" t="n">
        <x:v>198228</x:v>
      </x:c>
      <x:c r="F408" s="45" t="n">
        <x:f>D408-E408</x:f>
        <x:v>-81766</x:v>
      </x:c>
      <x:c r="G408" s="47" t="n">
        <x:v>0</x:v>
      </x:c>
      <x:c r="H408" s="47" t="n">
        <x:v>2</x:v>
      </x:c>
      <x:c r="I408" s="45" t="n">
        <x:v>-81766</x:v>
      </x:c>
      <x:c r="J408" s="47" t="n">
        <x:v>8</x:v>
      </x:c>
      <x:c r="K408" s="45" t="n">
        <x:v>-43538</x:v>
      </x:c>
      <x:c r="L408" s="45" t="n">
        <x:v>40883</x:v>
      </x:c>
      <x:c r="M408" s="46" t="n">
        <x:v>360.05</x:v>
      </x:c>
      <x:c r="N408" s="46" t="n">
        <x:v>203.40833333333333</x:v>
      </x:c>
      <x:c r="O408" s="47" t="n">
        <x:v>5</x:v>
      </x:c>
      <x:c r="P408" s="1" t="str">
        <x:v>前回の追加手法を独立併用</x:v>
      </x:c>
      <x:c r="Q408" s="47" t="n">
        <x:v>0</x:v>
      </x:c>
      <x:c r="R408" s="1" t="str">
        <x:v>ナイト</x:v>
      </x:c>
      <x:c r="S408" s="47" t="n">
        <x:v>2</x:v>
      </x:c>
    </x:row>
    <x:row r="409" ht="22" customHeight="1">
      <x:c r="A409" s="1" t="str">
        <x:v>日経mini</x:v>
      </x:c>
      <x:c r="B409" s="1" t="str">
        <x:v>S36</x:v>
      </x:c>
      <x:c r="C409" s="1" t="str">
        <x:v>診断3場</x:v>
      </x:c>
      <x:c r="D409" s="45" t="n">
        <x:v>88464</x:v>
      </x:c>
      <x:c r="E409" s="45" t="n">
        <x:v>174152</x:v>
      </x:c>
      <x:c r="F409" s="45" t="n">
        <x:f>D409-E409</x:f>
        <x:v>-85688</x:v>
      </x:c>
      <x:c r="G409" s="47" t="n">
        <x:v>0</x:v>
      </x:c>
      <x:c r="H409" s="47" t="n">
        <x:v>2</x:v>
      </x:c>
      <x:c r="I409" s="45" t="n">
        <x:v>-85688</x:v>
      </x:c>
      <x:c r="J409" s="47" t="n">
        <x:v>10</x:v>
      </x:c>
      <x:c r="K409" s="45" t="n">
        <x:v>-43538</x:v>
      </x:c>
      <x:c r="L409" s="45" t="n">
        <x:v>42844</x:v>
      </x:c>
      <x:c r="M409" s="46" t="n">
        <x:v>227.56666666666666</x:v>
      </x:c>
      <x:c r="N409" s="46" t="n">
        <x:v>297.625</x:v>
      </x:c>
      <x:c r="O409" s="47" t="n">
        <x:v>5</x:v>
      </x:c>
      <x:c r="P409" s="1" t="str">
        <x:v>前回の追加手法を独立併用</x:v>
      </x:c>
      <x:c r="Q409" s="47" t="n">
        <x:v>0</x:v>
      </x:c>
      <x:c r="R409" s="1" t="str">
        <x:v>上昇</x:v>
      </x:c>
      <x:c r="S409" s="47" t="n">
        <x:v>2</x:v>
      </x:c>
    </x:row>
    <x:row r="410" ht="22" customHeight="1">
      <x:c r="A410" s="1" t="str">
        <x:v>日経mini</x:v>
      </x:c>
      <x:c r="B410" s="1" t="str">
        <x:v>S36</x:v>
      </x:c>
      <x:c r="C410" s="1" t="str">
        <x:v>診断3場</x:v>
      </x:c>
      <x:c r="D410" s="45" t="n">
        <x:v>104616</x:v>
      </x:c>
      <x:c r="E410" s="45" t="n">
        <x:v>142844</x:v>
      </x:c>
      <x:c r="F410" s="45" t="n">
        <x:f>D410-E410</x:f>
        <x:v>-38228</x:v>
      </x:c>
      <x:c r="G410" s="47" t="n">
        <x:v>0</x:v>
      </x:c>
      <x:c r="H410" s="47" t="n">
        <x:v>1</x:v>
      </x:c>
      <x:c r="I410" s="45" t="n">
        <x:v>-38228</x:v>
      </x:c>
      <x:c r="J410" s="47" t="n">
        <x:v>6</x:v>
      </x:c>
      <x:c r="K410" s="45" t="n">
        <x:v>-38228</x:v>
      </x:c>
      <x:c r="L410" s="45" t="n">
        <x:v>38228</x:v>
      </x:c>
      <x:c r="M410" s="46" t="n">
        <x:v>360.06666666666666</x:v>
      </x:c>
      <x:c r="N410" s="46" t="n">
        <x:v>40.516666666666666</x:v>
      </x:c>
      <x:c r="O410" s="47" t="n">
        <x:v>5</x:v>
      </x:c>
      <x:c r="P410" s="1" t="str">
        <x:v>前回の追加手法を独立併用</x:v>
      </x:c>
      <x:c r="Q410" s="47" t="n">
        <x:v>0</x:v>
      </x:c>
      <x:c r="R410" s="1" t="str">
        <x:v>下落</x:v>
      </x:c>
      <x:c r="S410" s="47" t="n">
        <x:v>1</x:v>
      </x:c>
    </x:row>
    <x:row r="411" ht="22" customHeight="1">
      <x:c r="A411" s="1" t="str">
        <x:v>日経mini</x:v>
      </x:c>
      <x:c r="B411" s="1" t="str">
        <x:v>X01</x:v>
      </x:c>
      <x:c r="C411" s="1" t="str">
        <x:v>全50場</x:v>
      </x:c>
      <x:c r="D411" s="45" t="n">
        <x:v>2431722</x:v>
      </x:c>
      <x:c r="E411" s="45" t="n">
        <x:v>1831274</x:v>
      </x:c>
      <x:c r="F411" s="45" t="n">
        <x:f>D411-E411</x:f>
        <x:v>600448</x:v>
      </x:c>
      <x:c r="G411" s="47" t="n">
        <x:v>28</x:v>
      </x:c>
      <x:c r="H411" s="47" t="n">
        <x:v>22</x:v>
      </x:c>
      <x:c r="I411" s="45" t="n">
        <x:v>128290</x:v>
      </x:c>
      <x:c r="J411" s="47" t="n">
        <x:v>108</x:v>
      </x:c>
      <x:c r="K411" s="45" t="n">
        <x:v>-162304</x:v>
      </x:c>
      <x:c r="L411" s="45" t="n">
        <x:v>47579</x:v>
      </x:c>
      <x:c r="M411" s="46" t="n">
        <x:v>239.14166666666668</x:v>
      </x:c>
      <x:c r="N411" s="46" t="n">
        <x:v>41.13899999999999</x:v>
      </x:c>
      <x:c r="O411" s="47" t="n">
        <x:v>5</x:v>
      </x:c>
      <x:c r="P411" s="1" t="str">
        <x:v>元主担当に二市場価格逆行15秒退出</x:v>
      </x:c>
      <x:c r="Q411" s="47" t="n">
        <x:v>0</x:v>
      </x:c>
      <x:c r="R411" s="1" t="str">
        <x:v>全場</x:v>
      </x:c>
      <x:c r="S411" s="47" t="n">
        <x:v>50</x:v>
      </x:c>
    </x:row>
    <x:row r="412" ht="22" customHeight="1">
      <x:c r="A412" s="1" t="str">
        <x:v>日経mini</x:v>
      </x:c>
      <x:c r="B412" s="1" t="str">
        <x:v>X01</x:v>
      </x:c>
      <x:c r="C412" s="1" t="str">
        <x:v>全50場</x:v>
      </x:c>
      <x:c r="D412" s="45" t="n">
        <x:v>1365400</x:v>
      </x:c>
      <x:c r="E412" s="45" t="n">
        <x:v>1178208</x:v>
      </x:c>
      <x:c r="F412" s="45" t="n">
        <x:f>D412-E412</x:f>
        <x:v>187192</x:v>
      </x:c>
      <x:c r="G412" s="47" t="n">
        <x:v>13</x:v>
      </x:c>
      <x:c r="H412" s="47" t="n">
        <x:v>12</x:v>
      </x:c>
      <x:c r="I412" s="45" t="n">
        <x:v>-175120</x:v>
      </x:c>
      <x:c r="J412" s="47" t="n">
        <x:v>62</x:v>
      </x:c>
      <x:c r="K412" s="45" t="n">
        <x:v>-162304</x:v>
      </x:c>
      <x:c r="L412" s="45" t="n">
        <x:v>54838</x:v>
      </x:c>
      <x:c r="M412" s="46" t="n">
        <x:v>118.31466666666667</x:v>
      </x:c>
      <x:c r="N412" s="46" t="n">
        <x:v>62.95000000000001</x:v>
      </x:c>
      <x:c r="O412" s="47" t="n">
        <x:v>5</x:v>
      </x:c>
      <x:c r="P412" s="1" t="str">
        <x:v>元主担当に二市場価格逆行15秒退出</x:v>
      </x:c>
      <x:c r="Q412" s="47" t="n">
        <x:v>0</x:v>
      </x:c>
      <x:c r="R412" s="1" t="str">
        <x:v>デイ</x:v>
      </x:c>
      <x:c r="S412" s="47" t="n">
        <x:v>25</x:v>
      </x:c>
    </x:row>
    <x:row r="413" ht="22" customHeight="1">
      <x:c r="A413" s="1" t="str">
        <x:v>日経mini</x:v>
      </x:c>
      <x:c r="B413" s="1" t="str">
        <x:v>X01</x:v>
      </x:c>
      <x:c r="C413" s="1" t="str">
        <x:v>全50場</x:v>
      </x:c>
      <x:c r="D413" s="45" t="n">
        <x:v>1066322</x:v>
      </x:c>
      <x:c r="E413" s="45" t="n">
        <x:v>653066</x:v>
      </x:c>
      <x:c r="F413" s="45" t="n">
        <x:f>D413-E413</x:f>
        <x:v>413256</x:v>
      </x:c>
      <x:c r="G413" s="47" t="n">
        <x:v>15</x:v>
      </x:c>
      <x:c r="H413" s="47" t="n">
        <x:v>10</x:v>
      </x:c>
      <x:c r="I413" s="45" t="n">
        <x:v>21330</x:v>
      </x:c>
      <x:c r="J413" s="47" t="n">
        <x:v>46</x:v>
      </x:c>
      <x:c r="K413" s="45" t="n">
        <x:v>-81536</x:v>
      </x:c>
      <x:c r="L413" s="45" t="n">
        <x:v>38868.2</x:v>
      </x:c>
      <x:c r="M413" s="46" t="n">
        <x:v>359.9686666666666</x:v>
      </x:c>
      <x:c r="N413" s="46" t="n">
        <x:v>19.328</x:v>
      </x:c>
      <x:c r="O413" s="47" t="n">
        <x:v>5</x:v>
      </x:c>
      <x:c r="P413" s="1" t="str">
        <x:v>元主担当に二市場価格逆行15秒退出</x:v>
      </x:c>
      <x:c r="Q413" s="47" t="n">
        <x:v>0</x:v>
      </x:c>
      <x:c r="R413" s="1" t="str">
        <x:v>ナイト</x:v>
      </x:c>
      <x:c r="S413" s="47" t="n">
        <x:v>25</x:v>
      </x:c>
    </x:row>
    <x:row r="414" ht="22" customHeight="1">
      <x:c r="A414" s="1" t="str">
        <x:v>日経mini</x:v>
      </x:c>
      <x:c r="B414" s="1" t="str">
        <x:v>X01</x:v>
      </x:c>
      <x:c r="C414" s="1" t="str">
        <x:v>全50場</x:v>
      </x:c>
      <x:c r="D414" s="45" t="n">
        <x:v>1060166</x:v>
      </x:c>
      <x:c r="E414" s="45" t="n">
        <x:v>1008290</x:v>
      </x:c>
      <x:c r="F414" s="45" t="n">
        <x:f>D414-E414</x:f>
        <x:v>51876</x:v>
      </x:c>
      <x:c r="G414" s="47" t="n">
        <x:v>10</x:v>
      </x:c>
      <x:c r="H414" s="47" t="n">
        <x:v>15</x:v>
      </x:c>
      <x:c r="I414" s="45" t="n">
        <x:v>-263820</x:v>
      </x:c>
      <x:c r="J414" s="47" t="n">
        <x:v>51</x:v>
      </x:c>
      <x:c r="K414" s="45" t="n">
        <x:v>-81536</x:v>
      </x:c>
      <x:c r="L414" s="45" t="n">
        <x:v>39029.46666666667</x:v>
      </x:c>
      <x:c r="M414" s="46" t="n">
        <x:v>237.718</x:v>
      </x:c>
      <x:c r="N414" s="46" t="n">
        <x:v>33.29666666666667</x:v>
      </x:c>
      <x:c r="O414" s="47" t="n">
        <x:v>5</x:v>
      </x:c>
      <x:c r="P414" s="1" t="str">
        <x:v>元主担当に二市場価格逆行15秒退出</x:v>
      </x:c>
      <x:c r="Q414" s="47" t="n">
        <x:v>0</x:v>
      </x:c>
      <x:c r="R414" s="1" t="str">
        <x:v>上昇</x:v>
      </x:c>
      <x:c r="S414" s="47" t="n">
        <x:v>25</x:v>
      </x:c>
    </x:row>
    <x:row r="415" ht="22" customHeight="1">
      <x:c r="A415" s="1" t="str">
        <x:v>日経mini</x:v>
      </x:c>
      <x:c r="B415" s="1" t="str">
        <x:v>X01</x:v>
      </x:c>
      <x:c r="C415" s="1" t="str">
        <x:v>全50場</x:v>
      </x:c>
      <x:c r="D415" s="45" t="n">
        <x:v>1371556</x:v>
      </x:c>
      <x:c r="E415" s="45" t="n">
        <x:v>822984</x:v>
      </x:c>
      <x:c r="F415" s="45" t="n">
        <x:f>D415-E415</x:f>
        <x:v>548572</x:v>
      </x:c>
      <x:c r="G415" s="47" t="n">
        <x:v>18</x:v>
      </x:c>
      <x:c r="H415" s="47" t="n">
        <x:v>7</x:v>
      </x:c>
      <x:c r="I415" s="45" t="n">
        <x:v>119030</x:v>
      </x:c>
      <x:c r="J415" s="47" t="n">
        <x:v>57</x:v>
      </x:c>
      <x:c r="K415" s="45" t="n">
        <x:v>-162304</x:v>
      </x:c>
      <x:c r="L415" s="45" t="n">
        <x:v>65899.42857142857</x:v>
      </x:c>
      <x:c r="M415" s="46" t="n">
        <x:v>240.56533333333329</x:v>
      </x:c>
      <x:c r="N415" s="46" t="n">
        <x:v>48.981333333333325</x:v>
      </x:c>
      <x:c r="O415" s="47" t="n">
        <x:v>5</x:v>
      </x:c>
      <x:c r="P415" s="1" t="str">
        <x:v>元主担当に二市場価格逆行15秒退出</x:v>
      </x:c>
      <x:c r="Q415" s="47" t="n">
        <x:v>0</x:v>
      </x:c>
      <x:c r="R415" s="1" t="str">
        <x:v>下落</x:v>
      </x:c>
      <x:c r="S415" s="47" t="n">
        <x:v>25</x:v>
      </x:c>
    </x:row>
    <x:row r="416" ht="22" customHeight="1">
      <x:c r="A416" s="1" t="str">
        <x:v>日経mini</x:v>
      </x:c>
      <x:c r="B416" s="1" t="str">
        <x:v>X01</x:v>
      </x:c>
      <x:c r="C416" s="1" t="str">
        <x:v>対照47場</x:v>
      </x:c>
      <x:c r="D416" s="45" t="n">
        <x:v>2327106</x:v>
      </x:c>
      <x:c r="E416" s="45" t="n">
        <x:v>1750122</x:v>
      </x:c>
      <x:c r="F416" s="45" t="n">
        <x:f>D416-E416</x:f>
        <x:v>576984</x:v>
      </x:c>
      <x:c r="G416" s="47" t="n">
        <x:v>27</x:v>
      </x:c>
      <x:c r="H416" s="47" t="n">
        <x:v>20</x:v>
      </x:c>
      <x:c r="I416" s="45" t="n">
        <x:v>104826</x:v>
      </x:c>
      <x:c r="J416" s="47" t="n">
        <x:v>104</x:v>
      </x:c>
      <x:c r="K416" s="45" t="n">
        <x:v>-162304</x:v>
      </x:c>
      <x:c r="L416" s="45" t="n">
        <x:v>48548.5</x:v>
      </x:c>
      <x:c r="M416" s="46" t="n">
        <x:v>236.14078014184398</x:v>
      </x:c>
      <x:c r="N416" s="46" t="n">
        <x:v>43.333687943262404</x:v>
      </x:c>
      <x:c r="O416" s="47" t="n">
        <x:v>5</x:v>
      </x:c>
      <x:c r="P416" s="1" t="str">
        <x:v>元主担当に二市場価格逆行15秒退出</x:v>
      </x:c>
      <x:c r="Q416" s="47" t="n">
        <x:v>0</x:v>
      </x:c>
      <x:c r="R416" s="1" t="str">
        <x:v>全場</x:v>
      </x:c>
      <x:c r="S416" s="47" t="n">
        <x:v>47</x:v>
      </x:c>
    </x:row>
    <x:row r="417" ht="22" customHeight="1">
      <x:c r="A417" s="1" t="str">
        <x:v>日経mini</x:v>
      </x:c>
      <x:c r="B417" s="1" t="str">
        <x:v>X01</x:v>
      </x:c>
      <x:c r="C417" s="1" t="str">
        <x:v>対照47場</x:v>
      </x:c>
      <x:c r="D417" s="45" t="n">
        <x:v>1365400</x:v>
      </x:c>
      <x:c r="E417" s="45" t="n">
        <x:v>1122824</x:v>
      </x:c>
      <x:c r="F417" s="45" t="n">
        <x:f>D417-E417</x:f>
        <x:v>242576</x:v>
      </x:c>
      <x:c r="G417" s="47" t="n">
        <x:v>13</x:v>
      </x:c>
      <x:c r="H417" s="47" t="n">
        <x:v>11</x:v>
      </x:c>
      <x:c r="I417" s="45" t="n">
        <x:v>-119736</x:v>
      </x:c>
      <x:c r="J417" s="47" t="n">
        <x:v>61</x:v>
      </x:c>
      <x:c r="K417" s="45" t="n">
        <x:v>-162304</x:v>
      </x:c>
      <x:c r="L417" s="45" t="n">
        <x:v>54788.36363636364</x:v>
      </x:c>
      <x:c r="M417" s="46" t="n">
        <x:v>117.47916666666667</x:v>
      </x:c>
      <x:c r="N417" s="46" t="n">
        <x:v>65.42916666666667</x:v>
      </x:c>
      <x:c r="O417" s="47" t="n">
        <x:v>5</x:v>
      </x:c>
      <x:c r="P417" s="1" t="str">
        <x:v>元主担当に二市場価格逆行15秒退出</x:v>
      </x:c>
      <x:c r="Q417" s="47" t="n">
        <x:v>0</x:v>
      </x:c>
      <x:c r="R417" s="1" t="str">
        <x:v>デイ</x:v>
      </x:c>
      <x:c r="S417" s="47" t="n">
        <x:v>24</x:v>
      </x:c>
    </x:row>
    <x:row r="418" ht="22" customHeight="1">
      <x:c r="A418" s="1" t="str">
        <x:v>日経mini</x:v>
      </x:c>
      <x:c r="B418" s="1" t="str">
        <x:v>X01</x:v>
      </x:c>
      <x:c r="C418" s="1" t="str">
        <x:v>対照47場</x:v>
      </x:c>
      <x:c r="D418" s="45" t="n">
        <x:v>961706</x:v>
      </x:c>
      <x:c r="E418" s="45" t="n">
        <x:v>627298</x:v>
      </x:c>
      <x:c r="F418" s="45" t="n">
        <x:f>D418-E418</x:f>
        <x:v>334408</x:v>
      </x:c>
      <x:c r="G418" s="47" t="n">
        <x:v>14</x:v>
      </x:c>
      <x:c r="H418" s="47" t="n">
        <x:v>9</x:v>
      </x:c>
      <x:c r="I418" s="45" t="n">
        <x:v>-32134</x:v>
      </x:c>
      <x:c r="J418" s="47" t="n">
        <x:v>43</x:v>
      </x:c>
      <x:c r="K418" s="45" t="n">
        <x:v>-81536</x:v>
      </x:c>
      <x:c r="L418" s="45" t="n">
        <x:v>40922</x:v>
      </x:c>
      <x:c r="M418" s="46" t="n">
        <x:v>359.96159420289854</x:v>
      </x:c>
      <x:c r="N418" s="46" t="n">
        <x:v>20.277536231884056</x:v>
      </x:c>
      <x:c r="O418" s="47" t="n">
        <x:v>5</x:v>
      </x:c>
      <x:c r="P418" s="1" t="str">
        <x:v>元主担当に二市場価格逆行15秒退出</x:v>
      </x:c>
      <x:c r="Q418" s="47" t="n">
        <x:v>0</x:v>
      </x:c>
      <x:c r="R418" s="1" t="str">
        <x:v>ナイト</x:v>
      </x:c>
      <x:c r="S418" s="47" t="n">
        <x:v>23</x:v>
      </x:c>
    </x:row>
    <x:row r="419" ht="22" customHeight="1">
      <x:c r="A419" s="1" t="str">
        <x:v>日経mini</x:v>
      </x:c>
      <x:c r="B419" s="1" t="str">
        <x:v>X01</x:v>
      </x:c>
      <x:c r="C419" s="1" t="str">
        <x:v>対照47場</x:v>
      </x:c>
      <x:c r="D419" s="45" t="n">
        <x:v>1060166</x:v>
      </x:c>
      <x:c r="E419" s="45" t="n">
        <x:v>932522</x:v>
      </x:c>
      <x:c r="F419" s="45" t="n">
        <x:f>D419-E419</x:f>
        <x:v>127644</x:v>
      </x:c>
      <x:c r="G419" s="47" t="n">
        <x:v>10</x:v>
      </x:c>
      <x:c r="H419" s="47" t="n">
        <x:v>13</x:v>
      </x:c>
      <x:c r="I419" s="45" t="n">
        <x:v>-188052</x:v>
      </x:c>
      <x:c r="J419" s="47" t="n">
        <x:v>49</x:v>
      </x:c>
      <x:c r="K419" s="45" t="n">
        <x:v>-81536</x:v>
      </x:c>
      <x:c r="L419" s="45" t="n">
        <x:v>39205.692307692305</x:v>
      </x:c>
      <x:c r="M419" s="46" t="n">
        <x:v>236.71956521739128</x:v>
      </x:c>
      <x:c r="N419" s="46" t="n">
        <x:v>36.022463768115934</x:v>
      </x:c>
      <x:c r="O419" s="47" t="n">
        <x:v>5</x:v>
      </x:c>
      <x:c r="P419" s="1" t="str">
        <x:v>元主担当に二市場価格逆行15秒退出</x:v>
      </x:c>
      <x:c r="Q419" s="47" t="n">
        <x:v>0</x:v>
      </x:c>
      <x:c r="R419" s="1" t="str">
        <x:v>上昇</x:v>
      </x:c>
      <x:c r="S419" s="47" t="n">
        <x:v>23</x:v>
      </x:c>
    </x:row>
    <x:row r="420" ht="22" customHeight="1">
      <x:c r="A420" s="1" t="str">
        <x:v>日経mini</x:v>
      </x:c>
      <x:c r="B420" s="1" t="str">
        <x:v>X01</x:v>
      </x:c>
      <x:c r="C420" s="1" t="str">
        <x:v>対照47場</x:v>
      </x:c>
      <x:c r="D420" s="45" t="n">
        <x:v>1266940</x:v>
      </x:c>
      <x:c r="E420" s="45" t="n">
        <x:v>817600</x:v>
      </x:c>
      <x:c r="F420" s="45" t="n">
        <x:f>D420-E420</x:f>
        <x:v>449340</x:v>
      </x:c>
      <x:c r="G420" s="47" t="n">
        <x:v>17</x:v>
      </x:c>
      <x:c r="H420" s="47" t="n">
        <x:v>7</x:v>
      </x:c>
      <x:c r="I420" s="45" t="n">
        <x:v>24414</x:v>
      </x:c>
      <x:c r="J420" s="47" t="n">
        <x:v>55</x:v>
      </x:c>
      <x:c r="K420" s="45" t="n">
        <x:v>-162304</x:v>
      </x:c>
      <x:c r="L420" s="45" t="n">
        <x:v>65899.42857142857</x:v>
      </x:c>
      <x:c r="M420" s="46" t="n">
        <x:v>235.58611111111108</x:v>
      </x:c>
      <x:c r="N420" s="46" t="n">
        <x:v>50.34027777777777</x:v>
      </x:c>
      <x:c r="O420" s="47" t="n">
        <x:v>5</x:v>
      </x:c>
      <x:c r="P420" s="1" t="str">
        <x:v>元主担当に二市場価格逆行15秒退出</x:v>
      </x:c>
      <x:c r="Q420" s="47" t="n">
        <x:v>0</x:v>
      </x:c>
      <x:c r="R420" s="1" t="str">
        <x:v>下落</x:v>
      </x:c>
      <x:c r="S420" s="47" t="n">
        <x:v>24</x:v>
      </x:c>
    </x:row>
    <x:row r="421" ht="22" customHeight="1">
      <x:c r="A421" s="1" t="str">
        <x:v>日経mini</x:v>
      </x:c>
      <x:c r="B421" s="1" t="str">
        <x:v>X01</x:v>
      </x:c>
      <x:c r="C421" s="1" t="str">
        <x:v>診断3場</x:v>
      </x:c>
      <x:c r="D421" s="45" t="n">
        <x:v>104616</x:v>
      </x:c>
      <x:c r="E421" s="45" t="n">
        <x:v>81152</x:v>
      </x:c>
      <x:c r="F421" s="45" t="n">
        <x:f>D421-E421</x:f>
        <x:v>23464</x:v>
      </x:c>
      <x:c r="G421" s="47" t="n">
        <x:v>1</x:v>
      </x:c>
      <x:c r="H421" s="47" t="n">
        <x:v>2</x:v>
      </x:c>
      <x:c r="I421" s="45" t="n">
        <x:v>-75768</x:v>
      </x:c>
      <x:c r="J421" s="47" t="n">
        <x:v>4</x:v>
      </x:c>
      <x:c r="K421" s="45" t="n">
        <x:v>-55384</x:v>
      </x:c>
      <x:c r="L421" s="45" t="n">
        <x:v>37884</x:v>
      </x:c>
      <x:c r="M421" s="46" t="n">
        <x:v>286.15555555555557</x:v>
      </x:c>
      <x:c r="N421" s="46" t="n">
        <x:v>6.7555555555555555</x:v>
      </x:c>
      <x:c r="O421" s="47" t="n">
        <x:v>5</x:v>
      </x:c>
      <x:c r="P421" s="1" t="str">
        <x:v>元主担当に二市場価格逆行15秒退出</x:v>
      </x:c>
      <x:c r="Q421" s="47" t="n">
        <x:v>0</x:v>
      </x:c>
      <x:c r="R421" s="1" t="str">
        <x:v>全場</x:v>
      </x:c>
      <x:c r="S421" s="47" t="n">
        <x:v>3</x:v>
      </x:c>
    </x:row>
    <x:row r="422" ht="22" customHeight="1">
      <x:c r="A422" s="1" t="str">
        <x:v>日経mini</x:v>
      </x:c>
      <x:c r="B422" s="1" t="str">
        <x:v>X01</x:v>
      </x:c>
      <x:c r="C422" s="1" t="str">
        <x:v>診断3場</x:v>
      </x:c>
      <x:c r="D422" s="45" t="n">
        <x:v>0</x:v>
      </x:c>
      <x:c r="E422" s="45" t="n">
        <x:v>55384</x:v>
      </x:c>
      <x:c r="F422" s="45" t="n">
        <x:f>D422-E422</x:f>
        <x:v>-55384</x:v>
      </x:c>
      <x:c r="G422" s="47" t="n">
        <x:v>0</x:v>
      </x:c>
      <x:c r="H422" s="47" t="n">
        <x:v>1</x:v>
      </x:c>
      <x:c r="I422" s="45" t="n">
        <x:v>-55384</x:v>
      </x:c>
      <x:c r="J422" s="47" t="n">
        <x:v>1</x:v>
      </x:c>
      <x:c r="K422" s="45" t="n">
        <x:v>-55384</x:v>
      </x:c>
      <x:c r="L422" s="45" t="n">
        <x:v>55384</x:v>
      </x:c>
      <x:c r="M422" s="46" t="n">
        <x:v>138.36666666666667</x:v>
      </x:c>
      <x:c r="N422" s="46" t="n">
        <x:v>3.45</x:v>
      </x:c>
      <x:c r="O422" s="47" t="n">
        <x:v>5</x:v>
      </x:c>
      <x:c r="P422" s="1" t="str">
        <x:v>元主担当に二市場価格逆行15秒退出</x:v>
      </x:c>
      <x:c r="Q422" s="47" t="n">
        <x:v>0</x:v>
      </x:c>
      <x:c r="R422" s="1" t="str">
        <x:v>デイ</x:v>
      </x:c>
      <x:c r="S422" s="47" t="n">
        <x:v>1</x:v>
      </x:c>
    </x:row>
    <x:row r="423" ht="22" customHeight="1">
      <x:c r="A423" s="1" t="str">
        <x:v>日経mini</x:v>
      </x:c>
      <x:c r="B423" s="1" t="str">
        <x:v>X01</x:v>
      </x:c>
      <x:c r="C423" s="1" t="str">
        <x:v>診断3場</x:v>
      </x:c>
      <x:c r="D423" s="45" t="n">
        <x:v>104616</x:v>
      </x:c>
      <x:c r="E423" s="45" t="n">
        <x:v>25768</x:v>
      </x:c>
      <x:c r="F423" s="45" t="n">
        <x:f>D423-E423</x:f>
        <x:v>78848</x:v>
      </x:c>
      <x:c r="G423" s="47" t="n">
        <x:v>1</x:v>
      </x:c>
      <x:c r="H423" s="47" t="n">
        <x:v>1</x:v>
      </x:c>
      <x:c r="I423" s="45" t="n">
        <x:v>-20384</x:v>
      </x:c>
      <x:c r="J423" s="47" t="n">
        <x:v>3</x:v>
      </x:c>
      <x:c r="K423" s="45" t="n">
        <x:v>-20384</x:v>
      </x:c>
      <x:c r="L423" s="45" t="n">
        <x:v>20384</x:v>
      </x:c>
      <x:c r="M423" s="46" t="n">
        <x:v>360.05</x:v>
      </x:c>
      <x:c r="N423" s="46" t="n">
        <x:v>8.408333333333333</x:v>
      </x:c>
      <x:c r="O423" s="47" t="n">
        <x:v>5</x:v>
      </x:c>
      <x:c r="P423" s="1" t="str">
        <x:v>元主担当に二市場価格逆行15秒退出</x:v>
      </x:c>
      <x:c r="Q423" s="47" t="n">
        <x:v>0</x:v>
      </x:c>
      <x:c r="R423" s="1" t="str">
        <x:v>ナイト</x:v>
      </x:c>
      <x:c r="S423" s="47" t="n">
        <x:v>2</x:v>
      </x:c>
    </x:row>
    <x:row r="424" ht="22" customHeight="1">
      <x:c r="A424" s="1" t="str">
        <x:v>日経mini</x:v>
      </x:c>
      <x:c r="B424" s="1" t="str">
        <x:v>X01</x:v>
      </x:c>
      <x:c r="C424" s="1" t="str">
        <x:v>診断3場</x:v>
      </x:c>
      <x:c r="D424" s="45" t="n">
        <x:v>0</x:v>
      </x:c>
      <x:c r="E424" s="45" t="n">
        <x:v>75768</x:v>
      </x:c>
      <x:c r="F424" s="45" t="n">
        <x:f>D424-E424</x:f>
        <x:v>-75768</x:v>
      </x:c>
      <x:c r="G424" s="47" t="n">
        <x:v>0</x:v>
      </x:c>
      <x:c r="H424" s="47" t="n">
        <x:v>2</x:v>
      </x:c>
      <x:c r="I424" s="45" t="n">
        <x:v>-75768</x:v>
      </x:c>
      <x:c r="J424" s="47" t="n">
        <x:v>2</x:v>
      </x:c>
      <x:c r="K424" s="45" t="n">
        <x:v>-55384</x:v>
      </x:c>
      <x:c r="L424" s="45" t="n">
        <x:v>37884</x:v>
      </x:c>
      <x:c r="M424" s="46" t="n">
        <x:v>249.20000000000002</x:v>
      </x:c>
      <x:c r="N424" s="46" t="n">
        <x:v>1.9500000000000002</x:v>
      </x:c>
      <x:c r="O424" s="47" t="n">
        <x:v>5</x:v>
      </x:c>
      <x:c r="P424" s="1" t="str">
        <x:v>元主担当に二市場価格逆行15秒退出</x:v>
      </x:c>
      <x:c r="Q424" s="47" t="n">
        <x:v>0</x:v>
      </x:c>
      <x:c r="R424" s="1" t="str">
        <x:v>上昇</x:v>
      </x:c>
      <x:c r="S424" s="47" t="n">
        <x:v>2</x:v>
      </x:c>
    </x:row>
    <x:row r="425" ht="22" customHeight="1">
      <x:c r="A425" s="1" t="str">
        <x:v>日経mini</x:v>
      </x:c>
      <x:c r="B425" s="1" t="str">
        <x:v>X01</x:v>
      </x:c>
      <x:c r="C425" s="1" t="str">
        <x:v>診断3場</x:v>
      </x:c>
      <x:c r="D425" s="45" t="n">
        <x:v>104616</x:v>
      </x:c>
      <x:c r="E425" s="45" t="n">
        <x:v>5384</x:v>
      </x:c>
      <x:c r="F425" s="45" t="n">
        <x:f>D425-E425</x:f>
        <x:v>99232</x:v>
      </x:c>
      <x:c r="G425" s="47" t="n">
        <x:v>1</x:v>
      </x:c>
      <x:c r="H425" s="47" t="n">
        <x:v>0</x:v>
      </x:c>
      <x:c r="I425" s="45" t="n">
        <x:v>0</x:v>
      </x:c>
      <x:c r="J425" s="47" t="n">
        <x:v>2</x:v>
      </x:c>
      <x:c r="K425" s="45" t="n">
        <x:v>99232</x:v>
      </x:c>
      <x:c r="L425" s="45" t="n">
        <x:v>0</x:v>
      </x:c>
      <x:c r="M425" s="46" t="n">
        <x:v>360.06666666666666</x:v>
      </x:c>
      <x:c r="N425" s="46" t="n">
        <x:v>16.366666666666667</x:v>
      </x:c>
      <x:c r="O425" s="47" t="n">
        <x:v>5</x:v>
      </x:c>
      <x:c r="P425" s="1" t="str">
        <x:v>元主担当に二市場価格逆行15秒退出</x:v>
      </x:c>
      <x:c r="Q425" s="47" t="n">
        <x:v>0</x:v>
      </x:c>
      <x:c r="R425" s="1" t="str">
        <x:v>下落</x:v>
      </x:c>
      <x:c r="S425" s="47" t="n">
        <x:v>1</x:v>
      </x:c>
    </x:row>
    <x:row r="426" ht="22" customHeight="1">
      <x:c r="A426" s="1" t="str">
        <x:v>日経mini</x:v>
      </x:c>
      <x:c r="B426" s="1" t="str">
        <x:v>X02</x:v>
      </x:c>
      <x:c r="C426" s="1" t="str">
        <x:v>全50場</x:v>
      </x:c>
      <x:c r="D426" s="45" t="n">
        <x:v>2431722</x:v>
      </x:c>
      <x:c r="E426" s="45" t="n">
        <x:v>1831274</x:v>
      </x:c>
      <x:c r="F426" s="45" t="n">
        <x:f>D426-E426</x:f>
        <x:v>600448</x:v>
      </x:c>
      <x:c r="G426" s="47" t="n">
        <x:v>28</x:v>
      </x:c>
      <x:c r="H426" s="47" t="n">
        <x:v>22</x:v>
      </x:c>
      <x:c r="I426" s="45" t="n">
        <x:v>128290</x:v>
      </x:c>
      <x:c r="J426" s="47" t="n">
        <x:v>108</x:v>
      </x:c>
      <x:c r="K426" s="45" t="n">
        <x:v>-162304</x:v>
      </x:c>
      <x:c r="L426" s="45" t="n">
        <x:v>47579</x:v>
      </x:c>
      <x:c r="M426" s="46" t="n">
        <x:v>239.14166666666668</x:v>
      </x:c>
      <x:c r="N426" s="46" t="n">
        <x:v>41.13899999999999</x:v>
      </x:c>
      <x:c r="O426" s="47" t="n">
        <x:v>5</x:v>
      </x:c>
      <x:c r="P426" s="1" t="str">
        <x:v>元主担当に二市場価格と板逆行15秒退出</x:v>
      </x:c>
      <x:c r="Q426" s="47" t="n">
        <x:v>0</x:v>
      </x:c>
      <x:c r="R426" s="1" t="str">
        <x:v>全場</x:v>
      </x:c>
      <x:c r="S426" s="47" t="n">
        <x:v>50</x:v>
      </x:c>
    </x:row>
    <x:row r="427" ht="22" customHeight="1">
      <x:c r="A427" s="1" t="str">
        <x:v>日経mini</x:v>
      </x:c>
      <x:c r="B427" s="1" t="str">
        <x:v>X02</x:v>
      </x:c>
      <x:c r="C427" s="1" t="str">
        <x:v>全50場</x:v>
      </x:c>
      <x:c r="D427" s="45" t="n">
        <x:v>1365400</x:v>
      </x:c>
      <x:c r="E427" s="45" t="n">
        <x:v>1178208</x:v>
      </x:c>
      <x:c r="F427" s="45" t="n">
        <x:f>D427-E427</x:f>
        <x:v>187192</x:v>
      </x:c>
      <x:c r="G427" s="47" t="n">
        <x:v>13</x:v>
      </x:c>
      <x:c r="H427" s="47" t="n">
        <x:v>12</x:v>
      </x:c>
      <x:c r="I427" s="45" t="n">
        <x:v>-175120</x:v>
      </x:c>
      <x:c r="J427" s="47" t="n">
        <x:v>62</x:v>
      </x:c>
      <x:c r="K427" s="45" t="n">
        <x:v>-162304</x:v>
      </x:c>
      <x:c r="L427" s="45" t="n">
        <x:v>54838</x:v>
      </x:c>
      <x:c r="M427" s="46" t="n">
        <x:v>118.31466666666667</x:v>
      </x:c>
      <x:c r="N427" s="46" t="n">
        <x:v>62.95000000000001</x:v>
      </x:c>
      <x:c r="O427" s="47" t="n">
        <x:v>5</x:v>
      </x:c>
      <x:c r="P427" s="1" t="str">
        <x:v>元主担当に二市場価格と板逆行15秒退出</x:v>
      </x:c>
      <x:c r="Q427" s="47" t="n">
        <x:v>0</x:v>
      </x:c>
      <x:c r="R427" s="1" t="str">
        <x:v>デイ</x:v>
      </x:c>
      <x:c r="S427" s="47" t="n">
        <x:v>25</x:v>
      </x:c>
    </x:row>
    <x:row r="428" ht="22" customHeight="1">
      <x:c r="A428" s="1" t="str">
        <x:v>日経mini</x:v>
      </x:c>
      <x:c r="B428" s="1" t="str">
        <x:v>X02</x:v>
      </x:c>
      <x:c r="C428" s="1" t="str">
        <x:v>全50場</x:v>
      </x:c>
      <x:c r="D428" s="45" t="n">
        <x:v>1066322</x:v>
      </x:c>
      <x:c r="E428" s="45" t="n">
        <x:v>653066</x:v>
      </x:c>
      <x:c r="F428" s="45" t="n">
        <x:f>D428-E428</x:f>
        <x:v>413256</x:v>
      </x:c>
      <x:c r="G428" s="47" t="n">
        <x:v>15</x:v>
      </x:c>
      <x:c r="H428" s="47" t="n">
        <x:v>10</x:v>
      </x:c>
      <x:c r="I428" s="45" t="n">
        <x:v>21330</x:v>
      </x:c>
      <x:c r="J428" s="47" t="n">
        <x:v>46</x:v>
      </x:c>
      <x:c r="K428" s="45" t="n">
        <x:v>-81536</x:v>
      </x:c>
      <x:c r="L428" s="45" t="n">
        <x:v>38868.2</x:v>
      </x:c>
      <x:c r="M428" s="46" t="n">
        <x:v>359.9686666666666</x:v>
      </x:c>
      <x:c r="N428" s="46" t="n">
        <x:v>19.328</x:v>
      </x:c>
      <x:c r="O428" s="47" t="n">
        <x:v>5</x:v>
      </x:c>
      <x:c r="P428" s="1" t="str">
        <x:v>元主担当に二市場価格と板逆行15秒退出</x:v>
      </x:c>
      <x:c r="Q428" s="47" t="n">
        <x:v>0</x:v>
      </x:c>
      <x:c r="R428" s="1" t="str">
        <x:v>ナイト</x:v>
      </x:c>
      <x:c r="S428" s="47" t="n">
        <x:v>25</x:v>
      </x:c>
    </x:row>
    <x:row r="429" ht="22" customHeight="1">
      <x:c r="A429" s="1" t="str">
        <x:v>日経mini</x:v>
      </x:c>
      <x:c r="B429" s="1" t="str">
        <x:v>X02</x:v>
      </x:c>
      <x:c r="C429" s="1" t="str">
        <x:v>全50場</x:v>
      </x:c>
      <x:c r="D429" s="45" t="n">
        <x:v>1060166</x:v>
      </x:c>
      <x:c r="E429" s="45" t="n">
        <x:v>1008290</x:v>
      </x:c>
      <x:c r="F429" s="45" t="n">
        <x:f>D429-E429</x:f>
        <x:v>51876</x:v>
      </x:c>
      <x:c r="G429" s="47" t="n">
        <x:v>10</x:v>
      </x:c>
      <x:c r="H429" s="47" t="n">
        <x:v>15</x:v>
      </x:c>
      <x:c r="I429" s="45" t="n">
        <x:v>-263820</x:v>
      </x:c>
      <x:c r="J429" s="47" t="n">
        <x:v>51</x:v>
      </x:c>
      <x:c r="K429" s="45" t="n">
        <x:v>-81536</x:v>
      </x:c>
      <x:c r="L429" s="45" t="n">
        <x:v>39029.46666666667</x:v>
      </x:c>
      <x:c r="M429" s="46" t="n">
        <x:v>237.718</x:v>
      </x:c>
      <x:c r="N429" s="46" t="n">
        <x:v>33.29666666666667</x:v>
      </x:c>
      <x:c r="O429" s="47" t="n">
        <x:v>5</x:v>
      </x:c>
      <x:c r="P429" s="1" t="str">
        <x:v>元主担当に二市場価格と板逆行15秒退出</x:v>
      </x:c>
      <x:c r="Q429" s="47" t="n">
        <x:v>0</x:v>
      </x:c>
      <x:c r="R429" s="1" t="str">
        <x:v>上昇</x:v>
      </x:c>
      <x:c r="S429" s="47" t="n">
        <x:v>25</x:v>
      </x:c>
    </x:row>
    <x:row r="430" ht="22" customHeight="1">
      <x:c r="A430" s="1" t="str">
        <x:v>日経mini</x:v>
      </x:c>
      <x:c r="B430" s="1" t="str">
        <x:v>X02</x:v>
      </x:c>
      <x:c r="C430" s="1" t="str">
        <x:v>全50場</x:v>
      </x:c>
      <x:c r="D430" s="45" t="n">
        <x:v>1371556</x:v>
      </x:c>
      <x:c r="E430" s="45" t="n">
        <x:v>822984</x:v>
      </x:c>
      <x:c r="F430" s="45" t="n">
        <x:f>D430-E430</x:f>
        <x:v>548572</x:v>
      </x:c>
      <x:c r="G430" s="47" t="n">
        <x:v>18</x:v>
      </x:c>
      <x:c r="H430" s="47" t="n">
        <x:v>7</x:v>
      </x:c>
      <x:c r="I430" s="45" t="n">
        <x:v>119030</x:v>
      </x:c>
      <x:c r="J430" s="47" t="n">
        <x:v>57</x:v>
      </x:c>
      <x:c r="K430" s="45" t="n">
        <x:v>-162304</x:v>
      </x:c>
      <x:c r="L430" s="45" t="n">
        <x:v>65899.42857142857</x:v>
      </x:c>
      <x:c r="M430" s="46" t="n">
        <x:v>240.56533333333329</x:v>
      </x:c>
      <x:c r="N430" s="46" t="n">
        <x:v>48.981333333333325</x:v>
      </x:c>
      <x:c r="O430" s="47" t="n">
        <x:v>5</x:v>
      </x:c>
      <x:c r="P430" s="1" t="str">
        <x:v>元主担当に二市場価格と板逆行15秒退出</x:v>
      </x:c>
      <x:c r="Q430" s="47" t="n">
        <x:v>0</x:v>
      </x:c>
      <x:c r="R430" s="1" t="str">
        <x:v>下落</x:v>
      </x:c>
      <x:c r="S430" s="47" t="n">
        <x:v>25</x:v>
      </x:c>
    </x:row>
    <x:row r="431" ht="22" customHeight="1">
      <x:c r="A431" s="1" t="str">
        <x:v>日経mini</x:v>
      </x:c>
      <x:c r="B431" s="1" t="str">
        <x:v>X02</x:v>
      </x:c>
      <x:c r="C431" s="1" t="str">
        <x:v>対照47場</x:v>
      </x:c>
      <x:c r="D431" s="45" t="n">
        <x:v>2327106</x:v>
      </x:c>
      <x:c r="E431" s="45" t="n">
        <x:v>1750122</x:v>
      </x:c>
      <x:c r="F431" s="45" t="n">
        <x:f>D431-E431</x:f>
        <x:v>576984</x:v>
      </x:c>
      <x:c r="G431" s="47" t="n">
        <x:v>27</x:v>
      </x:c>
      <x:c r="H431" s="47" t="n">
        <x:v>20</x:v>
      </x:c>
      <x:c r="I431" s="45" t="n">
        <x:v>104826</x:v>
      </x:c>
      <x:c r="J431" s="47" t="n">
        <x:v>104</x:v>
      </x:c>
      <x:c r="K431" s="45" t="n">
        <x:v>-162304</x:v>
      </x:c>
      <x:c r="L431" s="45" t="n">
        <x:v>48548.5</x:v>
      </x:c>
      <x:c r="M431" s="46" t="n">
        <x:v>236.14078014184398</x:v>
      </x:c>
      <x:c r="N431" s="46" t="n">
        <x:v>43.333687943262404</x:v>
      </x:c>
      <x:c r="O431" s="47" t="n">
        <x:v>5</x:v>
      </x:c>
      <x:c r="P431" s="1" t="str">
        <x:v>元主担当に二市場価格と板逆行15秒退出</x:v>
      </x:c>
      <x:c r="Q431" s="47" t="n">
        <x:v>0</x:v>
      </x:c>
      <x:c r="R431" s="1" t="str">
        <x:v>全場</x:v>
      </x:c>
      <x:c r="S431" s="47" t="n">
        <x:v>47</x:v>
      </x:c>
    </x:row>
    <x:row r="432" ht="22" customHeight="1">
      <x:c r="A432" s="1" t="str">
        <x:v>日経mini</x:v>
      </x:c>
      <x:c r="B432" s="1" t="str">
        <x:v>X02</x:v>
      </x:c>
      <x:c r="C432" s="1" t="str">
        <x:v>対照47場</x:v>
      </x:c>
      <x:c r="D432" s="45" t="n">
        <x:v>1365400</x:v>
      </x:c>
      <x:c r="E432" s="45" t="n">
        <x:v>1122824</x:v>
      </x:c>
      <x:c r="F432" s="45" t="n">
        <x:f>D432-E432</x:f>
        <x:v>242576</x:v>
      </x:c>
      <x:c r="G432" s="47" t="n">
        <x:v>13</x:v>
      </x:c>
      <x:c r="H432" s="47" t="n">
        <x:v>11</x:v>
      </x:c>
      <x:c r="I432" s="45" t="n">
        <x:v>-119736</x:v>
      </x:c>
      <x:c r="J432" s="47" t="n">
        <x:v>61</x:v>
      </x:c>
      <x:c r="K432" s="45" t="n">
        <x:v>-162304</x:v>
      </x:c>
      <x:c r="L432" s="45" t="n">
        <x:v>54788.36363636364</x:v>
      </x:c>
      <x:c r="M432" s="46" t="n">
        <x:v>117.47916666666667</x:v>
      </x:c>
      <x:c r="N432" s="46" t="n">
        <x:v>65.42916666666667</x:v>
      </x:c>
      <x:c r="O432" s="47" t="n">
        <x:v>5</x:v>
      </x:c>
      <x:c r="P432" s="1" t="str">
        <x:v>元主担当に二市場価格と板逆行15秒退出</x:v>
      </x:c>
      <x:c r="Q432" s="47" t="n">
        <x:v>0</x:v>
      </x:c>
      <x:c r="R432" s="1" t="str">
        <x:v>デイ</x:v>
      </x:c>
      <x:c r="S432" s="47" t="n">
        <x:v>24</x:v>
      </x:c>
    </x:row>
    <x:row r="433" ht="22" customHeight="1">
      <x:c r="A433" s="1" t="str">
        <x:v>日経mini</x:v>
      </x:c>
      <x:c r="B433" s="1" t="str">
        <x:v>X02</x:v>
      </x:c>
      <x:c r="C433" s="1" t="str">
        <x:v>対照47場</x:v>
      </x:c>
      <x:c r="D433" s="45" t="n">
        <x:v>961706</x:v>
      </x:c>
      <x:c r="E433" s="45" t="n">
        <x:v>627298</x:v>
      </x:c>
      <x:c r="F433" s="45" t="n">
        <x:f>D433-E433</x:f>
        <x:v>334408</x:v>
      </x:c>
      <x:c r="G433" s="47" t="n">
        <x:v>14</x:v>
      </x:c>
      <x:c r="H433" s="47" t="n">
        <x:v>9</x:v>
      </x:c>
      <x:c r="I433" s="45" t="n">
        <x:v>-32134</x:v>
      </x:c>
      <x:c r="J433" s="47" t="n">
        <x:v>43</x:v>
      </x:c>
      <x:c r="K433" s="45" t="n">
        <x:v>-81536</x:v>
      </x:c>
      <x:c r="L433" s="45" t="n">
        <x:v>40922</x:v>
      </x:c>
      <x:c r="M433" s="46" t="n">
        <x:v>359.96159420289854</x:v>
      </x:c>
      <x:c r="N433" s="46" t="n">
        <x:v>20.277536231884056</x:v>
      </x:c>
      <x:c r="O433" s="47" t="n">
        <x:v>5</x:v>
      </x:c>
      <x:c r="P433" s="1" t="str">
        <x:v>元主担当に二市場価格と板逆行15秒退出</x:v>
      </x:c>
      <x:c r="Q433" s="47" t="n">
        <x:v>0</x:v>
      </x:c>
      <x:c r="R433" s="1" t="str">
        <x:v>ナイト</x:v>
      </x:c>
      <x:c r="S433" s="47" t="n">
        <x:v>23</x:v>
      </x:c>
    </x:row>
    <x:row r="434" ht="22" customHeight="1">
      <x:c r="A434" s="1" t="str">
        <x:v>日経mini</x:v>
      </x:c>
      <x:c r="B434" s="1" t="str">
        <x:v>X02</x:v>
      </x:c>
      <x:c r="C434" s="1" t="str">
        <x:v>対照47場</x:v>
      </x:c>
      <x:c r="D434" s="45" t="n">
        <x:v>1060166</x:v>
      </x:c>
      <x:c r="E434" s="45" t="n">
        <x:v>932522</x:v>
      </x:c>
      <x:c r="F434" s="45" t="n">
        <x:f>D434-E434</x:f>
        <x:v>127644</x:v>
      </x:c>
      <x:c r="G434" s="47" t="n">
        <x:v>10</x:v>
      </x:c>
      <x:c r="H434" s="47" t="n">
        <x:v>13</x:v>
      </x:c>
      <x:c r="I434" s="45" t="n">
        <x:v>-188052</x:v>
      </x:c>
      <x:c r="J434" s="47" t="n">
        <x:v>49</x:v>
      </x:c>
      <x:c r="K434" s="45" t="n">
        <x:v>-81536</x:v>
      </x:c>
      <x:c r="L434" s="45" t="n">
        <x:v>39205.692307692305</x:v>
      </x:c>
      <x:c r="M434" s="46" t="n">
        <x:v>236.71956521739128</x:v>
      </x:c>
      <x:c r="N434" s="46" t="n">
        <x:v>36.022463768115934</x:v>
      </x:c>
      <x:c r="O434" s="47" t="n">
        <x:v>5</x:v>
      </x:c>
      <x:c r="P434" s="1" t="str">
        <x:v>元主担当に二市場価格と板逆行15秒退出</x:v>
      </x:c>
      <x:c r="Q434" s="47" t="n">
        <x:v>0</x:v>
      </x:c>
      <x:c r="R434" s="1" t="str">
        <x:v>上昇</x:v>
      </x:c>
      <x:c r="S434" s="47" t="n">
        <x:v>23</x:v>
      </x:c>
    </x:row>
    <x:row r="435" ht="22" customHeight="1">
      <x:c r="A435" s="1" t="str">
        <x:v>日経mini</x:v>
      </x:c>
      <x:c r="B435" s="1" t="str">
        <x:v>X02</x:v>
      </x:c>
      <x:c r="C435" s="1" t="str">
        <x:v>対照47場</x:v>
      </x:c>
      <x:c r="D435" s="45" t="n">
        <x:v>1266940</x:v>
      </x:c>
      <x:c r="E435" s="45" t="n">
        <x:v>817600</x:v>
      </x:c>
      <x:c r="F435" s="45" t="n">
        <x:f>D435-E435</x:f>
        <x:v>449340</x:v>
      </x:c>
      <x:c r="G435" s="47" t="n">
        <x:v>17</x:v>
      </x:c>
      <x:c r="H435" s="47" t="n">
        <x:v>7</x:v>
      </x:c>
      <x:c r="I435" s="45" t="n">
        <x:v>24414</x:v>
      </x:c>
      <x:c r="J435" s="47" t="n">
        <x:v>55</x:v>
      </x:c>
      <x:c r="K435" s="45" t="n">
        <x:v>-162304</x:v>
      </x:c>
      <x:c r="L435" s="45" t="n">
        <x:v>65899.42857142857</x:v>
      </x:c>
      <x:c r="M435" s="46" t="n">
        <x:v>235.58611111111108</x:v>
      </x:c>
      <x:c r="N435" s="46" t="n">
        <x:v>50.34027777777777</x:v>
      </x:c>
      <x:c r="O435" s="47" t="n">
        <x:v>5</x:v>
      </x:c>
      <x:c r="P435" s="1" t="str">
        <x:v>元主担当に二市場価格と板逆行15秒退出</x:v>
      </x:c>
      <x:c r="Q435" s="47" t="n">
        <x:v>0</x:v>
      </x:c>
      <x:c r="R435" s="1" t="str">
        <x:v>下落</x:v>
      </x:c>
      <x:c r="S435" s="47" t="n">
        <x:v>24</x:v>
      </x:c>
    </x:row>
    <x:row r="436" ht="22" customHeight="1">
      <x:c r="A436" s="1" t="str">
        <x:v>日経mini</x:v>
      </x:c>
      <x:c r="B436" s="1" t="str">
        <x:v>X02</x:v>
      </x:c>
      <x:c r="C436" s="1" t="str">
        <x:v>診断3場</x:v>
      </x:c>
      <x:c r="D436" s="45" t="n">
        <x:v>104616</x:v>
      </x:c>
      <x:c r="E436" s="45" t="n">
        <x:v>81152</x:v>
      </x:c>
      <x:c r="F436" s="45" t="n">
        <x:f>D436-E436</x:f>
        <x:v>23464</x:v>
      </x:c>
      <x:c r="G436" s="47" t="n">
        <x:v>1</x:v>
      </x:c>
      <x:c r="H436" s="47" t="n">
        <x:v>2</x:v>
      </x:c>
      <x:c r="I436" s="45" t="n">
        <x:v>-75768</x:v>
      </x:c>
      <x:c r="J436" s="47" t="n">
        <x:v>4</x:v>
      </x:c>
      <x:c r="K436" s="45" t="n">
        <x:v>-55384</x:v>
      </x:c>
      <x:c r="L436" s="45" t="n">
        <x:v>37884</x:v>
      </x:c>
      <x:c r="M436" s="46" t="n">
        <x:v>286.15555555555557</x:v>
      </x:c>
      <x:c r="N436" s="46" t="n">
        <x:v>6.7555555555555555</x:v>
      </x:c>
      <x:c r="O436" s="47" t="n">
        <x:v>5</x:v>
      </x:c>
      <x:c r="P436" s="1" t="str">
        <x:v>元主担当に二市場価格と板逆行15秒退出</x:v>
      </x:c>
      <x:c r="Q436" s="47" t="n">
        <x:v>0</x:v>
      </x:c>
      <x:c r="R436" s="1" t="str">
        <x:v>全場</x:v>
      </x:c>
      <x:c r="S436" s="47" t="n">
        <x:v>3</x:v>
      </x:c>
    </x:row>
    <x:row r="437" ht="22" customHeight="1">
      <x:c r="A437" s="1" t="str">
        <x:v>日経mini</x:v>
      </x:c>
      <x:c r="B437" s="1" t="str">
        <x:v>X02</x:v>
      </x:c>
      <x:c r="C437" s="1" t="str">
        <x:v>診断3場</x:v>
      </x:c>
      <x:c r="D437" s="45" t="n">
        <x:v>0</x:v>
      </x:c>
      <x:c r="E437" s="45" t="n">
        <x:v>55384</x:v>
      </x:c>
      <x:c r="F437" s="45" t="n">
        <x:f>D437-E437</x:f>
        <x:v>-55384</x:v>
      </x:c>
      <x:c r="G437" s="47" t="n">
        <x:v>0</x:v>
      </x:c>
      <x:c r="H437" s="47" t="n">
        <x:v>1</x:v>
      </x:c>
      <x:c r="I437" s="45" t="n">
        <x:v>-55384</x:v>
      </x:c>
      <x:c r="J437" s="47" t="n">
        <x:v>1</x:v>
      </x:c>
      <x:c r="K437" s="45" t="n">
        <x:v>-55384</x:v>
      </x:c>
      <x:c r="L437" s="45" t="n">
        <x:v>55384</x:v>
      </x:c>
      <x:c r="M437" s="46" t="n">
        <x:v>138.36666666666667</x:v>
      </x:c>
      <x:c r="N437" s="46" t="n">
        <x:v>3.45</x:v>
      </x:c>
      <x:c r="O437" s="47" t="n">
        <x:v>5</x:v>
      </x:c>
      <x:c r="P437" s="1" t="str">
        <x:v>元主担当に二市場価格と板逆行15秒退出</x:v>
      </x:c>
      <x:c r="Q437" s="47" t="n">
        <x:v>0</x:v>
      </x:c>
      <x:c r="R437" s="1" t="str">
        <x:v>デイ</x:v>
      </x:c>
      <x:c r="S437" s="47" t="n">
        <x:v>1</x:v>
      </x:c>
    </x:row>
    <x:row r="438" ht="22" customHeight="1">
      <x:c r="A438" s="1" t="str">
        <x:v>日経mini</x:v>
      </x:c>
      <x:c r="B438" s="1" t="str">
        <x:v>X02</x:v>
      </x:c>
      <x:c r="C438" s="1" t="str">
        <x:v>診断3場</x:v>
      </x:c>
      <x:c r="D438" s="45" t="n">
        <x:v>104616</x:v>
      </x:c>
      <x:c r="E438" s="45" t="n">
        <x:v>25768</x:v>
      </x:c>
      <x:c r="F438" s="45" t="n">
        <x:f>D438-E438</x:f>
        <x:v>78848</x:v>
      </x:c>
      <x:c r="G438" s="47" t="n">
        <x:v>1</x:v>
      </x:c>
      <x:c r="H438" s="47" t="n">
        <x:v>1</x:v>
      </x:c>
      <x:c r="I438" s="45" t="n">
        <x:v>-20384</x:v>
      </x:c>
      <x:c r="J438" s="47" t="n">
        <x:v>3</x:v>
      </x:c>
      <x:c r="K438" s="45" t="n">
        <x:v>-20384</x:v>
      </x:c>
      <x:c r="L438" s="45" t="n">
        <x:v>20384</x:v>
      </x:c>
      <x:c r="M438" s="46" t="n">
        <x:v>360.05</x:v>
      </x:c>
      <x:c r="N438" s="46" t="n">
        <x:v>8.408333333333333</x:v>
      </x:c>
      <x:c r="O438" s="47" t="n">
        <x:v>5</x:v>
      </x:c>
      <x:c r="P438" s="1" t="str">
        <x:v>元主担当に二市場価格と板逆行15秒退出</x:v>
      </x:c>
      <x:c r="Q438" s="47" t="n">
        <x:v>0</x:v>
      </x:c>
      <x:c r="R438" s="1" t="str">
        <x:v>ナイト</x:v>
      </x:c>
      <x:c r="S438" s="47" t="n">
        <x:v>2</x:v>
      </x:c>
    </x:row>
    <x:row r="439" ht="22" customHeight="1">
      <x:c r="A439" s="1" t="str">
        <x:v>日経mini</x:v>
      </x:c>
      <x:c r="B439" s="1" t="str">
        <x:v>X02</x:v>
      </x:c>
      <x:c r="C439" s="1" t="str">
        <x:v>診断3場</x:v>
      </x:c>
      <x:c r="D439" s="45" t="n">
        <x:v>0</x:v>
      </x:c>
      <x:c r="E439" s="45" t="n">
        <x:v>75768</x:v>
      </x:c>
      <x:c r="F439" s="45" t="n">
        <x:f>D439-E439</x:f>
        <x:v>-75768</x:v>
      </x:c>
      <x:c r="G439" s="47" t="n">
        <x:v>0</x:v>
      </x:c>
      <x:c r="H439" s="47" t="n">
        <x:v>2</x:v>
      </x:c>
      <x:c r="I439" s="45" t="n">
        <x:v>-75768</x:v>
      </x:c>
      <x:c r="J439" s="47" t="n">
        <x:v>2</x:v>
      </x:c>
      <x:c r="K439" s="45" t="n">
        <x:v>-55384</x:v>
      </x:c>
      <x:c r="L439" s="45" t="n">
        <x:v>37884</x:v>
      </x:c>
      <x:c r="M439" s="46" t="n">
        <x:v>249.20000000000002</x:v>
      </x:c>
      <x:c r="N439" s="46" t="n">
        <x:v>1.9500000000000002</x:v>
      </x:c>
      <x:c r="O439" s="47" t="n">
        <x:v>5</x:v>
      </x:c>
      <x:c r="P439" s="1" t="str">
        <x:v>元主担当に二市場価格と板逆行15秒退出</x:v>
      </x:c>
      <x:c r="Q439" s="47" t="n">
        <x:v>0</x:v>
      </x:c>
      <x:c r="R439" s="1" t="str">
        <x:v>上昇</x:v>
      </x:c>
      <x:c r="S439" s="47" t="n">
        <x:v>2</x:v>
      </x:c>
    </x:row>
    <x:row r="440" ht="22" customHeight="1">
      <x:c r="A440" s="1" t="str">
        <x:v>日経mini</x:v>
      </x:c>
      <x:c r="B440" s="1" t="str">
        <x:v>X02</x:v>
      </x:c>
      <x:c r="C440" s="1" t="str">
        <x:v>診断3場</x:v>
      </x:c>
      <x:c r="D440" s="45" t="n">
        <x:v>104616</x:v>
      </x:c>
      <x:c r="E440" s="45" t="n">
        <x:v>5384</x:v>
      </x:c>
      <x:c r="F440" s="45" t="n">
        <x:f>D440-E440</x:f>
        <x:v>99232</x:v>
      </x:c>
      <x:c r="G440" s="47" t="n">
        <x:v>1</x:v>
      </x:c>
      <x:c r="H440" s="47" t="n">
        <x:v>0</x:v>
      </x:c>
      <x:c r="I440" s="45" t="n">
        <x:v>0</x:v>
      </x:c>
      <x:c r="J440" s="47" t="n">
        <x:v>2</x:v>
      </x:c>
      <x:c r="K440" s="45" t="n">
        <x:v>99232</x:v>
      </x:c>
      <x:c r="L440" s="45" t="n">
        <x:v>0</x:v>
      </x:c>
      <x:c r="M440" s="46" t="n">
        <x:v>360.06666666666666</x:v>
      </x:c>
      <x:c r="N440" s="46" t="n">
        <x:v>16.366666666666667</x:v>
      </x:c>
      <x:c r="O440" s="47" t="n">
        <x:v>5</x:v>
      </x:c>
      <x:c r="P440" s="1" t="str">
        <x:v>元主担当に二市場価格と板逆行15秒退出</x:v>
      </x:c>
      <x:c r="Q440" s="47" t="n">
        <x:v>0</x:v>
      </x:c>
      <x:c r="R440" s="1" t="str">
        <x:v>下落</x:v>
      </x:c>
      <x:c r="S440" s="47" t="n">
        <x:v>1</x:v>
      </x:c>
    </x:row>
    <x:row r="441" ht="22" customHeight="1">
      <x:c r="A441" s="1" t="str">
        <x:v>日経mini</x:v>
      </x:c>
      <x:c r="B441" s="1" t="str">
        <x:v>Y01</x:v>
      </x:c>
      <x:c r="C441" s="1" t="str">
        <x:v>全50場</x:v>
      </x:c>
      <x:c r="D441" s="45" t="n">
        <x:v>3409146</x:v>
      </x:c>
      <x:c r="E441" s="45" t="n">
        <x:v>2872356</x:v>
      </x:c>
      <x:c r="F441" s="45" t="n">
        <x:f>D441-E441</x:f>
        <x:v>536790</x:v>
      </x:c>
      <x:c r="G441" s="47" t="n">
        <x:v>25</x:v>
      </x:c>
      <x:c r="H441" s="47" t="n">
        <x:v>25</x:v>
      </x:c>
      <x:c r="I441" s="45" t="n">
        <x:v>-201988</x:v>
      </x:c>
      <x:c r="J441" s="47" t="n">
        <x:v>256</x:v>
      </x:c>
      <x:c r="K441" s="45" t="n">
        <x:v>-208766</x:v>
      </x:c>
      <x:c r="L441" s="45" t="n">
        <x:v>54348.96</x:v>
      </x:c>
      <x:c r="M441" s="46" t="n">
        <x:v>212.28466666666668</x:v>
      </x:c>
      <x:c r="N441" s="46" t="n">
        <x:v>63.19466666666667</x:v>
      </x:c>
      <x:c r="O441" s="47" t="n">
        <x:v>10</x:v>
      </x:c>
      <x:c r="P441" s="1" t="str">
        <x:v>X01にG10の追加担当を併用</x:v>
      </x:c>
      <x:c r="Q441" s="47" t="n">
        <x:v>0</x:v>
      </x:c>
      <x:c r="R441" s="1" t="str">
        <x:v>全場</x:v>
      </x:c>
      <x:c r="S441" s="47" t="n">
        <x:v>50</x:v>
      </x:c>
    </x:row>
    <x:row r="442" ht="22" customHeight="1">
      <x:c r="A442" s="1" t="str">
        <x:v>日経mini</x:v>
      </x:c>
      <x:c r="B442" s="1" t="str">
        <x:v>Y01</x:v>
      </x:c>
      <x:c r="C442" s="1" t="str">
        <x:v>全50場</x:v>
      </x:c>
      <x:c r="D442" s="45" t="n">
        <x:v>1695500</x:v>
      </x:c>
      <x:c r="E442" s="45" t="n">
        <x:v>2040446</x:v>
      </x:c>
      <x:c r="F442" s="45" t="n">
        <x:f>D442-E442</x:f>
        <x:v>-344946</x:v>
      </x:c>
      <x:c r="G442" s="47" t="n">
        <x:v>10</x:v>
      </x:c>
      <x:c r="H442" s="47" t="n">
        <x:v>15</x:v>
      </x:c>
      <x:c r="I442" s="45" t="n">
        <x:v>-614026</x:v>
      </x:c>
      <x:c r="J442" s="47" t="n">
        <x:v>169</x:v>
      </x:c>
      <x:c r="K442" s="45" t="n">
        <x:v>-208766</x:v>
      </x:c>
      <x:c r="L442" s="45" t="n">
        <x:v>58915.73333333333</x:v>
      </x:c>
      <x:c r="M442" s="46" t="n">
        <x:v>87.46866666666666</x:v>
      </x:c>
      <x:c r="N442" s="46" t="n">
        <x:v>95.61399999999999</x:v>
      </x:c>
      <x:c r="O442" s="47" t="n">
        <x:v>10</x:v>
      </x:c>
      <x:c r="P442" s="1" t="str">
        <x:v>X01にG10の追加担当を併用</x:v>
      </x:c>
      <x:c r="Q442" s="47" t="n">
        <x:v>0</x:v>
      </x:c>
      <x:c r="R442" s="1" t="str">
        <x:v>デイ</x:v>
      </x:c>
      <x:c r="S442" s="47" t="n">
        <x:v>25</x:v>
      </x:c>
    </x:row>
    <x:row r="443" ht="22" customHeight="1">
      <x:c r="A443" s="1" t="str">
        <x:v>日経mini</x:v>
      </x:c>
      <x:c r="B443" s="1" t="str">
        <x:v>Y01</x:v>
      </x:c>
      <x:c r="C443" s="1" t="str">
        <x:v>全50場</x:v>
      </x:c>
      <x:c r="D443" s="45" t="n">
        <x:v>1713646</x:v>
      </x:c>
      <x:c r="E443" s="45" t="n">
        <x:v>831910</x:v>
      </x:c>
      <x:c r="F443" s="45" t="n">
        <x:f>D443-E443</x:f>
        <x:v>881736</x:v>
      </x:c>
      <x:c r="G443" s="47" t="n">
        <x:v>15</x:v>
      </x:c>
      <x:c r="H443" s="47" t="n">
        <x:v>10</x:v>
      </x:c>
      <x:c r="I443" s="45" t="n">
        <x:v>142958</x:v>
      </x:c>
      <x:c r="J443" s="47" t="n">
        <x:v>87</x:v>
      </x:c>
      <x:c r="K443" s="45" t="n">
        <x:v>-82462</x:v>
      </x:c>
      <x:c r="L443" s="45" t="n">
        <x:v>47498.8</x:v>
      </x:c>
      <x:c r="M443" s="46" t="n">
        <x:v>337.10066666666665</x:v>
      </x:c>
      <x:c r="N443" s="46" t="n">
        <x:v>30.775333333333332</x:v>
      </x:c>
      <x:c r="O443" s="47" t="n">
        <x:v>7</x:v>
      </x:c>
      <x:c r="P443" s="1" t="str">
        <x:v>X01にG10の追加担当を併用</x:v>
      </x:c>
      <x:c r="Q443" s="47" t="n">
        <x:v>0</x:v>
      </x:c>
      <x:c r="R443" s="1" t="str">
        <x:v>ナイト</x:v>
      </x:c>
      <x:c r="S443" s="47" t="n">
        <x:v>25</x:v>
      </x:c>
    </x:row>
    <x:row r="444" ht="22" customHeight="1">
      <x:c r="A444" s="1" t="str">
        <x:v>日経mini</x:v>
      </x:c>
      <x:c r="B444" s="1" t="str">
        <x:v>Y01</x:v>
      </x:c>
      <x:c r="C444" s="1" t="str">
        <x:v>全50場</x:v>
      </x:c>
      <x:c r="D444" s="45" t="n">
        <x:v>1750190</x:v>
      </x:c>
      <x:c r="E444" s="45" t="n">
        <x:v>1542602</x:v>
      </x:c>
      <x:c r="F444" s="45" t="n">
        <x:f>D444-E444</x:f>
        <x:v>207588</x:v>
      </x:c>
      <x:c r="G444" s="47" t="n">
        <x:v>10</x:v>
      </x:c>
      <x:c r="H444" s="47" t="n">
        <x:v>15</x:v>
      </x:c>
      <x:c r="I444" s="45" t="n">
        <x:v>-420962</x:v>
      </x:c>
      <x:c r="J444" s="47" t="n">
        <x:v>140</x:v>
      </x:c>
      <x:c r="K444" s="45" t="n">
        <x:v>-111074</x:v>
      </x:c>
      <x:c r="L444" s="45" t="n">
        <x:v>47367.46666666667</x:v>
      </x:c>
      <x:c r="M444" s="46" t="n">
        <x:v>207.81400000000002</x:v>
      </x:c>
      <x:c r="N444" s="46" t="n">
        <x:v>60.01466666666666</x:v>
      </x:c>
      <x:c r="O444" s="47" t="n">
        <x:v>10</x:v>
      </x:c>
      <x:c r="P444" s="1" t="str">
        <x:v>X01にG10の追加担当を併用</x:v>
      </x:c>
      <x:c r="Q444" s="47" t="n">
        <x:v>0</x:v>
      </x:c>
      <x:c r="R444" s="1" t="str">
        <x:v>上昇</x:v>
      </x:c>
      <x:c r="S444" s="47" t="n">
        <x:v>25</x:v>
      </x:c>
    </x:row>
    <x:row r="445" ht="22" customHeight="1">
      <x:c r="A445" s="1" t="str">
        <x:v>日経mini</x:v>
      </x:c>
      <x:c r="B445" s="1" t="str">
        <x:v>Y01</x:v>
      </x:c>
      <x:c r="C445" s="1" t="str">
        <x:v>全50場</x:v>
      </x:c>
      <x:c r="D445" s="45" t="n">
        <x:v>1658956</x:v>
      </x:c>
      <x:c r="E445" s="45" t="n">
        <x:v>1329754</x:v>
      </x:c>
      <x:c r="F445" s="45" t="n">
        <x:f>D445-E445</x:f>
        <x:v>329202</x:v>
      </x:c>
      <x:c r="G445" s="47" t="n">
        <x:v>15</x:v>
      </x:c>
      <x:c r="H445" s="47" t="n">
        <x:v>10</x:v>
      </x:c>
      <x:c r="I445" s="45" t="n">
        <x:v>-93804</x:v>
      </x:c>
      <x:c r="J445" s="47" t="n">
        <x:v>116</x:v>
      </x:c>
      <x:c r="K445" s="45" t="n">
        <x:v>-208766</x:v>
      </x:c>
      <x:c r="L445" s="45" t="n">
        <x:v>64821.2</x:v>
      </x:c>
      <x:c r="M445" s="46" t="n">
        <x:v>216.75533333333334</x:v>
      </x:c>
      <x:c r="N445" s="46" t="n">
        <x:v>66.37466666666667</x:v>
      </x:c>
      <x:c r="O445" s="47" t="n">
        <x:v>10</x:v>
      </x:c>
      <x:c r="P445" s="1" t="str">
        <x:v>X01にG10の追加担当を併用</x:v>
      </x:c>
      <x:c r="Q445" s="47" t="n">
        <x:v>0</x:v>
      </x:c>
      <x:c r="R445" s="1" t="str">
        <x:v>下落</x:v>
      </x:c>
      <x:c r="S445" s="47" t="n">
        <x:v>25</x:v>
      </x:c>
    </x:row>
    <x:row r="446" ht="22" customHeight="1">
      <x:c r="A446" s="1" t="str">
        <x:v>日経mini</x:v>
      </x:c>
      <x:c r="B446" s="1" t="str">
        <x:v>Y01</x:v>
      </x:c>
      <x:c r="C446" s="1" t="str">
        <x:v>対照47場</x:v>
      </x:c>
      <x:c r="D446" s="45" t="n">
        <x:v>3212220</x:v>
      </x:c>
      <x:c r="E446" s="45" t="n">
        <x:v>2714434</x:v>
      </x:c>
      <x:c r="F446" s="45" t="n">
        <x:f>D446-E446</x:f>
        <x:v>497786</x:v>
      </x:c>
      <x:c r="G446" s="47" t="n">
        <x:v>24</x:v>
      </x:c>
      <x:c r="H446" s="47" t="n">
        <x:v>23</x:v>
      </x:c>
      <x:c r="I446" s="45" t="n">
        <x:v>-240992</x:v>
      </x:c>
      <x:c r="J446" s="47" t="n">
        <x:v>241</x:v>
      </x:c>
      <x:c r="K446" s="45" t="n">
        <x:v>-208766</x:v>
      </x:c>
      <x:c r="L446" s="45" t="n">
        <x:v>56376.086956521736</x:v>
      </x:c>
      <x:c r="M446" s="46" t="n">
        <x:v>208.49007092198582</x:v>
      </x:c>
      <x:c r="N446" s="46" t="n">
        <x:v>64.88794326241137</x:v>
      </x:c>
      <x:c r="O446" s="47" t="n">
        <x:v>10</x:v>
      </x:c>
      <x:c r="P446" s="1" t="str">
        <x:v>X01にG10の追加担当を併用</x:v>
      </x:c>
      <x:c r="Q446" s="47" t="n">
        <x:v>0</x:v>
      </x:c>
      <x:c r="R446" s="1" t="str">
        <x:v>全場</x:v>
      </x:c>
      <x:c r="S446" s="47" t="n">
        <x:v>47</x:v>
      </x:c>
    </x:row>
    <x:row r="447" ht="22" customHeight="1">
      <x:c r="A447" s="1" t="str">
        <x:v>日経mini</x:v>
      </x:c>
      <x:c r="B447" s="1" t="str">
        <x:v>Y01</x:v>
      </x:c>
      <x:c r="C447" s="1" t="str">
        <x:v>対照47場</x:v>
      </x:c>
      <x:c r="D447" s="45" t="n">
        <x:v>1605036</x:v>
      </x:c>
      <x:c r="E447" s="45" t="n">
        <x:v>1914446</x:v>
      </x:c>
      <x:c r="F447" s="45" t="n">
        <x:f>D447-E447</x:f>
        <x:v>-309410</x:v>
      </x:c>
      <x:c r="G447" s="47" t="n">
        <x:v>10</x:v>
      </x:c>
      <x:c r="H447" s="47" t="n">
        <x:v>14</x:v>
      </x:c>
      <x:c r="I447" s="45" t="n">
        <x:v>-578490</x:v>
      </x:c>
      <x:c r="J447" s="47" t="n">
        <x:v>159</x:v>
      </x:c>
      <x:c r="K447" s="45" t="n">
        <x:v>-208766</x:v>
      </x:c>
      <x:c r="L447" s="45" t="n">
        <x:v>60585.71428571428</x:v>
      </x:c>
      <x:c r="M447" s="46" t="n">
        <x:v>87.15069444444445</x:v>
      </x:c>
      <x:c r="N447" s="46" t="n">
        <x:v>96.31458333333332</x:v>
      </x:c>
      <x:c r="O447" s="47" t="n">
        <x:v>10</x:v>
      </x:c>
      <x:c r="P447" s="1" t="str">
        <x:v>X01にG10の追加担当を併用</x:v>
      </x:c>
      <x:c r="Q447" s="47" t="n">
        <x:v>0</x:v>
      </x:c>
      <x:c r="R447" s="1" t="str">
        <x:v>デイ</x:v>
      </x:c>
      <x:c r="S447" s="47" t="n">
        <x:v>24</x:v>
      </x:c>
    </x:row>
    <x:row r="448" ht="22" customHeight="1">
      <x:c r="A448" s="1" t="str">
        <x:v>日経mini</x:v>
      </x:c>
      <x:c r="B448" s="1" t="str">
        <x:v>Y01</x:v>
      </x:c>
      <x:c r="C448" s="1" t="str">
        <x:v>対照47場</x:v>
      </x:c>
      <x:c r="D448" s="45" t="n">
        <x:v>1607184</x:v>
      </x:c>
      <x:c r="E448" s="45" t="n">
        <x:v>799988</x:v>
      </x:c>
      <x:c r="F448" s="45" t="n">
        <x:f>D448-E448</x:f>
        <x:v>807196</x:v>
      </x:c>
      <x:c r="G448" s="47" t="n">
        <x:v>14</x:v>
      </x:c>
      <x:c r="H448" s="47" t="n">
        <x:v>9</x:v>
      </x:c>
      <x:c r="I448" s="45" t="n">
        <x:v>68418</x:v>
      </x:c>
      <x:c r="J448" s="47" t="n">
        <x:v>82</x:v>
      </x:c>
      <x:c r="K448" s="45" t="n">
        <x:v>-82462</x:v>
      </x:c>
      <x:c r="L448" s="45" t="n">
        <x:v>49827.77777777778</x:v>
      </x:c>
      <x:c r="M448" s="46" t="n">
        <x:v>335.10507246376807</x:v>
      </x:c>
      <x:c r="N448" s="46" t="n">
        <x:v>32.094927536231886</x:v>
      </x:c>
      <x:c r="O448" s="47" t="n">
        <x:v>7</x:v>
      </x:c>
      <x:c r="P448" s="1" t="str">
        <x:v>X01にG10の追加担当を併用</x:v>
      </x:c>
      <x:c r="Q448" s="47" t="n">
        <x:v>0</x:v>
      </x:c>
      <x:c r="R448" s="1" t="str">
        <x:v>ナイト</x:v>
      </x:c>
      <x:c r="S448" s="47" t="n">
        <x:v>23</x:v>
      </x:c>
    </x:row>
    <x:row r="449" ht="22" customHeight="1">
      <x:c r="A449" s="1" t="str">
        <x:v>日経mini</x:v>
      </x:c>
      <x:c r="B449" s="1" t="str">
        <x:v>Y01</x:v>
      </x:c>
      <x:c r="C449" s="1" t="str">
        <x:v>対照47場</x:v>
      </x:c>
      <x:c r="D449" s="45" t="n">
        <x:v>1659726</x:v>
      </x:c>
      <x:c r="E449" s="45" t="n">
        <x:v>1390064</x:v>
      </x:c>
      <x:c r="F449" s="45" t="n">
        <x:f>D449-E449</x:f>
        <x:v>269662</x:v>
      </x:c>
      <x:c r="G449" s="47" t="n">
        <x:v>10</x:v>
      </x:c>
      <x:c r="H449" s="47" t="n">
        <x:v>13</x:v>
      </x:c>
      <x:c r="I449" s="45" t="n">
        <x:v>-358888</x:v>
      </x:c>
      <x:c r="J449" s="47" t="n">
        <x:v>128</x:v>
      </x:c>
      <x:c r="K449" s="45" t="n">
        <x:v>-111074</x:v>
      </x:c>
      <x:c r="L449" s="45" t="n">
        <x:v>49879.846153846156</x:v>
      </x:c>
      <x:c r="M449" s="46" t="n">
        <x:v>206.09637681159418</x:v>
      </x:c>
      <x:c r="N449" s="46" t="n">
        <x:v>61.34855072463768</x:v>
      </x:c>
      <x:c r="O449" s="47" t="n">
        <x:v>10</x:v>
      </x:c>
      <x:c r="P449" s="1" t="str">
        <x:v>X01にG10の追加担当を併用</x:v>
      </x:c>
      <x:c r="Q449" s="47" t="n">
        <x:v>0</x:v>
      </x:c>
      <x:c r="R449" s="1" t="str">
        <x:v>上昇</x:v>
      </x:c>
      <x:c r="S449" s="47" t="n">
        <x:v>23</x:v>
      </x:c>
    </x:row>
    <x:row r="450" ht="22" customHeight="1">
      <x:c r="A450" s="1" t="str">
        <x:v>日経mini</x:v>
      </x:c>
      <x:c r="B450" s="1" t="str">
        <x:v>Y01</x:v>
      </x:c>
      <x:c r="C450" s="1" t="str">
        <x:v>対照47場</x:v>
      </x:c>
      <x:c r="D450" s="45" t="n">
        <x:v>1552494</x:v>
      </x:c>
      <x:c r="E450" s="45" t="n">
        <x:v>1324370</x:v>
      </x:c>
      <x:c r="F450" s="45" t="n">
        <x:f>D450-E450</x:f>
        <x:v>228124</x:v>
      </x:c>
      <x:c r="G450" s="47" t="n">
        <x:v>14</x:v>
      </x:c>
      <x:c r="H450" s="47" t="n">
        <x:v>10</x:v>
      </x:c>
      <x:c r="I450" s="45" t="n">
        <x:v>-188420</x:v>
      </x:c>
      <x:c r="J450" s="47" t="n">
        <x:v>113</x:v>
      </x:c>
      <x:c r="K450" s="45" t="n">
        <x:v>-208766</x:v>
      </x:c>
      <x:c r="L450" s="45" t="n">
        <x:v>64821.2</x:v>
      </x:c>
      <x:c r="M450" s="46" t="n">
        <x:v>210.78402777777777</x:v>
      </x:c>
      <x:c r="N450" s="46" t="n">
        <x:v>68.27986111111112</x:v>
      </x:c>
      <x:c r="O450" s="47" t="n">
        <x:v>10</x:v>
      </x:c>
      <x:c r="P450" s="1" t="str">
        <x:v>X01にG10の追加担当を併用</x:v>
      </x:c>
      <x:c r="Q450" s="47" t="n">
        <x:v>0</x:v>
      </x:c>
      <x:c r="R450" s="1" t="str">
        <x:v>下落</x:v>
      </x:c>
      <x:c r="S450" s="47" t="n">
        <x:v>24</x:v>
      </x:c>
    </x:row>
    <x:row r="451" ht="22" customHeight="1">
      <x:c r="A451" s="1" t="str">
        <x:v>日経mini</x:v>
      </x:c>
      <x:c r="B451" s="1" t="str">
        <x:v>Y01</x:v>
      </x:c>
      <x:c r="C451" s="1" t="str">
        <x:v>診断3場</x:v>
      </x:c>
      <x:c r="D451" s="45" t="n">
        <x:v>196926</x:v>
      </x:c>
      <x:c r="E451" s="45" t="n">
        <x:v>157922</x:v>
      </x:c>
      <x:c r="F451" s="45" t="n">
        <x:f>D451-E451</x:f>
        <x:v>39004</x:v>
      </x:c>
      <x:c r="G451" s="47" t="n">
        <x:v>1</x:v>
      </x:c>
      <x:c r="H451" s="47" t="n">
        <x:v>2</x:v>
      </x:c>
      <x:c r="I451" s="45" t="n">
        <x:v>-62074</x:v>
      </x:c>
      <x:c r="J451" s="47" t="n">
        <x:v>15</x:v>
      </x:c>
      <x:c r="K451" s="45" t="n">
        <x:v>-35536</x:v>
      </x:c>
      <x:c r="L451" s="45" t="n">
        <x:v>31037</x:v>
      </x:c>
      <x:c r="M451" s="46" t="n">
        <x:v>271.73333333333335</x:v>
      </x:c>
      <x:c r="N451" s="46" t="n">
        <x:v>36.666666666666664</x:v>
      </x:c>
      <x:c r="O451" s="47" t="n">
        <x:v>7</x:v>
      </x:c>
      <x:c r="P451" s="1" t="str">
        <x:v>X01にG10の追加担当を併用</x:v>
      </x:c>
      <x:c r="Q451" s="47" t="n">
        <x:v>0</x:v>
      </x:c>
      <x:c r="R451" s="1" t="str">
        <x:v>全場</x:v>
      </x:c>
      <x:c r="S451" s="47" t="n">
        <x:v>3</x:v>
      </x:c>
    </x:row>
    <x:row r="452" ht="22" customHeight="1">
      <x:c r="A452" s="1" t="str">
        <x:v>日経mini</x:v>
      </x:c>
      <x:c r="B452" s="1" t="str">
        <x:v>Y01</x:v>
      </x:c>
      <x:c r="C452" s="1" t="str">
        <x:v>診断3場</x:v>
      </x:c>
      <x:c r="D452" s="45" t="n">
        <x:v>90464</x:v>
      </x:c>
      <x:c r="E452" s="45" t="n">
        <x:v>126000</x:v>
      </x:c>
      <x:c r="F452" s="45" t="n">
        <x:f>D452-E452</x:f>
        <x:v>-35536</x:v>
      </x:c>
      <x:c r="G452" s="47" t="n">
        <x:v>0</x:v>
      </x:c>
      <x:c r="H452" s="47" t="n">
        <x:v>1</x:v>
      </x:c>
      <x:c r="I452" s="45" t="n">
        <x:v>-35536</x:v>
      </x:c>
      <x:c r="J452" s="47" t="n">
        <x:v>10</x:v>
      </x:c>
      <x:c r="K452" s="45" t="n">
        <x:v>-35536</x:v>
      </x:c>
      <x:c r="L452" s="45" t="n">
        <x:v>35536</x:v>
      </x:c>
      <x:c r="M452" s="46" t="n">
        <x:v>95.1</x:v>
      </x:c>
      <x:c r="N452" s="46" t="n">
        <x:v>78.8</x:v>
      </x:c>
      <x:c r="O452" s="47" t="n">
        <x:v>7</x:v>
      </x:c>
      <x:c r="P452" s="1" t="str">
        <x:v>X01にG10の追加担当を併用</x:v>
      </x:c>
      <x:c r="Q452" s="47" t="n">
        <x:v>0</x:v>
      </x:c>
      <x:c r="R452" s="1" t="str">
        <x:v>デイ</x:v>
      </x:c>
      <x:c r="S452" s="47" t="n">
        <x:v>1</x:v>
      </x:c>
    </x:row>
    <x:row r="453" ht="22" customHeight="1">
      <x:c r="A453" s="1" t="str">
        <x:v>日経mini</x:v>
      </x:c>
      <x:c r="B453" s="1" t="str">
        <x:v>Y01</x:v>
      </x:c>
      <x:c r="C453" s="1" t="str">
        <x:v>診断3場</x:v>
      </x:c>
      <x:c r="D453" s="45" t="n">
        <x:v>106462</x:v>
      </x:c>
      <x:c r="E453" s="45" t="n">
        <x:v>31922</x:v>
      </x:c>
      <x:c r="F453" s="45" t="n">
        <x:f>D453-E453</x:f>
        <x:v>74540</x:v>
      </x:c>
      <x:c r="G453" s="47" t="n">
        <x:v>1</x:v>
      </x:c>
      <x:c r="H453" s="47" t="n">
        <x:v>1</x:v>
      </x:c>
      <x:c r="I453" s="45" t="n">
        <x:v>-26538</x:v>
      </x:c>
      <x:c r="J453" s="47" t="n">
        <x:v>5</x:v>
      </x:c>
      <x:c r="K453" s="45" t="n">
        <x:v>-26538</x:v>
      </x:c>
      <x:c r="L453" s="45" t="n">
        <x:v>26538</x:v>
      </x:c>
      <x:c r="M453" s="46" t="n">
        <x:v>360.05</x:v>
      </x:c>
      <x:c r="N453" s="46" t="n">
        <x:v>15.6</x:v>
      </x:c>
      <x:c r="O453" s="47" t="n">
        <x:v>5</x:v>
      </x:c>
      <x:c r="P453" s="1" t="str">
        <x:v>X01にG10の追加担当を併用</x:v>
      </x:c>
      <x:c r="Q453" s="47" t="n">
        <x:v>0</x:v>
      </x:c>
      <x:c r="R453" s="1" t="str">
        <x:v>ナイト</x:v>
      </x:c>
      <x:c r="S453" s="47" t="n">
        <x:v>2</x:v>
      </x:c>
    </x:row>
    <x:row r="454" ht="22" customHeight="1">
      <x:c r="A454" s="1" t="str">
        <x:v>日経mini</x:v>
      </x:c>
      <x:c r="B454" s="1" t="str">
        <x:v>Y01</x:v>
      </x:c>
      <x:c r="C454" s="1" t="str">
        <x:v>診断3場</x:v>
      </x:c>
      <x:c r="D454" s="45" t="n">
        <x:v>90464</x:v>
      </x:c>
      <x:c r="E454" s="45" t="n">
        <x:v>152538</x:v>
      </x:c>
      <x:c r="F454" s="45" t="n">
        <x:f>D454-E454</x:f>
        <x:v>-62074</x:v>
      </x:c>
      <x:c r="G454" s="47" t="n">
        <x:v>0</x:v>
      </x:c>
      <x:c r="H454" s="47" t="n">
        <x:v>2</x:v>
      </x:c>
      <x:c r="I454" s="45" t="n">
        <x:v>-62074</x:v>
      </x:c>
      <x:c r="J454" s="47" t="n">
        <x:v>12</x:v>
      </x:c>
      <x:c r="K454" s="45" t="n">
        <x:v>-35536</x:v>
      </x:c>
      <x:c r="L454" s="45" t="n">
        <x:v>31037</x:v>
      </x:c>
      <x:c r="M454" s="46" t="n">
        <x:v>227.56666666666666</x:v>
      </x:c>
      <x:c r="N454" s="46" t="n">
        <x:v>44.675</x:v>
      </x:c>
      <x:c r="O454" s="47" t="n">
        <x:v>7</x:v>
      </x:c>
      <x:c r="P454" s="1" t="str">
        <x:v>X01にG10の追加担当を併用</x:v>
      </x:c>
      <x:c r="Q454" s="47" t="n">
        <x:v>0</x:v>
      </x:c>
      <x:c r="R454" s="1" t="str">
        <x:v>上昇</x:v>
      </x:c>
      <x:c r="S454" s="47" t="n">
        <x:v>2</x:v>
      </x:c>
    </x:row>
    <x:row r="455" ht="22" customHeight="1">
      <x:c r="A455" s="1" t="str">
        <x:v>日経mini</x:v>
      </x:c>
      <x:c r="B455" s="1" t="str">
        <x:v>Y01</x:v>
      </x:c>
      <x:c r="C455" s="1" t="str">
        <x:v>診断3場</x:v>
      </x:c>
      <x:c r="D455" s="45" t="n">
        <x:v>106462</x:v>
      </x:c>
      <x:c r="E455" s="45" t="n">
        <x:v>5384</x:v>
      </x:c>
      <x:c r="F455" s="45" t="n">
        <x:f>D455-E455</x:f>
        <x:v>101078</x:v>
      </x:c>
      <x:c r="G455" s="47" t="n">
        <x:v>1</x:v>
      </x:c>
      <x:c r="H455" s="47" t="n">
        <x:v>0</x:v>
      </x:c>
      <x:c r="I455" s="45" t="n">
        <x:v>0</x:v>
      </x:c>
      <x:c r="J455" s="47" t="n">
        <x:v>3</x:v>
      </x:c>
      <x:c r="K455" s="45" t="n">
        <x:v>101078</x:v>
      </x:c>
      <x:c r="L455" s="45" t="n">
        <x:v>0</x:v>
      </x:c>
      <x:c r="M455" s="46" t="n">
        <x:v>360.06666666666666</x:v>
      </x:c>
      <x:c r="N455" s="46" t="n">
        <x:v>20.65</x:v>
      </x:c>
      <x:c r="O455" s="47" t="n">
        <x:v>5</x:v>
      </x:c>
      <x:c r="P455" s="1" t="str">
        <x:v>X01にG10の追加担当を併用</x:v>
      </x:c>
      <x:c r="Q455" s="47" t="n">
        <x:v>0</x:v>
      </x:c>
      <x:c r="R455" s="1" t="str">
        <x:v>下落</x:v>
      </x:c>
      <x:c r="S455" s="47" t="n">
        <x:v>1</x:v>
      </x:c>
    </x:row>
    <x:row r="456" ht="22" customHeight="1">
      <x:c r="A456" s="1" t="str">
        <x:v>日経mini</x:v>
      </x:c>
      <x:c r="B456" s="1" t="str">
        <x:v>Y02</x:v>
      </x:c>
      <x:c r="C456" s="1" t="str">
        <x:v>全50場</x:v>
      </x:c>
      <x:c r="D456" s="45" t="n">
        <x:v>3409146</x:v>
      </x:c>
      <x:c r="E456" s="45" t="n">
        <x:v>2896356</x:v>
      </x:c>
      <x:c r="F456" s="45" t="n">
        <x:f>D456-E456</x:f>
        <x:v>512790</x:v>
      </x:c>
      <x:c r="G456" s="47" t="n">
        <x:v>25</x:v>
      </x:c>
      <x:c r="H456" s="47" t="n">
        <x:v>25</x:v>
      </x:c>
      <x:c r="I456" s="45" t="n">
        <x:v>-225988</x:v>
      </x:c>
      <x:c r="J456" s="47" t="n">
        <x:v>256</x:v>
      </x:c>
      <x:c r="K456" s="45" t="n">
        <x:v>-208766</x:v>
      </x:c>
      <x:c r="L456" s="45" t="n">
        <x:v>54348.96</x:v>
      </x:c>
      <x:c r="M456" s="46" t="n">
        <x:v>212.28466666666668</x:v>
      </x:c>
      <x:c r="N456" s="46" t="n">
        <x:v>63.29900000000001</x:v>
      </x:c>
      <x:c r="O456" s="47" t="n">
        <x:v>10</x:v>
      </x:c>
      <x:c r="P456" s="1" t="str">
        <x:v>X02にG11の追加担当を併用</x:v>
      </x:c>
      <x:c r="Q456" s="47" t="n">
        <x:v>0</x:v>
      </x:c>
      <x:c r="R456" s="1" t="str">
        <x:v>全場</x:v>
      </x:c>
      <x:c r="S456" s="47" t="n">
        <x:v>50</x:v>
      </x:c>
    </x:row>
    <x:row r="457" ht="22" customHeight="1">
      <x:c r="A457" s="1" t="str">
        <x:v>日経mini</x:v>
      </x:c>
      <x:c r="B457" s="1" t="str">
        <x:v>Y02</x:v>
      </x:c>
      <x:c r="C457" s="1" t="str">
        <x:v>全50場</x:v>
      </x:c>
      <x:c r="D457" s="45" t="n">
        <x:v>1695500</x:v>
      </x:c>
      <x:c r="E457" s="45" t="n">
        <x:v>2064446</x:v>
      </x:c>
      <x:c r="F457" s="45" t="n">
        <x:f>D457-E457</x:f>
        <x:v>-368946</x:v>
      </x:c>
      <x:c r="G457" s="47" t="n">
        <x:v>10</x:v>
      </x:c>
      <x:c r="H457" s="47" t="n">
        <x:v>15</x:v>
      </x:c>
      <x:c r="I457" s="45" t="n">
        <x:v>-630026</x:v>
      </x:c>
      <x:c r="J457" s="47" t="n">
        <x:v>169</x:v>
      </x:c>
      <x:c r="K457" s="45" t="n">
        <x:v>-208766</x:v>
      </x:c>
      <x:c r="L457" s="45" t="n">
        <x:v>58915.73333333333</x:v>
      </x:c>
      <x:c r="M457" s="46" t="n">
        <x:v>87.46866666666666</x:v>
      </x:c>
      <x:c r="N457" s="46" t="n">
        <x:v>95.82266666666666</x:v>
      </x:c>
      <x:c r="O457" s="47" t="n">
        <x:v>10</x:v>
      </x:c>
      <x:c r="P457" s="1" t="str">
        <x:v>X02にG11の追加担当を併用</x:v>
      </x:c>
      <x:c r="Q457" s="47" t="n">
        <x:v>0</x:v>
      </x:c>
      <x:c r="R457" s="1" t="str">
        <x:v>デイ</x:v>
      </x:c>
      <x:c r="S457" s="47" t="n">
        <x:v>25</x:v>
      </x:c>
    </x:row>
    <x:row r="458" ht="22" customHeight="1">
      <x:c r="A458" s="1" t="str">
        <x:v>日経mini</x:v>
      </x:c>
      <x:c r="B458" s="1" t="str">
        <x:v>Y02</x:v>
      </x:c>
      <x:c r="C458" s="1" t="str">
        <x:v>全50場</x:v>
      </x:c>
      <x:c r="D458" s="45" t="n">
        <x:v>1713646</x:v>
      </x:c>
      <x:c r="E458" s="45" t="n">
        <x:v>831910</x:v>
      </x:c>
      <x:c r="F458" s="45" t="n">
        <x:f>D458-E458</x:f>
        <x:v>881736</x:v>
      </x:c>
      <x:c r="G458" s="47" t="n">
        <x:v>15</x:v>
      </x:c>
      <x:c r="H458" s="47" t="n">
        <x:v>10</x:v>
      </x:c>
      <x:c r="I458" s="45" t="n">
        <x:v>142958</x:v>
      </x:c>
      <x:c r="J458" s="47" t="n">
        <x:v>87</x:v>
      </x:c>
      <x:c r="K458" s="45" t="n">
        <x:v>-82462</x:v>
      </x:c>
      <x:c r="L458" s="45" t="n">
        <x:v>47498.8</x:v>
      </x:c>
      <x:c r="M458" s="46" t="n">
        <x:v>337.10066666666665</x:v>
      </x:c>
      <x:c r="N458" s="46" t="n">
        <x:v>30.775333333333332</x:v>
      </x:c>
      <x:c r="O458" s="47" t="n">
        <x:v>7</x:v>
      </x:c>
      <x:c r="P458" s="1" t="str">
        <x:v>X02にG11の追加担当を併用</x:v>
      </x:c>
      <x:c r="Q458" s="47" t="n">
        <x:v>0</x:v>
      </x:c>
      <x:c r="R458" s="1" t="str">
        <x:v>ナイト</x:v>
      </x:c>
      <x:c r="S458" s="47" t="n">
        <x:v>25</x:v>
      </x:c>
    </x:row>
    <x:row r="459" ht="22" customHeight="1">
      <x:c r="A459" s="1" t="str">
        <x:v>日経mini</x:v>
      </x:c>
      <x:c r="B459" s="1" t="str">
        <x:v>Y02</x:v>
      </x:c>
      <x:c r="C459" s="1" t="str">
        <x:v>全50場</x:v>
      </x:c>
      <x:c r="D459" s="45" t="n">
        <x:v>1750190</x:v>
      </x:c>
      <x:c r="E459" s="45" t="n">
        <x:v>1560602</x:v>
      </x:c>
      <x:c r="F459" s="45" t="n">
        <x:f>D459-E459</x:f>
        <x:v>189588</x:v>
      </x:c>
      <x:c r="G459" s="47" t="n">
        <x:v>10</x:v>
      </x:c>
      <x:c r="H459" s="47" t="n">
        <x:v>15</x:v>
      </x:c>
      <x:c r="I459" s="45" t="n">
        <x:v>-438962</x:v>
      </x:c>
      <x:c r="J459" s="47" t="n">
        <x:v>140</x:v>
      </x:c>
      <x:c r="K459" s="45" t="n">
        <x:v>-111074</x:v>
      </x:c>
      <x:c r="L459" s="45" t="n">
        <x:v>47367.46666666667</x:v>
      </x:c>
      <x:c r="M459" s="46" t="n">
        <x:v>207.81400000000002</x:v>
      </x:c>
      <x:c r="N459" s="46" t="n">
        <x:v>60.19266666666667</x:v>
      </x:c>
      <x:c r="O459" s="47" t="n">
        <x:v>10</x:v>
      </x:c>
      <x:c r="P459" s="1" t="str">
        <x:v>X02にG11の追加担当を併用</x:v>
      </x:c>
      <x:c r="Q459" s="47" t="n">
        <x:v>0</x:v>
      </x:c>
      <x:c r="R459" s="1" t="str">
        <x:v>上昇</x:v>
      </x:c>
      <x:c r="S459" s="47" t="n">
        <x:v>25</x:v>
      </x:c>
    </x:row>
    <x:row r="460" ht="22" customHeight="1">
      <x:c r="A460" s="1" t="str">
        <x:v>日経mini</x:v>
      </x:c>
      <x:c r="B460" s="1" t="str">
        <x:v>Y02</x:v>
      </x:c>
      <x:c r="C460" s="1" t="str">
        <x:v>全50場</x:v>
      </x:c>
      <x:c r="D460" s="45" t="n">
        <x:v>1658956</x:v>
      </x:c>
      <x:c r="E460" s="45" t="n">
        <x:v>1335754</x:v>
      </x:c>
      <x:c r="F460" s="45" t="n">
        <x:f>D460-E460</x:f>
        <x:v>323202</x:v>
      </x:c>
      <x:c r="G460" s="47" t="n">
        <x:v>15</x:v>
      </x:c>
      <x:c r="H460" s="47" t="n">
        <x:v>10</x:v>
      </x:c>
      <x:c r="I460" s="45" t="n">
        <x:v>-99804</x:v>
      </x:c>
      <x:c r="J460" s="47" t="n">
        <x:v>116</x:v>
      </x:c>
      <x:c r="K460" s="45" t="n">
        <x:v>-208766</x:v>
      </x:c>
      <x:c r="L460" s="45" t="n">
        <x:v>64821.2</x:v>
      </x:c>
      <x:c r="M460" s="46" t="n">
        <x:v>216.75533333333334</x:v>
      </x:c>
      <x:c r="N460" s="46" t="n">
        <x:v>66.40533333333333</x:v>
      </x:c>
      <x:c r="O460" s="47" t="n">
        <x:v>10</x:v>
      </x:c>
      <x:c r="P460" s="1" t="str">
        <x:v>X02にG11の追加担当を併用</x:v>
      </x:c>
      <x:c r="Q460" s="47" t="n">
        <x:v>0</x:v>
      </x:c>
      <x:c r="R460" s="1" t="str">
        <x:v>下落</x:v>
      </x:c>
      <x:c r="S460" s="47" t="n">
        <x:v>25</x:v>
      </x:c>
    </x:row>
    <x:row r="461" ht="22" customHeight="1">
      <x:c r="A461" s="1" t="str">
        <x:v>日経mini</x:v>
      </x:c>
      <x:c r="B461" s="1" t="str">
        <x:v>Y02</x:v>
      </x:c>
      <x:c r="C461" s="1" t="str">
        <x:v>対照47場</x:v>
      </x:c>
      <x:c r="D461" s="45" t="n">
        <x:v>3212220</x:v>
      </x:c>
      <x:c r="E461" s="45" t="n">
        <x:v>2738434</x:v>
      </x:c>
      <x:c r="F461" s="45" t="n">
        <x:f>D461-E461</x:f>
        <x:v>473786</x:v>
      </x:c>
      <x:c r="G461" s="47" t="n">
        <x:v>24</x:v>
      </x:c>
      <x:c r="H461" s="47" t="n">
        <x:v>23</x:v>
      </x:c>
      <x:c r="I461" s="45" t="n">
        <x:v>-264992</x:v>
      </x:c>
      <x:c r="J461" s="47" t="n">
        <x:v>241</x:v>
      </x:c>
      <x:c r="K461" s="45" t="n">
        <x:v>-208766</x:v>
      </x:c>
      <x:c r="L461" s="45" t="n">
        <x:v>56376.086956521736</x:v>
      </x:c>
      <x:c r="M461" s="46" t="n">
        <x:v>208.49007092198582</x:v>
      </x:c>
      <x:c r="N461" s="46" t="n">
        <x:v>64.99893617021277</x:v>
      </x:c>
      <x:c r="O461" s="47" t="n">
        <x:v>10</x:v>
      </x:c>
      <x:c r="P461" s="1" t="str">
        <x:v>X02にG11の追加担当を併用</x:v>
      </x:c>
      <x:c r="Q461" s="47" t="n">
        <x:v>0</x:v>
      </x:c>
      <x:c r="R461" s="1" t="str">
        <x:v>全場</x:v>
      </x:c>
      <x:c r="S461" s="47" t="n">
        <x:v>47</x:v>
      </x:c>
    </x:row>
    <x:row r="462" ht="22" customHeight="1">
      <x:c r="A462" s="1" t="str">
        <x:v>日経mini</x:v>
      </x:c>
      <x:c r="B462" s="1" t="str">
        <x:v>Y02</x:v>
      </x:c>
      <x:c r="C462" s="1" t="str">
        <x:v>対照47場</x:v>
      </x:c>
      <x:c r="D462" s="45" t="n">
        <x:v>1605036</x:v>
      </x:c>
      <x:c r="E462" s="45" t="n">
        <x:v>1938446</x:v>
      </x:c>
      <x:c r="F462" s="45" t="n">
        <x:f>D462-E462</x:f>
        <x:v>-333410</x:v>
      </x:c>
      <x:c r="G462" s="47" t="n">
        <x:v>10</x:v>
      </x:c>
      <x:c r="H462" s="47" t="n">
        <x:v>14</x:v>
      </x:c>
      <x:c r="I462" s="45" t="n">
        <x:v>-594490</x:v>
      </x:c>
      <x:c r="J462" s="47" t="n">
        <x:v>159</x:v>
      </x:c>
      <x:c r="K462" s="45" t="n">
        <x:v>-208766</x:v>
      </x:c>
      <x:c r="L462" s="45" t="n">
        <x:v>60585.71428571428</x:v>
      </x:c>
      <x:c r="M462" s="46" t="n">
        <x:v>87.15069444444445</x:v>
      </x:c>
      <x:c r="N462" s="46" t="n">
        <x:v>96.53194444444443</x:v>
      </x:c>
      <x:c r="O462" s="47" t="n">
        <x:v>10</x:v>
      </x:c>
      <x:c r="P462" s="1" t="str">
        <x:v>X02にG11の追加担当を併用</x:v>
      </x:c>
      <x:c r="Q462" s="47" t="n">
        <x:v>0</x:v>
      </x:c>
      <x:c r="R462" s="1" t="str">
        <x:v>デイ</x:v>
      </x:c>
      <x:c r="S462" s="47" t="n">
        <x:v>24</x:v>
      </x:c>
    </x:row>
    <x:row r="463" ht="22" customHeight="1">
      <x:c r="A463" s="1" t="str">
        <x:v>日経mini</x:v>
      </x:c>
      <x:c r="B463" s="1" t="str">
        <x:v>Y02</x:v>
      </x:c>
      <x:c r="C463" s="1" t="str">
        <x:v>対照47場</x:v>
      </x:c>
      <x:c r="D463" s="45" t="n">
        <x:v>1607184</x:v>
      </x:c>
      <x:c r="E463" s="45" t="n">
        <x:v>799988</x:v>
      </x:c>
      <x:c r="F463" s="45" t="n">
        <x:f>D463-E463</x:f>
        <x:v>807196</x:v>
      </x:c>
      <x:c r="G463" s="47" t="n">
        <x:v>14</x:v>
      </x:c>
      <x:c r="H463" s="47" t="n">
        <x:v>9</x:v>
      </x:c>
      <x:c r="I463" s="45" t="n">
        <x:v>68418</x:v>
      </x:c>
      <x:c r="J463" s="47" t="n">
        <x:v>82</x:v>
      </x:c>
      <x:c r="K463" s="45" t="n">
        <x:v>-82462</x:v>
      </x:c>
      <x:c r="L463" s="45" t="n">
        <x:v>49827.77777777778</x:v>
      </x:c>
      <x:c r="M463" s="46" t="n">
        <x:v>335.10507246376807</x:v>
      </x:c>
      <x:c r="N463" s="46" t="n">
        <x:v>32.094927536231886</x:v>
      </x:c>
      <x:c r="O463" s="47" t="n">
        <x:v>7</x:v>
      </x:c>
      <x:c r="P463" s="1" t="str">
        <x:v>X02にG11の追加担当を併用</x:v>
      </x:c>
      <x:c r="Q463" s="47" t="n">
        <x:v>0</x:v>
      </x:c>
      <x:c r="R463" s="1" t="str">
        <x:v>ナイト</x:v>
      </x:c>
      <x:c r="S463" s="47" t="n">
        <x:v>23</x:v>
      </x:c>
    </x:row>
    <x:row r="464" ht="22" customHeight="1">
      <x:c r="A464" s="1" t="str">
        <x:v>日経mini</x:v>
      </x:c>
      <x:c r="B464" s="1" t="str">
        <x:v>Y02</x:v>
      </x:c>
      <x:c r="C464" s="1" t="str">
        <x:v>対照47場</x:v>
      </x:c>
      <x:c r="D464" s="45" t="n">
        <x:v>1659726</x:v>
      </x:c>
      <x:c r="E464" s="45" t="n">
        <x:v>1408064</x:v>
      </x:c>
      <x:c r="F464" s="45" t="n">
        <x:f>D464-E464</x:f>
        <x:v>251662</x:v>
      </x:c>
      <x:c r="G464" s="47" t="n">
        <x:v>10</x:v>
      </x:c>
      <x:c r="H464" s="47" t="n">
        <x:v>13</x:v>
      </x:c>
      <x:c r="I464" s="45" t="n">
        <x:v>-376888</x:v>
      </x:c>
      <x:c r="J464" s="47" t="n">
        <x:v>128</x:v>
      </x:c>
      <x:c r="K464" s="45" t="n">
        <x:v>-111074</x:v>
      </x:c>
      <x:c r="L464" s="45" t="n">
        <x:v>49879.846153846156</x:v>
      </x:c>
      <x:c r="M464" s="46" t="n">
        <x:v>206.09637681159418</x:v>
      </x:c>
      <x:c r="N464" s="46" t="n">
        <x:v>61.54202898550725</x:v>
      </x:c>
      <x:c r="O464" s="47" t="n">
        <x:v>10</x:v>
      </x:c>
      <x:c r="P464" s="1" t="str">
        <x:v>X02にG11の追加担当を併用</x:v>
      </x:c>
      <x:c r="Q464" s="47" t="n">
        <x:v>0</x:v>
      </x:c>
      <x:c r="R464" s="1" t="str">
        <x:v>上昇</x:v>
      </x:c>
      <x:c r="S464" s="47" t="n">
        <x:v>23</x:v>
      </x:c>
    </x:row>
    <x:row r="465" ht="22" customHeight="1">
      <x:c r="A465" s="1" t="str">
        <x:v>日経mini</x:v>
      </x:c>
      <x:c r="B465" s="1" t="str">
        <x:v>Y02</x:v>
      </x:c>
      <x:c r="C465" s="1" t="str">
        <x:v>対照47場</x:v>
      </x:c>
      <x:c r="D465" s="45" t="n">
        <x:v>1552494</x:v>
      </x:c>
      <x:c r="E465" s="45" t="n">
        <x:v>1330370</x:v>
      </x:c>
      <x:c r="F465" s="45" t="n">
        <x:f>D465-E465</x:f>
        <x:v>222124</x:v>
      </x:c>
      <x:c r="G465" s="47" t="n">
        <x:v>14</x:v>
      </x:c>
      <x:c r="H465" s="47" t="n">
        <x:v>10</x:v>
      </x:c>
      <x:c r="I465" s="45" t="n">
        <x:v>-194420</x:v>
      </x:c>
      <x:c r="J465" s="47" t="n">
        <x:v>113</x:v>
      </x:c>
      <x:c r="K465" s="45" t="n">
        <x:v>-208766</x:v>
      </x:c>
      <x:c r="L465" s="45" t="n">
        <x:v>64821.2</x:v>
      </x:c>
      <x:c r="M465" s="46" t="n">
        <x:v>210.78402777777777</x:v>
      </x:c>
      <x:c r="N465" s="46" t="n">
        <x:v>68.31180555555555</x:v>
      </x:c>
      <x:c r="O465" s="47" t="n">
        <x:v>10</x:v>
      </x:c>
      <x:c r="P465" s="1" t="str">
        <x:v>X02にG11の追加担当を併用</x:v>
      </x:c>
      <x:c r="Q465" s="47" t="n">
        <x:v>0</x:v>
      </x:c>
      <x:c r="R465" s="1" t="str">
        <x:v>下落</x:v>
      </x:c>
      <x:c r="S465" s="47" t="n">
        <x:v>24</x:v>
      </x:c>
    </x:row>
    <x:row r="466" ht="22" customHeight="1">
      <x:c r="A466" s="1" t="str">
        <x:v>日経mini</x:v>
      </x:c>
      <x:c r="B466" s="1" t="str">
        <x:v>Y02</x:v>
      </x:c>
      <x:c r="C466" s="1" t="str">
        <x:v>診断3場</x:v>
      </x:c>
      <x:c r="D466" s="45" t="n">
        <x:v>196926</x:v>
      </x:c>
      <x:c r="E466" s="45" t="n">
        <x:v>157922</x:v>
      </x:c>
      <x:c r="F466" s="45" t="n">
        <x:f>D466-E466</x:f>
        <x:v>39004</x:v>
      </x:c>
      <x:c r="G466" s="47" t="n">
        <x:v>1</x:v>
      </x:c>
      <x:c r="H466" s="47" t="n">
        <x:v>2</x:v>
      </x:c>
      <x:c r="I466" s="45" t="n">
        <x:v>-62074</x:v>
      </x:c>
      <x:c r="J466" s="47" t="n">
        <x:v>15</x:v>
      </x:c>
      <x:c r="K466" s="45" t="n">
        <x:v>-35536</x:v>
      </x:c>
      <x:c r="L466" s="45" t="n">
        <x:v>31037</x:v>
      </x:c>
      <x:c r="M466" s="46" t="n">
        <x:v>271.73333333333335</x:v>
      </x:c>
      <x:c r="N466" s="46" t="n">
        <x:v>36.666666666666664</x:v>
      </x:c>
      <x:c r="O466" s="47" t="n">
        <x:v>7</x:v>
      </x:c>
      <x:c r="P466" s="1" t="str">
        <x:v>X02にG11の追加担当を併用</x:v>
      </x:c>
      <x:c r="Q466" s="47" t="n">
        <x:v>0</x:v>
      </x:c>
      <x:c r="R466" s="1" t="str">
        <x:v>全場</x:v>
      </x:c>
      <x:c r="S466" s="47" t="n">
        <x:v>3</x:v>
      </x:c>
    </x:row>
    <x:row r="467" ht="22" customHeight="1">
      <x:c r="A467" s="1" t="str">
        <x:v>日経mini</x:v>
      </x:c>
      <x:c r="B467" s="1" t="str">
        <x:v>Y02</x:v>
      </x:c>
      <x:c r="C467" s="1" t="str">
        <x:v>診断3場</x:v>
      </x:c>
      <x:c r="D467" s="45" t="n">
        <x:v>90464</x:v>
      </x:c>
      <x:c r="E467" s="45" t="n">
        <x:v>126000</x:v>
      </x:c>
      <x:c r="F467" s="45" t="n">
        <x:f>D467-E467</x:f>
        <x:v>-35536</x:v>
      </x:c>
      <x:c r="G467" s="47" t="n">
        <x:v>0</x:v>
      </x:c>
      <x:c r="H467" s="47" t="n">
        <x:v>1</x:v>
      </x:c>
      <x:c r="I467" s="45" t="n">
        <x:v>-35536</x:v>
      </x:c>
      <x:c r="J467" s="47" t="n">
        <x:v>10</x:v>
      </x:c>
      <x:c r="K467" s="45" t="n">
        <x:v>-35536</x:v>
      </x:c>
      <x:c r="L467" s="45" t="n">
        <x:v>35536</x:v>
      </x:c>
      <x:c r="M467" s="46" t="n">
        <x:v>95.1</x:v>
      </x:c>
      <x:c r="N467" s="46" t="n">
        <x:v>78.8</x:v>
      </x:c>
      <x:c r="O467" s="47" t="n">
        <x:v>7</x:v>
      </x:c>
      <x:c r="P467" s="1" t="str">
        <x:v>X02にG11の追加担当を併用</x:v>
      </x:c>
      <x:c r="Q467" s="47" t="n">
        <x:v>0</x:v>
      </x:c>
      <x:c r="R467" s="1" t="str">
        <x:v>デイ</x:v>
      </x:c>
      <x:c r="S467" s="47" t="n">
        <x:v>1</x:v>
      </x:c>
    </x:row>
    <x:row r="468" ht="22" customHeight="1">
      <x:c r="A468" s="1" t="str">
        <x:v>日経mini</x:v>
      </x:c>
      <x:c r="B468" s="1" t="str">
        <x:v>Y02</x:v>
      </x:c>
      <x:c r="C468" s="1" t="str">
        <x:v>診断3場</x:v>
      </x:c>
      <x:c r="D468" s="45" t="n">
        <x:v>106462</x:v>
      </x:c>
      <x:c r="E468" s="45" t="n">
        <x:v>31922</x:v>
      </x:c>
      <x:c r="F468" s="45" t="n">
        <x:f>D468-E468</x:f>
        <x:v>74540</x:v>
      </x:c>
      <x:c r="G468" s="47" t="n">
        <x:v>1</x:v>
      </x:c>
      <x:c r="H468" s="47" t="n">
        <x:v>1</x:v>
      </x:c>
      <x:c r="I468" s="45" t="n">
        <x:v>-26538</x:v>
      </x:c>
      <x:c r="J468" s="47" t="n">
        <x:v>5</x:v>
      </x:c>
      <x:c r="K468" s="45" t="n">
        <x:v>-26538</x:v>
      </x:c>
      <x:c r="L468" s="45" t="n">
        <x:v>26538</x:v>
      </x:c>
      <x:c r="M468" s="46" t="n">
        <x:v>360.05</x:v>
      </x:c>
      <x:c r="N468" s="46" t="n">
        <x:v>15.6</x:v>
      </x:c>
      <x:c r="O468" s="47" t="n">
        <x:v>5</x:v>
      </x:c>
      <x:c r="P468" s="1" t="str">
        <x:v>X02にG11の追加担当を併用</x:v>
      </x:c>
      <x:c r="Q468" s="47" t="n">
        <x:v>0</x:v>
      </x:c>
      <x:c r="R468" s="1" t="str">
        <x:v>ナイト</x:v>
      </x:c>
      <x:c r="S468" s="47" t="n">
        <x:v>2</x:v>
      </x:c>
    </x:row>
    <x:row r="469" ht="22" customHeight="1">
      <x:c r="A469" s="1" t="str">
        <x:v>日経mini</x:v>
      </x:c>
      <x:c r="B469" s="1" t="str">
        <x:v>Y02</x:v>
      </x:c>
      <x:c r="C469" s="1" t="str">
        <x:v>診断3場</x:v>
      </x:c>
      <x:c r="D469" s="45" t="n">
        <x:v>90464</x:v>
      </x:c>
      <x:c r="E469" s="45" t="n">
        <x:v>152538</x:v>
      </x:c>
      <x:c r="F469" s="45" t="n">
        <x:f>D469-E469</x:f>
        <x:v>-62074</x:v>
      </x:c>
      <x:c r="G469" s="47" t="n">
        <x:v>0</x:v>
      </x:c>
      <x:c r="H469" s="47" t="n">
        <x:v>2</x:v>
      </x:c>
      <x:c r="I469" s="45" t="n">
        <x:v>-62074</x:v>
      </x:c>
      <x:c r="J469" s="47" t="n">
        <x:v>12</x:v>
      </x:c>
      <x:c r="K469" s="45" t="n">
        <x:v>-35536</x:v>
      </x:c>
      <x:c r="L469" s="45" t="n">
        <x:v>31037</x:v>
      </x:c>
      <x:c r="M469" s="46" t="n">
        <x:v>227.56666666666666</x:v>
      </x:c>
      <x:c r="N469" s="46" t="n">
        <x:v>44.675</x:v>
      </x:c>
      <x:c r="O469" s="47" t="n">
        <x:v>7</x:v>
      </x:c>
      <x:c r="P469" s="1" t="str">
        <x:v>X02にG11の追加担当を併用</x:v>
      </x:c>
      <x:c r="Q469" s="47" t="n">
        <x:v>0</x:v>
      </x:c>
      <x:c r="R469" s="1" t="str">
        <x:v>上昇</x:v>
      </x:c>
      <x:c r="S469" s="47" t="n">
        <x:v>2</x:v>
      </x:c>
    </x:row>
    <x:row r="470" ht="22" customHeight="1">
      <x:c r="A470" s="1" t="str">
        <x:v>日経mini</x:v>
      </x:c>
      <x:c r="B470" s="1" t="str">
        <x:v>Y02</x:v>
      </x:c>
      <x:c r="C470" s="1" t="str">
        <x:v>診断3場</x:v>
      </x:c>
      <x:c r="D470" s="45" t="n">
        <x:v>106462</x:v>
      </x:c>
      <x:c r="E470" s="45" t="n">
        <x:v>5384</x:v>
      </x:c>
      <x:c r="F470" s="45" t="n">
        <x:f>D470-E470</x:f>
        <x:v>101078</x:v>
      </x:c>
      <x:c r="G470" s="47" t="n">
        <x:v>1</x:v>
      </x:c>
      <x:c r="H470" s="47" t="n">
        <x:v>0</x:v>
      </x:c>
      <x:c r="I470" s="45" t="n">
        <x:v>0</x:v>
      </x:c>
      <x:c r="J470" s="47" t="n">
        <x:v>3</x:v>
      </x:c>
      <x:c r="K470" s="45" t="n">
        <x:v>101078</x:v>
      </x:c>
      <x:c r="L470" s="45" t="n">
        <x:v>0</x:v>
      </x:c>
      <x:c r="M470" s="46" t="n">
        <x:v>360.06666666666666</x:v>
      </x:c>
      <x:c r="N470" s="46" t="n">
        <x:v>20.65</x:v>
      </x:c>
      <x:c r="O470" s="47" t="n">
        <x:v>5</x:v>
      </x:c>
      <x:c r="P470" s="1" t="str">
        <x:v>X02にG11の追加担当を併用</x:v>
      </x:c>
      <x:c r="Q470" s="47" t="n">
        <x:v>0</x:v>
      </x:c>
      <x:c r="R470" s="1" t="str">
        <x:v>下落</x:v>
      </x:c>
      <x:c r="S470" s="47" t="n">
        <x:v>1</x:v>
      </x:c>
    </x:row>
    <x:row r="471" ht="22" customHeight="1">
      <x:c r="A471" s="1" t="str">
        <x:v>TOPIXmini</x:v>
      </x:c>
      <x:c r="B471" s="1" t="str">
        <x:v>B5</x:v>
      </x:c>
      <x:c r="C471" s="1" t="str">
        <x:v>全50場</x:v>
      </x:c>
      <x:c r="D471" s="45" t="n">
        <x:v>2221536</x:v>
      </x:c>
      <x:c r="E471" s="45" t="n">
        <x:v>1466251</x:v>
      </x:c>
      <x:c r="F471" s="45" t="n">
        <x:f>D471-E471</x:f>
        <x:v>755285</x:v>
      </x:c>
      <x:c r="G471" s="47" t="n">
        <x:v>38</x:v>
      </x:c>
      <x:c r="H471" s="47" t="n">
        <x:v>12</x:v>
      </x:c>
      <x:c r="I471" s="45" t="n">
        <x:v>454208</x:v>
      </x:c>
      <x:c r="J471" s="47" t="n">
        <x:v>119</x:v>
      </x:c>
      <x:c r="K471" s="45" t="n">
        <x:v>-131254</x:v>
      </x:c>
      <x:c r="L471" s="45" t="n">
        <x:v>48392.25</x:v>
      </x:c>
      <x:c r="M471" s="46" t="n">
        <x:v>248.86666666666667</x:v>
      </x:c>
      <x:c r="N471" s="46" t="n">
        <x:v>113.58</x:v>
      </x:c>
      <x:c r="O471" s="47" t="n">
        <x:v>5</x:v>
      </x:c>
      <x:c r="P471" s="1" t="str">
        <x:v>従来基準</x:v>
      </x:c>
      <x:c r="Q471" s="47" t="n">
        <x:v>0</x:v>
      </x:c>
      <x:c r="R471" s="1" t="str">
        <x:v>全場</x:v>
      </x:c>
      <x:c r="S471" s="47" t="n">
        <x:v>50</x:v>
      </x:c>
    </x:row>
    <x:row r="472" ht="22" customHeight="1">
      <x:c r="A472" s="1" t="str">
        <x:v>TOPIXmini</x:v>
      </x:c>
      <x:c r="B472" s="1" t="str">
        <x:v>B5</x:v>
      </x:c>
      <x:c r="C472" s="1" t="str">
        <x:v>全50場</x:v>
      </x:c>
      <x:c r="D472" s="45" t="n">
        <x:v>1283248</x:v>
      </x:c>
      <x:c r="E472" s="45" t="n">
        <x:v>888711</x:v>
      </x:c>
      <x:c r="F472" s="45" t="n">
        <x:f>D472-E472</x:f>
        <x:v>394537</x:v>
      </x:c>
      <x:c r="G472" s="47" t="n">
        <x:v>16</x:v>
      </x:c>
      <x:c r="H472" s="47" t="n">
        <x:v>9</x:v>
      </x:c>
      <x:c r="I472" s="45" t="n">
        <x:v>118041</x:v>
      </x:c>
      <x:c r="J472" s="47" t="n">
        <x:v>55</x:v>
      </x:c>
      <x:c r="K472" s="45" t="n">
        <x:v>-131254</x:v>
      </x:c>
      <x:c r="L472" s="45" t="n">
        <x:v>48040.333333333336</x:v>
      </x:c>
      <x:c r="M472" s="46" t="n">
        <x:v>103.26933333333332</x:v>
      </x:c>
      <x:c r="N472" s="46" t="n">
        <x:v>170.56733333333332</x:v>
      </x:c>
      <x:c r="O472" s="47" t="n">
        <x:v>5</x:v>
      </x:c>
      <x:c r="P472" s="1" t="str">
        <x:v>従来基準</x:v>
      </x:c>
      <x:c r="Q472" s="47" t="n">
        <x:v>0</x:v>
      </x:c>
      <x:c r="R472" s="1" t="str">
        <x:v>デイ</x:v>
      </x:c>
      <x:c r="S472" s="47" t="n">
        <x:v>25</x:v>
      </x:c>
    </x:row>
    <x:row r="473" ht="22" customHeight="1">
      <x:c r="A473" s="1" t="str">
        <x:v>TOPIXmini</x:v>
      </x:c>
      <x:c r="B473" s="1" t="str">
        <x:v>B5</x:v>
      </x:c>
      <x:c r="C473" s="1" t="str">
        <x:v>全50場</x:v>
      </x:c>
      <x:c r="D473" s="45" t="n">
        <x:v>938288</x:v>
      </x:c>
      <x:c r="E473" s="45" t="n">
        <x:v>577540</x:v>
      </x:c>
      <x:c r="F473" s="45" t="n">
        <x:f>D473-E473</x:f>
        <x:v>360748</x:v>
      </x:c>
      <x:c r="G473" s="47" t="n">
        <x:v>22</x:v>
      </x:c>
      <x:c r="H473" s="47" t="n">
        <x:v>3</x:v>
      </x:c>
      <x:c r="I473" s="45" t="n">
        <x:v>152428</x:v>
      </x:c>
      <x:c r="J473" s="47" t="n">
        <x:v>64</x:v>
      </x:c>
      <x:c r="K473" s="45" t="n">
        <x:v>-53754</x:v>
      </x:c>
      <x:c r="L473" s="45" t="n">
        <x:v>49448</x:v>
      </x:c>
      <x:c r="M473" s="46" t="n">
        <x:v>394.464</x:v>
      </x:c>
      <x:c r="N473" s="46" t="n">
        <x:v>56.59266666666665</x:v>
      </x:c>
      <x:c r="O473" s="47" t="n">
        <x:v>5</x:v>
      </x:c>
      <x:c r="P473" s="1" t="str">
        <x:v>従来基準</x:v>
      </x:c>
      <x:c r="Q473" s="47" t="n">
        <x:v>0</x:v>
      </x:c>
      <x:c r="R473" s="1" t="str">
        <x:v>ナイト</x:v>
      </x:c>
      <x:c r="S473" s="47" t="n">
        <x:v>25</x:v>
      </x:c>
    </x:row>
    <x:row r="474" ht="22" customHeight="1">
      <x:c r="A474" s="1" t="str">
        <x:v>TOPIXmini</x:v>
      </x:c>
      <x:c r="B474" s="1" t="str">
        <x:v>B5</x:v>
      </x:c>
      <x:c r="C474" s="1" t="str">
        <x:v>全50場</x:v>
      </x:c>
      <x:c r="D474" s="45" t="n">
        <x:v>943732</x:v>
      </x:c>
      <x:c r="E474" s="45" t="n">
        <x:v>711294</x:v>
      </x:c>
      <x:c r="F474" s="45" t="n">
        <x:f>D474-E474</x:f>
        <x:v>232438</x:v>
      </x:c>
      <x:c r="G474" s="47" t="n">
        <x:v>17</x:v>
      </x:c>
      <x:c r="H474" s="47" t="n">
        <x:v>7</x:v>
      </x:c>
      <x:c r="I474" s="45" t="n">
        <x:v>-12394</x:v>
      </x:c>
      <x:c r="J474" s="47" t="n">
        <x:v>54</x:v>
      </x:c>
      <x:c r="K474" s="45" t="n">
        <x:v>-79172</x:v>
      </x:c>
      <x:c r="L474" s="45" t="n">
        <x:v>47063</x:v>
      </x:c>
      <x:c r="M474" s="46" t="n">
        <x:v>259.5180555555556</x:v>
      </x:c>
      <x:c r="N474" s="46" t="n">
        <x:v>104.23819444444443</x:v>
      </x:c>
      <x:c r="O474" s="47" t="n">
        <x:v>5</x:v>
      </x:c>
      <x:c r="P474" s="1" t="str">
        <x:v>従来基準</x:v>
      </x:c>
      <x:c r="Q474" s="47" t="n">
        <x:v>0</x:v>
      </x:c>
      <x:c r="R474" s="1" t="str">
        <x:v>上昇</x:v>
      </x:c>
      <x:c r="S474" s="47" t="n">
        <x:v>24</x:v>
      </x:c>
    </x:row>
    <x:row r="475" ht="22" customHeight="1">
      <x:c r="A475" s="1" t="str">
        <x:v>TOPIXmini</x:v>
      </x:c>
      <x:c r="B475" s="1" t="str">
        <x:v>B5</x:v>
      </x:c>
      <x:c r="C475" s="1" t="str">
        <x:v>全50場</x:v>
      </x:c>
      <x:c r="D475" s="45" t="n">
        <x:v>1277804</x:v>
      </x:c>
      <x:c r="E475" s="45" t="n">
        <x:v>754957</x:v>
      </x:c>
      <x:c r="F475" s="45" t="n">
        <x:f>D475-E475</x:f>
        <x:v>522847</x:v>
      </x:c>
      <x:c r="G475" s="47" t="n">
        <x:v>21</x:v>
      </x:c>
      <x:c r="H475" s="47" t="n">
        <x:v>5</x:v>
      </x:c>
      <x:c r="I475" s="45" t="n">
        <x:v>227107</x:v>
      </x:c>
      <x:c r="J475" s="47" t="n">
        <x:v>65</x:v>
      </x:c>
      <x:c r="K475" s="45" t="n">
        <x:v>-131254</x:v>
      </x:c>
      <x:c r="L475" s="45" t="n">
        <x:v>50253.2</x:v>
      </x:c>
      <x:c r="M475" s="46" t="n">
        <x:v>239.03461538461536</x:v>
      </x:c>
      <x:c r="N475" s="46" t="n">
        <x:v>122.20320512820513</x:v>
      </x:c>
      <x:c r="O475" s="47" t="n">
        <x:v>5</x:v>
      </x:c>
      <x:c r="P475" s="1" t="str">
        <x:v>従来基準</x:v>
      </x:c>
      <x:c r="Q475" s="47" t="n">
        <x:v>0</x:v>
      </x:c>
      <x:c r="R475" s="1" t="str">
        <x:v>下落</x:v>
      </x:c>
      <x:c r="S475" s="47" t="n">
        <x:v>26</x:v>
      </x:c>
    </x:row>
    <x:row r="476" ht="22" customHeight="1">
      <x:c r="A476" s="1" t="str">
        <x:v>TOPIXmini</x:v>
      </x:c>
      <x:c r="B476" s="1" t="str">
        <x:v>B5</x:v>
      </x:c>
      <x:c r="C476" s="1" t="str">
        <x:v>対照47場</x:v>
      </x:c>
      <x:c r="D476" s="45" t="n">
        <x:v>2123208</x:v>
      </x:c>
      <x:c r="E476" s="45" t="n">
        <x:v>1299161</x:v>
      </x:c>
      <x:c r="F476" s="45" t="n">
        <x:f>D476-E476</x:f>
        <x:v>824047</x:v>
      </x:c>
      <x:c r="G476" s="47" t="n">
        <x:v>36</x:v>
      </x:c>
      <x:c r="H476" s="47" t="n">
        <x:v>11</x:v>
      </x:c>
      <x:c r="I476" s="45" t="n">
        <x:v>522970</x:v>
      </x:c>
      <x:c r="J476" s="47" t="n">
        <x:v>110</x:v>
      </x:c>
      <x:c r="K476" s="45" t="n">
        <x:v>-79172</x:v>
      </x:c>
      <x:c r="L476" s="45" t="n">
        <x:v>40859.36363636364</x:v>
      </x:c>
      <x:c r="M476" s="46" t="n">
        <x:v>246.12127659574466</x:v>
      </x:c>
      <x:c r="N476" s="46" t="n">
        <x:v>117.50496453900708</x:v>
      </x:c>
      <x:c r="O476" s="47" t="n">
        <x:v>5</x:v>
      </x:c>
      <x:c r="P476" s="1" t="str">
        <x:v>従来基準</x:v>
      </x:c>
      <x:c r="Q476" s="47" t="n">
        <x:v>0</x:v>
      </x:c>
      <x:c r="R476" s="1" t="str">
        <x:v>全場</x:v>
      </x:c>
      <x:c r="S476" s="47" t="n">
        <x:v>47</x:v>
      </x:c>
    </x:row>
    <x:row r="477" ht="22" customHeight="1">
      <x:c r="A477" s="1" t="str">
        <x:v>TOPIXmini</x:v>
      </x:c>
      <x:c r="B477" s="1" t="str">
        <x:v>B5</x:v>
      </x:c>
      <x:c r="C477" s="1" t="str">
        <x:v>対照47場</x:v>
      </x:c>
      <x:c r="D477" s="45" t="n">
        <x:v>1283248</x:v>
      </x:c>
      <x:c r="E477" s="45" t="n">
        <x:v>757457</x:v>
      </x:c>
      <x:c r="F477" s="45" t="n">
        <x:f>D477-E477</x:f>
        <x:v>525791</x:v>
      </x:c>
      <x:c r="G477" s="47" t="n">
        <x:v>16</x:v>
      </x:c>
      <x:c r="H477" s="47" t="n">
        <x:v>8</x:v>
      </x:c>
      <x:c r="I477" s="45" t="n">
        <x:v>249295</x:v>
      </x:c>
      <x:c r="J477" s="47" t="n">
        <x:v>52</x:v>
      </x:c>
      <x:c r="K477" s="45" t="n">
        <x:v>-79172</x:v>
      </x:c>
      <x:c r="L477" s="45" t="n">
        <x:v>37638.625</x:v>
      </x:c>
      <x:c r="M477" s="46" t="n">
        <x:v>103.72291666666666</x:v>
      </x:c>
      <x:c r="N477" s="46" t="n">
        <x:v>175.42430555555555</x:v>
      </x:c>
      <x:c r="O477" s="47" t="n">
        <x:v>5</x:v>
      </x:c>
      <x:c r="P477" s="1" t="str">
        <x:v>従来基準</x:v>
      </x:c>
      <x:c r="Q477" s="47" t="n">
        <x:v>0</x:v>
      </x:c>
      <x:c r="R477" s="1" t="str">
        <x:v>デイ</x:v>
      </x:c>
      <x:c r="S477" s="47" t="n">
        <x:v>24</x:v>
      </x:c>
    </x:row>
    <x:row r="478" ht="22" customHeight="1">
      <x:c r="A478" s="1" t="str">
        <x:v>TOPIXmini</x:v>
      </x:c>
      <x:c r="B478" s="1" t="str">
        <x:v>B5</x:v>
      </x:c>
      <x:c r="C478" s="1" t="str">
        <x:v>対照47場</x:v>
      </x:c>
      <x:c r="D478" s="45" t="n">
        <x:v>839960</x:v>
      </x:c>
      <x:c r="E478" s="45" t="n">
        <x:v>541704</x:v>
      </x:c>
      <x:c r="F478" s="45" t="n">
        <x:f>D478-E478</x:f>
        <x:v>298256</x:v>
      </x:c>
      <x:c r="G478" s="47" t="n">
        <x:v>20</x:v>
      </x:c>
      <x:c r="H478" s="47" t="n">
        <x:v>3</x:v>
      </x:c>
      <x:c r="I478" s="45" t="n">
        <x:v>89936</x:v>
      </x:c>
      <x:c r="J478" s="47" t="n">
        <x:v>58</x:v>
      </x:c>
      <x:c r="K478" s="45" t="n">
        <x:v>-53754</x:v>
      </x:c>
      <x:c r="L478" s="45" t="n">
        <x:v>49448</x:v>
      </x:c>
      <x:c r="M478" s="46" t="n">
        <x:v>394.7108695652173</x:v>
      </x:c>
      <x:c r="N478" s="46" t="n">
        <x:v>57.06739130434784</x:v>
      </x:c>
      <x:c r="O478" s="47" t="n">
        <x:v>5</x:v>
      </x:c>
      <x:c r="P478" s="1" t="str">
        <x:v>従来基準</x:v>
      </x:c>
      <x:c r="Q478" s="47" t="n">
        <x:v>0</x:v>
      </x:c>
      <x:c r="R478" s="1" t="str">
        <x:v>ナイト</x:v>
      </x:c>
      <x:c r="S478" s="47" t="n">
        <x:v>23</x:v>
      </x:c>
    </x:row>
    <x:row r="479" ht="22" customHeight="1">
      <x:c r="A479" s="1" t="str">
        <x:v>TOPIXmini</x:v>
      </x:c>
      <x:c r="B479" s="1" t="str">
        <x:v>B5</x:v>
      </x:c>
      <x:c r="C479" s="1" t="str">
        <x:v>対照47場</x:v>
      </x:c>
      <x:c r="D479" s="45" t="n">
        <x:v>911650</x:v>
      </x:c>
      <x:c r="E479" s="45" t="n">
        <x:v>711294</x:v>
      </x:c>
      <x:c r="F479" s="45" t="n">
        <x:f>D479-E479</x:f>
        <x:v>200356</x:v>
      </x:c>
      <x:c r="G479" s="47" t="n">
        <x:v>16</x:v>
      </x:c>
      <x:c r="H479" s="47" t="n">
        <x:v>7</x:v>
      </x:c>
      <x:c r="I479" s="45" t="n">
        <x:v>-44476</x:v>
      </x:c>
      <x:c r="J479" s="47" t="n">
        <x:v>53</x:v>
      </x:c>
      <x:c r="K479" s="45" t="n">
        <x:v>-79172</x:v>
      </x:c>
      <x:c r="L479" s="45" t="n">
        <x:v>47063</x:v>
      </x:c>
      <x:c r="M479" s="46" t="n">
        <x:v>253.4434782608695</x:v>
      </x:c>
      <x:c r="N479" s="46" t="n">
        <x:v>106.24347826086957</x:v>
      </x:c>
      <x:c r="O479" s="47" t="n">
        <x:v>5</x:v>
      </x:c>
      <x:c r="P479" s="1" t="str">
        <x:v>従来基準</x:v>
      </x:c>
      <x:c r="Q479" s="47" t="n">
        <x:v>0</x:v>
      </x:c>
      <x:c r="R479" s="1" t="str">
        <x:v>上昇</x:v>
      </x:c>
      <x:c r="S479" s="47" t="n">
        <x:v>23</x:v>
      </x:c>
    </x:row>
    <x:row r="480" ht="22" customHeight="1">
      <x:c r="A480" s="1" t="str">
        <x:v>TOPIXmini</x:v>
      </x:c>
      <x:c r="B480" s="1" t="str">
        <x:v>B5</x:v>
      </x:c>
      <x:c r="C480" s="1" t="str">
        <x:v>対照47場</x:v>
      </x:c>
      <x:c r="D480" s="45" t="n">
        <x:v>1211558</x:v>
      </x:c>
      <x:c r="E480" s="45" t="n">
        <x:v>587867</x:v>
      </x:c>
      <x:c r="F480" s="45" t="n">
        <x:f>D480-E480</x:f>
        <x:v>623691</x:v>
      </x:c>
      <x:c r="G480" s="47" t="n">
        <x:v>20</x:v>
      </x:c>
      <x:c r="H480" s="47" t="n">
        <x:v>4</x:v>
      </x:c>
      <x:c r="I480" s="45" t="n">
        <x:v>327951</x:v>
      </x:c>
      <x:c r="J480" s="47" t="n">
        <x:v>57</x:v>
      </x:c>
      <x:c r="K480" s="45" t="n">
        <x:v>-43171</x:v>
      </x:c>
      <x:c r="L480" s="45" t="n">
        <x:v>30003</x:v>
      </x:c>
      <x:c r="M480" s="46" t="n">
        <x:v>239.10416666666666</x:v>
      </x:c>
      <x:c r="N480" s="46" t="n">
        <x:v>128.29722222222222</x:v>
      </x:c>
      <x:c r="O480" s="47" t="n">
        <x:v>5</x:v>
      </x:c>
      <x:c r="P480" s="1" t="str">
        <x:v>従来基準</x:v>
      </x:c>
      <x:c r="Q480" s="47" t="n">
        <x:v>0</x:v>
      </x:c>
      <x:c r="R480" s="1" t="str">
        <x:v>下落</x:v>
      </x:c>
      <x:c r="S480" s="47" t="n">
        <x:v>24</x:v>
      </x:c>
    </x:row>
    <x:row r="481" ht="22" customHeight="1">
      <x:c r="A481" s="1" t="str">
        <x:v>TOPIXmini</x:v>
      </x:c>
      <x:c r="B481" s="1" t="str">
        <x:v>B5</x:v>
      </x:c>
      <x:c r="C481" s="1" t="str">
        <x:v>診断3場</x:v>
      </x:c>
      <x:c r="D481" s="45" t="n">
        <x:v>98328</x:v>
      </x:c>
      <x:c r="E481" s="45" t="n">
        <x:v>167090</x:v>
      </x:c>
      <x:c r="F481" s="45" t="n">
        <x:f>D481-E481</x:f>
        <x:v>-68762</x:v>
      </x:c>
      <x:c r="G481" s="47" t="n">
        <x:v>2</x:v>
      </x:c>
      <x:c r="H481" s="47" t="n">
        <x:v>1</x:v>
      </x:c>
      <x:c r="I481" s="45" t="n">
        <x:v>-131254</x:v>
      </x:c>
      <x:c r="J481" s="47" t="n">
        <x:v>9</x:v>
      </x:c>
      <x:c r="K481" s="45" t="n">
        <x:v>-131254</x:v>
      </x:c>
      <x:c r="L481" s="45" t="n">
        <x:v>131254</x:v>
      </x:c>
      <x:c r="M481" s="46" t="n">
        <x:v>291.8777777777778</x:v>
      </x:c>
      <x:c r="N481" s="46" t="n">
        <x:v>52.088888888888896</x:v>
      </x:c>
      <x:c r="O481" s="47" t="n">
        <x:v>5</x:v>
      </x:c>
      <x:c r="P481" s="1" t="str">
        <x:v>従来基準</x:v>
      </x:c>
      <x:c r="Q481" s="47" t="n">
        <x:v>0</x:v>
      </x:c>
      <x:c r="R481" s="1" t="str">
        <x:v>全場</x:v>
      </x:c>
      <x:c r="S481" s="47" t="n">
        <x:v>3</x:v>
      </x:c>
    </x:row>
    <x:row r="482" ht="22" customHeight="1">
      <x:c r="A482" s="1" t="str">
        <x:v>TOPIXmini</x:v>
      </x:c>
      <x:c r="B482" s="1" t="str">
        <x:v>B5</x:v>
      </x:c>
      <x:c r="C482" s="1" t="str">
        <x:v>診断3場</x:v>
      </x:c>
      <x:c r="D482" s="45" t="n">
        <x:v>0</x:v>
      </x:c>
      <x:c r="E482" s="45" t="n">
        <x:v>131254</x:v>
      </x:c>
      <x:c r="F482" s="45" t="n">
        <x:f>D482-E482</x:f>
        <x:v>-131254</x:v>
      </x:c>
      <x:c r="G482" s="47" t="n">
        <x:v>0</x:v>
      </x:c>
      <x:c r="H482" s="47" t="n">
        <x:v>1</x:v>
      </x:c>
      <x:c r="I482" s="45" t="n">
        <x:v>-131254</x:v>
      </x:c>
      <x:c r="J482" s="47" t="n">
        <x:v>3</x:v>
      </x:c>
      <x:c r="K482" s="45" t="n">
        <x:v>-131254</x:v>
      </x:c>
      <x:c r="L482" s="45" t="n">
        <x:v>131254</x:v>
      </x:c>
      <x:c r="M482" s="46" t="n">
        <x:v>92.38333333333334</x:v>
      </x:c>
      <x:c r="N482" s="46" t="n">
        <x:v>54</x:v>
      </x:c>
      <x:c r="O482" s="47" t="n">
        <x:v>5</x:v>
      </x:c>
      <x:c r="P482" s="1" t="str">
        <x:v>従来基準</x:v>
      </x:c>
      <x:c r="Q482" s="47" t="n">
        <x:v>0</x:v>
      </x:c>
      <x:c r="R482" s="1" t="str">
        <x:v>デイ</x:v>
      </x:c>
      <x:c r="S482" s="47" t="n">
        <x:v>1</x:v>
      </x:c>
    </x:row>
    <x:row r="483" ht="22" customHeight="1">
      <x:c r="A483" s="1" t="str">
        <x:v>TOPIXmini</x:v>
      </x:c>
      <x:c r="B483" s="1" t="str">
        <x:v>B5</x:v>
      </x:c>
      <x:c r="C483" s="1" t="str">
        <x:v>診断3場</x:v>
      </x:c>
      <x:c r="D483" s="45" t="n">
        <x:v>98328</x:v>
      </x:c>
      <x:c r="E483" s="45" t="n">
        <x:v>35836</x:v>
      </x:c>
      <x:c r="F483" s="45" t="n">
        <x:f>D483-E483</x:f>
        <x:v>62492</x:v>
      </x:c>
      <x:c r="G483" s="47" t="n">
        <x:v>2</x:v>
      </x:c>
      <x:c r="H483" s="47" t="n">
        <x:v>0</x:v>
      </x:c>
      <x:c r="I483" s="45" t="n">
        <x:v>0</x:v>
      </x:c>
      <x:c r="J483" s="47" t="n">
        <x:v>6</x:v>
      </x:c>
      <x:c r="K483" s="45" t="n">
        <x:v>30410</x:v>
      </x:c>
      <x:c r="L483" s="45" t="n">
        <x:v>0</x:v>
      </x:c>
      <x:c r="M483" s="46" t="n">
        <x:v>391.625</x:v>
      </x:c>
      <x:c r="N483" s="46" t="n">
        <x:v>51.13333333333333</x:v>
      </x:c>
      <x:c r="O483" s="47" t="n">
        <x:v>5</x:v>
      </x:c>
      <x:c r="P483" s="1" t="str">
        <x:v>従来基準</x:v>
      </x:c>
      <x:c r="Q483" s="47" t="n">
        <x:v>0</x:v>
      </x:c>
      <x:c r="R483" s="1" t="str">
        <x:v>ナイト</x:v>
      </x:c>
      <x:c r="S483" s="47" t="n">
        <x:v>2</x:v>
      </x:c>
    </x:row>
    <x:row r="484" ht="22" customHeight="1">
      <x:c r="A484" s="1" t="str">
        <x:v>TOPIXmini</x:v>
      </x:c>
      <x:c r="B484" s="1" t="str">
        <x:v>B5</x:v>
      </x:c>
      <x:c r="C484" s="1" t="str">
        <x:v>診断3場</x:v>
      </x:c>
      <x:c r="D484" s="45" t="n">
        <x:v>32082</x:v>
      </x:c>
      <x:c r="E484" s="45" t="n">
        <x:v>0</x:v>
      </x:c>
      <x:c r="F484" s="45" t="n">
        <x:f>D484-E484</x:f>
        <x:v>32082</x:v>
      </x:c>
      <x:c r="G484" s="47" t="n">
        <x:v>1</x:v>
      </x:c>
      <x:c r="H484" s="47" t="n">
        <x:v>0</x:v>
      </x:c>
      <x:c r="I484" s="45" t="n">
        <x:v>0</x:v>
      </x:c>
      <x:c r="J484" s="47" t="n">
        <x:v>1</x:v>
      </x:c>
      <x:c r="K484" s="45" t="n">
        <x:v>32082</x:v>
      </x:c>
      <x:c r="L484" s="45" t="n">
        <x:v>0</x:v>
      </x:c>
      <x:c r="M484" s="46" t="n">
        <x:v>399.23333333333335</x:v>
      </x:c>
      <x:c r="N484" s="46" t="n">
        <x:v>58.11666666666667</x:v>
      </x:c>
      <x:c r="O484" s="47" t="n">
        <x:v>5</x:v>
      </x:c>
      <x:c r="P484" s="1" t="str">
        <x:v>従来基準</x:v>
      </x:c>
      <x:c r="Q484" s="47" t="n">
        <x:v>0</x:v>
      </x:c>
      <x:c r="R484" s="1" t="str">
        <x:v>上昇</x:v>
      </x:c>
      <x:c r="S484" s="47" t="n">
        <x:v>1</x:v>
      </x:c>
    </x:row>
    <x:row r="485" ht="22" customHeight="1">
      <x:c r="A485" s="1" t="str">
        <x:v>TOPIXmini</x:v>
      </x:c>
      <x:c r="B485" s="1" t="str">
        <x:v>B5</x:v>
      </x:c>
      <x:c r="C485" s="1" t="str">
        <x:v>診断3場</x:v>
      </x:c>
      <x:c r="D485" s="45" t="n">
        <x:v>66246</x:v>
      </x:c>
      <x:c r="E485" s="45" t="n">
        <x:v>167090</x:v>
      </x:c>
      <x:c r="F485" s="45" t="n">
        <x:f>D485-E485</x:f>
        <x:v>-100844</x:v>
      </x:c>
      <x:c r="G485" s="47" t="n">
        <x:v>1</x:v>
      </x:c>
      <x:c r="H485" s="47" t="n">
        <x:v>1</x:v>
      </x:c>
      <x:c r="I485" s="45" t="n">
        <x:v>-131254</x:v>
      </x:c>
      <x:c r="J485" s="47" t="n">
        <x:v>8</x:v>
      </x:c>
      <x:c r="K485" s="45" t="n">
        <x:v>-131254</x:v>
      </x:c>
      <x:c r="L485" s="45" t="n">
        <x:v>131254</x:v>
      </x:c>
      <x:c r="M485" s="46" t="n">
        <x:v>238.2</x:v>
      </x:c>
      <x:c r="N485" s="46" t="n">
        <x:v>49.075</x:v>
      </x:c>
      <x:c r="O485" s="47" t="n">
        <x:v>5</x:v>
      </x:c>
      <x:c r="P485" s="1" t="str">
        <x:v>従来基準</x:v>
      </x:c>
      <x:c r="Q485" s="47" t="n">
        <x:v>0</x:v>
      </x:c>
      <x:c r="R485" s="1" t="str">
        <x:v>下落</x:v>
      </x:c>
      <x:c r="S485" s="47" t="n">
        <x:v>2</x:v>
      </x:c>
    </x:row>
    <x:row r="486" ht="22" customHeight="1">
      <x:c r="A486" s="1" t="str">
        <x:v>TOPIXmini</x:v>
      </x:c>
      <x:c r="B486" s="1" t="str">
        <x:v>C33</x:v>
      </x:c>
      <x:c r="C486" s="1" t="str">
        <x:v>全50場</x:v>
      </x:c>
      <x:c r="D486" s="45" t="n">
        <x:v>2507746</x:v>
      </x:c>
      <x:c r="E486" s="45" t="n">
        <x:v>1522042</x:v>
      </x:c>
      <x:c r="F486" s="45" t="n">
        <x:f>D486-E486</x:f>
        <x:v>985704</x:v>
      </x:c>
      <x:c r="G486" s="47" t="n">
        <x:v>39</x:v>
      </x:c>
      <x:c r="H486" s="47" t="n">
        <x:v>11</x:v>
      </x:c>
      <x:c r="I486" s="45" t="n">
        <x:v>603622</x:v>
      </x:c>
      <x:c r="J486" s="47" t="n">
        <x:v>194</x:v>
      </x:c>
      <x:c r="K486" s="45" t="n">
        <x:v>-68328</x:v>
      </x:c>
      <x:c r="L486" s="45" t="n">
        <x:v>30242.81818181818</x:v>
      </x:c>
      <x:c r="M486" s="46" t="n">
        <x:v>185.33866666666668</x:v>
      </x:c>
      <x:c r="N486" s="46" t="n">
        <x:v>146.90833333333333</x:v>
      </x:c>
      <x:c r="O486" s="47" t="n">
        <x:v>5</x:v>
      </x:c>
      <x:c r="P486" s="1" t="str">
        <x:v>前回の反転を先着併用</x:v>
      </x:c>
      <x:c r="Q486" s="47" t="n">
        <x:v>0</x:v>
      </x:c>
      <x:c r="R486" s="1" t="str">
        <x:v>全場</x:v>
      </x:c>
      <x:c r="S486" s="47" t="n">
        <x:v>50</x:v>
      </x:c>
    </x:row>
    <x:row r="487" ht="22" customHeight="1">
      <x:c r="A487" s="1" t="str">
        <x:v>TOPIXmini</x:v>
      </x:c>
      <x:c r="B487" s="1" t="str">
        <x:v>C33</x:v>
      </x:c>
      <x:c r="C487" s="1" t="str">
        <x:v>全50場</x:v>
      </x:c>
      <x:c r="D487" s="45" t="n">
        <x:v>1433438</x:v>
      </x:c>
      <x:c r="E487" s="45" t="n">
        <x:v>813928</x:v>
      </x:c>
      <x:c r="F487" s="45" t="n">
        <x:f>D487-E487</x:f>
        <x:v>619510</x:v>
      </x:c>
      <x:c r="G487" s="47" t="n">
        <x:v>18</x:v>
      </x:c>
      <x:c r="H487" s="47" t="n">
        <x:v>7</x:v>
      </x:c>
      <x:c r="I487" s="45" t="n">
        <x:v>307260</x:v>
      </x:c>
      <x:c r="J487" s="47" t="n">
        <x:v>95</x:v>
      </x:c>
      <x:c r="K487" s="45" t="n">
        <x:v>-68328</x:v>
      </x:c>
      <x:c r="L487" s="45" t="n">
        <x:v>29951.285714285714</x:v>
      </x:c>
      <x:c r="M487" s="46" t="n">
        <x:v>86.97733333333333</x:v>
      </x:c>
      <x:c r="N487" s="46" t="n">
        <x:v>212.58</x:v>
      </x:c>
      <x:c r="O487" s="47" t="n">
        <x:v>5</x:v>
      </x:c>
      <x:c r="P487" s="1" t="str">
        <x:v>前回の反転を先着併用</x:v>
      </x:c>
      <x:c r="Q487" s="47" t="n">
        <x:v>0</x:v>
      </x:c>
      <x:c r="R487" s="1" t="str">
        <x:v>デイ</x:v>
      </x:c>
      <x:c r="S487" s="47" t="n">
        <x:v>25</x:v>
      </x:c>
    </x:row>
    <x:row r="488" ht="22" customHeight="1">
      <x:c r="A488" s="1" t="str">
        <x:v>TOPIXmini</x:v>
      </x:c>
      <x:c r="B488" s="1" t="str">
        <x:v>C33</x:v>
      </x:c>
      <x:c r="C488" s="1" t="str">
        <x:v>全50場</x:v>
      </x:c>
      <x:c r="D488" s="45" t="n">
        <x:v>1074308</x:v>
      </x:c>
      <x:c r="E488" s="45" t="n">
        <x:v>708114</x:v>
      </x:c>
      <x:c r="F488" s="45" t="n">
        <x:f>D488-E488</x:f>
        <x:v>366194</x:v>
      </x:c>
      <x:c r="G488" s="47" t="n">
        <x:v>21</x:v>
      </x:c>
      <x:c r="H488" s="47" t="n">
        <x:v>4</x:v>
      </x:c>
      <x:c r="I488" s="45" t="n">
        <x:v>124284</x:v>
      </x:c>
      <x:c r="J488" s="47" t="n">
        <x:v>99</x:v>
      </x:c>
      <x:c r="K488" s="45" t="n">
        <x:v>-44086</x:v>
      </x:c>
      <x:c r="L488" s="45" t="n">
        <x:v>30753</x:v>
      </x:c>
      <x:c r="M488" s="46" t="n">
        <x:v>283.7</x:v>
      </x:c>
      <x:c r="N488" s="46" t="n">
        <x:v>81.23666666666666</x:v>
      </x:c>
      <x:c r="O488" s="47" t="n">
        <x:v>5</x:v>
      </x:c>
      <x:c r="P488" s="1" t="str">
        <x:v>前回の反転を先着併用</x:v>
      </x:c>
      <x:c r="Q488" s="47" t="n">
        <x:v>0</x:v>
      </x:c>
      <x:c r="R488" s="1" t="str">
        <x:v>ナイト</x:v>
      </x:c>
      <x:c r="S488" s="47" t="n">
        <x:v>25</x:v>
      </x:c>
    </x:row>
    <x:row r="489" ht="22" customHeight="1">
      <x:c r="A489" s="1" t="str">
        <x:v>TOPIXmini</x:v>
      </x:c>
      <x:c r="B489" s="1" t="str">
        <x:v>C33</x:v>
      </x:c>
      <x:c r="C489" s="1" t="str">
        <x:v>全50場</x:v>
      </x:c>
      <x:c r="D489" s="45" t="n">
        <x:v>1011662</x:v>
      </x:c>
      <x:c r="E489" s="45" t="n">
        <x:v>728692</x:v>
      </x:c>
      <x:c r="F489" s="45" t="n">
        <x:f>D489-E489</x:f>
        <x:v>282970</x:v>
      </x:c>
      <x:c r="G489" s="47" t="n">
        <x:v>17</x:v>
      </x:c>
      <x:c r="H489" s="47" t="n">
        <x:v>7</x:v>
      </x:c>
      <x:c r="I489" s="45" t="n">
        <x:v>46304</x:v>
      </x:c>
      <x:c r="J489" s="47" t="n">
        <x:v>78</x:v>
      </x:c>
      <x:c r="K489" s="45" t="n">
        <x:v>-44086</x:v>
      </x:c>
      <x:c r="L489" s="45" t="n">
        <x:v>27167.285714285714</x:v>
      </x:c>
      <x:c r="M489" s="46" t="n">
        <x:v>199.6138888888889</x:v>
      </x:c>
      <x:c r="N489" s="46" t="n">
        <x:v>135.7513888888889</x:v>
      </x:c>
      <x:c r="O489" s="47" t="n">
        <x:v>5</x:v>
      </x:c>
      <x:c r="P489" s="1" t="str">
        <x:v>前回の反転を先着併用</x:v>
      </x:c>
      <x:c r="Q489" s="47" t="n">
        <x:v>0</x:v>
      </x:c>
      <x:c r="R489" s="1" t="str">
        <x:v>上昇</x:v>
      </x:c>
      <x:c r="S489" s="47" t="n">
        <x:v>24</x:v>
      </x:c>
    </x:row>
    <x:row r="490" ht="22" customHeight="1">
      <x:c r="A490" s="1" t="str">
        <x:v>TOPIXmini</x:v>
      </x:c>
      <x:c r="B490" s="1" t="str">
        <x:v>C33</x:v>
      </x:c>
      <x:c r="C490" s="1" t="str">
        <x:v>全50場</x:v>
      </x:c>
      <x:c r="D490" s="45" t="n">
        <x:v>1496084</x:v>
      </x:c>
      <x:c r="E490" s="45" t="n">
        <x:v>793350</x:v>
      </x:c>
      <x:c r="F490" s="45" t="n">
        <x:f>D490-E490</x:f>
        <x:v>702734</x:v>
      </x:c>
      <x:c r="G490" s="47" t="n">
        <x:v>22</x:v>
      </x:c>
      <x:c r="H490" s="47" t="n">
        <x:v>4</x:v>
      </x:c>
      <x:c r="I490" s="45" t="n">
        <x:v>320652</x:v>
      </x:c>
      <x:c r="J490" s="47" t="n">
        <x:v>116</x:v>
      </x:c>
      <x:c r="K490" s="45" t="n">
        <x:v>-68328</x:v>
      </x:c>
      <x:c r="L490" s="45" t="n">
        <x:v>35625</x:v>
      </x:c>
      <x:c r="M490" s="46" t="n">
        <x:v>172.16153846153844</x:v>
      </x:c>
      <x:c r="N490" s="46" t="n">
        <x:v>157.20705128205128</x:v>
      </x:c>
      <x:c r="O490" s="47" t="n">
        <x:v>5</x:v>
      </x:c>
      <x:c r="P490" s="1" t="str">
        <x:v>前回の反転を先着併用</x:v>
      </x:c>
      <x:c r="Q490" s="47" t="n">
        <x:v>0</x:v>
      </x:c>
      <x:c r="R490" s="1" t="str">
        <x:v>下落</x:v>
      </x:c>
      <x:c r="S490" s="47" t="n">
        <x:v>26</x:v>
      </x:c>
    </x:row>
    <x:row r="491" ht="22" customHeight="1">
      <x:c r="A491" s="1" t="str">
        <x:v>TOPIXmini</x:v>
      </x:c>
      <x:c r="B491" s="1" t="str">
        <x:v>C33</x:v>
      </x:c>
      <x:c r="C491" s="1" t="str">
        <x:v>対照47場</x:v>
      </x:c>
      <x:c r="D491" s="45" t="n">
        <x:v>2318912</x:v>
      </x:c>
      <x:c r="E491" s="45" t="n">
        <x:v>1340376</x:v>
      </x:c>
      <x:c r="F491" s="45" t="n">
        <x:f>D491-E491</x:f>
        <x:v>978536</x:v>
      </x:c>
      <x:c r="G491" s="47" t="n">
        <x:v>37</x:v>
      </x:c>
      <x:c r="H491" s="47" t="n">
        <x:v>10</x:v>
      </x:c>
      <x:c r="I491" s="45" t="n">
        <x:v>596454</x:v>
      </x:c>
      <x:c r="J491" s="47" t="n">
        <x:v>172</x:v>
      </x:c>
      <x:c r="K491" s="45" t="n">
        <x:v>-44086</x:v>
      </x:c>
      <x:c r="L491" s="45" t="n">
        <x:v>26434.3</x:v>
      </x:c>
      <x:c r="M491" s="46" t="n">
        <x:v>192.05141843971634</x:v>
      </x:c>
      <x:c r="N491" s="46" t="n">
        <x:v>148.75992907801418</x:v>
      </x:c>
      <x:c r="O491" s="47" t="n">
        <x:v>5</x:v>
      </x:c>
      <x:c r="P491" s="1" t="str">
        <x:v>前回の反転を先着併用</x:v>
      </x:c>
      <x:c r="Q491" s="47" t="n">
        <x:v>0</x:v>
      </x:c>
      <x:c r="R491" s="1" t="str">
        <x:v>全場</x:v>
      </x:c>
      <x:c r="S491" s="47" t="n">
        <x:v>47</x:v>
      </x:c>
    </x:row>
    <x:row r="492" ht="22" customHeight="1">
      <x:c r="A492" s="1" t="str">
        <x:v>TOPIXmini</x:v>
      </x:c>
      <x:c r="B492" s="1" t="str">
        <x:v>C33</x:v>
      </x:c>
      <x:c r="C492" s="1" t="str">
        <x:v>対照47場</x:v>
      </x:c>
      <x:c r="D492" s="45" t="n">
        <x:v>1374102</x:v>
      </x:c>
      <x:c r="E492" s="45" t="n">
        <x:v>686264</x:v>
      </x:c>
      <x:c r="F492" s="45" t="n">
        <x:f>D492-E492</x:f>
        <x:v>687838</x:v>
      </x:c>
      <x:c r="G492" s="47" t="n">
        <x:v>18</x:v>
      </x:c>
      <x:c r="H492" s="47" t="n">
        <x:v>6</x:v>
      </x:c>
      <x:c r="I492" s="45" t="n">
        <x:v>375588</x:v>
      </x:c>
      <x:c r="J492" s="47" t="n">
        <x:v>85</x:v>
      </x:c>
      <x:c r="K492" s="45" t="n">
        <x:v>-41080</x:v>
      </x:c>
      <x:c r="L492" s="45" t="n">
        <x:v>23555.166666666668</x:v>
      </x:c>
      <x:c r="M492" s="46" t="n">
        <x:v>88.7701388888889</x:v>
      </x:c>
      <x:c r="N492" s="46" t="n">
        <x:v>213.34305555555557</x:v>
      </x:c>
      <x:c r="O492" s="47" t="n">
        <x:v>5</x:v>
      </x:c>
      <x:c r="P492" s="1" t="str">
        <x:v>前回の反転を先着併用</x:v>
      </x:c>
      <x:c r="Q492" s="47" t="n">
        <x:v>0</x:v>
      </x:c>
      <x:c r="R492" s="1" t="str">
        <x:v>デイ</x:v>
      </x:c>
      <x:c r="S492" s="47" t="n">
        <x:v>24</x:v>
      </x:c>
    </x:row>
    <x:row r="493" ht="22" customHeight="1">
      <x:c r="A493" s="1" t="str">
        <x:v>TOPIXmini</x:v>
      </x:c>
      <x:c r="B493" s="1" t="str">
        <x:v>C33</x:v>
      </x:c>
      <x:c r="C493" s="1" t="str">
        <x:v>対照47場</x:v>
      </x:c>
      <x:c r="D493" s="45" t="n">
        <x:v>944810</x:v>
      </x:c>
      <x:c r="E493" s="45" t="n">
        <x:v>654112</x:v>
      </x:c>
      <x:c r="F493" s="45" t="n">
        <x:f>D493-E493</x:f>
        <x:v>290698</x:v>
      </x:c>
      <x:c r="G493" s="47" t="n">
        <x:v>19</x:v>
      </x:c>
      <x:c r="H493" s="47" t="n">
        <x:v>4</x:v>
      </x:c>
      <x:c r="I493" s="45" t="n">
        <x:v>69618</x:v>
      </x:c>
      <x:c r="J493" s="47" t="n">
        <x:v>87</x:v>
      </x:c>
      <x:c r="K493" s="45" t="n">
        <x:v>-44086</x:v>
      </x:c>
      <x:c r="L493" s="45" t="n">
        <x:v>30753</x:v>
      </x:c>
      <x:c r="M493" s="46" t="n">
        <x:v>299.82318840579705</x:v>
      </x:c>
      <x:c r="N493" s="46" t="n">
        <x:v>81.36884057971015</x:v>
      </x:c>
      <x:c r="O493" s="47" t="n">
        <x:v>5</x:v>
      </x:c>
      <x:c r="P493" s="1" t="str">
        <x:v>前回の反転を先着併用</x:v>
      </x:c>
      <x:c r="Q493" s="47" t="n">
        <x:v>0</x:v>
      </x:c>
      <x:c r="R493" s="1" t="str">
        <x:v>ナイト</x:v>
      </x:c>
      <x:c r="S493" s="47" t="n">
        <x:v>23</x:v>
      </x:c>
    </x:row>
    <x:row r="494" ht="22" customHeight="1">
      <x:c r="A494" s="1" t="str">
        <x:v>TOPIXmini</x:v>
      </x:c>
      <x:c r="B494" s="1" t="str">
        <x:v>C33</x:v>
      </x:c>
      <x:c r="C494" s="1" t="str">
        <x:v>対照47場</x:v>
      </x:c>
      <x:c r="D494" s="45" t="n">
        <x:v>970912</x:v>
      </x:c>
      <x:c r="E494" s="45" t="n">
        <x:v>710526</x:v>
      </x:c>
      <x:c r="F494" s="45" t="n">
        <x:f>D494-E494</x:f>
        <x:v>260386</x:v>
      </x:c>
      <x:c r="G494" s="47" t="n">
        <x:v>16</x:v>
      </x:c>
      <x:c r="H494" s="47" t="n">
        <x:v>7</x:v>
      </x:c>
      <x:c r="I494" s="45" t="n">
        <x:v>23720</x:v>
      </x:c>
      <x:c r="J494" s="47" t="n">
        <x:v>74</x:v>
      </x:c>
      <x:c r="K494" s="45" t="n">
        <x:v>-44086</x:v>
      </x:c>
      <x:c r="L494" s="45" t="n">
        <x:v>27167.285714285714</x:v>
      </x:c>
      <x:c r="M494" s="46" t="n">
        <x:v>202.8304347826087</x:v>
      </x:c>
      <x:c r="N494" s="46" t="n">
        <x:v>138.3840579710145</x:v>
      </x:c>
      <x:c r="O494" s="47" t="n">
        <x:v>5</x:v>
      </x:c>
      <x:c r="P494" s="1" t="str">
        <x:v>前回の反転を先着併用</x:v>
      </x:c>
      <x:c r="Q494" s="47" t="n">
        <x:v>0</x:v>
      </x:c>
      <x:c r="R494" s="1" t="str">
        <x:v>上昇</x:v>
      </x:c>
      <x:c r="S494" s="47" t="n">
        <x:v>23</x:v>
      </x:c>
    </x:row>
    <x:row r="495" ht="22" customHeight="1">
      <x:c r="A495" s="1" t="str">
        <x:v>TOPIXmini</x:v>
      </x:c>
      <x:c r="B495" s="1" t="str">
        <x:v>C33</x:v>
      </x:c>
      <x:c r="C495" s="1" t="str">
        <x:v>対照47場</x:v>
      </x:c>
      <x:c r="D495" s="45" t="n">
        <x:v>1348000</x:v>
      </x:c>
      <x:c r="E495" s="45" t="n">
        <x:v>629850</x:v>
      </x:c>
      <x:c r="F495" s="45" t="n">
        <x:f>D495-E495</x:f>
        <x:v>718150</x:v>
      </x:c>
      <x:c r="G495" s="47" t="n">
        <x:v>21</x:v>
      </x:c>
      <x:c r="H495" s="47" t="n">
        <x:v>3</x:v>
      </x:c>
      <x:c r="I495" s="45" t="n">
        <x:v>336068</x:v>
      </x:c>
      <x:c r="J495" s="47" t="n">
        <x:v>98</x:v>
      </x:c>
      <x:c r="K495" s="45" t="n">
        <x:v>-40836</x:v>
      </x:c>
      <x:c r="L495" s="45" t="n">
        <x:v>24724</x:v>
      </x:c>
      <x:c r="M495" s="46" t="n">
        <x:v>181.72152777777777</x:v>
      </x:c>
      <x:c r="N495" s="46" t="n">
        <x:v>158.70347222222225</x:v>
      </x:c>
      <x:c r="O495" s="47" t="n">
        <x:v>5</x:v>
      </x:c>
      <x:c r="P495" s="1" t="str">
        <x:v>前回の反転を先着併用</x:v>
      </x:c>
      <x:c r="Q495" s="47" t="n">
        <x:v>0</x:v>
      </x:c>
      <x:c r="R495" s="1" t="str">
        <x:v>下落</x:v>
      </x:c>
      <x:c r="S495" s="47" t="n">
        <x:v>24</x:v>
      </x:c>
    </x:row>
    <x:row r="496" ht="22" customHeight="1">
      <x:c r="A496" s="1" t="str">
        <x:v>TOPIXmini</x:v>
      </x:c>
      <x:c r="B496" s="1" t="str">
        <x:v>C33</x:v>
      </x:c>
      <x:c r="C496" s="1" t="str">
        <x:v>診断3場</x:v>
      </x:c>
      <x:c r="D496" s="45" t="n">
        <x:v>188834</x:v>
      </x:c>
      <x:c r="E496" s="45" t="n">
        <x:v>181666</x:v>
      </x:c>
      <x:c r="F496" s="45" t="n">
        <x:f>D496-E496</x:f>
        <x:v>7168</x:v>
      </x:c>
      <x:c r="G496" s="47" t="n">
        <x:v>2</x:v>
      </x:c>
      <x:c r="H496" s="47" t="n">
        <x:v>1</x:v>
      </x:c>
      <x:c r="I496" s="45" t="n">
        <x:v>-68328</x:v>
      </x:c>
      <x:c r="J496" s="47" t="n">
        <x:v>22</x:v>
      </x:c>
      <x:c r="K496" s="45" t="n">
        <x:v>-68328</x:v>
      </x:c>
      <x:c r="L496" s="45" t="n">
        <x:v>68328</x:v>
      </x:c>
      <x:c r="M496" s="46" t="n">
        <x:v>80.17222222222223</x:v>
      </x:c>
      <x:c r="N496" s="46" t="n">
        <x:v>117.89999999999999</x:v>
      </x:c>
      <x:c r="O496" s="47" t="n">
        <x:v>5</x:v>
      </x:c>
      <x:c r="P496" s="1" t="str">
        <x:v>前回の反転を先着併用</x:v>
      </x:c>
      <x:c r="Q496" s="47" t="n">
        <x:v>0</x:v>
      </x:c>
      <x:c r="R496" s="1" t="str">
        <x:v>全場</x:v>
      </x:c>
      <x:c r="S496" s="47" t="n">
        <x:v>3</x:v>
      </x:c>
    </x:row>
    <x:row r="497" ht="22" customHeight="1">
      <x:c r="A497" s="1" t="str">
        <x:v>TOPIXmini</x:v>
      </x:c>
      <x:c r="B497" s="1" t="str">
        <x:v>C33</x:v>
      </x:c>
      <x:c r="C497" s="1" t="str">
        <x:v>診断3場</x:v>
      </x:c>
      <x:c r="D497" s="45" t="n">
        <x:v>59336</x:v>
      </x:c>
      <x:c r="E497" s="45" t="n">
        <x:v>127664</x:v>
      </x:c>
      <x:c r="F497" s="45" t="n">
        <x:f>D497-E497</x:f>
        <x:v>-68328</x:v>
      </x:c>
      <x:c r="G497" s="47" t="n">
        <x:v>0</x:v>
      </x:c>
      <x:c r="H497" s="47" t="n">
        <x:v>1</x:v>
      </x:c>
      <x:c r="I497" s="45" t="n">
        <x:v>-68328</x:v>
      </x:c>
      <x:c r="J497" s="47" t="n">
        <x:v>10</x:v>
      </x:c>
      <x:c r="K497" s="45" t="n">
        <x:v>-68328</x:v>
      </x:c>
      <x:c r="L497" s="45" t="n">
        <x:v>68328</x:v>
      </x:c>
      <x:c r="M497" s="46" t="n">
        <x:v>43.95</x:v>
      </x:c>
      <x:c r="N497" s="46" t="n">
        <x:v>194.26666666666668</x:v>
      </x:c>
      <x:c r="O497" s="47" t="n">
        <x:v>5</x:v>
      </x:c>
      <x:c r="P497" s="1" t="str">
        <x:v>前回の反転を先着併用</x:v>
      </x:c>
      <x:c r="Q497" s="47" t="n">
        <x:v>0</x:v>
      </x:c>
      <x:c r="R497" s="1" t="str">
        <x:v>デイ</x:v>
      </x:c>
      <x:c r="S497" s="47" t="n">
        <x:v>1</x:v>
      </x:c>
    </x:row>
    <x:row r="498" ht="22" customHeight="1">
      <x:c r="A498" s="1" t="str">
        <x:v>TOPIXmini</x:v>
      </x:c>
      <x:c r="B498" s="1" t="str">
        <x:v>C33</x:v>
      </x:c>
      <x:c r="C498" s="1" t="str">
        <x:v>診断3場</x:v>
      </x:c>
      <x:c r="D498" s="45" t="n">
        <x:v>129498</x:v>
      </x:c>
      <x:c r="E498" s="45" t="n">
        <x:v>54002</x:v>
      </x:c>
      <x:c r="F498" s="45" t="n">
        <x:f>D498-E498</x:f>
        <x:v>75496</x:v>
      </x:c>
      <x:c r="G498" s="47" t="n">
        <x:v>2</x:v>
      </x:c>
      <x:c r="H498" s="47" t="n">
        <x:v>0</x:v>
      </x:c>
      <x:c r="I498" s="45" t="n">
        <x:v>0</x:v>
      </x:c>
      <x:c r="J498" s="47" t="n">
        <x:v>12</x:v>
      </x:c>
      <x:c r="K498" s="45" t="n">
        <x:v>22584</x:v>
      </x:c>
      <x:c r="L498" s="45" t="n">
        <x:v>0</x:v>
      </x:c>
      <x:c r="M498" s="46" t="n">
        <x:v>98.28333333333333</x:v>
      </x:c>
      <x:c r="N498" s="46" t="n">
        <x:v>79.71666666666667</x:v>
      </x:c>
      <x:c r="O498" s="47" t="n">
        <x:v>5</x:v>
      </x:c>
      <x:c r="P498" s="1" t="str">
        <x:v>前回の反転を先着併用</x:v>
      </x:c>
      <x:c r="Q498" s="47" t="n">
        <x:v>0</x:v>
      </x:c>
      <x:c r="R498" s="1" t="str">
        <x:v>ナイト</x:v>
      </x:c>
      <x:c r="S498" s="47" t="n">
        <x:v>2</x:v>
      </x:c>
    </x:row>
    <x:row r="499" ht="22" customHeight="1">
      <x:c r="A499" s="1" t="str">
        <x:v>TOPIXmini</x:v>
      </x:c>
      <x:c r="B499" s="1" t="str">
        <x:v>C33</x:v>
      </x:c>
      <x:c r="C499" s="1" t="str">
        <x:v>診断3場</x:v>
      </x:c>
      <x:c r="D499" s="45" t="n">
        <x:v>40750</x:v>
      </x:c>
      <x:c r="E499" s="45" t="n">
        <x:v>18166</x:v>
      </x:c>
      <x:c r="F499" s="45" t="n">
        <x:f>D499-E499</x:f>
        <x:v>22584</x:v>
      </x:c>
      <x:c r="G499" s="47" t="n">
        <x:v>1</x:v>
      </x:c>
      <x:c r="H499" s="47" t="n">
        <x:v>0</x:v>
      </x:c>
      <x:c r="I499" s="45" t="n">
        <x:v>0</x:v>
      </x:c>
      <x:c r="J499" s="47" t="n">
        <x:v>4</x:v>
      </x:c>
      <x:c r="K499" s="45" t="n">
        <x:v>22584</x:v>
      </x:c>
      <x:c r="L499" s="45" t="n">
        <x:v>0</x:v>
      </x:c>
      <x:c r="M499" s="46" t="n">
        <x:v>125.63333333333334</x:v>
      </x:c>
      <x:c r="N499" s="46" t="n">
        <x:v>75.2</x:v>
      </x:c>
      <x:c r="O499" s="47" t="n">
        <x:v>5</x:v>
      </x:c>
      <x:c r="P499" s="1" t="str">
        <x:v>前回の反転を先着併用</x:v>
      </x:c>
      <x:c r="Q499" s="47" t="n">
        <x:v>0</x:v>
      </x:c>
      <x:c r="R499" s="1" t="str">
        <x:v>上昇</x:v>
      </x:c>
      <x:c r="S499" s="47" t="n">
        <x:v>1</x:v>
      </x:c>
    </x:row>
    <x:row r="500" ht="22" customHeight="1">
      <x:c r="A500" s="1" t="str">
        <x:v>TOPIXmini</x:v>
      </x:c>
      <x:c r="B500" s="1" t="str">
        <x:v>C33</x:v>
      </x:c>
      <x:c r="C500" s="1" t="str">
        <x:v>診断3場</x:v>
      </x:c>
      <x:c r="D500" s="45" t="n">
        <x:v>148084</x:v>
      </x:c>
      <x:c r="E500" s="45" t="n">
        <x:v>163500</x:v>
      </x:c>
      <x:c r="F500" s="45" t="n">
        <x:f>D500-E500</x:f>
        <x:v>-15416</x:v>
      </x:c>
      <x:c r="G500" s="47" t="n">
        <x:v>1</x:v>
      </x:c>
      <x:c r="H500" s="47" t="n">
        <x:v>1</x:v>
      </x:c>
      <x:c r="I500" s="45" t="n">
        <x:v>-68328</x:v>
      </x:c>
      <x:c r="J500" s="47" t="n">
        <x:v>18</x:v>
      </x:c>
      <x:c r="K500" s="45" t="n">
        <x:v>-68328</x:v>
      </x:c>
      <x:c r="L500" s="45" t="n">
        <x:v>68328</x:v>
      </x:c>
      <x:c r="M500" s="46" t="n">
        <x:v>57.44166666666667</x:v>
      </x:c>
      <x:c r="N500" s="46" t="n">
        <x:v>139.25</x:v>
      </x:c>
      <x:c r="O500" s="47" t="n">
        <x:v>5</x:v>
      </x:c>
      <x:c r="P500" s="1" t="str">
        <x:v>前回の反転を先着併用</x:v>
      </x:c>
      <x:c r="Q500" s="47" t="n">
        <x:v>0</x:v>
      </x:c>
      <x:c r="R500" s="1" t="str">
        <x:v>下落</x:v>
      </x:c>
      <x:c r="S500" s="47" t="n">
        <x:v>2</x:v>
      </x:c>
    </x:row>
    <x:row r="501" ht="22" customHeight="1">
      <x:c r="A501" s="1" t="str">
        <x:v>TOPIXmini</x:v>
      </x:c>
      <x:c r="B501" s="1" t="str">
        <x:v>G01</x:v>
      </x:c>
      <x:c r="C501" s="1" t="str">
        <x:v>全50場</x:v>
      </x:c>
      <x:c r="D501" s="45" t="n">
        <x:v>2272472</x:v>
      </x:c>
      <x:c r="E501" s="45" t="n">
        <x:v>1483804</x:v>
      </x:c>
      <x:c r="F501" s="45" t="n">
        <x:f>D501-E501</x:f>
        <x:v>788668</x:v>
      </x:c>
      <x:c r="G501" s="47" t="n">
        <x:v>41</x:v>
      </x:c>
      <x:c r="H501" s="47" t="n">
        <x:v>9</x:v>
      </x:c>
      <x:c r="I501" s="45" t="n">
        <x:v>418922</x:v>
      </x:c>
      <x:c r="J501" s="47" t="n">
        <x:v>152</x:v>
      </x:c>
      <x:c r="K501" s="45" t="n">
        <x:v>-110582</x:v>
      </x:c>
      <x:c r="L501" s="45" t="n">
        <x:v>53945.88888888889</x:v>
      </x:c>
      <x:c r="M501" s="46" t="n">
        <x:v>226.43800000000007</x:v>
      </x:c>
      <x:c r="N501" s="46" t="n">
        <x:v>129.62433333333334</x:v>
      </x:c>
      <x:c r="O501" s="47" t="n">
        <x:v>5</x:v>
      </x:c>
      <x:c r="P501" s="1" t="str">
        <x:v>40分逆方向の単純禁止</x:v>
      </x:c>
      <x:c r="Q501" s="47" t="n">
        <x:v>0</x:v>
      </x:c>
      <x:c r="R501" s="1" t="str">
        <x:v>全場</x:v>
      </x:c>
      <x:c r="S501" s="47" t="n">
        <x:v>50</x:v>
      </x:c>
    </x:row>
    <x:row r="502" ht="22" customHeight="1">
      <x:c r="A502" s="1" t="str">
        <x:v>TOPIXmini</x:v>
      </x:c>
      <x:c r="B502" s="1" t="str">
        <x:v>G01</x:v>
      </x:c>
      <x:c r="C502" s="1" t="str">
        <x:v>全50場</x:v>
      </x:c>
      <x:c r="D502" s="45" t="n">
        <x:v>1315094</x:v>
      </x:c>
      <x:c r="E502" s="45" t="n">
        <x:v>880018</x:v>
      </x:c>
      <x:c r="F502" s="45" t="n">
        <x:f>D502-E502</x:f>
        <x:v>435076</x:v>
      </x:c>
      <x:c r="G502" s="47" t="n">
        <x:v>19</x:v>
      </x:c>
      <x:c r="H502" s="47" t="n">
        <x:v>6</x:v>
      </x:c>
      <x:c r="I502" s="45" t="n">
        <x:v>123161</x:v>
      </x:c>
      <x:c r="J502" s="47" t="n">
        <x:v>78</x:v>
      </x:c>
      <x:c r="K502" s="45" t="n">
        <x:v>-110582</x:v>
      </x:c>
      <x:c r="L502" s="45" t="n">
        <x:v>57000.5</x:v>
      </x:c>
      <x:c r="M502" s="46" t="n">
        <x:v>88.98666666666666</x:v>
      </x:c>
      <x:c r="N502" s="46" t="n">
        <x:v>198.37066666666666</x:v>
      </x:c>
      <x:c r="O502" s="47" t="n">
        <x:v>5</x:v>
      </x:c>
      <x:c r="P502" s="1" t="str">
        <x:v>40分逆方向の単純禁止</x:v>
      </x:c>
      <x:c r="Q502" s="47" t="n">
        <x:v>0</x:v>
      </x:c>
      <x:c r="R502" s="1" t="str">
        <x:v>デイ</x:v>
      </x:c>
      <x:c r="S502" s="47" t="n">
        <x:v>25</x:v>
      </x:c>
    </x:row>
    <x:row r="503" ht="22" customHeight="1">
      <x:c r="A503" s="1" t="str">
        <x:v>TOPIXmini</x:v>
      </x:c>
      <x:c r="B503" s="1" t="str">
        <x:v>G01</x:v>
      </x:c>
      <x:c r="C503" s="1" t="str">
        <x:v>全50場</x:v>
      </x:c>
      <x:c r="D503" s="45" t="n">
        <x:v>957378</x:v>
      </x:c>
      <x:c r="E503" s="45" t="n">
        <x:v>603786</x:v>
      </x:c>
      <x:c r="F503" s="45" t="n">
        <x:f>D503-E503</x:f>
        <x:v>353592</x:v>
      </x:c>
      <x:c r="G503" s="47" t="n">
        <x:v>22</x:v>
      </x:c>
      <x:c r="H503" s="47" t="n">
        <x:v>3</x:v>
      </x:c>
      <x:c r="I503" s="45" t="n">
        <x:v>133182</x:v>
      </x:c>
      <x:c r="J503" s="47" t="n">
        <x:v>74</x:v>
      </x:c>
      <x:c r="K503" s="45" t="n">
        <x:v>-53754</x:v>
      </x:c>
      <x:c r="L503" s="45" t="n">
        <x:v>47836.666666666664</x:v>
      </x:c>
      <x:c r="M503" s="46" t="n">
        <x:v>363.8893333333334</x:v>
      </x:c>
      <x:c r="N503" s="46" t="n">
        <x:v>60.87799999999999</x:v>
      </x:c>
      <x:c r="O503" s="47" t="n">
        <x:v>5</x:v>
      </x:c>
      <x:c r="P503" s="1" t="str">
        <x:v>40分逆方向の単純禁止</x:v>
      </x:c>
      <x:c r="Q503" s="47" t="n">
        <x:v>0</x:v>
      </x:c>
      <x:c r="R503" s="1" t="str">
        <x:v>ナイト</x:v>
      </x:c>
      <x:c r="S503" s="47" t="n">
        <x:v>25</x:v>
      </x:c>
    </x:row>
    <x:row r="504" ht="22" customHeight="1">
      <x:c r="A504" s="1" t="str">
        <x:v>TOPIXmini</x:v>
      </x:c>
      <x:c r="B504" s="1" t="str">
        <x:v>G01</x:v>
      </x:c>
      <x:c r="C504" s="1" t="str">
        <x:v>全50場</x:v>
      </x:c>
      <x:c r="D504" s="45" t="n">
        <x:v>954153</x:v>
      </x:c>
      <x:c r="E504" s="45" t="n">
        <x:v>703194</x:v>
      </x:c>
      <x:c r="F504" s="45" t="n">
        <x:f>D504-E504</x:f>
        <x:v>250959</x:v>
      </x:c>
      <x:c r="G504" s="47" t="n">
        <x:v>18</x:v>
      </x:c>
      <x:c r="H504" s="47" t="n">
        <x:v>6</x:v>
      </x:c>
      <x:c r="I504" s="45" t="n">
        <x:v>47625</x:v>
      </x:c>
      <x:c r="J504" s="47" t="n">
        <x:v>63</x:v>
      </x:c>
      <x:c r="K504" s="45" t="n">
        <x:v>-58502</x:v>
      </x:c>
      <x:c r="L504" s="45" t="n">
        <x:v>44376.666666666664</x:v>
      </x:c>
      <x:c r="M504" s="46" t="n">
        <x:v>229.79722222222222</x:v>
      </x:c>
      <x:c r="N504" s="46" t="n">
        <x:v>121.51041666666667</x:v>
      </x:c>
      <x:c r="O504" s="47" t="n">
        <x:v>5</x:v>
      </x:c>
      <x:c r="P504" s="1" t="str">
        <x:v>40分逆方向の単純禁止</x:v>
      </x:c>
      <x:c r="Q504" s="47" t="n">
        <x:v>0</x:v>
      </x:c>
      <x:c r="R504" s="1" t="str">
        <x:v>上昇</x:v>
      </x:c>
      <x:c r="S504" s="47" t="n">
        <x:v>24</x:v>
      </x:c>
    </x:row>
    <x:row r="505" ht="22" customHeight="1">
      <x:c r="A505" s="1" t="str">
        <x:v>TOPIXmini</x:v>
      </x:c>
      <x:c r="B505" s="1" t="str">
        <x:v>G01</x:v>
      </x:c>
      <x:c r="C505" s="1" t="str">
        <x:v>全50場</x:v>
      </x:c>
      <x:c r="D505" s="45" t="n">
        <x:v>1318319</x:v>
      </x:c>
      <x:c r="E505" s="45" t="n">
        <x:v>780610</x:v>
      </x:c>
      <x:c r="F505" s="45" t="n">
        <x:f>D505-E505</x:f>
        <x:v>537709</x:v>
      </x:c>
      <x:c r="G505" s="47" t="n">
        <x:v>23</x:v>
      </x:c>
      <x:c r="H505" s="47" t="n">
        <x:v>3</x:v>
      </x:c>
      <x:c r="I505" s="45" t="n">
        <x:v>167963</x:v>
      </x:c>
      <x:c r="J505" s="47" t="n">
        <x:v>89</x:v>
      </x:c>
      <x:c r="K505" s="45" t="n">
        <x:v>-110582</x:v>
      </x:c>
      <x:c r="L505" s="45" t="n">
        <x:v>73084.33333333333</x:v>
      </x:c>
      <x:c r="M505" s="46" t="n">
        <x:v>223.33717948717944</x:v>
      </x:c>
      <x:c r="N505" s="46" t="n">
        <x:v>137.11410256410255</x:v>
      </x:c>
      <x:c r="O505" s="47" t="n">
        <x:v>5</x:v>
      </x:c>
      <x:c r="P505" s="1" t="str">
        <x:v>40分逆方向の単純禁止</x:v>
      </x:c>
      <x:c r="Q505" s="47" t="n">
        <x:v>0</x:v>
      </x:c>
      <x:c r="R505" s="1" t="str">
        <x:v>下落</x:v>
      </x:c>
      <x:c r="S505" s="47" t="n">
        <x:v>26</x:v>
      </x:c>
    </x:row>
    <x:row r="506" ht="22" customHeight="1">
      <x:c r="A506" s="1" t="str">
        <x:v>TOPIXmini</x:v>
      </x:c>
      <x:c r="B506" s="1" t="str">
        <x:v>G01</x:v>
      </x:c>
      <x:c r="C506" s="1" t="str">
        <x:v>対照47場</x:v>
      </x:c>
      <x:c r="D506" s="45" t="n">
        <x:v>2141974</x:v>
      </x:c>
      <x:c r="E506" s="45" t="n">
        <x:v>1303718</x:v>
      </x:c>
      <x:c r="F506" s="45" t="n">
        <x:f>D506-E506</x:f>
        <x:v>838256</x:v>
      </x:c>
      <x:c r="G506" s="47" t="n">
        <x:v>39</x:v>
      </x:c>
      <x:c r="H506" s="47" t="n">
        <x:v>8</x:v>
      </x:c>
      <x:c r="I506" s="45" t="n">
        <x:v>468510</x:v>
      </x:c>
      <x:c r="J506" s="47" t="n">
        <x:v>136</x:v>
      </x:c>
      <x:c r="K506" s="45" t="n">
        <x:v>-67835</x:v>
      </x:c>
      <x:c r="L506" s="45" t="n">
        <x:v>46866.375</x:v>
      </x:c>
      <x:c r="M506" s="46" t="n">
        <x:v>228.73617021276593</x:v>
      </x:c>
      <x:c r="N506" s="46" t="n">
        <x:v>131.82304964539009</x:v>
      </x:c>
      <x:c r="O506" s="47" t="n">
        <x:v>5</x:v>
      </x:c>
      <x:c r="P506" s="1" t="str">
        <x:v>40分逆方向の単純禁止</x:v>
      </x:c>
      <x:c r="Q506" s="47" t="n">
        <x:v>0</x:v>
      </x:c>
      <x:c r="R506" s="1" t="str">
        <x:v>全場</x:v>
      </x:c>
      <x:c r="S506" s="47" t="n">
        <x:v>47</x:v>
      </x:c>
    </x:row>
    <x:row r="507" ht="22" customHeight="1">
      <x:c r="A507" s="1" t="str">
        <x:v>TOPIXmini</x:v>
      </x:c>
      <x:c r="B507" s="1" t="str">
        <x:v>G01</x:v>
      </x:c>
      <x:c r="C507" s="1" t="str">
        <x:v>対照47場</x:v>
      </x:c>
      <x:c r="D507" s="45" t="n">
        <x:v>1291592</x:v>
      </x:c>
      <x:c r="E507" s="45" t="n">
        <x:v>745934</x:v>
      </x:c>
      <x:c r="F507" s="45" t="n">
        <x:f>D507-E507</x:f>
        <x:v>545658</x:v>
      </x:c>
      <x:c r="G507" s="47" t="n">
        <x:v>19</x:v>
      </x:c>
      <x:c r="H507" s="47" t="n">
        <x:v>5</x:v>
      </x:c>
      <x:c r="I507" s="45" t="n">
        <x:v>233743</x:v>
      </x:c>
      <x:c r="J507" s="47" t="n">
        <x:v>71</x:v>
      </x:c>
      <x:c r="K507" s="45" t="n">
        <x:v>-67835</x:v>
      </x:c>
      <x:c r="L507" s="45" t="n">
        <x:v>46284.2</x:v>
      </x:c>
      <x:c r="M507" s="46" t="n">
        <x:v>90.22708333333333</x:v>
      </x:c>
      <x:c r="N507" s="46" t="n">
        <x:v>200.49930555555554</x:v>
      </x:c>
      <x:c r="O507" s="47" t="n">
        <x:v>5</x:v>
      </x:c>
      <x:c r="P507" s="1" t="str">
        <x:v>40分逆方向の単純禁止</x:v>
      </x:c>
      <x:c r="Q507" s="47" t="n">
        <x:v>0</x:v>
      </x:c>
      <x:c r="R507" s="1" t="str">
        <x:v>デイ</x:v>
      </x:c>
      <x:c r="S507" s="47" t="n">
        <x:v>24</x:v>
      </x:c>
    </x:row>
    <x:row r="508" ht="22" customHeight="1">
      <x:c r="A508" s="1" t="str">
        <x:v>TOPIXmini</x:v>
      </x:c>
      <x:c r="B508" s="1" t="str">
        <x:v>G01</x:v>
      </x:c>
      <x:c r="C508" s="1" t="str">
        <x:v>対照47場</x:v>
      </x:c>
      <x:c r="D508" s="45" t="n">
        <x:v>850382</x:v>
      </x:c>
      <x:c r="E508" s="45" t="n">
        <x:v>557784</x:v>
      </x:c>
      <x:c r="F508" s="45" t="n">
        <x:f>D508-E508</x:f>
        <x:v>292598</x:v>
      </x:c>
      <x:c r="G508" s="47" t="n">
        <x:v>20</x:v>
      </x:c>
      <x:c r="H508" s="47" t="n">
        <x:v>3</x:v>
      </x:c>
      <x:c r="I508" s="45" t="n">
        <x:v>73358</x:v>
      </x:c>
      <x:c r="J508" s="47" t="n">
        <x:v>65</x:v>
      </x:c>
      <x:c r="K508" s="45" t="n">
        <x:v>-53754</x:v>
      </x:c>
      <x:c r="L508" s="45" t="n">
        <x:v>47836.666666666664</x:v>
      </x:c>
      <x:c r="M508" s="46" t="n">
        <x:v>373.2673913043478</x:v>
      </x:c>
      <x:c r="N508" s="46" t="n">
        <x:v>60.160869565217396</x:v>
      </x:c>
      <x:c r="O508" s="47" t="n">
        <x:v>5</x:v>
      </x:c>
      <x:c r="P508" s="1" t="str">
        <x:v>40分逆方向の単純禁止</x:v>
      </x:c>
      <x:c r="Q508" s="47" t="n">
        <x:v>0</x:v>
      </x:c>
      <x:c r="R508" s="1" t="str">
        <x:v>ナイト</x:v>
      </x:c>
      <x:c r="S508" s="47" t="n">
        <x:v>23</x:v>
      </x:c>
    </x:row>
    <x:row r="509" ht="22" customHeight="1">
      <x:c r="A509" s="1" t="str">
        <x:v>TOPIXmini</x:v>
      </x:c>
      <x:c r="B509" s="1" t="str">
        <x:v>G01</x:v>
      </x:c>
      <x:c r="C509" s="1" t="str">
        <x:v>対照47場</x:v>
      </x:c>
      <x:c r="D509" s="45" t="n">
        <x:v>913403</x:v>
      </x:c>
      <x:c r="E509" s="45" t="n">
        <x:v>703194</x:v>
      </x:c>
      <x:c r="F509" s="45" t="n">
        <x:f>D509-E509</x:f>
        <x:v>210209</x:v>
      </x:c>
      <x:c r="G509" s="47" t="n">
        <x:v>17</x:v>
      </x:c>
      <x:c r="H509" s="47" t="n">
        <x:v>6</x:v>
      </x:c>
      <x:c r="I509" s="45" t="n">
        <x:v>6875</x:v>
      </x:c>
      <x:c r="J509" s="47" t="n">
        <x:v>60</x:v>
      </x:c>
      <x:c r="K509" s="45" t="n">
        <x:v>-58502</x:v>
      </x:c>
      <x:c r="L509" s="45" t="n">
        <x:v>44376.666666666664</x:v>
      </x:c>
      <x:c r="M509" s="46" t="n">
        <x:v>234.22028985507242</x:v>
      </x:c>
      <x:c r="N509" s="46" t="n">
        <x:v>123.0608695652174</x:v>
      </x:c>
      <x:c r="O509" s="47" t="n">
        <x:v>5</x:v>
      </x:c>
      <x:c r="P509" s="1" t="str">
        <x:v>40分逆方向の単純禁止</x:v>
      </x:c>
      <x:c r="Q509" s="47" t="n">
        <x:v>0</x:v>
      </x:c>
      <x:c r="R509" s="1" t="str">
        <x:v>上昇</x:v>
      </x:c>
      <x:c r="S509" s="47" t="n">
        <x:v>23</x:v>
      </x:c>
    </x:row>
    <x:row r="510" ht="22" customHeight="1">
      <x:c r="A510" s="1" t="str">
        <x:v>TOPIXmini</x:v>
      </x:c>
      <x:c r="B510" s="1" t="str">
        <x:v>G01</x:v>
      </x:c>
      <x:c r="C510" s="1" t="str">
        <x:v>対照47場</x:v>
      </x:c>
      <x:c r="D510" s="45" t="n">
        <x:v>1228571</x:v>
      </x:c>
      <x:c r="E510" s="45" t="n">
        <x:v>600524</x:v>
      </x:c>
      <x:c r="F510" s="45" t="n">
        <x:f>D510-E510</x:f>
        <x:v>628047</x:v>
      </x:c>
      <x:c r="G510" s="47" t="n">
        <x:v>22</x:v>
      </x:c>
      <x:c r="H510" s="47" t="n">
        <x:v>2</x:v>
      </x:c>
      <x:c r="I510" s="45" t="n">
        <x:v>258301</x:v>
      </x:c>
      <x:c r="J510" s="47" t="n">
        <x:v>76</x:v>
      </x:c>
      <x:c r="K510" s="45" t="n">
        <x:v>-67835</x:v>
      </x:c>
      <x:c r="L510" s="45" t="n">
        <x:v>54335.5</x:v>
      </x:c>
      <x:c r="M510" s="46" t="n">
        <x:v>223.48055555555553</x:v>
      </x:c>
      <x:c r="N510" s="46" t="n">
        <x:v>140.2201388888889</x:v>
      </x:c>
      <x:c r="O510" s="47" t="n">
        <x:v>5</x:v>
      </x:c>
      <x:c r="P510" s="1" t="str">
        <x:v>40分逆方向の単純禁止</x:v>
      </x:c>
      <x:c r="Q510" s="47" t="n">
        <x:v>0</x:v>
      </x:c>
      <x:c r="R510" s="1" t="str">
        <x:v>下落</x:v>
      </x:c>
      <x:c r="S510" s="47" t="n">
        <x:v>24</x:v>
      </x:c>
    </x:row>
    <x:row r="511" ht="22" customHeight="1">
      <x:c r="A511" s="1" t="str">
        <x:v>TOPIXmini</x:v>
      </x:c>
      <x:c r="B511" s="1" t="str">
        <x:v>G01</x:v>
      </x:c>
      <x:c r="C511" s="1" t="str">
        <x:v>診断3場</x:v>
      </x:c>
      <x:c r="D511" s="45" t="n">
        <x:v>130498</x:v>
      </x:c>
      <x:c r="E511" s="45" t="n">
        <x:v>180086</x:v>
      </x:c>
      <x:c r="F511" s="45" t="n">
        <x:f>D511-E511</x:f>
        <x:v>-49588</x:v>
      </x:c>
      <x:c r="G511" s="47" t="n">
        <x:v>2</x:v>
      </x:c>
      <x:c r="H511" s="47" t="n">
        <x:v>1</x:v>
      </x:c>
      <x:c r="I511" s="45" t="n">
        <x:v>-110582</x:v>
      </x:c>
      <x:c r="J511" s="47" t="n">
        <x:v>16</x:v>
      </x:c>
      <x:c r="K511" s="45" t="n">
        <x:v>-110582</x:v>
      </x:c>
      <x:c r="L511" s="45" t="n">
        <x:v>110582</x:v>
      </x:c>
      <x:c r="M511" s="46" t="n">
        <x:v>190.4333333333333</x:v>
      </x:c>
      <x:c r="N511" s="46" t="n">
        <x:v>95.17777777777776</x:v>
      </x:c>
      <x:c r="O511" s="47" t="n">
        <x:v>5</x:v>
      </x:c>
      <x:c r="P511" s="1" t="str">
        <x:v>40分逆方向の単純禁止</x:v>
      </x:c>
      <x:c r="Q511" s="47" t="n">
        <x:v>0</x:v>
      </x:c>
      <x:c r="R511" s="1" t="str">
        <x:v>全場</x:v>
      </x:c>
      <x:c r="S511" s="47" t="n">
        <x:v>3</x:v>
      </x:c>
    </x:row>
    <x:row r="512" ht="22" customHeight="1">
      <x:c r="A512" s="1" t="str">
        <x:v>TOPIXmini</x:v>
      </x:c>
      <x:c r="B512" s="1" t="str">
        <x:v>G01</x:v>
      </x:c>
      <x:c r="C512" s="1" t="str">
        <x:v>診断3場</x:v>
      </x:c>
      <x:c r="D512" s="45" t="n">
        <x:v>23502</x:v>
      </x:c>
      <x:c r="E512" s="45" t="n">
        <x:v>134084</x:v>
      </x:c>
      <x:c r="F512" s="45" t="n">
        <x:f>D512-E512</x:f>
        <x:v>-110582</x:v>
      </x:c>
      <x:c r="G512" s="47" t="n">
        <x:v>0</x:v>
      </x:c>
      <x:c r="H512" s="47" t="n">
        <x:v>1</x:v>
      </x:c>
      <x:c r="I512" s="45" t="n">
        <x:v>-110582</x:v>
      </x:c>
      <x:c r="J512" s="47" t="n">
        <x:v>7</x:v>
      </x:c>
      <x:c r="K512" s="45" t="n">
        <x:v>-110582</x:v>
      </x:c>
      <x:c r="L512" s="45" t="n">
        <x:v>110582</x:v>
      </x:c>
      <x:c r="M512" s="46" t="n">
        <x:v>59.21666666666667</x:v>
      </x:c>
      <x:c r="N512" s="46" t="n">
        <x:v>147.28333333333333</x:v>
      </x:c>
      <x:c r="O512" s="47" t="n">
        <x:v>5</x:v>
      </x:c>
      <x:c r="P512" s="1" t="str">
        <x:v>40分逆方向の単純禁止</x:v>
      </x:c>
      <x:c r="Q512" s="47" t="n">
        <x:v>0</x:v>
      </x:c>
      <x:c r="R512" s="1" t="str">
        <x:v>デイ</x:v>
      </x:c>
      <x:c r="S512" s="47" t="n">
        <x:v>1</x:v>
      </x:c>
    </x:row>
    <x:row r="513" ht="22" customHeight="1">
      <x:c r="A513" s="1" t="str">
        <x:v>TOPIXmini</x:v>
      </x:c>
      <x:c r="B513" s="1" t="str">
        <x:v>G01</x:v>
      </x:c>
      <x:c r="C513" s="1" t="str">
        <x:v>診断3場</x:v>
      </x:c>
      <x:c r="D513" s="45" t="n">
        <x:v>106996</x:v>
      </x:c>
      <x:c r="E513" s="45" t="n">
        <x:v>46002</x:v>
      </x:c>
      <x:c r="F513" s="45" t="n">
        <x:f>D513-E513</x:f>
        <x:v>60994</x:v>
      </x:c>
      <x:c r="G513" s="47" t="n">
        <x:v>2</x:v>
      </x:c>
      <x:c r="H513" s="47" t="n">
        <x:v>0</x:v>
      </x:c>
      <x:c r="I513" s="45" t="n">
        <x:v>0</x:v>
      </x:c>
      <x:c r="J513" s="47" t="n">
        <x:v>9</x:v>
      </x:c>
      <x:c r="K513" s="45" t="n">
        <x:v>20244</x:v>
      </x:c>
      <x:c r="L513" s="45" t="n">
        <x:v>0</x:v>
      </x:c>
      <x:c r="M513" s="46" t="n">
        <x:v>256.04166666666663</x:v>
      </x:c>
      <x:c r="N513" s="46" t="n">
        <x:v>69.125</x:v>
      </x:c>
      <x:c r="O513" s="47" t="n">
        <x:v>5</x:v>
      </x:c>
      <x:c r="P513" s="1" t="str">
        <x:v>40分逆方向の単純禁止</x:v>
      </x:c>
      <x:c r="Q513" s="47" t="n">
        <x:v>0</x:v>
      </x:c>
      <x:c r="R513" s="1" t="str">
        <x:v>ナイト</x:v>
      </x:c>
      <x:c r="S513" s="47" t="n">
        <x:v>2</x:v>
      </x:c>
    </x:row>
    <x:row r="514" ht="22" customHeight="1">
      <x:c r="A514" s="1" t="str">
        <x:v>TOPIXmini</x:v>
      </x:c>
      <x:c r="B514" s="1" t="str">
        <x:v>G01</x:v>
      </x:c>
      <x:c r="C514" s="1" t="str">
        <x:v>診断3場</x:v>
      </x:c>
      <x:c r="D514" s="45" t="n">
        <x:v>40750</x:v>
      </x:c>
      <x:c r="E514" s="45" t="n">
        <x:v>0</x:v>
      </x:c>
      <x:c r="F514" s="45" t="n">
        <x:f>D514-E514</x:f>
        <x:v>40750</x:v>
      </x:c>
      <x:c r="G514" s="47" t="n">
        <x:v>1</x:v>
      </x:c>
      <x:c r="H514" s="47" t="n">
        <x:v>0</x:v>
      </x:c>
      <x:c r="I514" s="45" t="n">
        <x:v>0</x:v>
      </x:c>
      <x:c r="J514" s="47" t="n">
        <x:v>3</x:v>
      </x:c>
      <x:c r="K514" s="45" t="n">
        <x:v>40750</x:v>
      </x:c>
      <x:c r="L514" s="45" t="n">
        <x:v>0</x:v>
      </x:c>
      <x:c r="M514" s="46" t="n">
        <x:v>128.06666666666666</x:v>
      </x:c>
      <x:c r="N514" s="46" t="n">
        <x:v>85.85</x:v>
      </x:c>
      <x:c r="O514" s="47" t="n">
        <x:v>5</x:v>
      </x:c>
      <x:c r="P514" s="1" t="str">
        <x:v>40分逆方向の単純禁止</x:v>
      </x:c>
      <x:c r="Q514" s="47" t="n">
        <x:v>0</x:v>
      </x:c>
      <x:c r="R514" s="1" t="str">
        <x:v>上昇</x:v>
      </x:c>
      <x:c r="S514" s="47" t="n">
        <x:v>1</x:v>
      </x:c>
    </x:row>
    <x:row r="515" ht="22" customHeight="1">
      <x:c r="A515" s="1" t="str">
        <x:v>TOPIXmini</x:v>
      </x:c>
      <x:c r="B515" s="1" t="str">
        <x:v>G01</x:v>
      </x:c>
      <x:c r="C515" s="1" t="str">
        <x:v>診断3場</x:v>
      </x:c>
      <x:c r="D515" s="45" t="n">
        <x:v>89748</x:v>
      </x:c>
      <x:c r="E515" s="45" t="n">
        <x:v>180086</x:v>
      </x:c>
      <x:c r="F515" s="45" t="n">
        <x:f>D515-E515</x:f>
        <x:v>-90338</x:v>
      </x:c>
      <x:c r="G515" s="47" t="n">
        <x:v>1</x:v>
      </x:c>
      <x:c r="H515" s="47" t="n">
        <x:v>1</x:v>
      </x:c>
      <x:c r="I515" s="45" t="n">
        <x:v>-110582</x:v>
      </x:c>
      <x:c r="J515" s="47" t="n">
        <x:v>13</x:v>
      </x:c>
      <x:c r="K515" s="45" t="n">
        <x:v>-110582</x:v>
      </x:c>
      <x:c r="L515" s="45" t="n">
        <x:v>110582</x:v>
      </x:c>
      <x:c r="M515" s="46" t="n">
        <x:v>221.61666666666667</x:v>
      </x:c>
      <x:c r="N515" s="46" t="n">
        <x:v>99.84166666666667</x:v>
      </x:c>
      <x:c r="O515" s="47" t="n">
        <x:v>5</x:v>
      </x:c>
      <x:c r="P515" s="1" t="str">
        <x:v>40分逆方向の単純禁止</x:v>
      </x:c>
      <x:c r="Q515" s="47" t="n">
        <x:v>0</x:v>
      </x:c>
      <x:c r="R515" s="1" t="str">
        <x:v>下落</x:v>
      </x:c>
      <x:c r="S515" s="47" t="n">
        <x:v>2</x:v>
      </x:c>
    </x:row>
    <x:row r="516" ht="22" customHeight="1">
      <x:c r="A516" s="1" t="str">
        <x:v>TOPIXmini</x:v>
      </x:c>
      <x:c r="B516" s="1" t="str">
        <x:v>G02</x:v>
      </x:c>
      <x:c r="C516" s="1" t="str">
        <x:v>全50場</x:v>
      </x:c>
      <x:c r="D516" s="45" t="n">
        <x:v>2354974</x:v>
      </x:c>
      <x:c r="E516" s="45" t="n">
        <x:v>1627299</x:v>
      </x:c>
      <x:c r="F516" s="45" t="n">
        <x:f>D516-E516</x:f>
        <x:v>727675</x:v>
      </x:c>
      <x:c r="G516" s="47" t="n">
        <x:v>37</x:v>
      </x:c>
      <x:c r="H516" s="47" t="n">
        <x:v>13</x:v>
      </x:c>
      <x:c r="I516" s="45" t="n">
        <x:v>376597</x:v>
      </x:c>
      <x:c r="J516" s="47" t="n">
        <x:v>167</x:v>
      </x:c>
      <x:c r="K516" s="45" t="n">
        <x:v>-81996</x:v>
      </x:c>
      <x:c r="L516" s="45" t="n">
        <x:v>38769.846153846156</x:v>
      </x:c>
      <x:c r="M516" s="46" t="n">
        <x:v>199.60933333333335</x:v>
      </x:c>
      <x:c r="N516" s="46" t="n">
        <x:v>135.892</x:v>
      </x:c>
      <x:c r="O516" s="47" t="n">
        <x:v>5</x:v>
      </x:c>
      <x:c r="P516" s="1" t="str">
        <x:v>安値切上げ・高値切下げの再進行</x:v>
      </x:c>
      <x:c r="Q516" s="47" t="n">
        <x:v>0</x:v>
      </x:c>
      <x:c r="R516" s="1" t="str">
        <x:v>全場</x:v>
      </x:c>
      <x:c r="S516" s="47" t="n">
        <x:v>50</x:v>
      </x:c>
    </x:row>
    <x:row r="517" ht="22" customHeight="1">
      <x:c r="A517" s="1" t="str">
        <x:v>TOPIXmini</x:v>
      </x:c>
      <x:c r="B517" s="1" t="str">
        <x:v>G02</x:v>
      </x:c>
      <x:c r="C517" s="1" t="str">
        <x:v>全50場</x:v>
      </x:c>
      <x:c r="D517" s="45" t="n">
        <x:v>1319426</x:v>
      </x:c>
      <x:c r="E517" s="45" t="n">
        <x:v>968849</x:v>
      </x:c>
      <x:c r="F517" s="45" t="n">
        <x:f>D517-E517</x:f>
        <x:v>350577</x:v>
      </x:c>
      <x:c r="G517" s="47" t="n">
        <x:v>15</x:v>
      </x:c>
      <x:c r="H517" s="47" t="n">
        <x:v>10</x:v>
      </x:c>
      <x:c r="I517" s="45" t="n">
        <x:v>31995</x:v>
      </x:c>
      <x:c r="J517" s="47" t="n">
        <x:v>84</x:v>
      </x:c>
      <x:c r="K517" s="45" t="n">
        <x:v>-81996</x:v>
      </x:c>
      <x:c r="L517" s="45" t="n">
        <x:v>38833.2</x:v>
      </x:c>
      <x:c r="M517" s="46" t="n">
        <x:v>87.81933333333332</x:v>
      </x:c>
      <x:c r="N517" s="46" t="n">
        <x:v>201.864</x:v>
      </x:c>
      <x:c r="O517" s="47" t="n">
        <x:v>5</x:v>
      </x:c>
      <x:c r="P517" s="1" t="str">
        <x:v>安値切上げ・高値切下げの再進行</x:v>
      </x:c>
      <x:c r="Q517" s="47" t="n">
        <x:v>0</x:v>
      </x:c>
      <x:c r="R517" s="1" t="str">
        <x:v>デイ</x:v>
      </x:c>
      <x:c r="S517" s="47" t="n">
        <x:v>25</x:v>
      </x:c>
    </x:row>
    <x:row r="518" ht="22" customHeight="1">
      <x:c r="A518" s="1" t="str">
        <x:v>TOPIXmini</x:v>
      </x:c>
      <x:c r="B518" s="1" t="str">
        <x:v>G02</x:v>
      </x:c>
      <x:c r="C518" s="1" t="str">
        <x:v>全50場</x:v>
      </x:c>
      <x:c r="D518" s="45" t="n">
        <x:v>1035548</x:v>
      </x:c>
      <x:c r="E518" s="45" t="n">
        <x:v>658450</x:v>
      </x:c>
      <x:c r="F518" s="45" t="n">
        <x:f>D518-E518</x:f>
        <x:v>377098</x:v>
      </x:c>
      <x:c r="G518" s="47" t="n">
        <x:v>22</x:v>
      </x:c>
      <x:c r="H518" s="47" t="n">
        <x:v>3</x:v>
      </x:c>
      <x:c r="I518" s="45" t="n">
        <x:v>170694</x:v>
      </x:c>
      <x:c r="J518" s="47" t="n">
        <x:v>83</x:v>
      </x:c>
      <x:c r="K518" s="45" t="n">
        <x:v>-40836</x:v>
      </x:c>
      <x:c r="L518" s="45" t="n">
        <x:v>38558.666666666664</x:v>
      </x:c>
      <x:c r="M518" s="46" t="n">
        <x:v>311.3993333333333</x:v>
      </x:c>
      <x:c r="N518" s="46" t="n">
        <x:v>69.91999999999999</x:v>
      </x:c>
      <x:c r="O518" s="47" t="n">
        <x:v>5</x:v>
      </x:c>
      <x:c r="P518" s="1" t="str">
        <x:v>安値切上げ・高値切下げの再進行</x:v>
      </x:c>
      <x:c r="Q518" s="47" t="n">
        <x:v>0</x:v>
      </x:c>
      <x:c r="R518" s="1" t="str">
        <x:v>ナイト</x:v>
      </x:c>
      <x:c r="S518" s="47" t="n">
        <x:v>25</x:v>
      </x:c>
    </x:row>
    <x:row r="519" ht="22" customHeight="1">
      <x:c r="A519" s="1" t="str">
        <x:v>TOPIXmini</x:v>
      </x:c>
      <x:c r="B519" s="1" t="str">
        <x:v>G02</x:v>
      </x:c>
      <x:c r="C519" s="1" t="str">
        <x:v>全50場</x:v>
      </x:c>
      <x:c r="D519" s="45" t="n">
        <x:v>1006655</x:v>
      </x:c>
      <x:c r="E519" s="45" t="n">
        <x:v>800780</x:v>
      </x:c>
      <x:c r="F519" s="45" t="n">
        <x:f>D519-E519</x:f>
        <x:v>205875</x:v>
      </x:c>
      <x:c r="G519" s="47" t="n">
        <x:v>17</x:v>
      </x:c>
      <x:c r="H519" s="47" t="n">
        <x:v>7</x:v>
      </x:c>
      <x:c r="I519" s="45" t="n">
        <x:v>-30791</x:v>
      </x:c>
      <x:c r="J519" s="47" t="n">
        <x:v>71</x:v>
      </x:c>
      <x:c r="K519" s="45" t="n">
        <x:v>-70670</x:v>
      </x:c>
      <x:c r="L519" s="45" t="n">
        <x:v>43787.142857142855</x:v>
      </x:c>
      <x:c r="M519" s="46" t="n">
        <x:v>205.46319444444444</x:v>
      </x:c>
      <x:c r="N519" s="46" t="n">
        <x:v>131.20277777777778</x:v>
      </x:c>
      <x:c r="O519" s="47" t="n">
        <x:v>5</x:v>
      </x:c>
      <x:c r="P519" s="1" t="str">
        <x:v>安値切上げ・高値切下げの再進行</x:v>
      </x:c>
      <x:c r="Q519" s="47" t="n">
        <x:v>0</x:v>
      </x:c>
      <x:c r="R519" s="1" t="str">
        <x:v>上昇</x:v>
      </x:c>
      <x:c r="S519" s="47" t="n">
        <x:v>24</x:v>
      </x:c>
    </x:row>
    <x:row r="520" ht="22" customHeight="1">
      <x:c r="A520" s="1" t="str">
        <x:v>TOPIXmini</x:v>
      </x:c>
      <x:c r="B520" s="1" t="str">
        <x:v>G02</x:v>
      </x:c>
      <x:c r="C520" s="1" t="str">
        <x:v>全50場</x:v>
      </x:c>
      <x:c r="D520" s="45" t="n">
        <x:v>1348319</x:v>
      </x:c>
      <x:c r="E520" s="45" t="n">
        <x:v>826519</x:v>
      </x:c>
      <x:c r="F520" s="45" t="n">
        <x:f>D520-E520</x:f>
        <x:v>521800</x:v>
      </x:c>
      <x:c r="G520" s="47" t="n">
        <x:v>20</x:v>
      </x:c>
      <x:c r="H520" s="47" t="n">
        <x:v>6</x:v>
      </x:c>
      <x:c r="I520" s="45" t="n">
        <x:v>170722</x:v>
      </x:c>
      <x:c r="J520" s="47" t="n">
        <x:v>96</x:v>
      </x:c>
      <x:c r="K520" s="45" t="n">
        <x:v>-81996</x:v>
      </x:c>
      <x:c r="L520" s="45" t="n">
        <x:v>32916.333333333336</x:v>
      </x:c>
      <x:c r="M520" s="46" t="n">
        <x:v>194.20576923076922</x:v>
      </x:c>
      <x:c r="N520" s="46" t="n">
        <x:v>140.22051282051282</x:v>
      </x:c>
      <x:c r="O520" s="47" t="n">
        <x:v>5</x:v>
      </x:c>
      <x:c r="P520" s="1" t="str">
        <x:v>安値切上げ・高値切下げの再進行</x:v>
      </x:c>
      <x:c r="Q520" s="47" t="n">
        <x:v>0</x:v>
      </x:c>
      <x:c r="R520" s="1" t="str">
        <x:v>下落</x:v>
      </x:c>
      <x:c r="S520" s="47" t="n">
        <x:v>26</x:v>
      </x:c>
    </x:row>
    <x:row r="521" ht="22" customHeight="1">
      <x:c r="A521" s="1" t="str">
        <x:v>TOPIXmini</x:v>
      </x:c>
      <x:c r="B521" s="1" t="str">
        <x:v>G02</x:v>
      </x:c>
      <x:c r="C521" s="1" t="str">
        <x:v>対照47場</x:v>
      </x:c>
      <x:c r="D521" s="45" t="n">
        <x:v>2185642</x:v>
      </x:c>
      <x:c r="E521" s="45" t="n">
        <x:v>1434467</x:v>
      </x:c>
      <x:c r="F521" s="45" t="n">
        <x:f>D521-E521</x:f>
        <x:v>751175</x:v>
      </x:c>
      <x:c r="G521" s="47" t="n">
        <x:v>35</x:v>
      </x:c>
      <x:c r="H521" s="47" t="n">
        <x:v>12</x:v>
      </x:c>
      <x:c r="I521" s="45" t="n">
        <x:v>400097</x:v>
      </x:c>
      <x:c r="J521" s="47" t="n">
        <x:v>147</x:v>
      </x:c>
      <x:c r="K521" s="45" t="n">
        <x:v>-70670</x:v>
      </x:c>
      <x:c r="L521" s="45" t="n">
        <x:v>35167.666666666664</x:v>
      </x:c>
      <x:c r="M521" s="46" t="n">
        <x:v>207.2173758865248</x:v>
      </x:c>
      <x:c r="N521" s="46" t="n">
        <x:v>137.34539007092198</x:v>
      </x:c>
      <x:c r="O521" s="47" t="n">
        <x:v>5</x:v>
      </x:c>
      <x:c r="P521" s="1" t="str">
        <x:v>安値切上げ・高値切下げの再進行</x:v>
      </x:c>
      <x:c r="Q521" s="47" t="n">
        <x:v>0</x:v>
      </x:c>
      <x:c r="R521" s="1" t="str">
        <x:v>全場</x:v>
      </x:c>
      <x:c r="S521" s="47" t="n">
        <x:v>47</x:v>
      </x:c>
    </x:row>
    <x:row r="522" ht="22" customHeight="1">
      <x:c r="A522" s="1" t="str">
        <x:v>TOPIXmini</x:v>
      </x:c>
      <x:c r="B522" s="1" t="str">
        <x:v>G02</x:v>
      </x:c>
      <x:c r="C522" s="1" t="str">
        <x:v>対照47場</x:v>
      </x:c>
      <x:c r="D522" s="45" t="n">
        <x:v>1272758</x:v>
      </x:c>
      <x:c r="E522" s="45" t="n">
        <x:v>840185</x:v>
      </x:c>
      <x:c r="F522" s="45" t="n">
        <x:f>D522-E522</x:f>
        <x:v>432573</x:v>
      </x:c>
      <x:c r="G522" s="47" t="n">
        <x:v>15</x:v>
      </x:c>
      <x:c r="H522" s="47" t="n">
        <x:v>9</x:v>
      </x:c>
      <x:c r="I522" s="45" t="n">
        <x:v>113991</x:v>
      </x:c>
      <x:c r="J522" s="47" t="n">
        <x:v>76</x:v>
      </x:c>
      <x:c r="K522" s="45" t="n">
        <x:v>-70670</x:v>
      </x:c>
      <x:c r="L522" s="45" t="n">
        <x:v>34037.333333333336</x:v>
      </x:c>
      <x:c r="M522" s="46" t="n">
        <x:v>89.64722222222223</x:v>
      </x:c>
      <x:c r="N522" s="46" t="n">
        <x:v>202.7326388888889</x:v>
      </x:c>
      <x:c r="O522" s="47" t="n">
        <x:v>5</x:v>
      </x:c>
      <x:c r="P522" s="1" t="str">
        <x:v>安値切上げ・高値切下げの再進行</x:v>
      </x:c>
      <x:c r="Q522" s="47" t="n">
        <x:v>0</x:v>
      </x:c>
      <x:c r="R522" s="1" t="str">
        <x:v>デイ</x:v>
      </x:c>
      <x:c r="S522" s="47" t="n">
        <x:v>24</x:v>
      </x:c>
    </x:row>
    <x:row r="523" ht="22" customHeight="1">
      <x:c r="A523" s="1" t="str">
        <x:v>TOPIXmini</x:v>
      </x:c>
      <x:c r="B523" s="1" t="str">
        <x:v>G02</x:v>
      </x:c>
      <x:c r="C523" s="1" t="str">
        <x:v>対照47場</x:v>
      </x:c>
      <x:c r="D523" s="45" t="n">
        <x:v>912884</x:v>
      </x:c>
      <x:c r="E523" s="45" t="n">
        <x:v>594282</x:v>
      </x:c>
      <x:c r="F523" s="45" t="n">
        <x:f>D523-E523</x:f>
        <x:v>318602</x:v>
      </x:c>
      <x:c r="G523" s="47" t="n">
        <x:v>20</x:v>
      </x:c>
      <x:c r="H523" s="47" t="n">
        <x:v>3</x:v>
      </x:c>
      <x:c r="I523" s="45" t="n">
        <x:v>112198</x:v>
      </x:c>
      <x:c r="J523" s="47" t="n">
        <x:v>71</x:v>
      </x:c>
      <x:c r="K523" s="45" t="n">
        <x:v>-40836</x:v>
      </x:c>
      <x:c r="L523" s="45" t="n">
        <x:v>38558.666666666664</x:v>
      </x:c>
      <x:c r="M523" s="46" t="n">
        <x:v>329.8992753623188</x:v>
      </x:c>
      <x:c r="N523" s="46" t="n">
        <x:v>69.11521739130434</x:v>
      </x:c>
      <x:c r="O523" s="47" t="n">
        <x:v>5</x:v>
      </x:c>
      <x:c r="P523" s="1" t="str">
        <x:v>安値切上げ・高値切下げの再進行</x:v>
      </x:c>
      <x:c r="Q523" s="47" t="n">
        <x:v>0</x:v>
      </x:c>
      <x:c r="R523" s="1" t="str">
        <x:v>ナイト</x:v>
      </x:c>
      <x:c r="S523" s="47" t="n">
        <x:v>23</x:v>
      </x:c>
    </x:row>
    <x:row r="524" ht="22" customHeight="1">
      <x:c r="A524" s="1" t="str">
        <x:v>TOPIXmini</x:v>
      </x:c>
      <x:c r="B524" s="1" t="str">
        <x:v>G02</x:v>
      </x:c>
      <x:c r="C524" s="1" t="str">
        <x:v>対照47場</x:v>
      </x:c>
      <x:c r="D524" s="45" t="n">
        <x:v>966905</x:v>
      </x:c>
      <x:c r="E524" s="45" t="n">
        <x:v>782614</x:v>
      </x:c>
      <x:c r="F524" s="45" t="n">
        <x:f>D524-E524</x:f>
        <x:v>184291</x:v>
      </x:c>
      <x:c r="G524" s="47" t="n">
        <x:v>16</x:v>
      </x:c>
      <x:c r="H524" s="47" t="n">
        <x:v>7</x:v>
      </x:c>
      <x:c r="I524" s="45" t="n">
        <x:v>-52375</x:v>
      </x:c>
      <x:c r="J524" s="47" t="n">
        <x:v>67</x:v>
      </x:c>
      <x:c r="K524" s="45" t="n">
        <x:v>-70670</x:v>
      </x:c>
      <x:c r="L524" s="45" t="n">
        <x:v>43787.142857142855</x:v>
      </x:c>
      <x:c r="M524" s="46" t="n">
        <x:v>208.91956521739132</x:v>
      </x:c>
      <x:c r="N524" s="46" t="n">
        <x:v>133.6521739130435</x:v>
      </x:c>
      <x:c r="O524" s="47" t="n">
        <x:v>5</x:v>
      </x:c>
      <x:c r="P524" s="1" t="str">
        <x:v>安値切上げ・高値切下げの再進行</x:v>
      </x:c>
      <x:c r="Q524" s="47" t="n">
        <x:v>0</x:v>
      </x:c>
      <x:c r="R524" s="1" t="str">
        <x:v>上昇</x:v>
      </x:c>
      <x:c r="S524" s="47" t="n">
        <x:v>23</x:v>
      </x:c>
    </x:row>
    <x:row r="525" ht="22" customHeight="1">
      <x:c r="A525" s="1" t="str">
        <x:v>TOPIXmini</x:v>
      </x:c>
      <x:c r="B525" s="1" t="str">
        <x:v>G02</x:v>
      </x:c>
      <x:c r="C525" s="1" t="str">
        <x:v>対照47場</x:v>
      </x:c>
      <x:c r="D525" s="45" t="n">
        <x:v>1218737</x:v>
      </x:c>
      <x:c r="E525" s="45" t="n">
        <x:v>651853</x:v>
      </x:c>
      <x:c r="F525" s="45" t="n">
        <x:f>D525-E525</x:f>
        <x:v>566884</x:v>
      </x:c>
      <x:c r="G525" s="47" t="n">
        <x:v>19</x:v>
      </x:c>
      <x:c r="H525" s="47" t="n">
        <x:v>5</x:v>
      </x:c>
      <x:c r="I525" s="45" t="n">
        <x:v>215806</x:v>
      </x:c>
      <x:c r="J525" s="47" t="n">
        <x:v>80</x:v>
      </x:c>
      <x:c r="K525" s="45" t="n">
        <x:v>-40836</x:v>
      </x:c>
      <x:c r="L525" s="45" t="n">
        <x:v>23100.4</x:v>
      </x:c>
      <x:c r="M525" s="46" t="n">
        <x:v>205.5861111111111</x:v>
      </x:c>
      <x:c r="N525" s="46" t="n">
        <x:v>140.88472222222222</x:v>
      </x:c>
      <x:c r="O525" s="47" t="n">
        <x:v>5</x:v>
      </x:c>
      <x:c r="P525" s="1" t="str">
        <x:v>安値切上げ・高値切下げの再進行</x:v>
      </x:c>
      <x:c r="Q525" s="47" t="n">
        <x:v>0</x:v>
      </x:c>
      <x:c r="R525" s="1" t="str">
        <x:v>下落</x:v>
      </x:c>
      <x:c r="S525" s="47" t="n">
        <x:v>24</x:v>
      </x:c>
    </x:row>
    <x:row r="526" ht="22" customHeight="1">
      <x:c r="A526" s="1" t="str">
        <x:v>TOPIXmini</x:v>
      </x:c>
      <x:c r="B526" s="1" t="str">
        <x:v>G02</x:v>
      </x:c>
      <x:c r="C526" s="1" t="str">
        <x:v>診断3場</x:v>
      </x:c>
      <x:c r="D526" s="45" t="n">
        <x:v>169332</x:v>
      </x:c>
      <x:c r="E526" s="45" t="n">
        <x:v>192832</x:v>
      </x:c>
      <x:c r="F526" s="45" t="n">
        <x:f>D526-E526</x:f>
        <x:v>-23500</x:v>
      </x:c>
      <x:c r="G526" s="47" t="n">
        <x:v>2</x:v>
      </x:c>
      <x:c r="H526" s="47" t="n">
        <x:v>1</x:v>
      </x:c>
      <x:c r="I526" s="45" t="n">
        <x:v>-81996</x:v>
      </x:c>
      <x:c r="J526" s="47" t="n">
        <x:v>20</x:v>
      </x:c>
      <x:c r="K526" s="45" t="n">
        <x:v>-81996</x:v>
      </x:c>
      <x:c r="L526" s="45" t="n">
        <x:v>81996</x:v>
      </x:c>
      <x:c r="M526" s="46" t="n">
        <x:v>80.41666666666667</x:v>
      </x:c>
      <x:c r="N526" s="46" t="n">
        <x:v>113.12222222222222</x:v>
      </x:c>
      <x:c r="O526" s="47" t="n">
        <x:v>5</x:v>
      </x:c>
      <x:c r="P526" s="1" t="str">
        <x:v>安値切上げ・高値切下げの再進行</x:v>
      </x:c>
      <x:c r="Q526" s="47" t="n">
        <x:v>0</x:v>
      </x:c>
      <x:c r="R526" s="1" t="str">
        <x:v>全場</x:v>
      </x:c>
      <x:c r="S526" s="47" t="n">
        <x:v>3</x:v>
      </x:c>
    </x:row>
    <x:row r="527" ht="22" customHeight="1">
      <x:c r="A527" s="1" t="str">
        <x:v>TOPIXmini</x:v>
      </x:c>
      <x:c r="B527" s="1" t="str">
        <x:v>G02</x:v>
      </x:c>
      <x:c r="C527" s="1" t="str">
        <x:v>診断3場</x:v>
      </x:c>
      <x:c r="D527" s="45" t="n">
        <x:v>46668</x:v>
      </x:c>
      <x:c r="E527" s="45" t="n">
        <x:v>128664</x:v>
      </x:c>
      <x:c r="F527" s="45" t="n">
        <x:f>D527-E527</x:f>
        <x:v>-81996</x:v>
      </x:c>
      <x:c r="G527" s="47" t="n">
        <x:v>0</x:v>
      </x:c>
      <x:c r="H527" s="47" t="n">
        <x:v>1</x:v>
      </x:c>
      <x:c r="I527" s="45" t="n">
        <x:v>-81996</x:v>
      </x:c>
      <x:c r="J527" s="47" t="n">
        <x:v>8</x:v>
      </x:c>
      <x:c r="K527" s="45" t="n">
        <x:v>-81996</x:v>
      </x:c>
      <x:c r="L527" s="45" t="n">
        <x:v>81996</x:v>
      </x:c>
      <x:c r="M527" s="46" t="n">
        <x:v>43.95</x:v>
      </x:c>
      <x:c r="N527" s="46" t="n">
        <x:v>181.01666666666668</x:v>
      </x:c>
      <x:c r="O527" s="47" t="n">
        <x:v>5</x:v>
      </x:c>
      <x:c r="P527" s="1" t="str">
        <x:v>安値切上げ・高値切下げの再進行</x:v>
      </x:c>
      <x:c r="Q527" s="47" t="n">
        <x:v>0</x:v>
      </x:c>
      <x:c r="R527" s="1" t="str">
        <x:v>デイ</x:v>
      </x:c>
      <x:c r="S527" s="47" t="n">
        <x:v>1</x:v>
      </x:c>
    </x:row>
    <x:row r="528" ht="22" customHeight="1">
      <x:c r="A528" s="1" t="str">
        <x:v>TOPIXmini</x:v>
      </x:c>
      <x:c r="B528" s="1" t="str">
        <x:v>G02</x:v>
      </x:c>
      <x:c r="C528" s="1" t="str">
        <x:v>診断3場</x:v>
      </x:c>
      <x:c r="D528" s="45" t="n">
        <x:v>122664</x:v>
      </x:c>
      <x:c r="E528" s="45" t="n">
        <x:v>64168</x:v>
      </x:c>
      <x:c r="F528" s="45" t="n">
        <x:f>D528-E528</x:f>
        <x:v>58496</x:v>
      </x:c>
      <x:c r="G528" s="47" t="n">
        <x:v>2</x:v>
      </x:c>
      <x:c r="H528" s="47" t="n">
        <x:v>0</x:v>
      </x:c>
      <x:c r="I528" s="45" t="n">
        <x:v>0</x:v>
      </x:c>
      <x:c r="J528" s="47" t="n">
        <x:v>12</x:v>
      </x:c>
      <x:c r="K528" s="45" t="n">
        <x:v>21584</x:v>
      </x:c>
      <x:c r="L528" s="45" t="n">
        <x:v>0</x:v>
      </x:c>
      <x:c r="M528" s="46" t="n">
        <x:v>98.65</x:v>
      </x:c>
      <x:c r="N528" s="46" t="n">
        <x:v>79.175</x:v>
      </x:c>
      <x:c r="O528" s="47" t="n">
        <x:v>5</x:v>
      </x:c>
      <x:c r="P528" s="1" t="str">
        <x:v>安値切上げ・高値切下げの再進行</x:v>
      </x:c>
      <x:c r="Q528" s="47" t="n">
        <x:v>0</x:v>
      </x:c>
      <x:c r="R528" s="1" t="str">
        <x:v>ナイト</x:v>
      </x:c>
      <x:c r="S528" s="47" t="n">
        <x:v>2</x:v>
      </x:c>
    </x:row>
    <x:row r="529" ht="22" customHeight="1">
      <x:c r="A529" s="1" t="str">
        <x:v>TOPIXmini</x:v>
      </x:c>
      <x:c r="B529" s="1" t="str">
        <x:v>G02</x:v>
      </x:c>
      <x:c r="C529" s="1" t="str">
        <x:v>診断3場</x:v>
      </x:c>
      <x:c r="D529" s="45" t="n">
        <x:v>39750</x:v>
      </x:c>
      <x:c r="E529" s="45" t="n">
        <x:v>18166</x:v>
      </x:c>
      <x:c r="F529" s="45" t="n">
        <x:f>D529-E529</x:f>
        <x:v>21584</x:v>
      </x:c>
      <x:c r="G529" s="47" t="n">
        <x:v>1</x:v>
      </x:c>
      <x:c r="H529" s="47" t="n">
        <x:v>0</x:v>
      </x:c>
      <x:c r="I529" s="45" t="n">
        <x:v>0</x:v>
      </x:c>
      <x:c r="J529" s="47" t="n">
        <x:v>4</x:v>
      </x:c>
      <x:c r="K529" s="45" t="n">
        <x:v>21584</x:v>
      </x:c>
      <x:c r="L529" s="45" t="n">
        <x:v>0</x:v>
      </x:c>
      <x:c r="M529" s="46" t="n">
        <x:v>125.96666666666667</x:v>
      </x:c>
      <x:c r="N529" s="46" t="n">
        <x:v>74.86666666666666</x:v>
      </x:c>
      <x:c r="O529" s="47" t="n">
        <x:v>5</x:v>
      </x:c>
      <x:c r="P529" s="1" t="str">
        <x:v>安値切上げ・高値切下げの再進行</x:v>
      </x:c>
      <x:c r="Q529" s="47" t="n">
        <x:v>0</x:v>
      </x:c>
      <x:c r="R529" s="1" t="str">
        <x:v>上昇</x:v>
      </x:c>
      <x:c r="S529" s="47" t="n">
        <x:v>1</x:v>
      </x:c>
    </x:row>
    <x:row r="530" ht="22" customHeight="1">
      <x:c r="A530" s="1" t="str">
        <x:v>TOPIXmini</x:v>
      </x:c>
      <x:c r="B530" s="1" t="str">
        <x:v>G02</x:v>
      </x:c>
      <x:c r="C530" s="1" t="str">
        <x:v>診断3場</x:v>
      </x:c>
      <x:c r="D530" s="45" t="n">
        <x:v>129582</x:v>
      </x:c>
      <x:c r="E530" s="45" t="n">
        <x:v>174666</x:v>
      </x:c>
      <x:c r="F530" s="45" t="n">
        <x:f>D530-E530</x:f>
        <x:v>-45084</x:v>
      </x:c>
      <x:c r="G530" s="47" t="n">
        <x:v>1</x:v>
      </x:c>
      <x:c r="H530" s="47" t="n">
        <x:v>1</x:v>
      </x:c>
      <x:c r="I530" s="45" t="n">
        <x:v>-81996</x:v>
      </x:c>
      <x:c r="J530" s="47" t="n">
        <x:v>16</x:v>
      </x:c>
      <x:c r="K530" s="45" t="n">
        <x:v>-81996</x:v>
      </x:c>
      <x:c r="L530" s="45" t="n">
        <x:v>81996</x:v>
      </x:c>
      <x:c r="M530" s="46" t="n">
        <x:v>57.641666666666666</x:v>
      </x:c>
      <x:c r="N530" s="46" t="n">
        <x:v>132.25</x:v>
      </x:c>
      <x:c r="O530" s="47" t="n">
        <x:v>5</x:v>
      </x:c>
      <x:c r="P530" s="1" t="str">
        <x:v>安値切上げ・高値切下げの再進行</x:v>
      </x:c>
      <x:c r="Q530" s="47" t="n">
        <x:v>0</x:v>
      </x:c>
      <x:c r="R530" s="1" t="str">
        <x:v>下落</x:v>
      </x:c>
      <x:c r="S530" s="47" t="n">
        <x:v>2</x:v>
      </x:c>
    </x:row>
    <x:row r="531" ht="22" customHeight="1">
      <x:c r="A531" s="1" t="str">
        <x:v>TOPIXmini</x:v>
      </x:c>
      <x:c r="B531" s="1" t="str">
        <x:v>G03</x:v>
      </x:c>
      <x:c r="C531" s="1" t="str">
        <x:v>全50場</x:v>
      </x:c>
      <x:c r="D531" s="45" t="n">
        <x:v>2462159</x:v>
      </x:c>
      <x:c r="E531" s="45" t="n">
        <x:v>1545876</x:v>
      </x:c>
      <x:c r="F531" s="45" t="n">
        <x:f>D531-E531</x:f>
        <x:v>916283</x:v>
      </x:c>
      <x:c r="G531" s="47" t="n">
        <x:v>39</x:v>
      </x:c>
      <x:c r="H531" s="47" t="n">
        <x:v>11</x:v>
      </x:c>
      <x:c r="I531" s="45" t="n">
        <x:v>541035</x:v>
      </x:c>
      <x:c r="J531" s="47" t="n">
        <x:v>186</x:v>
      </x:c>
      <x:c r="K531" s="45" t="n">
        <x:v>-118246</x:v>
      </x:c>
      <x:c r="L531" s="45" t="n">
        <x:v>35280.818181818184</x:v>
      </x:c>
      <x:c r="M531" s="46" t="n">
        <x:v>187.65733333333333</x:v>
      </x:c>
      <x:c r="N531" s="46" t="n">
        <x:v>141.16633333333334</x:v>
      </x:c>
      <x:c r="O531" s="47" t="n">
        <x:v>5</x:v>
      </x:c>
      <x:c r="P531" s="1" t="str">
        <x:v>二市場の板変化の支持</x:v>
      </x:c>
      <x:c r="Q531" s="47" t="n">
        <x:v>0</x:v>
      </x:c>
      <x:c r="R531" s="1" t="str">
        <x:v>全場</x:v>
      </x:c>
      <x:c r="S531" s="47" t="n">
        <x:v>50</x:v>
      </x:c>
    </x:row>
    <x:row r="532" ht="22" customHeight="1">
      <x:c r="A532" s="1" t="str">
        <x:v>TOPIXmini</x:v>
      </x:c>
      <x:c r="B532" s="1" t="str">
        <x:v>G03</x:v>
      </x:c>
      <x:c r="C532" s="1" t="str">
        <x:v>全50場</x:v>
      </x:c>
      <x:c r="D532" s="45" t="n">
        <x:v>1415187</x:v>
      </x:c>
      <x:c r="E532" s="45" t="n">
        <x:v>860094</x:v>
      </x:c>
      <x:c r="F532" s="45" t="n">
        <x:f>D532-E532</x:f>
        <x:v>555093</x:v>
      </x:c>
      <x:c r="G532" s="47" t="n">
        <x:v>18</x:v>
      </x:c>
      <x:c r="H532" s="47" t="n">
        <x:v>7</x:v>
      </x:c>
      <x:c r="I532" s="45" t="n">
        <x:v>243843</x:v>
      </x:c>
      <x:c r="J532" s="47" t="n">
        <x:v>93</x:v>
      </x:c>
      <x:c r="K532" s="45" t="n">
        <x:v>-118246</x:v>
      </x:c>
      <x:c r="L532" s="45" t="n">
        <x:v>37487</x:v>
      </x:c>
      <x:c r="M532" s="46" t="n">
        <x:v>87.47533333333332</x:v>
      </x:c>
      <x:c r="N532" s="46" t="n">
        <x:v>206.10666666666668</x:v>
      </x:c>
      <x:c r="O532" s="47" t="n">
        <x:v>5</x:v>
      </x:c>
      <x:c r="P532" s="1" t="str">
        <x:v>二市場の板変化の支持</x:v>
      </x:c>
      <x:c r="Q532" s="47" t="n">
        <x:v>0</x:v>
      </x:c>
      <x:c r="R532" s="1" t="str">
        <x:v>デイ</x:v>
      </x:c>
      <x:c r="S532" s="47" t="n">
        <x:v>25</x:v>
      </x:c>
    </x:row>
    <x:row r="533" ht="22" customHeight="1">
      <x:c r="A533" s="1" t="str">
        <x:v>TOPIXmini</x:v>
      </x:c>
      <x:c r="B533" s="1" t="str">
        <x:v>G03</x:v>
      </x:c>
      <x:c r="C533" s="1" t="str">
        <x:v>全50場</x:v>
      </x:c>
      <x:c r="D533" s="45" t="n">
        <x:v>1046972</x:v>
      </x:c>
      <x:c r="E533" s="45" t="n">
        <x:v>685782</x:v>
      </x:c>
      <x:c r="F533" s="45" t="n">
        <x:f>D533-E533</x:f>
        <x:v>361190</x:v>
      </x:c>
      <x:c r="G533" s="47" t="n">
        <x:v>21</x:v>
      </x:c>
      <x:c r="H533" s="47" t="n">
        <x:v>4</x:v>
      </x:c>
      <x:c r="I533" s="45" t="n">
        <x:v>125114</x:v>
      </x:c>
      <x:c r="J533" s="47" t="n">
        <x:v>93</x:v>
      </x:c>
      <x:c r="K533" s="45" t="n">
        <x:v>-48920</x:v>
      </x:c>
      <x:c r="L533" s="45" t="n">
        <x:v>31420</x:v>
      </x:c>
      <x:c r="M533" s="46" t="n">
        <x:v>287.8393333333333</x:v>
      </x:c>
      <x:c r="N533" s="46" t="n">
        <x:v>76.226</x:v>
      </x:c>
      <x:c r="O533" s="47" t="n">
        <x:v>5</x:v>
      </x:c>
      <x:c r="P533" s="1" t="str">
        <x:v>二市場の板変化の支持</x:v>
      </x:c>
      <x:c r="Q533" s="47" t="n">
        <x:v>0</x:v>
      </x:c>
      <x:c r="R533" s="1" t="str">
        <x:v>ナイト</x:v>
      </x:c>
      <x:c r="S533" s="47" t="n">
        <x:v>25</x:v>
      </x:c>
    </x:row>
    <x:row r="534" ht="22" customHeight="1">
      <x:c r="A534" s="1" t="str">
        <x:v>TOPIXmini</x:v>
      </x:c>
      <x:c r="B534" s="1" t="str">
        <x:v>G03</x:v>
      </x:c>
      <x:c r="C534" s="1" t="str">
        <x:v>全50場</x:v>
      </x:c>
      <x:c r="D534" s="45" t="n">
        <x:v>995411</x:v>
      </x:c>
      <x:c r="E534" s="45" t="n">
        <x:v>709608</x:v>
      </x:c>
      <x:c r="F534" s="45" t="n">
        <x:f>D534-E534</x:f>
        <x:v>285803</x:v>
      </x:c>
      <x:c r="G534" s="47" t="n">
        <x:v>18</x:v>
      </x:c>
      <x:c r="H534" s="47" t="n">
        <x:v>6</x:v>
      </x:c>
      <x:c r="I534" s="45" t="n">
        <x:v>49137</x:v>
      </x:c>
      <x:c r="J534" s="47" t="n">
        <x:v>73</x:v>
      </x:c>
      <x:c r="K534" s="45" t="n">
        <x:v>-48920</x:v>
      </x:c>
      <x:c r="L534" s="45" t="n">
        <x:v>31389.666666666668</x:v>
      </x:c>
      <x:c r="M534" s="46" t="n">
        <x:v>203.31319444444443</x:v>
      </x:c>
      <x:c r="N534" s="46" t="n">
        <x:v>133.41805555555555</x:v>
      </x:c>
      <x:c r="O534" s="47" t="n">
        <x:v>5</x:v>
      </x:c>
      <x:c r="P534" s="1" t="str">
        <x:v>二市場の板変化の支持</x:v>
      </x:c>
      <x:c r="Q534" s="47" t="n">
        <x:v>0</x:v>
      </x:c>
      <x:c r="R534" s="1" t="str">
        <x:v>上昇</x:v>
      </x:c>
      <x:c r="S534" s="47" t="n">
        <x:v>24</x:v>
      </x:c>
    </x:row>
    <x:row r="535" ht="22" customHeight="1">
      <x:c r="A535" s="1" t="str">
        <x:v>TOPIXmini</x:v>
      </x:c>
      <x:c r="B535" s="1" t="str">
        <x:v>G03</x:v>
      </x:c>
      <x:c r="C535" s="1" t="str">
        <x:v>全50場</x:v>
      </x:c>
      <x:c r="D535" s="45" t="n">
        <x:v>1466748</x:v>
      </x:c>
      <x:c r="E535" s="45" t="n">
        <x:v>836268</x:v>
      </x:c>
      <x:c r="F535" s="45" t="n">
        <x:f>D535-E535</x:f>
        <x:v>630480</x:v>
      </x:c>
      <x:c r="G535" s="47" t="n">
        <x:v>21</x:v>
      </x:c>
      <x:c r="H535" s="47" t="n">
        <x:v>5</x:v>
      </x:c>
      <x:c r="I535" s="45" t="n">
        <x:v>255232</x:v>
      </x:c>
      <x:c r="J535" s="47" t="n">
        <x:v>113</x:v>
      </x:c>
      <x:c r="K535" s="45" t="n">
        <x:v>-118246</x:v>
      </x:c>
      <x:c r="L535" s="45" t="n">
        <x:v>39950.2</x:v>
      </x:c>
      <x:c r="M535" s="46" t="n">
        <x:v>173.20576923076922</x:v>
      </x:c>
      <x:c r="N535" s="46" t="n">
        <x:v>148.31858974358974</x:v>
      </x:c>
      <x:c r="O535" s="47" t="n">
        <x:v>5</x:v>
      </x:c>
      <x:c r="P535" s="1" t="str">
        <x:v>二市場の板変化の支持</x:v>
      </x:c>
      <x:c r="Q535" s="47" t="n">
        <x:v>0</x:v>
      </x:c>
      <x:c r="R535" s="1" t="str">
        <x:v>下落</x:v>
      </x:c>
      <x:c r="S535" s="47" t="n">
        <x:v>26</x:v>
      </x:c>
    </x:row>
    <x:row r="536" ht="22" customHeight="1">
      <x:c r="A536" s="1" t="str">
        <x:v>TOPIXmini</x:v>
      </x:c>
      <x:c r="B536" s="1" t="str">
        <x:v>G03</x:v>
      </x:c>
      <x:c r="C536" s="1" t="str">
        <x:v>対照47場</x:v>
      </x:c>
      <x:c r="D536" s="45" t="n">
        <x:v>2274325</x:v>
      </x:c>
      <x:c r="E536" s="45" t="n">
        <x:v>1316292</x:v>
      </x:c>
      <x:c r="F536" s="45" t="n">
        <x:f>D536-E536</x:f>
        <x:v>958033</x:v>
      </x:c>
      <x:c r="G536" s="47" t="n">
        <x:v>37</x:v>
      </x:c>
      <x:c r="H536" s="47" t="n">
        <x:v>10</x:v>
      </x:c>
      <x:c r="I536" s="45" t="n">
        <x:v>582785</x:v>
      </x:c>
      <x:c r="J536" s="47" t="n">
        <x:v>163</x:v>
      </x:c>
      <x:c r="K536" s="45" t="n">
        <x:v>-48920</x:v>
      </x:c>
      <x:c r="L536" s="45" t="n">
        <x:v>26984.3</x:v>
      </x:c>
      <x:c r="M536" s="46" t="n">
        <x:v>194.51808510638296</x:v>
      </x:c>
      <x:c r="N536" s="46" t="n">
        <x:v>142.63439716312055</x:v>
      </x:c>
      <x:c r="O536" s="47" t="n">
        <x:v>5</x:v>
      </x:c>
      <x:c r="P536" s="1" t="str">
        <x:v>二市場の板変化の支持</x:v>
      </x:c>
      <x:c r="Q536" s="47" t="n">
        <x:v>0</x:v>
      </x:c>
      <x:c r="R536" s="1" t="str">
        <x:v>全場</x:v>
      </x:c>
      <x:c r="S536" s="47" t="n">
        <x:v>47</x:v>
      </x:c>
    </x:row>
    <x:row r="537" ht="22" customHeight="1">
      <x:c r="A537" s="1" t="str">
        <x:v>TOPIXmini</x:v>
      </x:c>
      <x:c r="B537" s="1" t="str">
        <x:v>G03</x:v>
      </x:c>
      <x:c r="C537" s="1" t="str">
        <x:v>対照47場</x:v>
      </x:c>
      <x:c r="D537" s="45" t="n">
        <x:v>1357851</x:v>
      </x:c>
      <x:c r="E537" s="45" t="n">
        <x:v>684512</x:v>
      </x:c>
      <x:c r="F537" s="45" t="n">
        <x:f>D537-E537</x:f>
        <x:v>673339</x:v>
      </x:c>
      <x:c r="G537" s="47" t="n">
        <x:v>18</x:v>
      </x:c>
      <x:c r="H537" s="47" t="n">
        <x:v>6</x:v>
      </x:c>
      <x:c r="I537" s="45" t="n">
        <x:v>362089</x:v>
      </x:c>
      <x:c r="J537" s="47" t="n">
        <x:v>82</x:v>
      </x:c>
      <x:c r="K537" s="45" t="n">
        <x:v>-38332</x:v>
      </x:c>
      <x:c r="L537" s="45" t="n">
        <x:v>24027.166666666668</x:v>
      </x:c>
      <x:c r="M537" s="46" t="n">
        <x:v>89.28888888888889</x:v>
      </x:c>
      <x:c r="N537" s="46" t="n">
        <x:v>206.34930555555556</x:v>
      </x:c>
      <x:c r="O537" s="47" t="n">
        <x:v>5</x:v>
      </x:c>
      <x:c r="P537" s="1" t="str">
        <x:v>二市場の板変化の支持</x:v>
      </x:c>
      <x:c r="Q537" s="47" t="n">
        <x:v>0</x:v>
      </x:c>
      <x:c r="R537" s="1" t="str">
        <x:v>デイ</x:v>
      </x:c>
      <x:c r="S537" s="47" t="n">
        <x:v>24</x:v>
      </x:c>
    </x:row>
    <x:row r="538" ht="22" customHeight="1">
      <x:c r="A538" s="1" t="str">
        <x:v>TOPIXmini</x:v>
      </x:c>
      <x:c r="B538" s="1" t="str">
        <x:v>G03</x:v>
      </x:c>
      <x:c r="C538" s="1" t="str">
        <x:v>対照47場</x:v>
      </x:c>
      <x:c r="D538" s="45" t="n">
        <x:v>916474</x:v>
      </x:c>
      <x:c r="E538" s="45" t="n">
        <x:v>631780</x:v>
      </x:c>
      <x:c r="F538" s="45" t="n">
        <x:f>D538-E538</x:f>
        <x:v>284694</x:v>
      </x:c>
      <x:c r="G538" s="47" t="n">
        <x:v>19</x:v>
      </x:c>
      <x:c r="H538" s="47" t="n">
        <x:v>4</x:v>
      </x:c>
      <x:c r="I538" s="45" t="n">
        <x:v>69448</x:v>
      </x:c>
      <x:c r="J538" s="47" t="n">
        <x:v>81</x:v>
      </x:c>
      <x:c r="K538" s="45" t="n">
        <x:v>-48920</x:v>
      </x:c>
      <x:c r="L538" s="45" t="n">
        <x:v>31420</x:v>
      </x:c>
      <x:c r="M538" s="46" t="n">
        <x:v>304.32246376811594</x:v>
      </x:c>
      <x:c r="N538" s="46" t="n">
        <x:v>76.14927536231885</x:v>
      </x:c>
      <x:c r="O538" s="47" t="n">
        <x:v>5</x:v>
      </x:c>
      <x:c r="P538" s="1" t="str">
        <x:v>二市場の板変化の支持</x:v>
      </x:c>
      <x:c r="Q538" s="47" t="n">
        <x:v>0</x:v>
      </x:c>
      <x:c r="R538" s="1" t="str">
        <x:v>ナイト</x:v>
      </x:c>
      <x:c r="S538" s="47" t="n">
        <x:v>23</x:v>
      </x:c>
    </x:row>
    <x:row r="539" ht="22" customHeight="1">
      <x:c r="A539" s="1" t="str">
        <x:v>TOPIXmini</x:v>
      </x:c>
      <x:c r="B539" s="1" t="str">
        <x:v>G03</x:v>
      </x:c>
      <x:c r="C539" s="1" t="str">
        <x:v>対照47場</x:v>
      </x:c>
      <x:c r="D539" s="45" t="n">
        <x:v>953661</x:v>
      </x:c>
      <x:c r="E539" s="45" t="n">
        <x:v>691442</x:v>
      </x:c>
      <x:c r="F539" s="45" t="n">
        <x:f>D539-E539</x:f>
        <x:v>262219</x:v>
      </x:c>
      <x:c r="G539" s="47" t="n">
        <x:v>17</x:v>
      </x:c>
      <x:c r="H539" s="47" t="n">
        <x:v>6</x:v>
      </x:c>
      <x:c r="I539" s="45" t="n">
        <x:v>25553</x:v>
      </x:c>
      <x:c r="J539" s="47" t="n">
        <x:v>69</x:v>
      </x:c>
      <x:c r="K539" s="45" t="n">
        <x:v>-48920</x:v>
      </x:c>
      <x:c r="L539" s="45" t="n">
        <x:v>31389.666666666668</x:v>
      </x:c>
      <x:c r="M539" s="46" t="n">
        <x:v>206.69057971014493</x:v>
      </x:c>
      <x:c r="N539" s="46" t="n">
        <x:v>136.17608695652174</x:v>
      </x:c>
      <x:c r="O539" s="47" t="n">
        <x:v>5</x:v>
      </x:c>
      <x:c r="P539" s="1" t="str">
        <x:v>二市場の板変化の支持</x:v>
      </x:c>
      <x:c r="Q539" s="47" t="n">
        <x:v>0</x:v>
      </x:c>
      <x:c r="R539" s="1" t="str">
        <x:v>上昇</x:v>
      </x:c>
      <x:c r="S539" s="47" t="n">
        <x:v>23</x:v>
      </x:c>
    </x:row>
    <x:row r="540" ht="22" customHeight="1">
      <x:c r="A540" s="1" t="str">
        <x:v>TOPIXmini</x:v>
      </x:c>
      <x:c r="B540" s="1" t="str">
        <x:v>G03</x:v>
      </x:c>
      <x:c r="C540" s="1" t="str">
        <x:v>対照47場</x:v>
      </x:c>
      <x:c r="D540" s="45" t="n">
        <x:v>1320664</x:v>
      </x:c>
      <x:c r="E540" s="45" t="n">
        <x:v>624850</x:v>
      </x:c>
      <x:c r="F540" s="45" t="n">
        <x:f>D540-E540</x:f>
        <x:v>695814</x:v>
      </x:c>
      <x:c r="G540" s="47" t="n">
        <x:v>20</x:v>
      </x:c>
      <x:c r="H540" s="47" t="n">
        <x:v>4</x:v>
      </x:c>
      <x:c r="I540" s="45" t="n">
        <x:v>320566</x:v>
      </x:c>
      <x:c r="J540" s="47" t="n">
        <x:v>94</x:v>
      </x:c>
      <x:c r="K540" s="45" t="n">
        <x:v>-40836</x:v>
      </x:c>
      <x:c r="L540" s="45" t="n">
        <x:v>20376.25</x:v>
      </x:c>
      <x:c r="M540" s="46" t="n">
        <x:v>182.85277777777776</x:v>
      </x:c>
      <x:c r="N540" s="46" t="n">
        <x:v>148.82361111111112</x:v>
      </x:c>
      <x:c r="O540" s="47" t="n">
        <x:v>5</x:v>
      </x:c>
      <x:c r="P540" s="1" t="str">
        <x:v>二市場の板変化の支持</x:v>
      </x:c>
      <x:c r="Q540" s="47" t="n">
        <x:v>0</x:v>
      </x:c>
      <x:c r="R540" s="1" t="str">
        <x:v>下落</x:v>
      </x:c>
      <x:c r="S540" s="47" t="n">
        <x:v>24</x:v>
      </x:c>
    </x:row>
    <x:row r="541" ht="22" customHeight="1">
      <x:c r="A541" s="1" t="str">
        <x:v>TOPIXmini</x:v>
      </x:c>
      <x:c r="B541" s="1" t="str">
        <x:v>G03</x:v>
      </x:c>
      <x:c r="C541" s="1" t="str">
        <x:v>診断3場</x:v>
      </x:c>
      <x:c r="D541" s="45" t="n">
        <x:v>187834</x:v>
      </x:c>
      <x:c r="E541" s="45" t="n">
        <x:v>229584</x:v>
      </x:c>
      <x:c r="F541" s="45" t="n">
        <x:f>D541-E541</x:f>
        <x:v>-41750</x:v>
      </x:c>
      <x:c r="G541" s="47" t="n">
        <x:v>2</x:v>
      </x:c>
      <x:c r="H541" s="47" t="n">
        <x:v>1</x:v>
      </x:c>
      <x:c r="I541" s="45" t="n">
        <x:v>-118246</x:v>
      </x:c>
      <x:c r="J541" s="47" t="n">
        <x:v>23</x:v>
      </x:c>
      <x:c r="K541" s="45" t="n">
        <x:v>-118246</x:v>
      </x:c>
      <x:c r="L541" s="45" t="n">
        <x:v>118246</x:v>
      </x:c>
      <x:c r="M541" s="46" t="n">
        <x:v>80.17222222222223</x:v>
      </x:c>
      <x:c r="N541" s="46" t="n">
        <x:v>118.16666666666667</x:v>
      </x:c>
      <x:c r="O541" s="47" t="n">
        <x:v>5</x:v>
      </x:c>
      <x:c r="P541" s="1" t="str">
        <x:v>二市場の板変化の支持</x:v>
      </x:c>
      <x:c r="Q541" s="47" t="n">
        <x:v>0</x:v>
      </x:c>
      <x:c r="R541" s="1" t="str">
        <x:v>全場</x:v>
      </x:c>
      <x:c r="S541" s="47" t="n">
        <x:v>3</x:v>
      </x:c>
    </x:row>
    <x:row r="542" ht="22" customHeight="1">
      <x:c r="A542" s="1" t="str">
        <x:v>TOPIXmini</x:v>
      </x:c>
      <x:c r="B542" s="1" t="str">
        <x:v>G03</x:v>
      </x:c>
      <x:c r="C542" s="1" t="str">
        <x:v>診断3場</x:v>
      </x:c>
      <x:c r="D542" s="45" t="n">
        <x:v>57336</x:v>
      </x:c>
      <x:c r="E542" s="45" t="n">
        <x:v>175582</x:v>
      </x:c>
      <x:c r="F542" s="45" t="n">
        <x:f>D542-E542</x:f>
        <x:v>-118246</x:v>
      </x:c>
      <x:c r="G542" s="47" t="n">
        <x:v>0</x:v>
      </x:c>
      <x:c r="H542" s="47" t="n">
        <x:v>1</x:v>
      </x:c>
      <x:c r="I542" s="45" t="n">
        <x:v>-118246</x:v>
      </x:c>
      <x:c r="J542" s="47" t="n">
        <x:v>11</x:v>
      </x:c>
      <x:c r="K542" s="45" t="n">
        <x:v>-118246</x:v>
      </x:c>
      <x:c r="L542" s="45" t="n">
        <x:v>118246</x:v>
      </x:c>
      <x:c r="M542" s="46" t="n">
        <x:v>43.95</x:v>
      </x:c>
      <x:c r="N542" s="46" t="n">
        <x:v>200.28333333333333</x:v>
      </x:c>
      <x:c r="O542" s="47" t="n">
        <x:v>5</x:v>
      </x:c>
      <x:c r="P542" s="1" t="str">
        <x:v>二市場の板変化の支持</x:v>
      </x:c>
      <x:c r="Q542" s="47" t="n">
        <x:v>0</x:v>
      </x:c>
      <x:c r="R542" s="1" t="str">
        <x:v>デイ</x:v>
      </x:c>
      <x:c r="S542" s="47" t="n">
        <x:v>1</x:v>
      </x:c>
    </x:row>
    <x:row r="543" ht="22" customHeight="1">
      <x:c r="A543" s="1" t="str">
        <x:v>TOPIXmini</x:v>
      </x:c>
      <x:c r="B543" s="1" t="str">
        <x:v>G03</x:v>
      </x:c>
      <x:c r="C543" s="1" t="str">
        <x:v>診断3場</x:v>
      </x:c>
      <x:c r="D543" s="45" t="n">
        <x:v>130498</x:v>
      </x:c>
      <x:c r="E543" s="45" t="n">
        <x:v>54002</x:v>
      </x:c>
      <x:c r="F543" s="45" t="n">
        <x:f>D543-E543</x:f>
        <x:v>76496</x:v>
      </x:c>
      <x:c r="G543" s="47" t="n">
        <x:v>2</x:v>
      </x:c>
      <x:c r="H543" s="47" t="n">
        <x:v>0</x:v>
      </x:c>
      <x:c r="I543" s="45" t="n">
        <x:v>0</x:v>
      </x:c>
      <x:c r="J543" s="47" t="n">
        <x:v>12</x:v>
      </x:c>
      <x:c r="K543" s="45" t="n">
        <x:v>23584</x:v>
      </x:c>
      <x:c r="L543" s="45" t="n">
        <x:v>0</x:v>
      </x:c>
      <x:c r="M543" s="46" t="n">
        <x:v>98.28333333333333</x:v>
      </x:c>
      <x:c r="N543" s="46" t="n">
        <x:v>77.10833333333333</x:v>
      </x:c>
      <x:c r="O543" s="47" t="n">
        <x:v>5</x:v>
      </x:c>
      <x:c r="P543" s="1" t="str">
        <x:v>二市場の板変化の支持</x:v>
      </x:c>
      <x:c r="Q543" s="47" t="n">
        <x:v>0</x:v>
      </x:c>
      <x:c r="R543" s="1" t="str">
        <x:v>ナイト</x:v>
      </x:c>
      <x:c r="S543" s="47" t="n">
        <x:v>2</x:v>
      </x:c>
    </x:row>
    <x:row r="544" ht="22" customHeight="1">
      <x:c r="A544" s="1" t="str">
        <x:v>TOPIXmini</x:v>
      </x:c>
      <x:c r="B544" s="1" t="str">
        <x:v>G03</x:v>
      </x:c>
      <x:c r="C544" s="1" t="str">
        <x:v>診断3場</x:v>
      </x:c>
      <x:c r="D544" s="45" t="n">
        <x:v>41750</x:v>
      </x:c>
      <x:c r="E544" s="45" t="n">
        <x:v>18166</x:v>
      </x:c>
      <x:c r="F544" s="45" t="n">
        <x:f>D544-E544</x:f>
        <x:v>23584</x:v>
      </x:c>
      <x:c r="G544" s="47" t="n">
        <x:v>1</x:v>
      </x:c>
      <x:c r="H544" s="47" t="n">
        <x:v>0</x:v>
      </x:c>
      <x:c r="I544" s="45" t="n">
        <x:v>0</x:v>
      </x:c>
      <x:c r="J544" s="47" t="n">
        <x:v>4</x:v>
      </x:c>
      <x:c r="K544" s="45" t="n">
        <x:v>23584</x:v>
      </x:c>
      <x:c r="L544" s="45" t="n">
        <x:v>0</x:v>
      </x:c>
      <x:c r="M544" s="46" t="n">
        <x:v>125.63333333333334</x:v>
      </x:c>
      <x:c r="N544" s="46" t="n">
        <x:v>69.98333333333333</x:v>
      </x:c>
      <x:c r="O544" s="47" t="n">
        <x:v>5</x:v>
      </x:c>
      <x:c r="P544" s="1" t="str">
        <x:v>二市場の板変化の支持</x:v>
      </x:c>
      <x:c r="Q544" s="47" t="n">
        <x:v>0</x:v>
      </x:c>
      <x:c r="R544" s="1" t="str">
        <x:v>上昇</x:v>
      </x:c>
      <x:c r="S544" s="47" t="n">
        <x:v>1</x:v>
      </x:c>
    </x:row>
    <x:row r="545" ht="22" customHeight="1">
      <x:c r="A545" s="1" t="str">
        <x:v>TOPIXmini</x:v>
      </x:c>
      <x:c r="B545" s="1" t="str">
        <x:v>G03</x:v>
      </x:c>
      <x:c r="C545" s="1" t="str">
        <x:v>診断3場</x:v>
      </x:c>
      <x:c r="D545" s="45" t="n">
        <x:v>146084</x:v>
      </x:c>
      <x:c r="E545" s="45" t="n">
        <x:v>211418</x:v>
      </x:c>
      <x:c r="F545" s="45" t="n">
        <x:f>D545-E545</x:f>
        <x:v>-65334</x:v>
      </x:c>
      <x:c r="G545" s="47" t="n">
        <x:v>1</x:v>
      </x:c>
      <x:c r="H545" s="47" t="n">
        <x:v>1</x:v>
      </x:c>
      <x:c r="I545" s="45" t="n">
        <x:v>-118246</x:v>
      </x:c>
      <x:c r="J545" s="47" t="n">
        <x:v>19</x:v>
      </x:c>
      <x:c r="K545" s="45" t="n">
        <x:v>-118246</x:v>
      </x:c>
      <x:c r="L545" s="45" t="n">
        <x:v>118246</x:v>
      </x:c>
      <x:c r="M545" s="46" t="n">
        <x:v>57.44166666666667</x:v>
      </x:c>
      <x:c r="N545" s="46" t="n">
        <x:v>142.25833333333333</x:v>
      </x:c>
      <x:c r="O545" s="47" t="n">
        <x:v>5</x:v>
      </x:c>
      <x:c r="P545" s="1" t="str">
        <x:v>二市場の板変化の支持</x:v>
      </x:c>
      <x:c r="Q545" s="47" t="n">
        <x:v>0</x:v>
      </x:c>
      <x:c r="R545" s="1" t="str">
        <x:v>下落</x:v>
      </x:c>
      <x:c r="S545" s="47" t="n">
        <x:v>2</x:v>
      </x:c>
    </x:row>
    <x:row r="546" ht="22" customHeight="1">
      <x:c r="A546" s="1" t="str">
        <x:v>TOPIXmini</x:v>
      </x:c>
      <x:c r="B546" s="1" t="str">
        <x:v>G04</x:v>
      </x:c>
      <x:c r="C546" s="1" t="str">
        <x:v>全50場</x:v>
      </x:c>
      <x:c r="D546" s="45" t="n">
        <x:v>2507746</x:v>
      </x:c>
      <x:c r="E546" s="45" t="n">
        <x:v>1522042</x:v>
      </x:c>
      <x:c r="F546" s="45" t="n">
        <x:f>D546-E546</x:f>
        <x:v>985704</x:v>
      </x:c>
      <x:c r="G546" s="47" t="n">
        <x:v>39</x:v>
      </x:c>
      <x:c r="H546" s="47" t="n">
        <x:v>11</x:v>
      </x:c>
      <x:c r="I546" s="45" t="n">
        <x:v>603622</x:v>
      </x:c>
      <x:c r="J546" s="47" t="n">
        <x:v>194</x:v>
      </x:c>
      <x:c r="K546" s="45" t="n">
        <x:v>-68328</x:v>
      </x:c>
      <x:c r="L546" s="45" t="n">
        <x:v>30242.81818181818</x:v>
      </x:c>
      <x:c r="M546" s="46" t="n">
        <x:v>185.33866666666668</x:v>
      </x:c>
      <x:c r="N546" s="46" t="n">
        <x:v>146.90833333333333</x:v>
      </x:c>
      <x:c r="O546" s="47" t="n">
        <x:v>5</x:v>
      </x:c>
      <x:c r="P546" s="1" t="str">
        <x:v>追撃の損失予算を初回実額以内</x:v>
      </x:c>
      <x:c r="Q546" s="47" t="n">
        <x:v>0</x:v>
      </x:c>
      <x:c r="R546" s="1" t="str">
        <x:v>全場</x:v>
      </x:c>
      <x:c r="S546" s="47" t="n">
        <x:v>50</x:v>
      </x:c>
    </x:row>
    <x:row r="547" ht="22" customHeight="1">
      <x:c r="A547" s="1" t="str">
        <x:v>TOPIXmini</x:v>
      </x:c>
      <x:c r="B547" s="1" t="str">
        <x:v>G04</x:v>
      </x:c>
      <x:c r="C547" s="1" t="str">
        <x:v>全50場</x:v>
      </x:c>
      <x:c r="D547" s="45" t="n">
        <x:v>1433438</x:v>
      </x:c>
      <x:c r="E547" s="45" t="n">
        <x:v>813928</x:v>
      </x:c>
      <x:c r="F547" s="45" t="n">
        <x:f>D547-E547</x:f>
        <x:v>619510</x:v>
      </x:c>
      <x:c r="G547" s="47" t="n">
        <x:v>18</x:v>
      </x:c>
      <x:c r="H547" s="47" t="n">
        <x:v>7</x:v>
      </x:c>
      <x:c r="I547" s="45" t="n">
        <x:v>307260</x:v>
      </x:c>
      <x:c r="J547" s="47" t="n">
        <x:v>95</x:v>
      </x:c>
      <x:c r="K547" s="45" t="n">
        <x:v>-68328</x:v>
      </x:c>
      <x:c r="L547" s="45" t="n">
        <x:v>29951.285714285714</x:v>
      </x:c>
      <x:c r="M547" s="46" t="n">
        <x:v>86.97733333333333</x:v>
      </x:c>
      <x:c r="N547" s="46" t="n">
        <x:v>212.58</x:v>
      </x:c>
      <x:c r="O547" s="47" t="n">
        <x:v>5</x:v>
      </x:c>
      <x:c r="P547" s="1" t="str">
        <x:v>追撃の損失予算を初回実額以内</x:v>
      </x:c>
      <x:c r="Q547" s="47" t="n">
        <x:v>0</x:v>
      </x:c>
      <x:c r="R547" s="1" t="str">
        <x:v>デイ</x:v>
      </x:c>
      <x:c r="S547" s="47" t="n">
        <x:v>25</x:v>
      </x:c>
    </x:row>
    <x:row r="548" ht="22" customHeight="1">
      <x:c r="A548" s="1" t="str">
        <x:v>TOPIXmini</x:v>
      </x:c>
      <x:c r="B548" s="1" t="str">
        <x:v>G04</x:v>
      </x:c>
      <x:c r="C548" s="1" t="str">
        <x:v>全50場</x:v>
      </x:c>
      <x:c r="D548" s="45" t="n">
        <x:v>1074308</x:v>
      </x:c>
      <x:c r="E548" s="45" t="n">
        <x:v>708114</x:v>
      </x:c>
      <x:c r="F548" s="45" t="n">
        <x:f>D548-E548</x:f>
        <x:v>366194</x:v>
      </x:c>
      <x:c r="G548" s="47" t="n">
        <x:v>21</x:v>
      </x:c>
      <x:c r="H548" s="47" t="n">
        <x:v>4</x:v>
      </x:c>
      <x:c r="I548" s="45" t="n">
        <x:v>124284</x:v>
      </x:c>
      <x:c r="J548" s="47" t="n">
        <x:v>99</x:v>
      </x:c>
      <x:c r="K548" s="45" t="n">
        <x:v>-44086</x:v>
      </x:c>
      <x:c r="L548" s="45" t="n">
        <x:v>30753</x:v>
      </x:c>
      <x:c r="M548" s="46" t="n">
        <x:v>283.7</x:v>
      </x:c>
      <x:c r="N548" s="46" t="n">
        <x:v>81.23666666666666</x:v>
      </x:c>
      <x:c r="O548" s="47" t="n">
        <x:v>5</x:v>
      </x:c>
      <x:c r="P548" s="1" t="str">
        <x:v>追撃の損失予算を初回実額以内</x:v>
      </x:c>
      <x:c r="Q548" s="47" t="n">
        <x:v>0</x:v>
      </x:c>
      <x:c r="R548" s="1" t="str">
        <x:v>ナイト</x:v>
      </x:c>
      <x:c r="S548" s="47" t="n">
        <x:v>25</x:v>
      </x:c>
    </x:row>
    <x:row r="549" ht="22" customHeight="1">
      <x:c r="A549" s="1" t="str">
        <x:v>TOPIXmini</x:v>
      </x:c>
      <x:c r="B549" s="1" t="str">
        <x:v>G04</x:v>
      </x:c>
      <x:c r="C549" s="1" t="str">
        <x:v>全50場</x:v>
      </x:c>
      <x:c r="D549" s="45" t="n">
        <x:v>1011662</x:v>
      </x:c>
      <x:c r="E549" s="45" t="n">
        <x:v>728692</x:v>
      </x:c>
      <x:c r="F549" s="45" t="n">
        <x:f>D549-E549</x:f>
        <x:v>282970</x:v>
      </x:c>
      <x:c r="G549" s="47" t="n">
        <x:v>17</x:v>
      </x:c>
      <x:c r="H549" s="47" t="n">
        <x:v>7</x:v>
      </x:c>
      <x:c r="I549" s="45" t="n">
        <x:v>46304</x:v>
      </x:c>
      <x:c r="J549" s="47" t="n">
        <x:v>78</x:v>
      </x:c>
      <x:c r="K549" s="45" t="n">
        <x:v>-44086</x:v>
      </x:c>
      <x:c r="L549" s="45" t="n">
        <x:v>27167.285714285714</x:v>
      </x:c>
      <x:c r="M549" s="46" t="n">
        <x:v>199.6138888888889</x:v>
      </x:c>
      <x:c r="N549" s="46" t="n">
        <x:v>135.7513888888889</x:v>
      </x:c>
      <x:c r="O549" s="47" t="n">
        <x:v>5</x:v>
      </x:c>
      <x:c r="P549" s="1" t="str">
        <x:v>追撃の損失予算を初回実額以内</x:v>
      </x:c>
      <x:c r="Q549" s="47" t="n">
        <x:v>0</x:v>
      </x:c>
      <x:c r="R549" s="1" t="str">
        <x:v>上昇</x:v>
      </x:c>
      <x:c r="S549" s="47" t="n">
        <x:v>24</x:v>
      </x:c>
    </x:row>
    <x:row r="550" ht="22" customHeight="1">
      <x:c r="A550" s="1" t="str">
        <x:v>TOPIXmini</x:v>
      </x:c>
      <x:c r="B550" s="1" t="str">
        <x:v>G04</x:v>
      </x:c>
      <x:c r="C550" s="1" t="str">
        <x:v>全50場</x:v>
      </x:c>
      <x:c r="D550" s="45" t="n">
        <x:v>1496084</x:v>
      </x:c>
      <x:c r="E550" s="45" t="n">
        <x:v>793350</x:v>
      </x:c>
      <x:c r="F550" s="45" t="n">
        <x:f>D550-E550</x:f>
        <x:v>702734</x:v>
      </x:c>
      <x:c r="G550" s="47" t="n">
        <x:v>22</x:v>
      </x:c>
      <x:c r="H550" s="47" t="n">
        <x:v>4</x:v>
      </x:c>
      <x:c r="I550" s="45" t="n">
        <x:v>320652</x:v>
      </x:c>
      <x:c r="J550" s="47" t="n">
        <x:v>116</x:v>
      </x:c>
      <x:c r="K550" s="45" t="n">
        <x:v>-68328</x:v>
      </x:c>
      <x:c r="L550" s="45" t="n">
        <x:v>35625</x:v>
      </x:c>
      <x:c r="M550" s="46" t="n">
        <x:v>172.16153846153844</x:v>
      </x:c>
      <x:c r="N550" s="46" t="n">
        <x:v>157.20705128205128</x:v>
      </x:c>
      <x:c r="O550" s="47" t="n">
        <x:v>5</x:v>
      </x:c>
      <x:c r="P550" s="1" t="str">
        <x:v>追撃の損失予算を初回実額以内</x:v>
      </x:c>
      <x:c r="Q550" s="47" t="n">
        <x:v>0</x:v>
      </x:c>
      <x:c r="R550" s="1" t="str">
        <x:v>下落</x:v>
      </x:c>
      <x:c r="S550" s="47" t="n">
        <x:v>26</x:v>
      </x:c>
    </x:row>
    <x:row r="551" ht="22" customHeight="1">
      <x:c r="A551" s="1" t="str">
        <x:v>TOPIXmini</x:v>
      </x:c>
      <x:c r="B551" s="1" t="str">
        <x:v>G04</x:v>
      </x:c>
      <x:c r="C551" s="1" t="str">
        <x:v>対照47場</x:v>
      </x:c>
      <x:c r="D551" s="45" t="n">
        <x:v>2318912</x:v>
      </x:c>
      <x:c r="E551" s="45" t="n">
        <x:v>1340376</x:v>
      </x:c>
      <x:c r="F551" s="45" t="n">
        <x:f>D551-E551</x:f>
        <x:v>978536</x:v>
      </x:c>
      <x:c r="G551" s="47" t="n">
        <x:v>37</x:v>
      </x:c>
      <x:c r="H551" s="47" t="n">
        <x:v>10</x:v>
      </x:c>
      <x:c r="I551" s="45" t="n">
        <x:v>596454</x:v>
      </x:c>
      <x:c r="J551" s="47" t="n">
        <x:v>172</x:v>
      </x:c>
      <x:c r="K551" s="45" t="n">
        <x:v>-44086</x:v>
      </x:c>
      <x:c r="L551" s="45" t="n">
        <x:v>26434.3</x:v>
      </x:c>
      <x:c r="M551" s="46" t="n">
        <x:v>192.05141843971634</x:v>
      </x:c>
      <x:c r="N551" s="46" t="n">
        <x:v>148.75992907801418</x:v>
      </x:c>
      <x:c r="O551" s="47" t="n">
        <x:v>5</x:v>
      </x:c>
      <x:c r="P551" s="1" t="str">
        <x:v>追撃の損失予算を初回実額以内</x:v>
      </x:c>
      <x:c r="Q551" s="47" t="n">
        <x:v>0</x:v>
      </x:c>
      <x:c r="R551" s="1" t="str">
        <x:v>全場</x:v>
      </x:c>
      <x:c r="S551" s="47" t="n">
        <x:v>47</x:v>
      </x:c>
    </x:row>
    <x:row r="552" ht="22" customHeight="1">
      <x:c r="A552" s="1" t="str">
        <x:v>TOPIXmini</x:v>
      </x:c>
      <x:c r="B552" s="1" t="str">
        <x:v>G04</x:v>
      </x:c>
      <x:c r="C552" s="1" t="str">
        <x:v>対照47場</x:v>
      </x:c>
      <x:c r="D552" s="45" t="n">
        <x:v>1374102</x:v>
      </x:c>
      <x:c r="E552" s="45" t="n">
        <x:v>686264</x:v>
      </x:c>
      <x:c r="F552" s="45" t="n">
        <x:f>D552-E552</x:f>
        <x:v>687838</x:v>
      </x:c>
      <x:c r="G552" s="47" t="n">
        <x:v>18</x:v>
      </x:c>
      <x:c r="H552" s="47" t="n">
        <x:v>6</x:v>
      </x:c>
      <x:c r="I552" s="45" t="n">
        <x:v>375588</x:v>
      </x:c>
      <x:c r="J552" s="47" t="n">
        <x:v>85</x:v>
      </x:c>
      <x:c r="K552" s="45" t="n">
        <x:v>-41080</x:v>
      </x:c>
      <x:c r="L552" s="45" t="n">
        <x:v>23555.166666666668</x:v>
      </x:c>
      <x:c r="M552" s="46" t="n">
        <x:v>88.7701388888889</x:v>
      </x:c>
      <x:c r="N552" s="46" t="n">
        <x:v>213.34305555555557</x:v>
      </x:c>
      <x:c r="O552" s="47" t="n">
        <x:v>5</x:v>
      </x:c>
      <x:c r="P552" s="1" t="str">
        <x:v>追撃の損失予算を初回実額以内</x:v>
      </x:c>
      <x:c r="Q552" s="47" t="n">
        <x:v>0</x:v>
      </x:c>
      <x:c r="R552" s="1" t="str">
        <x:v>デイ</x:v>
      </x:c>
      <x:c r="S552" s="47" t="n">
        <x:v>24</x:v>
      </x:c>
    </x:row>
    <x:row r="553" ht="22" customHeight="1">
      <x:c r="A553" s="1" t="str">
        <x:v>TOPIXmini</x:v>
      </x:c>
      <x:c r="B553" s="1" t="str">
        <x:v>G04</x:v>
      </x:c>
      <x:c r="C553" s="1" t="str">
        <x:v>対照47場</x:v>
      </x:c>
      <x:c r="D553" s="45" t="n">
        <x:v>944810</x:v>
      </x:c>
      <x:c r="E553" s="45" t="n">
        <x:v>654112</x:v>
      </x:c>
      <x:c r="F553" s="45" t="n">
        <x:f>D553-E553</x:f>
        <x:v>290698</x:v>
      </x:c>
      <x:c r="G553" s="47" t="n">
        <x:v>19</x:v>
      </x:c>
      <x:c r="H553" s="47" t="n">
        <x:v>4</x:v>
      </x:c>
      <x:c r="I553" s="45" t="n">
        <x:v>69618</x:v>
      </x:c>
      <x:c r="J553" s="47" t="n">
        <x:v>87</x:v>
      </x:c>
      <x:c r="K553" s="45" t="n">
        <x:v>-44086</x:v>
      </x:c>
      <x:c r="L553" s="45" t="n">
        <x:v>30753</x:v>
      </x:c>
      <x:c r="M553" s="46" t="n">
        <x:v>299.82318840579705</x:v>
      </x:c>
      <x:c r="N553" s="46" t="n">
        <x:v>81.36884057971015</x:v>
      </x:c>
      <x:c r="O553" s="47" t="n">
        <x:v>5</x:v>
      </x:c>
      <x:c r="P553" s="1" t="str">
        <x:v>追撃の損失予算を初回実額以内</x:v>
      </x:c>
      <x:c r="Q553" s="47" t="n">
        <x:v>0</x:v>
      </x:c>
      <x:c r="R553" s="1" t="str">
        <x:v>ナイト</x:v>
      </x:c>
      <x:c r="S553" s="47" t="n">
        <x:v>23</x:v>
      </x:c>
    </x:row>
    <x:row r="554" ht="22" customHeight="1">
      <x:c r="A554" s="1" t="str">
        <x:v>TOPIXmini</x:v>
      </x:c>
      <x:c r="B554" s="1" t="str">
        <x:v>G04</x:v>
      </x:c>
      <x:c r="C554" s="1" t="str">
        <x:v>対照47場</x:v>
      </x:c>
      <x:c r="D554" s="45" t="n">
        <x:v>970912</x:v>
      </x:c>
      <x:c r="E554" s="45" t="n">
        <x:v>710526</x:v>
      </x:c>
      <x:c r="F554" s="45" t="n">
        <x:f>D554-E554</x:f>
        <x:v>260386</x:v>
      </x:c>
      <x:c r="G554" s="47" t="n">
        <x:v>16</x:v>
      </x:c>
      <x:c r="H554" s="47" t="n">
        <x:v>7</x:v>
      </x:c>
      <x:c r="I554" s="45" t="n">
        <x:v>23720</x:v>
      </x:c>
      <x:c r="J554" s="47" t="n">
        <x:v>74</x:v>
      </x:c>
      <x:c r="K554" s="45" t="n">
        <x:v>-44086</x:v>
      </x:c>
      <x:c r="L554" s="45" t="n">
        <x:v>27167.285714285714</x:v>
      </x:c>
      <x:c r="M554" s="46" t="n">
        <x:v>202.8304347826087</x:v>
      </x:c>
      <x:c r="N554" s="46" t="n">
        <x:v>138.3840579710145</x:v>
      </x:c>
      <x:c r="O554" s="47" t="n">
        <x:v>5</x:v>
      </x:c>
      <x:c r="P554" s="1" t="str">
        <x:v>追撃の損失予算を初回実額以内</x:v>
      </x:c>
      <x:c r="Q554" s="47" t="n">
        <x:v>0</x:v>
      </x:c>
      <x:c r="R554" s="1" t="str">
        <x:v>上昇</x:v>
      </x:c>
      <x:c r="S554" s="47" t="n">
        <x:v>23</x:v>
      </x:c>
    </x:row>
    <x:row r="555" ht="22" customHeight="1">
      <x:c r="A555" s="1" t="str">
        <x:v>TOPIXmini</x:v>
      </x:c>
      <x:c r="B555" s="1" t="str">
        <x:v>G04</x:v>
      </x:c>
      <x:c r="C555" s="1" t="str">
        <x:v>対照47場</x:v>
      </x:c>
      <x:c r="D555" s="45" t="n">
        <x:v>1348000</x:v>
      </x:c>
      <x:c r="E555" s="45" t="n">
        <x:v>629850</x:v>
      </x:c>
      <x:c r="F555" s="45" t="n">
        <x:f>D555-E555</x:f>
        <x:v>718150</x:v>
      </x:c>
      <x:c r="G555" s="47" t="n">
        <x:v>21</x:v>
      </x:c>
      <x:c r="H555" s="47" t="n">
        <x:v>3</x:v>
      </x:c>
      <x:c r="I555" s="45" t="n">
        <x:v>336068</x:v>
      </x:c>
      <x:c r="J555" s="47" t="n">
        <x:v>98</x:v>
      </x:c>
      <x:c r="K555" s="45" t="n">
        <x:v>-40836</x:v>
      </x:c>
      <x:c r="L555" s="45" t="n">
        <x:v>24724</x:v>
      </x:c>
      <x:c r="M555" s="46" t="n">
        <x:v>181.72152777777777</x:v>
      </x:c>
      <x:c r="N555" s="46" t="n">
        <x:v>158.70347222222225</x:v>
      </x:c>
      <x:c r="O555" s="47" t="n">
        <x:v>5</x:v>
      </x:c>
      <x:c r="P555" s="1" t="str">
        <x:v>追撃の損失予算を初回実額以内</x:v>
      </x:c>
      <x:c r="Q555" s="47" t="n">
        <x:v>0</x:v>
      </x:c>
      <x:c r="R555" s="1" t="str">
        <x:v>下落</x:v>
      </x:c>
      <x:c r="S555" s="47" t="n">
        <x:v>24</x:v>
      </x:c>
    </x:row>
    <x:row r="556" ht="22" customHeight="1">
      <x:c r="A556" s="1" t="str">
        <x:v>TOPIXmini</x:v>
      </x:c>
      <x:c r="B556" s="1" t="str">
        <x:v>G04</x:v>
      </x:c>
      <x:c r="C556" s="1" t="str">
        <x:v>診断3場</x:v>
      </x:c>
      <x:c r="D556" s="45" t="n">
        <x:v>188834</x:v>
      </x:c>
      <x:c r="E556" s="45" t="n">
        <x:v>181666</x:v>
      </x:c>
      <x:c r="F556" s="45" t="n">
        <x:f>D556-E556</x:f>
        <x:v>7168</x:v>
      </x:c>
      <x:c r="G556" s="47" t="n">
        <x:v>2</x:v>
      </x:c>
      <x:c r="H556" s="47" t="n">
        <x:v>1</x:v>
      </x:c>
      <x:c r="I556" s="45" t="n">
        <x:v>-68328</x:v>
      </x:c>
      <x:c r="J556" s="47" t="n">
        <x:v>22</x:v>
      </x:c>
      <x:c r="K556" s="45" t="n">
        <x:v>-68328</x:v>
      </x:c>
      <x:c r="L556" s="45" t="n">
        <x:v>68328</x:v>
      </x:c>
      <x:c r="M556" s="46" t="n">
        <x:v>80.17222222222223</x:v>
      </x:c>
      <x:c r="N556" s="46" t="n">
        <x:v>117.89999999999999</x:v>
      </x:c>
      <x:c r="O556" s="47" t="n">
        <x:v>5</x:v>
      </x:c>
      <x:c r="P556" s="1" t="str">
        <x:v>追撃の損失予算を初回実額以内</x:v>
      </x:c>
      <x:c r="Q556" s="47" t="n">
        <x:v>0</x:v>
      </x:c>
      <x:c r="R556" s="1" t="str">
        <x:v>全場</x:v>
      </x:c>
      <x:c r="S556" s="47" t="n">
        <x:v>3</x:v>
      </x:c>
    </x:row>
    <x:row r="557" ht="22" customHeight="1">
      <x:c r="A557" s="1" t="str">
        <x:v>TOPIXmini</x:v>
      </x:c>
      <x:c r="B557" s="1" t="str">
        <x:v>G04</x:v>
      </x:c>
      <x:c r="C557" s="1" t="str">
        <x:v>診断3場</x:v>
      </x:c>
      <x:c r="D557" s="45" t="n">
        <x:v>59336</x:v>
      </x:c>
      <x:c r="E557" s="45" t="n">
        <x:v>127664</x:v>
      </x:c>
      <x:c r="F557" s="45" t="n">
        <x:f>D557-E557</x:f>
        <x:v>-68328</x:v>
      </x:c>
      <x:c r="G557" s="47" t="n">
        <x:v>0</x:v>
      </x:c>
      <x:c r="H557" s="47" t="n">
        <x:v>1</x:v>
      </x:c>
      <x:c r="I557" s="45" t="n">
        <x:v>-68328</x:v>
      </x:c>
      <x:c r="J557" s="47" t="n">
        <x:v>10</x:v>
      </x:c>
      <x:c r="K557" s="45" t="n">
        <x:v>-68328</x:v>
      </x:c>
      <x:c r="L557" s="45" t="n">
        <x:v>68328</x:v>
      </x:c>
      <x:c r="M557" s="46" t="n">
        <x:v>43.95</x:v>
      </x:c>
      <x:c r="N557" s="46" t="n">
        <x:v>194.26666666666668</x:v>
      </x:c>
      <x:c r="O557" s="47" t="n">
        <x:v>5</x:v>
      </x:c>
      <x:c r="P557" s="1" t="str">
        <x:v>追撃の損失予算を初回実額以内</x:v>
      </x:c>
      <x:c r="Q557" s="47" t="n">
        <x:v>0</x:v>
      </x:c>
      <x:c r="R557" s="1" t="str">
        <x:v>デイ</x:v>
      </x:c>
      <x:c r="S557" s="47" t="n">
        <x:v>1</x:v>
      </x:c>
    </x:row>
    <x:row r="558" ht="22" customHeight="1">
      <x:c r="A558" s="1" t="str">
        <x:v>TOPIXmini</x:v>
      </x:c>
      <x:c r="B558" s="1" t="str">
        <x:v>G04</x:v>
      </x:c>
      <x:c r="C558" s="1" t="str">
        <x:v>診断3場</x:v>
      </x:c>
      <x:c r="D558" s="45" t="n">
        <x:v>129498</x:v>
      </x:c>
      <x:c r="E558" s="45" t="n">
        <x:v>54002</x:v>
      </x:c>
      <x:c r="F558" s="45" t="n">
        <x:f>D558-E558</x:f>
        <x:v>75496</x:v>
      </x:c>
      <x:c r="G558" s="47" t="n">
        <x:v>2</x:v>
      </x:c>
      <x:c r="H558" s="47" t="n">
        <x:v>0</x:v>
      </x:c>
      <x:c r="I558" s="45" t="n">
        <x:v>0</x:v>
      </x:c>
      <x:c r="J558" s="47" t="n">
        <x:v>12</x:v>
      </x:c>
      <x:c r="K558" s="45" t="n">
        <x:v>22584</x:v>
      </x:c>
      <x:c r="L558" s="45" t="n">
        <x:v>0</x:v>
      </x:c>
      <x:c r="M558" s="46" t="n">
        <x:v>98.28333333333333</x:v>
      </x:c>
      <x:c r="N558" s="46" t="n">
        <x:v>79.71666666666667</x:v>
      </x:c>
      <x:c r="O558" s="47" t="n">
        <x:v>5</x:v>
      </x:c>
      <x:c r="P558" s="1" t="str">
        <x:v>追撃の損失予算を初回実額以内</x:v>
      </x:c>
      <x:c r="Q558" s="47" t="n">
        <x:v>0</x:v>
      </x:c>
      <x:c r="R558" s="1" t="str">
        <x:v>ナイト</x:v>
      </x:c>
      <x:c r="S558" s="47" t="n">
        <x:v>2</x:v>
      </x:c>
    </x:row>
    <x:row r="559" ht="22" customHeight="1">
      <x:c r="A559" s="1" t="str">
        <x:v>TOPIXmini</x:v>
      </x:c>
      <x:c r="B559" s="1" t="str">
        <x:v>G04</x:v>
      </x:c>
      <x:c r="C559" s="1" t="str">
        <x:v>診断3場</x:v>
      </x:c>
      <x:c r="D559" s="45" t="n">
        <x:v>40750</x:v>
      </x:c>
      <x:c r="E559" s="45" t="n">
        <x:v>18166</x:v>
      </x:c>
      <x:c r="F559" s="45" t="n">
        <x:f>D559-E559</x:f>
        <x:v>22584</x:v>
      </x:c>
      <x:c r="G559" s="47" t="n">
        <x:v>1</x:v>
      </x:c>
      <x:c r="H559" s="47" t="n">
        <x:v>0</x:v>
      </x:c>
      <x:c r="I559" s="45" t="n">
        <x:v>0</x:v>
      </x:c>
      <x:c r="J559" s="47" t="n">
        <x:v>4</x:v>
      </x:c>
      <x:c r="K559" s="45" t="n">
        <x:v>22584</x:v>
      </x:c>
      <x:c r="L559" s="45" t="n">
        <x:v>0</x:v>
      </x:c>
      <x:c r="M559" s="46" t="n">
        <x:v>125.63333333333334</x:v>
      </x:c>
      <x:c r="N559" s="46" t="n">
        <x:v>75.2</x:v>
      </x:c>
      <x:c r="O559" s="47" t="n">
        <x:v>5</x:v>
      </x:c>
      <x:c r="P559" s="1" t="str">
        <x:v>追撃の損失予算を初回実額以内</x:v>
      </x:c>
      <x:c r="Q559" s="47" t="n">
        <x:v>0</x:v>
      </x:c>
      <x:c r="R559" s="1" t="str">
        <x:v>上昇</x:v>
      </x:c>
      <x:c r="S559" s="47" t="n">
        <x:v>1</x:v>
      </x:c>
    </x:row>
    <x:row r="560" ht="22" customHeight="1">
      <x:c r="A560" s="1" t="str">
        <x:v>TOPIXmini</x:v>
      </x:c>
      <x:c r="B560" s="1" t="str">
        <x:v>G04</x:v>
      </x:c>
      <x:c r="C560" s="1" t="str">
        <x:v>診断3場</x:v>
      </x:c>
      <x:c r="D560" s="45" t="n">
        <x:v>148084</x:v>
      </x:c>
      <x:c r="E560" s="45" t="n">
        <x:v>163500</x:v>
      </x:c>
      <x:c r="F560" s="45" t="n">
        <x:f>D560-E560</x:f>
        <x:v>-15416</x:v>
      </x:c>
      <x:c r="G560" s="47" t="n">
        <x:v>1</x:v>
      </x:c>
      <x:c r="H560" s="47" t="n">
        <x:v>1</x:v>
      </x:c>
      <x:c r="I560" s="45" t="n">
        <x:v>-68328</x:v>
      </x:c>
      <x:c r="J560" s="47" t="n">
        <x:v>18</x:v>
      </x:c>
      <x:c r="K560" s="45" t="n">
        <x:v>-68328</x:v>
      </x:c>
      <x:c r="L560" s="45" t="n">
        <x:v>68328</x:v>
      </x:c>
      <x:c r="M560" s="46" t="n">
        <x:v>57.44166666666667</x:v>
      </x:c>
      <x:c r="N560" s="46" t="n">
        <x:v>139.25</x:v>
      </x:c>
      <x:c r="O560" s="47" t="n">
        <x:v>5</x:v>
      </x:c>
      <x:c r="P560" s="1" t="str">
        <x:v>追撃の損失予算を初回実額以内</x:v>
      </x:c>
      <x:c r="Q560" s="47" t="n">
        <x:v>0</x:v>
      </x:c>
      <x:c r="R560" s="1" t="str">
        <x:v>下落</x:v>
      </x:c>
      <x:c r="S560" s="47" t="n">
        <x:v>2</x:v>
      </x:c>
    </x:row>
    <x:row r="561" ht="22" customHeight="1">
      <x:c r="A561" s="1" t="str">
        <x:v>TOPIXmini</x:v>
      </x:c>
      <x:c r="B561" s="1" t="str">
        <x:v>G05</x:v>
      </x:c>
      <x:c r="C561" s="1" t="str">
        <x:v>全50場</x:v>
      </x:c>
      <x:c r="D561" s="45" t="n">
        <x:v>2507746</x:v>
      </x:c>
      <x:c r="E561" s="45" t="n">
        <x:v>1522042</x:v>
      </x:c>
      <x:c r="F561" s="45" t="n">
        <x:f>D561-E561</x:f>
        <x:v>985704</x:v>
      </x:c>
      <x:c r="G561" s="47" t="n">
        <x:v>39</x:v>
      </x:c>
      <x:c r="H561" s="47" t="n">
        <x:v>11</x:v>
      </x:c>
      <x:c r="I561" s="45" t="n">
        <x:v>603622</x:v>
      </x:c>
      <x:c r="J561" s="47" t="n">
        <x:v>194</x:v>
      </x:c>
      <x:c r="K561" s="45" t="n">
        <x:v>-68328</x:v>
      </x:c>
      <x:c r="L561" s="45" t="n">
        <x:v>30242.81818181818</x:v>
      </x:c>
      <x:c r="M561" s="46" t="n">
        <x:v>185.33866666666668</x:v>
      </x:c>
      <x:c r="N561" s="46" t="n">
        <x:v>146.90833333333333</x:v>
      </x:c>
      <x:c r="O561" s="47" t="n">
        <x:v>5</x:v>
      </x:c>
      <x:c r="P561" s="1" t="str">
        <x:v>利益保護前の追撃禁止</x:v>
      </x:c>
      <x:c r="Q561" s="47" t="n">
        <x:v>0</x:v>
      </x:c>
      <x:c r="R561" s="1" t="str">
        <x:v>全場</x:v>
      </x:c>
      <x:c r="S561" s="47" t="n">
        <x:v>50</x:v>
      </x:c>
    </x:row>
    <x:row r="562" ht="22" customHeight="1">
      <x:c r="A562" s="1" t="str">
        <x:v>TOPIXmini</x:v>
      </x:c>
      <x:c r="B562" s="1" t="str">
        <x:v>G05</x:v>
      </x:c>
      <x:c r="C562" s="1" t="str">
        <x:v>全50場</x:v>
      </x:c>
      <x:c r="D562" s="45" t="n">
        <x:v>1433438</x:v>
      </x:c>
      <x:c r="E562" s="45" t="n">
        <x:v>813928</x:v>
      </x:c>
      <x:c r="F562" s="45" t="n">
        <x:f>D562-E562</x:f>
        <x:v>619510</x:v>
      </x:c>
      <x:c r="G562" s="47" t="n">
        <x:v>18</x:v>
      </x:c>
      <x:c r="H562" s="47" t="n">
        <x:v>7</x:v>
      </x:c>
      <x:c r="I562" s="45" t="n">
        <x:v>307260</x:v>
      </x:c>
      <x:c r="J562" s="47" t="n">
        <x:v>95</x:v>
      </x:c>
      <x:c r="K562" s="45" t="n">
        <x:v>-68328</x:v>
      </x:c>
      <x:c r="L562" s="45" t="n">
        <x:v>29951.285714285714</x:v>
      </x:c>
      <x:c r="M562" s="46" t="n">
        <x:v>86.97733333333333</x:v>
      </x:c>
      <x:c r="N562" s="46" t="n">
        <x:v>212.58</x:v>
      </x:c>
      <x:c r="O562" s="47" t="n">
        <x:v>5</x:v>
      </x:c>
      <x:c r="P562" s="1" t="str">
        <x:v>利益保護前の追撃禁止</x:v>
      </x:c>
      <x:c r="Q562" s="47" t="n">
        <x:v>0</x:v>
      </x:c>
      <x:c r="R562" s="1" t="str">
        <x:v>デイ</x:v>
      </x:c>
      <x:c r="S562" s="47" t="n">
        <x:v>25</x:v>
      </x:c>
    </x:row>
    <x:row r="563" ht="22" customHeight="1">
      <x:c r="A563" s="1" t="str">
        <x:v>TOPIXmini</x:v>
      </x:c>
      <x:c r="B563" s="1" t="str">
        <x:v>G05</x:v>
      </x:c>
      <x:c r="C563" s="1" t="str">
        <x:v>全50場</x:v>
      </x:c>
      <x:c r="D563" s="45" t="n">
        <x:v>1074308</x:v>
      </x:c>
      <x:c r="E563" s="45" t="n">
        <x:v>708114</x:v>
      </x:c>
      <x:c r="F563" s="45" t="n">
        <x:f>D563-E563</x:f>
        <x:v>366194</x:v>
      </x:c>
      <x:c r="G563" s="47" t="n">
        <x:v>21</x:v>
      </x:c>
      <x:c r="H563" s="47" t="n">
        <x:v>4</x:v>
      </x:c>
      <x:c r="I563" s="45" t="n">
        <x:v>124284</x:v>
      </x:c>
      <x:c r="J563" s="47" t="n">
        <x:v>99</x:v>
      </x:c>
      <x:c r="K563" s="45" t="n">
        <x:v>-44086</x:v>
      </x:c>
      <x:c r="L563" s="45" t="n">
        <x:v>30753</x:v>
      </x:c>
      <x:c r="M563" s="46" t="n">
        <x:v>283.7</x:v>
      </x:c>
      <x:c r="N563" s="46" t="n">
        <x:v>81.23666666666666</x:v>
      </x:c>
      <x:c r="O563" s="47" t="n">
        <x:v>5</x:v>
      </x:c>
      <x:c r="P563" s="1" t="str">
        <x:v>利益保護前の追撃禁止</x:v>
      </x:c>
      <x:c r="Q563" s="47" t="n">
        <x:v>0</x:v>
      </x:c>
      <x:c r="R563" s="1" t="str">
        <x:v>ナイト</x:v>
      </x:c>
      <x:c r="S563" s="47" t="n">
        <x:v>25</x:v>
      </x:c>
    </x:row>
    <x:row r="564" ht="22" customHeight="1">
      <x:c r="A564" s="1" t="str">
        <x:v>TOPIXmini</x:v>
      </x:c>
      <x:c r="B564" s="1" t="str">
        <x:v>G05</x:v>
      </x:c>
      <x:c r="C564" s="1" t="str">
        <x:v>全50場</x:v>
      </x:c>
      <x:c r="D564" s="45" t="n">
        <x:v>1011662</x:v>
      </x:c>
      <x:c r="E564" s="45" t="n">
        <x:v>728692</x:v>
      </x:c>
      <x:c r="F564" s="45" t="n">
        <x:f>D564-E564</x:f>
        <x:v>282970</x:v>
      </x:c>
      <x:c r="G564" s="47" t="n">
        <x:v>17</x:v>
      </x:c>
      <x:c r="H564" s="47" t="n">
        <x:v>7</x:v>
      </x:c>
      <x:c r="I564" s="45" t="n">
        <x:v>46304</x:v>
      </x:c>
      <x:c r="J564" s="47" t="n">
        <x:v>78</x:v>
      </x:c>
      <x:c r="K564" s="45" t="n">
        <x:v>-44086</x:v>
      </x:c>
      <x:c r="L564" s="45" t="n">
        <x:v>27167.285714285714</x:v>
      </x:c>
      <x:c r="M564" s="46" t="n">
        <x:v>199.6138888888889</x:v>
      </x:c>
      <x:c r="N564" s="46" t="n">
        <x:v>135.7513888888889</x:v>
      </x:c>
      <x:c r="O564" s="47" t="n">
        <x:v>5</x:v>
      </x:c>
      <x:c r="P564" s="1" t="str">
        <x:v>利益保護前の追撃禁止</x:v>
      </x:c>
      <x:c r="Q564" s="47" t="n">
        <x:v>0</x:v>
      </x:c>
      <x:c r="R564" s="1" t="str">
        <x:v>上昇</x:v>
      </x:c>
      <x:c r="S564" s="47" t="n">
        <x:v>24</x:v>
      </x:c>
    </x:row>
    <x:row r="565" ht="22" customHeight="1">
      <x:c r="A565" s="1" t="str">
        <x:v>TOPIXmini</x:v>
      </x:c>
      <x:c r="B565" s="1" t="str">
        <x:v>G05</x:v>
      </x:c>
      <x:c r="C565" s="1" t="str">
        <x:v>全50場</x:v>
      </x:c>
      <x:c r="D565" s="45" t="n">
        <x:v>1496084</x:v>
      </x:c>
      <x:c r="E565" s="45" t="n">
        <x:v>793350</x:v>
      </x:c>
      <x:c r="F565" s="45" t="n">
        <x:f>D565-E565</x:f>
        <x:v>702734</x:v>
      </x:c>
      <x:c r="G565" s="47" t="n">
        <x:v>22</x:v>
      </x:c>
      <x:c r="H565" s="47" t="n">
        <x:v>4</x:v>
      </x:c>
      <x:c r="I565" s="45" t="n">
        <x:v>320652</x:v>
      </x:c>
      <x:c r="J565" s="47" t="n">
        <x:v>116</x:v>
      </x:c>
      <x:c r="K565" s="45" t="n">
        <x:v>-68328</x:v>
      </x:c>
      <x:c r="L565" s="45" t="n">
        <x:v>35625</x:v>
      </x:c>
      <x:c r="M565" s="46" t="n">
        <x:v>172.16153846153844</x:v>
      </x:c>
      <x:c r="N565" s="46" t="n">
        <x:v>157.20705128205128</x:v>
      </x:c>
      <x:c r="O565" s="47" t="n">
        <x:v>5</x:v>
      </x:c>
      <x:c r="P565" s="1" t="str">
        <x:v>利益保護前の追撃禁止</x:v>
      </x:c>
      <x:c r="Q565" s="47" t="n">
        <x:v>0</x:v>
      </x:c>
      <x:c r="R565" s="1" t="str">
        <x:v>下落</x:v>
      </x:c>
      <x:c r="S565" s="47" t="n">
        <x:v>26</x:v>
      </x:c>
    </x:row>
    <x:row r="566" ht="22" customHeight="1">
      <x:c r="A566" s="1" t="str">
        <x:v>TOPIXmini</x:v>
      </x:c>
      <x:c r="B566" s="1" t="str">
        <x:v>G05</x:v>
      </x:c>
      <x:c r="C566" s="1" t="str">
        <x:v>対照47場</x:v>
      </x:c>
      <x:c r="D566" s="45" t="n">
        <x:v>2318912</x:v>
      </x:c>
      <x:c r="E566" s="45" t="n">
        <x:v>1340376</x:v>
      </x:c>
      <x:c r="F566" s="45" t="n">
        <x:f>D566-E566</x:f>
        <x:v>978536</x:v>
      </x:c>
      <x:c r="G566" s="47" t="n">
        <x:v>37</x:v>
      </x:c>
      <x:c r="H566" s="47" t="n">
        <x:v>10</x:v>
      </x:c>
      <x:c r="I566" s="45" t="n">
        <x:v>596454</x:v>
      </x:c>
      <x:c r="J566" s="47" t="n">
        <x:v>172</x:v>
      </x:c>
      <x:c r="K566" s="45" t="n">
        <x:v>-44086</x:v>
      </x:c>
      <x:c r="L566" s="45" t="n">
        <x:v>26434.3</x:v>
      </x:c>
      <x:c r="M566" s="46" t="n">
        <x:v>192.05141843971634</x:v>
      </x:c>
      <x:c r="N566" s="46" t="n">
        <x:v>148.75992907801418</x:v>
      </x:c>
      <x:c r="O566" s="47" t="n">
        <x:v>5</x:v>
      </x:c>
      <x:c r="P566" s="1" t="str">
        <x:v>利益保護前の追撃禁止</x:v>
      </x:c>
      <x:c r="Q566" s="47" t="n">
        <x:v>0</x:v>
      </x:c>
      <x:c r="R566" s="1" t="str">
        <x:v>全場</x:v>
      </x:c>
      <x:c r="S566" s="47" t="n">
        <x:v>47</x:v>
      </x:c>
    </x:row>
    <x:row r="567" ht="22" customHeight="1">
      <x:c r="A567" s="1" t="str">
        <x:v>TOPIXmini</x:v>
      </x:c>
      <x:c r="B567" s="1" t="str">
        <x:v>G05</x:v>
      </x:c>
      <x:c r="C567" s="1" t="str">
        <x:v>対照47場</x:v>
      </x:c>
      <x:c r="D567" s="45" t="n">
        <x:v>1374102</x:v>
      </x:c>
      <x:c r="E567" s="45" t="n">
        <x:v>686264</x:v>
      </x:c>
      <x:c r="F567" s="45" t="n">
        <x:f>D567-E567</x:f>
        <x:v>687838</x:v>
      </x:c>
      <x:c r="G567" s="47" t="n">
        <x:v>18</x:v>
      </x:c>
      <x:c r="H567" s="47" t="n">
        <x:v>6</x:v>
      </x:c>
      <x:c r="I567" s="45" t="n">
        <x:v>375588</x:v>
      </x:c>
      <x:c r="J567" s="47" t="n">
        <x:v>85</x:v>
      </x:c>
      <x:c r="K567" s="45" t="n">
        <x:v>-41080</x:v>
      </x:c>
      <x:c r="L567" s="45" t="n">
        <x:v>23555.166666666668</x:v>
      </x:c>
      <x:c r="M567" s="46" t="n">
        <x:v>88.7701388888889</x:v>
      </x:c>
      <x:c r="N567" s="46" t="n">
        <x:v>213.34305555555557</x:v>
      </x:c>
      <x:c r="O567" s="47" t="n">
        <x:v>5</x:v>
      </x:c>
      <x:c r="P567" s="1" t="str">
        <x:v>利益保護前の追撃禁止</x:v>
      </x:c>
      <x:c r="Q567" s="47" t="n">
        <x:v>0</x:v>
      </x:c>
      <x:c r="R567" s="1" t="str">
        <x:v>デイ</x:v>
      </x:c>
      <x:c r="S567" s="47" t="n">
        <x:v>24</x:v>
      </x:c>
    </x:row>
    <x:row r="568" ht="22" customHeight="1">
      <x:c r="A568" s="1" t="str">
        <x:v>TOPIXmini</x:v>
      </x:c>
      <x:c r="B568" s="1" t="str">
        <x:v>G05</x:v>
      </x:c>
      <x:c r="C568" s="1" t="str">
        <x:v>対照47場</x:v>
      </x:c>
      <x:c r="D568" s="45" t="n">
        <x:v>944810</x:v>
      </x:c>
      <x:c r="E568" s="45" t="n">
        <x:v>654112</x:v>
      </x:c>
      <x:c r="F568" s="45" t="n">
        <x:f>D568-E568</x:f>
        <x:v>290698</x:v>
      </x:c>
      <x:c r="G568" s="47" t="n">
        <x:v>19</x:v>
      </x:c>
      <x:c r="H568" s="47" t="n">
        <x:v>4</x:v>
      </x:c>
      <x:c r="I568" s="45" t="n">
        <x:v>69618</x:v>
      </x:c>
      <x:c r="J568" s="47" t="n">
        <x:v>87</x:v>
      </x:c>
      <x:c r="K568" s="45" t="n">
        <x:v>-44086</x:v>
      </x:c>
      <x:c r="L568" s="45" t="n">
        <x:v>30753</x:v>
      </x:c>
      <x:c r="M568" s="46" t="n">
        <x:v>299.82318840579705</x:v>
      </x:c>
      <x:c r="N568" s="46" t="n">
        <x:v>81.36884057971015</x:v>
      </x:c>
      <x:c r="O568" s="47" t="n">
        <x:v>5</x:v>
      </x:c>
      <x:c r="P568" s="1" t="str">
        <x:v>利益保護前の追撃禁止</x:v>
      </x:c>
      <x:c r="Q568" s="47" t="n">
        <x:v>0</x:v>
      </x:c>
      <x:c r="R568" s="1" t="str">
        <x:v>ナイト</x:v>
      </x:c>
      <x:c r="S568" s="47" t="n">
        <x:v>23</x:v>
      </x:c>
    </x:row>
    <x:row r="569" ht="22" customHeight="1">
      <x:c r="A569" s="1" t="str">
        <x:v>TOPIXmini</x:v>
      </x:c>
      <x:c r="B569" s="1" t="str">
        <x:v>G05</x:v>
      </x:c>
      <x:c r="C569" s="1" t="str">
        <x:v>対照47場</x:v>
      </x:c>
      <x:c r="D569" s="45" t="n">
        <x:v>970912</x:v>
      </x:c>
      <x:c r="E569" s="45" t="n">
        <x:v>710526</x:v>
      </x:c>
      <x:c r="F569" s="45" t="n">
        <x:f>D569-E569</x:f>
        <x:v>260386</x:v>
      </x:c>
      <x:c r="G569" s="47" t="n">
        <x:v>16</x:v>
      </x:c>
      <x:c r="H569" s="47" t="n">
        <x:v>7</x:v>
      </x:c>
      <x:c r="I569" s="45" t="n">
        <x:v>23720</x:v>
      </x:c>
      <x:c r="J569" s="47" t="n">
        <x:v>74</x:v>
      </x:c>
      <x:c r="K569" s="45" t="n">
        <x:v>-44086</x:v>
      </x:c>
      <x:c r="L569" s="45" t="n">
        <x:v>27167.285714285714</x:v>
      </x:c>
      <x:c r="M569" s="46" t="n">
        <x:v>202.8304347826087</x:v>
      </x:c>
      <x:c r="N569" s="46" t="n">
        <x:v>138.3840579710145</x:v>
      </x:c>
      <x:c r="O569" s="47" t="n">
        <x:v>5</x:v>
      </x:c>
      <x:c r="P569" s="1" t="str">
        <x:v>利益保護前の追撃禁止</x:v>
      </x:c>
      <x:c r="Q569" s="47" t="n">
        <x:v>0</x:v>
      </x:c>
      <x:c r="R569" s="1" t="str">
        <x:v>上昇</x:v>
      </x:c>
      <x:c r="S569" s="47" t="n">
        <x:v>23</x:v>
      </x:c>
    </x:row>
    <x:row r="570" ht="22" customHeight="1">
      <x:c r="A570" s="1" t="str">
        <x:v>TOPIXmini</x:v>
      </x:c>
      <x:c r="B570" s="1" t="str">
        <x:v>G05</x:v>
      </x:c>
      <x:c r="C570" s="1" t="str">
        <x:v>対照47場</x:v>
      </x:c>
      <x:c r="D570" s="45" t="n">
        <x:v>1348000</x:v>
      </x:c>
      <x:c r="E570" s="45" t="n">
        <x:v>629850</x:v>
      </x:c>
      <x:c r="F570" s="45" t="n">
        <x:f>D570-E570</x:f>
        <x:v>718150</x:v>
      </x:c>
      <x:c r="G570" s="47" t="n">
        <x:v>21</x:v>
      </x:c>
      <x:c r="H570" s="47" t="n">
        <x:v>3</x:v>
      </x:c>
      <x:c r="I570" s="45" t="n">
        <x:v>336068</x:v>
      </x:c>
      <x:c r="J570" s="47" t="n">
        <x:v>98</x:v>
      </x:c>
      <x:c r="K570" s="45" t="n">
        <x:v>-40836</x:v>
      </x:c>
      <x:c r="L570" s="45" t="n">
        <x:v>24724</x:v>
      </x:c>
      <x:c r="M570" s="46" t="n">
        <x:v>181.72152777777777</x:v>
      </x:c>
      <x:c r="N570" s="46" t="n">
        <x:v>158.70347222222225</x:v>
      </x:c>
      <x:c r="O570" s="47" t="n">
        <x:v>5</x:v>
      </x:c>
      <x:c r="P570" s="1" t="str">
        <x:v>利益保護前の追撃禁止</x:v>
      </x:c>
      <x:c r="Q570" s="47" t="n">
        <x:v>0</x:v>
      </x:c>
      <x:c r="R570" s="1" t="str">
        <x:v>下落</x:v>
      </x:c>
      <x:c r="S570" s="47" t="n">
        <x:v>24</x:v>
      </x:c>
    </x:row>
    <x:row r="571" ht="22" customHeight="1">
      <x:c r="A571" s="1" t="str">
        <x:v>TOPIXmini</x:v>
      </x:c>
      <x:c r="B571" s="1" t="str">
        <x:v>G05</x:v>
      </x:c>
      <x:c r="C571" s="1" t="str">
        <x:v>診断3場</x:v>
      </x:c>
      <x:c r="D571" s="45" t="n">
        <x:v>188834</x:v>
      </x:c>
      <x:c r="E571" s="45" t="n">
        <x:v>181666</x:v>
      </x:c>
      <x:c r="F571" s="45" t="n">
        <x:f>D571-E571</x:f>
        <x:v>7168</x:v>
      </x:c>
      <x:c r="G571" s="47" t="n">
        <x:v>2</x:v>
      </x:c>
      <x:c r="H571" s="47" t="n">
        <x:v>1</x:v>
      </x:c>
      <x:c r="I571" s="45" t="n">
        <x:v>-68328</x:v>
      </x:c>
      <x:c r="J571" s="47" t="n">
        <x:v>22</x:v>
      </x:c>
      <x:c r="K571" s="45" t="n">
        <x:v>-68328</x:v>
      </x:c>
      <x:c r="L571" s="45" t="n">
        <x:v>68328</x:v>
      </x:c>
      <x:c r="M571" s="46" t="n">
        <x:v>80.17222222222223</x:v>
      </x:c>
      <x:c r="N571" s="46" t="n">
        <x:v>117.89999999999999</x:v>
      </x:c>
      <x:c r="O571" s="47" t="n">
        <x:v>5</x:v>
      </x:c>
      <x:c r="P571" s="1" t="str">
        <x:v>利益保護前の追撃禁止</x:v>
      </x:c>
      <x:c r="Q571" s="47" t="n">
        <x:v>0</x:v>
      </x:c>
      <x:c r="R571" s="1" t="str">
        <x:v>全場</x:v>
      </x:c>
      <x:c r="S571" s="47" t="n">
        <x:v>3</x:v>
      </x:c>
    </x:row>
    <x:row r="572" ht="22" customHeight="1">
      <x:c r="A572" s="1" t="str">
        <x:v>TOPIXmini</x:v>
      </x:c>
      <x:c r="B572" s="1" t="str">
        <x:v>G05</x:v>
      </x:c>
      <x:c r="C572" s="1" t="str">
        <x:v>診断3場</x:v>
      </x:c>
      <x:c r="D572" s="45" t="n">
        <x:v>59336</x:v>
      </x:c>
      <x:c r="E572" s="45" t="n">
        <x:v>127664</x:v>
      </x:c>
      <x:c r="F572" s="45" t="n">
        <x:f>D572-E572</x:f>
        <x:v>-68328</x:v>
      </x:c>
      <x:c r="G572" s="47" t="n">
        <x:v>0</x:v>
      </x:c>
      <x:c r="H572" s="47" t="n">
        <x:v>1</x:v>
      </x:c>
      <x:c r="I572" s="45" t="n">
        <x:v>-68328</x:v>
      </x:c>
      <x:c r="J572" s="47" t="n">
        <x:v>10</x:v>
      </x:c>
      <x:c r="K572" s="45" t="n">
        <x:v>-68328</x:v>
      </x:c>
      <x:c r="L572" s="45" t="n">
        <x:v>68328</x:v>
      </x:c>
      <x:c r="M572" s="46" t="n">
        <x:v>43.95</x:v>
      </x:c>
      <x:c r="N572" s="46" t="n">
        <x:v>194.26666666666668</x:v>
      </x:c>
      <x:c r="O572" s="47" t="n">
        <x:v>5</x:v>
      </x:c>
      <x:c r="P572" s="1" t="str">
        <x:v>利益保護前の追撃禁止</x:v>
      </x:c>
      <x:c r="Q572" s="47" t="n">
        <x:v>0</x:v>
      </x:c>
      <x:c r="R572" s="1" t="str">
        <x:v>デイ</x:v>
      </x:c>
      <x:c r="S572" s="47" t="n">
        <x:v>1</x:v>
      </x:c>
    </x:row>
    <x:row r="573" ht="22" customHeight="1">
      <x:c r="A573" s="1" t="str">
        <x:v>TOPIXmini</x:v>
      </x:c>
      <x:c r="B573" s="1" t="str">
        <x:v>G05</x:v>
      </x:c>
      <x:c r="C573" s="1" t="str">
        <x:v>診断3場</x:v>
      </x:c>
      <x:c r="D573" s="45" t="n">
        <x:v>129498</x:v>
      </x:c>
      <x:c r="E573" s="45" t="n">
        <x:v>54002</x:v>
      </x:c>
      <x:c r="F573" s="45" t="n">
        <x:f>D573-E573</x:f>
        <x:v>75496</x:v>
      </x:c>
      <x:c r="G573" s="47" t="n">
        <x:v>2</x:v>
      </x:c>
      <x:c r="H573" s="47" t="n">
        <x:v>0</x:v>
      </x:c>
      <x:c r="I573" s="45" t="n">
        <x:v>0</x:v>
      </x:c>
      <x:c r="J573" s="47" t="n">
        <x:v>12</x:v>
      </x:c>
      <x:c r="K573" s="45" t="n">
        <x:v>22584</x:v>
      </x:c>
      <x:c r="L573" s="45" t="n">
        <x:v>0</x:v>
      </x:c>
      <x:c r="M573" s="46" t="n">
        <x:v>98.28333333333333</x:v>
      </x:c>
      <x:c r="N573" s="46" t="n">
        <x:v>79.71666666666667</x:v>
      </x:c>
      <x:c r="O573" s="47" t="n">
        <x:v>5</x:v>
      </x:c>
      <x:c r="P573" s="1" t="str">
        <x:v>利益保護前の追撃禁止</x:v>
      </x:c>
      <x:c r="Q573" s="47" t="n">
        <x:v>0</x:v>
      </x:c>
      <x:c r="R573" s="1" t="str">
        <x:v>ナイト</x:v>
      </x:c>
      <x:c r="S573" s="47" t="n">
        <x:v>2</x:v>
      </x:c>
    </x:row>
    <x:row r="574" ht="22" customHeight="1">
      <x:c r="A574" s="1" t="str">
        <x:v>TOPIXmini</x:v>
      </x:c>
      <x:c r="B574" s="1" t="str">
        <x:v>G05</x:v>
      </x:c>
      <x:c r="C574" s="1" t="str">
        <x:v>診断3場</x:v>
      </x:c>
      <x:c r="D574" s="45" t="n">
        <x:v>40750</x:v>
      </x:c>
      <x:c r="E574" s="45" t="n">
        <x:v>18166</x:v>
      </x:c>
      <x:c r="F574" s="45" t="n">
        <x:f>D574-E574</x:f>
        <x:v>22584</x:v>
      </x:c>
      <x:c r="G574" s="47" t="n">
        <x:v>1</x:v>
      </x:c>
      <x:c r="H574" s="47" t="n">
        <x:v>0</x:v>
      </x:c>
      <x:c r="I574" s="45" t="n">
        <x:v>0</x:v>
      </x:c>
      <x:c r="J574" s="47" t="n">
        <x:v>4</x:v>
      </x:c>
      <x:c r="K574" s="45" t="n">
        <x:v>22584</x:v>
      </x:c>
      <x:c r="L574" s="45" t="n">
        <x:v>0</x:v>
      </x:c>
      <x:c r="M574" s="46" t="n">
        <x:v>125.63333333333334</x:v>
      </x:c>
      <x:c r="N574" s="46" t="n">
        <x:v>75.2</x:v>
      </x:c>
      <x:c r="O574" s="47" t="n">
        <x:v>5</x:v>
      </x:c>
      <x:c r="P574" s="1" t="str">
        <x:v>利益保護前の追撃禁止</x:v>
      </x:c>
      <x:c r="Q574" s="47" t="n">
        <x:v>0</x:v>
      </x:c>
      <x:c r="R574" s="1" t="str">
        <x:v>上昇</x:v>
      </x:c>
      <x:c r="S574" s="47" t="n">
        <x:v>1</x:v>
      </x:c>
    </x:row>
    <x:row r="575" ht="22" customHeight="1">
      <x:c r="A575" s="1" t="str">
        <x:v>TOPIXmini</x:v>
      </x:c>
      <x:c r="B575" s="1" t="str">
        <x:v>G05</x:v>
      </x:c>
      <x:c r="C575" s="1" t="str">
        <x:v>診断3場</x:v>
      </x:c>
      <x:c r="D575" s="45" t="n">
        <x:v>148084</x:v>
      </x:c>
      <x:c r="E575" s="45" t="n">
        <x:v>163500</x:v>
      </x:c>
      <x:c r="F575" s="45" t="n">
        <x:f>D575-E575</x:f>
        <x:v>-15416</x:v>
      </x:c>
      <x:c r="G575" s="47" t="n">
        <x:v>1</x:v>
      </x:c>
      <x:c r="H575" s="47" t="n">
        <x:v>1</x:v>
      </x:c>
      <x:c r="I575" s="45" t="n">
        <x:v>-68328</x:v>
      </x:c>
      <x:c r="J575" s="47" t="n">
        <x:v>18</x:v>
      </x:c>
      <x:c r="K575" s="45" t="n">
        <x:v>-68328</x:v>
      </x:c>
      <x:c r="L575" s="45" t="n">
        <x:v>68328</x:v>
      </x:c>
      <x:c r="M575" s="46" t="n">
        <x:v>57.44166666666667</x:v>
      </x:c>
      <x:c r="N575" s="46" t="n">
        <x:v>139.25</x:v>
      </x:c>
      <x:c r="O575" s="47" t="n">
        <x:v>5</x:v>
      </x:c>
      <x:c r="P575" s="1" t="str">
        <x:v>利益保護前の追撃禁止</x:v>
      </x:c>
      <x:c r="Q575" s="47" t="n">
        <x:v>0</x:v>
      </x:c>
      <x:c r="R575" s="1" t="str">
        <x:v>下落</x:v>
      </x:c>
      <x:c r="S575" s="47" t="n">
        <x:v>2</x:v>
      </x:c>
    </x:row>
    <x:row r="576" ht="22" customHeight="1">
      <x:c r="A576" s="1" t="str">
        <x:v>TOPIXmini</x:v>
      </x:c>
      <x:c r="B576" s="1" t="str">
        <x:v>G06</x:v>
      </x:c>
      <x:c r="C576" s="1" t="str">
        <x:v>全50場</x:v>
      </x:c>
      <x:c r="D576" s="45" t="n">
        <x:v>2573244</x:v>
      </x:c>
      <x:c r="E576" s="45" t="n">
        <x:v>1586688</x:v>
      </x:c>
      <x:c r="F576" s="45" t="n">
        <x:f>D576-E576</x:f>
        <x:v>986556</x:v>
      </x:c>
      <x:c r="G576" s="47" t="n">
        <x:v>37</x:v>
      </x:c>
      <x:c r="H576" s="47" t="n">
        <x:v>13</x:v>
      </x:c>
      <x:c r="I576" s="45" t="n">
        <x:v>612970</x:v>
      </x:c>
      <x:c r="J576" s="47" t="n">
        <x:v>239</x:v>
      </x:c>
      <x:c r="K576" s="45" t="n">
        <x:v>-53919</x:v>
      </x:c>
      <x:c r="L576" s="45" t="n">
        <x:v>30146.76923076923</x:v>
      </x:c>
      <x:c r="M576" s="46" t="n">
        <x:v>185.33866666666668</x:v>
      </x:c>
      <x:c r="N576" s="46" t="n">
        <x:v>130.266</x:v>
      </x:c>
      <x:c r="O576" s="47" t="n">
        <x:v>5</x:v>
      </x:c>
      <x:c r="P576" s="1" t="str">
        <x:v>二市場の逆行15秒で退出</x:v>
      </x:c>
      <x:c r="Q576" s="47" t="n">
        <x:v>0</x:v>
      </x:c>
      <x:c r="R576" s="1" t="str">
        <x:v>全場</x:v>
      </x:c>
      <x:c r="S576" s="47" t="n">
        <x:v>50</x:v>
      </x:c>
    </x:row>
    <x:row r="577" ht="22" customHeight="1">
      <x:c r="A577" s="1" t="str">
        <x:v>TOPIXmini</x:v>
      </x:c>
      <x:c r="B577" s="1" t="str">
        <x:v>G06</x:v>
      </x:c>
      <x:c r="C577" s="1" t="str">
        <x:v>全50場</x:v>
      </x:c>
      <x:c r="D577" s="45" t="n">
        <x:v>1518188</x:v>
      </x:c>
      <x:c r="E577" s="45" t="n">
        <x:v>908578</x:v>
      </x:c>
      <x:c r="F577" s="45" t="n">
        <x:f>D577-E577</x:f>
        <x:v>609610</x:v>
      </x:c>
      <x:c r="G577" s="47" t="n">
        <x:v>16</x:v>
      </x:c>
      <x:c r="H577" s="47" t="n">
        <x:v>9</x:v>
      </x:c>
      <x:c r="I577" s="45" t="n">
        <x:v>306856</x:v>
      </x:c>
      <x:c r="J577" s="47" t="n">
        <x:v>134</x:v>
      </x:c>
      <x:c r="K577" s="45" t="n">
        <x:v>-53919</x:v>
      </x:c>
      <x:c r="L577" s="45" t="n">
        <x:v>28951.555555555555</x:v>
      </x:c>
      <x:c r="M577" s="46" t="n">
        <x:v>86.97733333333333</x:v>
      </x:c>
      <x:c r="N577" s="46" t="n">
        <x:v>184.702</x:v>
      </x:c>
      <x:c r="O577" s="47" t="n">
        <x:v>5</x:v>
      </x:c>
      <x:c r="P577" s="1" t="str">
        <x:v>二市場の逆行15秒で退出</x:v>
      </x:c>
      <x:c r="Q577" s="47" t="n">
        <x:v>0</x:v>
      </x:c>
      <x:c r="R577" s="1" t="str">
        <x:v>デイ</x:v>
      </x:c>
      <x:c r="S577" s="47" t="n">
        <x:v>25</x:v>
      </x:c>
    </x:row>
    <x:row r="578" ht="22" customHeight="1">
      <x:c r="A578" s="1" t="str">
        <x:v>TOPIXmini</x:v>
      </x:c>
      <x:c r="B578" s="1" t="str">
        <x:v>G06</x:v>
      </x:c>
      <x:c r="C578" s="1" t="str">
        <x:v>全50場</x:v>
      </x:c>
      <x:c r="D578" s="45" t="n">
        <x:v>1055056</x:v>
      </x:c>
      <x:c r="E578" s="45" t="n">
        <x:v>678110</x:v>
      </x:c>
      <x:c r="F578" s="45" t="n">
        <x:f>D578-E578</x:f>
        <x:v>376946</x:v>
      </x:c>
      <x:c r="G578" s="47" t="n">
        <x:v>21</x:v>
      </x:c>
      <x:c r="H578" s="47" t="n">
        <x:v>4</x:v>
      </x:c>
      <x:c r="I578" s="45" t="n">
        <x:v>131038</x:v>
      </x:c>
      <x:c r="J578" s="47" t="n">
        <x:v>105</x:v>
      </x:c>
      <x:c r="K578" s="45" t="n">
        <x:v>-49002</x:v>
      </x:c>
      <x:c r="L578" s="45" t="n">
        <x:v>32836</x:v>
      </x:c>
      <x:c r="M578" s="46" t="n">
        <x:v>283.7</x:v>
      </x:c>
      <x:c r="N578" s="46" t="n">
        <x:v>75.83</x:v>
      </x:c>
      <x:c r="O578" s="47" t="n">
        <x:v>5</x:v>
      </x:c>
      <x:c r="P578" s="1" t="str">
        <x:v>二市場の逆行15秒で退出</x:v>
      </x:c>
      <x:c r="Q578" s="47" t="n">
        <x:v>0</x:v>
      </x:c>
      <x:c r="R578" s="1" t="str">
        <x:v>ナイト</x:v>
      </x:c>
      <x:c r="S578" s="47" t="n">
        <x:v>25</x:v>
      </x:c>
    </x:row>
    <x:row r="579" ht="22" customHeight="1">
      <x:c r="A579" s="1" t="str">
        <x:v>TOPIXmini</x:v>
      </x:c>
      <x:c r="B579" s="1" t="str">
        <x:v>G06</x:v>
      </x:c>
      <x:c r="C579" s="1" t="str">
        <x:v>全50場</x:v>
      </x:c>
      <x:c r="D579" s="45" t="n">
        <x:v>1021164</x:v>
      </x:c>
      <x:c r="E579" s="45" t="n">
        <x:v>785520</x:v>
      </x:c>
      <x:c r="F579" s="45" t="n">
        <x:f>D579-E579</x:f>
        <x:v>235644</x:v>
      </x:c>
      <x:c r="G579" s="47" t="n">
        <x:v>16</x:v>
      </x:c>
      <x:c r="H579" s="47" t="n">
        <x:v>8</x:v>
      </x:c>
      <x:c r="I579" s="45" t="n">
        <x:v>4144</x:v>
      </x:c>
      <x:c r="J579" s="47" t="n">
        <x:v>101</x:v>
      </x:c>
      <x:c r="K579" s="45" t="n">
        <x:v>-53919</x:v>
      </x:c>
      <x:c r="L579" s="45" t="n">
        <x:v>31906.25</x:v>
      </x:c>
      <x:c r="M579" s="46" t="n">
        <x:v>199.6138888888889</x:v>
      </x:c>
      <x:c r="N579" s="46" t="n">
        <x:v>124.85069444444446</x:v>
      </x:c>
      <x:c r="O579" s="47" t="n">
        <x:v>5</x:v>
      </x:c>
      <x:c r="P579" s="1" t="str">
        <x:v>二市場の逆行15秒で退出</x:v>
      </x:c>
      <x:c r="Q579" s="47" t="n">
        <x:v>0</x:v>
      </x:c>
      <x:c r="R579" s="1" t="str">
        <x:v>上昇</x:v>
      </x:c>
      <x:c r="S579" s="47" t="n">
        <x:v>24</x:v>
      </x:c>
    </x:row>
    <x:row r="580" ht="22" customHeight="1">
      <x:c r="A580" s="1" t="str">
        <x:v>TOPIXmini</x:v>
      </x:c>
      <x:c r="B580" s="1" t="str">
        <x:v>G06</x:v>
      </x:c>
      <x:c r="C580" s="1" t="str">
        <x:v>全50場</x:v>
      </x:c>
      <x:c r="D580" s="45" t="n">
        <x:v>1552080</x:v>
      </x:c>
      <x:c r="E580" s="45" t="n">
        <x:v>801168</x:v>
      </x:c>
      <x:c r="F580" s="45" t="n">
        <x:f>D580-E580</x:f>
        <x:v>750912</x:v>
      </x:c>
      <x:c r="G580" s="47" t="n">
        <x:v>21</x:v>
      </x:c>
      <x:c r="H580" s="47" t="n">
        <x:v>5</x:v>
      </x:c>
      <x:c r="I580" s="45" t="n">
        <x:v>377326</x:v>
      </x:c>
      <x:c r="J580" s="47" t="n">
        <x:v>138</x:v>
      </x:c>
      <x:c r="K580" s="45" t="n">
        <x:v>-49002</x:v>
      </x:c>
      <x:c r="L580" s="45" t="n">
        <x:v>27331.6</x:v>
      </x:c>
      <x:c r="M580" s="46" t="n">
        <x:v>172.16153846153844</x:v>
      </x:c>
      <x:c r="N580" s="46" t="n">
        <x:v>135.26474358974357</x:v>
      </x:c>
      <x:c r="O580" s="47" t="n">
        <x:v>5</x:v>
      </x:c>
      <x:c r="P580" s="1" t="str">
        <x:v>二市場の逆行15秒で退出</x:v>
      </x:c>
      <x:c r="Q580" s="47" t="n">
        <x:v>0</x:v>
      </x:c>
      <x:c r="R580" s="1" t="str">
        <x:v>下落</x:v>
      </x:c>
      <x:c r="S580" s="47" t="n">
        <x:v>26</x:v>
      </x:c>
    </x:row>
    <x:row r="581" ht="22" customHeight="1">
      <x:c r="A581" s="1" t="str">
        <x:v>TOPIXmini</x:v>
      </x:c>
      <x:c r="B581" s="1" t="str">
        <x:v>G06</x:v>
      </x:c>
      <x:c r="C581" s="1" t="str">
        <x:v>対照47場</x:v>
      </x:c>
      <x:c r="D581" s="45" t="n">
        <x:v>2363490</x:v>
      </x:c>
      <x:c r="E581" s="45" t="n">
        <x:v>1434690</x:v>
      </x:c>
      <x:c r="F581" s="45" t="n">
        <x:f>D581-E581</x:f>
        <x:v>928800</x:v>
      </x:c>
      <x:c r="G581" s="47" t="n">
        <x:v>35</x:v>
      </x:c>
      <x:c r="H581" s="47" t="n">
        <x:v>12</x:v>
      </x:c>
      <x:c r="I581" s="45" t="n">
        <x:v>555214</x:v>
      </x:c>
      <x:c r="J581" s="47" t="n">
        <x:v>211</x:v>
      </x:c>
      <x:c r="K581" s="45" t="n">
        <x:v>-53919</x:v>
      </x:c>
      <x:c r="L581" s="45" t="n">
        <x:v>30361.166666666668</x:v>
      </x:c>
      <x:c r="M581" s="46" t="n">
        <x:v>192.05141843971634</x:v>
      </x:c>
      <x:c r="N581" s="46" t="n">
        <x:v>132.83617021276595</x:v>
      </x:c>
      <x:c r="O581" s="47" t="n">
        <x:v>5</x:v>
      </x:c>
      <x:c r="P581" s="1" t="str">
        <x:v>二市場の逆行15秒で退出</x:v>
      </x:c>
      <x:c r="Q581" s="47" t="n">
        <x:v>0</x:v>
      </x:c>
      <x:c r="R581" s="1" t="str">
        <x:v>全場</x:v>
      </x:c>
      <x:c r="S581" s="47" t="n">
        <x:v>47</x:v>
      </x:c>
    </x:row>
    <x:row r="582" ht="22" customHeight="1">
      <x:c r="A582" s="1" t="str">
        <x:v>TOPIXmini</x:v>
      </x:c>
      <x:c r="B582" s="1" t="str">
        <x:v>G06</x:v>
      </x:c>
      <x:c r="C582" s="1" t="str">
        <x:v>対照47場</x:v>
      </x:c>
      <x:c r="D582" s="45" t="n">
        <x:v>1435766</x:v>
      </x:c>
      <x:c r="E582" s="45" t="n">
        <x:v>798582</x:v>
      </x:c>
      <x:c r="F582" s="45" t="n">
        <x:f>D582-E582</x:f>
        <x:v>637184</x:v>
      </x:c>
      <x:c r="G582" s="47" t="n">
        <x:v>16</x:v>
      </x:c>
      <x:c r="H582" s="47" t="n">
        <x:v>8</x:v>
      </x:c>
      <x:c r="I582" s="45" t="n">
        <x:v>334430</x:v>
      </x:c>
      <x:c r="J582" s="47" t="n">
        <x:v>119</x:v>
      </x:c>
      <x:c r="K582" s="45" t="n">
        <x:v>-53919</x:v>
      </x:c>
      <x:c r="L582" s="45" t="n">
        <x:v>29123.75</x:v>
      </x:c>
      <x:c r="M582" s="46" t="n">
        <x:v>88.7701388888889</x:v>
      </x:c>
      <x:c r="N582" s="46" t="n">
        <x:v>187.30625</x:v>
      </x:c>
      <x:c r="O582" s="47" t="n">
        <x:v>5</x:v>
      </x:c>
      <x:c r="P582" s="1" t="str">
        <x:v>二市場の逆行15秒で退出</x:v>
      </x:c>
      <x:c r="Q582" s="47" t="n">
        <x:v>0</x:v>
      </x:c>
      <x:c r="R582" s="1" t="str">
        <x:v>デイ</x:v>
      </x:c>
      <x:c r="S582" s="47" t="n">
        <x:v>24</x:v>
      </x:c>
    </x:row>
    <x:row r="583" ht="22" customHeight="1">
      <x:c r="A583" s="1" t="str">
        <x:v>TOPIXmini</x:v>
      </x:c>
      <x:c r="B583" s="1" t="str">
        <x:v>G06</x:v>
      </x:c>
      <x:c r="C583" s="1" t="str">
        <x:v>対照47場</x:v>
      </x:c>
      <x:c r="D583" s="45" t="n">
        <x:v>927724</x:v>
      </x:c>
      <x:c r="E583" s="45" t="n">
        <x:v>636108</x:v>
      </x:c>
      <x:c r="F583" s="45" t="n">
        <x:f>D583-E583</x:f>
        <x:v>291616</x:v>
      </x:c>
      <x:c r="G583" s="47" t="n">
        <x:v>19</x:v>
      </x:c>
      <x:c r="H583" s="47" t="n">
        <x:v>4</x:v>
      </x:c>
      <x:c r="I583" s="45" t="n">
        <x:v>56206</x:v>
      </x:c>
      <x:c r="J583" s="47" t="n">
        <x:v>92</x:v>
      </x:c>
      <x:c r="K583" s="45" t="n">
        <x:v>-49002</x:v>
      </x:c>
      <x:c r="L583" s="45" t="n">
        <x:v>32836</x:v>
      </x:c>
      <x:c r="M583" s="46" t="n">
        <x:v>299.82318840579705</x:v>
      </x:c>
      <x:c r="N583" s="46" t="n">
        <x:v>75.99782608695652</x:v>
      </x:c>
      <x:c r="O583" s="47" t="n">
        <x:v>5</x:v>
      </x:c>
      <x:c r="P583" s="1" t="str">
        <x:v>二市場の逆行15秒で退出</x:v>
      </x:c>
      <x:c r="Q583" s="47" t="n">
        <x:v>0</x:v>
      </x:c>
      <x:c r="R583" s="1" t="str">
        <x:v>ナイト</x:v>
      </x:c>
      <x:c r="S583" s="47" t="n">
        <x:v>23</x:v>
      </x:c>
    </x:row>
    <x:row r="584" ht="22" customHeight="1">
      <x:c r="A584" s="1" t="str">
        <x:v>TOPIXmini</x:v>
      </x:c>
      <x:c r="B584" s="1" t="str">
        <x:v>G06</x:v>
      </x:c>
      <x:c r="C584" s="1" t="str">
        <x:v>対照47場</x:v>
      </x:c>
      <x:c r="D584" s="45" t="n">
        <x:v>980414</x:v>
      </x:c>
      <x:c r="E584" s="45" t="n">
        <x:v>779354</x:v>
      </x:c>
      <x:c r="F584" s="45" t="n">
        <x:f>D584-E584</x:f>
        <x:v>201060</x:v>
      </x:c>
      <x:c r="G584" s="47" t="n">
        <x:v>15</x:v>
      </x:c>
      <x:c r="H584" s="47" t="n">
        <x:v>8</x:v>
      </x:c>
      <x:c r="I584" s="45" t="n">
        <x:v>-30440</x:v>
      </x:c>
      <x:c r="J584" s="47" t="n">
        <x:v>97</x:v>
      </x:c>
      <x:c r="K584" s="45" t="n">
        <x:v>-53919</x:v>
      </x:c>
      <x:c r="L584" s="45" t="n">
        <x:v>31906.25</x:v>
      </x:c>
      <x:c r="M584" s="46" t="n">
        <x:v>202.8304347826087</x:v>
      </x:c>
      <x:c r="N584" s="46" t="n">
        <x:v>127.16739130434782</x:v>
      </x:c>
      <x:c r="O584" s="47" t="n">
        <x:v>5</x:v>
      </x:c>
      <x:c r="P584" s="1" t="str">
        <x:v>二市場の逆行15秒で退出</x:v>
      </x:c>
      <x:c r="Q584" s="47" t="n">
        <x:v>0</x:v>
      </x:c>
      <x:c r="R584" s="1" t="str">
        <x:v>上昇</x:v>
      </x:c>
      <x:c r="S584" s="47" t="n">
        <x:v>23</x:v>
      </x:c>
    </x:row>
    <x:row r="585" ht="22" customHeight="1">
      <x:c r="A585" s="1" t="str">
        <x:v>TOPIXmini</x:v>
      </x:c>
      <x:c r="B585" s="1" t="str">
        <x:v>G06</x:v>
      </x:c>
      <x:c r="C585" s="1" t="str">
        <x:v>対照47場</x:v>
      </x:c>
      <x:c r="D585" s="45" t="n">
        <x:v>1383076</x:v>
      </x:c>
      <x:c r="E585" s="45" t="n">
        <x:v>655336</x:v>
      </x:c>
      <x:c r="F585" s="45" t="n">
        <x:f>D585-E585</x:f>
        <x:v>727740</x:v>
      </x:c>
      <x:c r="G585" s="47" t="n">
        <x:v>20</x:v>
      </x:c>
      <x:c r="H585" s="47" t="n">
        <x:v>4</x:v>
      </x:c>
      <x:c r="I585" s="45" t="n">
        <x:v>354154</x:v>
      </x:c>
      <x:c r="J585" s="47" t="n">
        <x:v>114</x:v>
      </x:c>
      <x:c r="K585" s="45" t="n">
        <x:v>-49002</x:v>
      </x:c>
      <x:c r="L585" s="45" t="n">
        <x:v>27271</x:v>
      </x:c>
      <x:c r="M585" s="46" t="n">
        <x:v>181.72152777777777</x:v>
      </x:c>
      <x:c r="N585" s="46" t="n">
        <x:v>138.26874999999998</x:v>
      </x:c>
      <x:c r="O585" s="47" t="n">
        <x:v>5</x:v>
      </x:c>
      <x:c r="P585" s="1" t="str">
        <x:v>二市場の逆行15秒で退出</x:v>
      </x:c>
      <x:c r="Q585" s="47" t="n">
        <x:v>0</x:v>
      </x:c>
      <x:c r="R585" s="1" t="str">
        <x:v>下落</x:v>
      </x:c>
      <x:c r="S585" s="47" t="n">
        <x:v>24</x:v>
      </x:c>
    </x:row>
    <x:row r="586" ht="22" customHeight="1">
      <x:c r="A586" s="1" t="str">
        <x:v>TOPIXmini</x:v>
      </x:c>
      <x:c r="B586" s="1" t="str">
        <x:v>G06</x:v>
      </x:c>
      <x:c r="C586" s="1" t="str">
        <x:v>診断3場</x:v>
      </x:c>
      <x:c r="D586" s="45" t="n">
        <x:v>209754</x:v>
      </x:c>
      <x:c r="E586" s="45" t="n">
        <x:v>151998</x:v>
      </x:c>
      <x:c r="F586" s="45" t="n">
        <x:f>D586-E586</x:f>
        <x:v>57756</x:v>
      </x:c>
      <x:c r="G586" s="47" t="n">
        <x:v>2</x:v>
      </x:c>
      <x:c r="H586" s="47" t="n">
        <x:v>1</x:v>
      </x:c>
      <x:c r="I586" s="45" t="n">
        <x:v>-27574</x:v>
      </x:c>
      <x:c r="J586" s="47" t="n">
        <x:v>28</x:v>
      </x:c>
      <x:c r="K586" s="45" t="n">
        <x:v>-27574</x:v>
      </x:c>
      <x:c r="L586" s="45" t="n">
        <x:v>27574</x:v>
      </x:c>
      <x:c r="M586" s="46" t="n">
        <x:v>80.17222222222223</x:v>
      </x:c>
      <x:c r="N586" s="46" t="n">
        <x:v>90</x:v>
      </x:c>
      <x:c r="O586" s="47" t="n">
        <x:v>5</x:v>
      </x:c>
      <x:c r="P586" s="1" t="str">
        <x:v>二市場の逆行15秒で退出</x:v>
      </x:c>
      <x:c r="Q586" s="47" t="n">
        <x:v>0</x:v>
      </x:c>
      <x:c r="R586" s="1" t="str">
        <x:v>全場</x:v>
      </x:c>
      <x:c r="S586" s="47" t="n">
        <x:v>3</x:v>
      </x:c>
    </x:row>
    <x:row r="587" ht="22" customHeight="1">
      <x:c r="A587" s="1" t="str">
        <x:v>TOPIXmini</x:v>
      </x:c>
      <x:c r="B587" s="1" t="str">
        <x:v>G06</x:v>
      </x:c>
      <x:c r="C587" s="1" t="str">
        <x:v>診断3場</x:v>
      </x:c>
      <x:c r="D587" s="45" t="n">
        <x:v>82422</x:v>
      </x:c>
      <x:c r="E587" s="45" t="n">
        <x:v>109996</x:v>
      </x:c>
      <x:c r="F587" s="45" t="n">
        <x:f>D587-E587</x:f>
        <x:v>-27574</x:v>
      </x:c>
      <x:c r="G587" s="47" t="n">
        <x:v>0</x:v>
      </x:c>
      <x:c r="H587" s="47" t="n">
        <x:v>1</x:v>
      </x:c>
      <x:c r="I587" s="45" t="n">
        <x:v>-27574</x:v>
      </x:c>
      <x:c r="J587" s="47" t="n">
        <x:v>15</x:v>
      </x:c>
      <x:c r="K587" s="45" t="n">
        <x:v>-27574</x:v>
      </x:c>
      <x:c r="L587" s="45" t="n">
        <x:v>27574</x:v>
      </x:c>
      <x:c r="M587" s="46" t="n">
        <x:v>43.95</x:v>
      </x:c>
      <x:c r="N587" s="46" t="n">
        <x:v>122.2</x:v>
      </x:c>
      <x:c r="O587" s="47" t="n">
        <x:v>5</x:v>
      </x:c>
      <x:c r="P587" s="1" t="str">
        <x:v>二市場の逆行15秒で退出</x:v>
      </x:c>
      <x:c r="Q587" s="47" t="n">
        <x:v>0</x:v>
      </x:c>
      <x:c r="R587" s="1" t="str">
        <x:v>デイ</x:v>
      </x:c>
      <x:c r="S587" s="47" t="n">
        <x:v>1</x:v>
      </x:c>
    </x:row>
    <x:row r="588" ht="22" customHeight="1">
      <x:c r="A588" s="1" t="str">
        <x:v>TOPIXmini</x:v>
      </x:c>
      <x:c r="B588" s="1" t="str">
        <x:v>G06</x:v>
      </x:c>
      <x:c r="C588" s="1" t="str">
        <x:v>診断3場</x:v>
      </x:c>
      <x:c r="D588" s="45" t="n">
        <x:v>127332</x:v>
      </x:c>
      <x:c r="E588" s="45" t="n">
        <x:v>42002</x:v>
      </x:c>
      <x:c r="F588" s="45" t="n">
        <x:f>D588-E588</x:f>
        <x:v>85330</x:v>
      </x:c>
      <x:c r="G588" s="47" t="n">
        <x:v>2</x:v>
      </x:c>
      <x:c r="H588" s="47" t="n">
        <x:v>0</x:v>
      </x:c>
      <x:c r="I588" s="45" t="n">
        <x:v>0</x:v>
      </x:c>
      <x:c r="J588" s="47" t="n">
        <x:v>13</x:v>
      </x:c>
      <x:c r="K588" s="45" t="n">
        <x:v>34584</x:v>
      </x:c>
      <x:c r="L588" s="45" t="n">
        <x:v>0</x:v>
      </x:c>
      <x:c r="M588" s="46" t="n">
        <x:v>98.28333333333333</x:v>
      </x:c>
      <x:c r="N588" s="46" t="n">
        <x:v>73.9</x:v>
      </x:c>
      <x:c r="O588" s="47" t="n">
        <x:v>5</x:v>
      </x:c>
      <x:c r="P588" s="1" t="str">
        <x:v>二市場の逆行15秒で退出</x:v>
      </x:c>
      <x:c r="Q588" s="47" t="n">
        <x:v>0</x:v>
      </x:c>
      <x:c r="R588" s="1" t="str">
        <x:v>ナイト</x:v>
      </x:c>
      <x:c r="S588" s="47" t="n">
        <x:v>2</x:v>
      </x:c>
    </x:row>
    <x:row r="589" ht="22" customHeight="1">
      <x:c r="A589" s="1" t="str">
        <x:v>TOPIXmini</x:v>
      </x:c>
      <x:c r="B589" s="1" t="str">
        <x:v>G06</x:v>
      </x:c>
      <x:c r="C589" s="1" t="str">
        <x:v>診断3場</x:v>
      </x:c>
      <x:c r="D589" s="45" t="n">
        <x:v>40750</x:v>
      </x:c>
      <x:c r="E589" s="45" t="n">
        <x:v>6166</x:v>
      </x:c>
      <x:c r="F589" s="45" t="n">
        <x:f>D589-E589</x:f>
        <x:v>34584</x:v>
      </x:c>
      <x:c r="G589" s="47" t="n">
        <x:v>1</x:v>
      </x:c>
      <x:c r="H589" s="47" t="n">
        <x:v>0</x:v>
      </x:c>
      <x:c r="I589" s="45" t="n">
        <x:v>0</x:v>
      </x:c>
      <x:c r="J589" s="47" t="n">
        <x:v>4</x:v>
      </x:c>
      <x:c r="K589" s="45" t="n">
        <x:v>34584</x:v>
      </x:c>
      <x:c r="L589" s="45" t="n">
        <x:v>0</x:v>
      </x:c>
      <x:c r="M589" s="46" t="n">
        <x:v>125.63333333333334</x:v>
      </x:c>
      <x:c r="N589" s="46" t="n">
        <x:v>71.56666666666666</x:v>
      </x:c>
      <x:c r="O589" s="47" t="n">
        <x:v>5</x:v>
      </x:c>
      <x:c r="P589" s="1" t="str">
        <x:v>二市場の逆行15秒で退出</x:v>
      </x:c>
      <x:c r="Q589" s="47" t="n">
        <x:v>0</x:v>
      </x:c>
      <x:c r="R589" s="1" t="str">
        <x:v>上昇</x:v>
      </x:c>
      <x:c r="S589" s="47" t="n">
        <x:v>1</x:v>
      </x:c>
    </x:row>
    <x:row r="590" ht="22" customHeight="1">
      <x:c r="A590" s="1" t="str">
        <x:v>TOPIXmini</x:v>
      </x:c>
      <x:c r="B590" s="1" t="str">
        <x:v>G06</x:v>
      </x:c>
      <x:c r="C590" s="1" t="str">
        <x:v>診断3場</x:v>
      </x:c>
      <x:c r="D590" s="45" t="n">
        <x:v>169004</x:v>
      </x:c>
      <x:c r="E590" s="45" t="n">
        <x:v>145832</x:v>
      </x:c>
      <x:c r="F590" s="45" t="n">
        <x:f>D590-E590</x:f>
        <x:v>23172</x:v>
      </x:c>
      <x:c r="G590" s="47" t="n">
        <x:v>1</x:v>
      </x:c>
      <x:c r="H590" s="47" t="n">
        <x:v>1</x:v>
      </x:c>
      <x:c r="I590" s="45" t="n">
        <x:v>-27574</x:v>
      </x:c>
      <x:c r="J590" s="47" t="n">
        <x:v>24</x:v>
      </x:c>
      <x:c r="K590" s="45" t="n">
        <x:v>-27574</x:v>
      </x:c>
      <x:c r="L590" s="45" t="n">
        <x:v>27574</x:v>
      </x:c>
      <x:c r="M590" s="46" t="n">
        <x:v>57.44166666666667</x:v>
      </x:c>
      <x:c r="N590" s="46" t="n">
        <x:v>99.21666666666667</x:v>
      </x:c>
      <x:c r="O590" s="47" t="n">
        <x:v>5</x:v>
      </x:c>
      <x:c r="P590" s="1" t="str">
        <x:v>二市場の逆行15秒で退出</x:v>
      </x:c>
      <x:c r="Q590" s="47" t="n">
        <x:v>0</x:v>
      </x:c>
      <x:c r="R590" s="1" t="str">
        <x:v>下落</x:v>
      </x:c>
      <x:c r="S590" s="47" t="n">
        <x:v>2</x:v>
      </x:c>
    </x:row>
    <x:row r="591" ht="22" customHeight="1">
      <x:c r="A591" s="1" t="str">
        <x:v>TOPIXmini</x:v>
      </x:c>
      <x:c r="B591" s="1" t="str">
        <x:v>G07</x:v>
      </x:c>
      <x:c r="C591" s="1" t="str">
        <x:v>全50場</x:v>
      </x:c>
      <x:c r="D591" s="45" t="n">
        <x:v>2573244</x:v>
      </x:c>
      <x:c r="E591" s="45" t="n">
        <x:v>1586522</x:v>
      </x:c>
      <x:c r="F591" s="45" t="n">
        <x:f>D591-E591</x:f>
        <x:v>986722</x:v>
      </x:c>
      <x:c r="G591" s="47" t="n">
        <x:v>37</x:v>
      </x:c>
      <x:c r="H591" s="47" t="n">
        <x:v>13</x:v>
      </x:c>
      <x:c r="I591" s="45" t="n">
        <x:v>613136</x:v>
      </x:c>
      <x:c r="J591" s="47" t="n">
        <x:v>238</x:v>
      </x:c>
      <x:c r="K591" s="45" t="n">
        <x:v>-53919</x:v>
      </x:c>
      <x:c r="L591" s="45" t="n">
        <x:v>30300.615384615383</x:v>
      </x:c>
      <x:c r="M591" s="46" t="n">
        <x:v>185.33866666666668</x:v>
      </x:c>
      <x:c r="N591" s="46" t="n">
        <x:v>130.35533333333333</x:v>
      </x:c>
      <x:c r="O591" s="47" t="n">
        <x:v>5</x:v>
      </x:c>
      <x:c r="P591" s="1" t="str">
        <x:v>二市場の逆行と板変化で退出</x:v>
      </x:c>
      <x:c r="Q591" s="47" t="n">
        <x:v>0</x:v>
      </x:c>
      <x:c r="R591" s="1" t="str">
        <x:v>全場</x:v>
      </x:c>
      <x:c r="S591" s="47" t="n">
        <x:v>50</x:v>
      </x:c>
    </x:row>
    <x:row r="592" ht="22" customHeight="1">
      <x:c r="A592" s="1" t="str">
        <x:v>TOPIXmini</x:v>
      </x:c>
      <x:c r="B592" s="1" t="str">
        <x:v>G07</x:v>
      </x:c>
      <x:c r="C592" s="1" t="str">
        <x:v>全50場</x:v>
      </x:c>
      <x:c r="D592" s="45" t="n">
        <x:v>1518188</x:v>
      </x:c>
      <x:c r="E592" s="45" t="n">
        <x:v>903412</x:v>
      </x:c>
      <x:c r="F592" s="45" t="n">
        <x:f>D592-E592</x:f>
        <x:v>614776</x:v>
      </x:c>
      <x:c r="G592" s="47" t="n">
        <x:v>16</x:v>
      </x:c>
      <x:c r="H592" s="47" t="n">
        <x:v>9</x:v>
      </x:c>
      <x:c r="I592" s="45" t="n">
        <x:v>312022</x:v>
      </x:c>
      <x:c r="J592" s="47" t="n">
        <x:v>133</x:v>
      </x:c>
      <x:c r="K592" s="45" t="n">
        <x:v>-53919</x:v>
      </x:c>
      <x:c r="L592" s="45" t="n">
        <x:v>29173.777777777777</x:v>
      </x:c>
      <x:c r="M592" s="46" t="n">
        <x:v>86.97733333333333</x:v>
      </x:c>
      <x:c r="N592" s="46" t="n">
        <x:v>184.784</x:v>
      </x:c>
      <x:c r="O592" s="47" t="n">
        <x:v>5</x:v>
      </x:c>
      <x:c r="P592" s="1" t="str">
        <x:v>二市場の逆行と板変化で退出</x:v>
      </x:c>
      <x:c r="Q592" s="47" t="n">
        <x:v>0</x:v>
      </x:c>
      <x:c r="R592" s="1" t="str">
        <x:v>デイ</x:v>
      </x:c>
      <x:c r="S592" s="47" t="n">
        <x:v>25</x:v>
      </x:c>
    </x:row>
    <x:row r="593" ht="22" customHeight="1">
      <x:c r="A593" s="1" t="str">
        <x:v>TOPIXmini</x:v>
      </x:c>
      <x:c r="B593" s="1" t="str">
        <x:v>G07</x:v>
      </x:c>
      <x:c r="C593" s="1" t="str">
        <x:v>全50場</x:v>
      </x:c>
      <x:c r="D593" s="45" t="n">
        <x:v>1055056</x:v>
      </x:c>
      <x:c r="E593" s="45" t="n">
        <x:v>683110</x:v>
      </x:c>
      <x:c r="F593" s="45" t="n">
        <x:f>D593-E593</x:f>
        <x:v>371946</x:v>
      </x:c>
      <x:c r="G593" s="47" t="n">
        <x:v>21</x:v>
      </x:c>
      <x:c r="H593" s="47" t="n">
        <x:v>4</x:v>
      </x:c>
      <x:c r="I593" s="45" t="n">
        <x:v>126038</x:v>
      </x:c>
      <x:c r="J593" s="47" t="n">
        <x:v>105</x:v>
      </x:c>
      <x:c r="K593" s="45" t="n">
        <x:v>-49002</x:v>
      </x:c>
      <x:c r="L593" s="45" t="n">
        <x:v>32836</x:v>
      </x:c>
      <x:c r="M593" s="46" t="n">
        <x:v>283.7</x:v>
      </x:c>
      <x:c r="N593" s="46" t="n">
        <x:v>75.92666666666666</x:v>
      </x:c>
      <x:c r="O593" s="47" t="n">
        <x:v>5</x:v>
      </x:c>
      <x:c r="P593" s="1" t="str">
        <x:v>二市場の逆行と板変化で退出</x:v>
      </x:c>
      <x:c r="Q593" s="47" t="n">
        <x:v>0</x:v>
      </x:c>
      <x:c r="R593" s="1" t="str">
        <x:v>ナイト</x:v>
      </x:c>
      <x:c r="S593" s="47" t="n">
        <x:v>25</x:v>
      </x:c>
    </x:row>
    <x:row r="594" ht="22" customHeight="1">
      <x:c r="A594" s="1" t="str">
        <x:v>TOPIXmini</x:v>
      </x:c>
      <x:c r="B594" s="1" t="str">
        <x:v>G07</x:v>
      </x:c>
      <x:c r="C594" s="1" t="str">
        <x:v>全50場</x:v>
      </x:c>
      <x:c r="D594" s="45" t="n">
        <x:v>1021164</x:v>
      </x:c>
      <x:c r="E594" s="45" t="n">
        <x:v>791520</x:v>
      </x:c>
      <x:c r="F594" s="45" t="n">
        <x:f>D594-E594</x:f>
        <x:v>229644</x:v>
      </x:c>
      <x:c r="G594" s="47" t="n">
        <x:v>16</x:v>
      </x:c>
      <x:c r="H594" s="47" t="n">
        <x:v>8</x:v>
      </x:c>
      <x:c r="I594" s="45" t="n">
        <x:v>-1856</x:v>
      </x:c>
      <x:c r="J594" s="47" t="n">
        <x:v>101</x:v>
      </x:c>
      <x:c r="K594" s="45" t="n">
        <x:v>-53919</x:v>
      </x:c>
      <x:c r="L594" s="45" t="n">
        <x:v>32156.25</x:v>
      </x:c>
      <x:c r="M594" s="46" t="n">
        <x:v>199.6138888888889</x:v>
      </x:c>
      <x:c r="N594" s="46" t="n">
        <x:v>124.89652777777779</x:v>
      </x:c>
      <x:c r="O594" s="47" t="n">
        <x:v>5</x:v>
      </x:c>
      <x:c r="P594" s="1" t="str">
        <x:v>二市場の逆行と板変化で退出</x:v>
      </x:c>
      <x:c r="Q594" s="47" t="n">
        <x:v>0</x:v>
      </x:c>
      <x:c r="R594" s="1" t="str">
        <x:v>上昇</x:v>
      </x:c>
      <x:c r="S594" s="47" t="n">
        <x:v>24</x:v>
      </x:c>
    </x:row>
    <x:row r="595" ht="22" customHeight="1">
      <x:c r="A595" s="1" t="str">
        <x:v>TOPIXmini</x:v>
      </x:c>
      <x:c r="B595" s="1" t="str">
        <x:v>G07</x:v>
      </x:c>
      <x:c r="C595" s="1" t="str">
        <x:v>全50場</x:v>
      </x:c>
      <x:c r="D595" s="45" t="n">
        <x:v>1552080</x:v>
      </x:c>
      <x:c r="E595" s="45" t="n">
        <x:v>795002</x:v>
      </x:c>
      <x:c r="F595" s="45" t="n">
        <x:f>D595-E595</x:f>
        <x:v>757078</x:v>
      </x:c>
      <x:c r="G595" s="47" t="n">
        <x:v>21</x:v>
      </x:c>
      <x:c r="H595" s="47" t="n">
        <x:v>5</x:v>
      </x:c>
      <x:c r="I595" s="45" t="n">
        <x:v>383492</x:v>
      </x:c>
      <x:c r="J595" s="47" t="n">
        <x:v>137</x:v>
      </x:c>
      <x:c r="K595" s="45" t="n">
        <x:v>-49002</x:v>
      </x:c>
      <x:c r="L595" s="45" t="n">
        <x:v>27331.6</x:v>
      </x:c>
      <x:c r="M595" s="46" t="n">
        <x:v>172.16153846153844</x:v>
      </x:c>
      <x:c r="N595" s="46" t="n">
        <x:v>135.39423076923075</x:v>
      </x:c>
      <x:c r="O595" s="47" t="n">
        <x:v>5</x:v>
      </x:c>
      <x:c r="P595" s="1" t="str">
        <x:v>二市場の逆行と板変化で退出</x:v>
      </x:c>
      <x:c r="Q595" s="47" t="n">
        <x:v>0</x:v>
      </x:c>
      <x:c r="R595" s="1" t="str">
        <x:v>下落</x:v>
      </x:c>
      <x:c r="S595" s="47" t="n">
        <x:v>26</x:v>
      </x:c>
    </x:row>
    <x:row r="596" ht="22" customHeight="1">
      <x:c r="A596" s="1" t="str">
        <x:v>TOPIXmini</x:v>
      </x:c>
      <x:c r="B596" s="1" t="str">
        <x:v>G07</x:v>
      </x:c>
      <x:c r="C596" s="1" t="str">
        <x:v>対照47場</x:v>
      </x:c>
      <x:c r="D596" s="45" t="n">
        <x:v>2363490</x:v>
      </x:c>
      <x:c r="E596" s="45" t="n">
        <x:v>1434524</x:v>
      </x:c>
      <x:c r="F596" s="45" t="n">
        <x:f>D596-E596</x:f>
        <x:v>928966</x:v>
      </x:c>
      <x:c r="G596" s="47" t="n">
        <x:v>35</x:v>
      </x:c>
      <x:c r="H596" s="47" t="n">
        <x:v>12</x:v>
      </x:c>
      <x:c r="I596" s="45" t="n">
        <x:v>555380</x:v>
      </x:c>
      <x:c r="J596" s="47" t="n">
        <x:v>210</x:v>
      </x:c>
      <x:c r="K596" s="45" t="n">
        <x:v>-53919</x:v>
      </x:c>
      <x:c r="L596" s="45" t="n">
        <x:v>30527.833333333332</x:v>
      </x:c>
      <x:c r="M596" s="46" t="n">
        <x:v>192.05141843971634</x:v>
      </x:c>
      <x:c r="N596" s="46" t="n">
        <x:v>132.93120567375885</x:v>
      </x:c>
      <x:c r="O596" s="47" t="n">
        <x:v>5</x:v>
      </x:c>
      <x:c r="P596" s="1" t="str">
        <x:v>二市場の逆行と板変化で退出</x:v>
      </x:c>
      <x:c r="Q596" s="47" t="n">
        <x:v>0</x:v>
      </x:c>
      <x:c r="R596" s="1" t="str">
        <x:v>全場</x:v>
      </x:c>
      <x:c r="S596" s="47" t="n">
        <x:v>47</x:v>
      </x:c>
    </x:row>
    <x:row r="597" ht="22" customHeight="1">
      <x:c r="A597" s="1" t="str">
        <x:v>TOPIXmini</x:v>
      </x:c>
      <x:c r="B597" s="1" t="str">
        <x:v>G07</x:v>
      </x:c>
      <x:c r="C597" s="1" t="str">
        <x:v>対照47場</x:v>
      </x:c>
      <x:c r="D597" s="45" t="n">
        <x:v>1435766</x:v>
      </x:c>
      <x:c r="E597" s="45" t="n">
        <x:v>793416</x:v>
      </x:c>
      <x:c r="F597" s="45" t="n">
        <x:f>D597-E597</x:f>
        <x:v>642350</x:v>
      </x:c>
      <x:c r="G597" s="47" t="n">
        <x:v>16</x:v>
      </x:c>
      <x:c r="H597" s="47" t="n">
        <x:v>8</x:v>
      </x:c>
      <x:c r="I597" s="45" t="n">
        <x:v>339596</x:v>
      </x:c>
      <x:c r="J597" s="47" t="n">
        <x:v>118</x:v>
      </x:c>
      <x:c r="K597" s="45" t="n">
        <x:v>-53919</x:v>
      </x:c>
      <x:c r="L597" s="45" t="n">
        <x:v>29373.75</x:v>
      </x:c>
      <x:c r="M597" s="46" t="n">
        <x:v>88.7701388888889</x:v>
      </x:c>
      <x:c r="N597" s="46" t="n">
        <x:v>187.39166666666665</x:v>
      </x:c>
      <x:c r="O597" s="47" t="n">
        <x:v>5</x:v>
      </x:c>
      <x:c r="P597" s="1" t="str">
        <x:v>二市場の逆行と板変化で退出</x:v>
      </x:c>
      <x:c r="Q597" s="47" t="n">
        <x:v>0</x:v>
      </x:c>
      <x:c r="R597" s="1" t="str">
        <x:v>デイ</x:v>
      </x:c>
      <x:c r="S597" s="47" t="n">
        <x:v>24</x:v>
      </x:c>
    </x:row>
    <x:row r="598" ht="22" customHeight="1">
      <x:c r="A598" s="1" t="str">
        <x:v>TOPIXmini</x:v>
      </x:c>
      <x:c r="B598" s="1" t="str">
        <x:v>G07</x:v>
      </x:c>
      <x:c r="C598" s="1" t="str">
        <x:v>対照47場</x:v>
      </x:c>
      <x:c r="D598" s="45" t="n">
        <x:v>927724</x:v>
      </x:c>
      <x:c r="E598" s="45" t="n">
        <x:v>641108</x:v>
      </x:c>
      <x:c r="F598" s="45" t="n">
        <x:f>D598-E598</x:f>
        <x:v>286616</x:v>
      </x:c>
      <x:c r="G598" s="47" t="n">
        <x:v>19</x:v>
      </x:c>
      <x:c r="H598" s="47" t="n">
        <x:v>4</x:v>
      </x:c>
      <x:c r="I598" s="45" t="n">
        <x:v>55206</x:v>
      </x:c>
      <x:c r="J598" s="47" t="n">
        <x:v>92</x:v>
      </x:c>
      <x:c r="K598" s="45" t="n">
        <x:v>-49002</x:v>
      </x:c>
      <x:c r="L598" s="45" t="n">
        <x:v>32836</x:v>
      </x:c>
      <x:c r="M598" s="46" t="n">
        <x:v>299.82318840579705</x:v>
      </x:c>
      <x:c r="N598" s="46" t="n">
        <x:v>76.10289855072465</x:v>
      </x:c>
      <x:c r="O598" s="47" t="n">
        <x:v>5</x:v>
      </x:c>
      <x:c r="P598" s="1" t="str">
        <x:v>二市場の逆行と板変化で退出</x:v>
      </x:c>
      <x:c r="Q598" s="47" t="n">
        <x:v>0</x:v>
      </x:c>
      <x:c r="R598" s="1" t="str">
        <x:v>ナイト</x:v>
      </x:c>
      <x:c r="S598" s="47" t="n">
        <x:v>23</x:v>
      </x:c>
    </x:row>
    <x:row r="599" ht="22" customHeight="1">
      <x:c r="A599" s="1" t="str">
        <x:v>TOPIXmini</x:v>
      </x:c>
      <x:c r="B599" s="1" t="str">
        <x:v>G07</x:v>
      </x:c>
      <x:c r="C599" s="1" t="str">
        <x:v>対照47場</x:v>
      </x:c>
      <x:c r="D599" s="45" t="n">
        <x:v>980414</x:v>
      </x:c>
      <x:c r="E599" s="45" t="n">
        <x:v>785354</x:v>
      </x:c>
      <x:c r="F599" s="45" t="n">
        <x:f>D599-E599</x:f>
        <x:v>195060</x:v>
      </x:c>
      <x:c r="G599" s="47" t="n">
        <x:v>15</x:v>
      </x:c>
      <x:c r="H599" s="47" t="n">
        <x:v>8</x:v>
      </x:c>
      <x:c r="I599" s="45" t="n">
        <x:v>-36440</x:v>
      </x:c>
      <x:c r="J599" s="47" t="n">
        <x:v>97</x:v>
      </x:c>
      <x:c r="K599" s="45" t="n">
        <x:v>-53919</x:v>
      </x:c>
      <x:c r="L599" s="45" t="n">
        <x:v>32156.25</x:v>
      </x:c>
      <x:c r="M599" s="46" t="n">
        <x:v>202.8304347826087</x:v>
      </x:c>
      <x:c r="N599" s="46" t="n">
        <x:v>127.21521739130434</x:v>
      </x:c>
      <x:c r="O599" s="47" t="n">
        <x:v>5</x:v>
      </x:c>
      <x:c r="P599" s="1" t="str">
        <x:v>二市場の逆行と板変化で退出</x:v>
      </x:c>
      <x:c r="Q599" s="47" t="n">
        <x:v>0</x:v>
      </x:c>
      <x:c r="R599" s="1" t="str">
        <x:v>上昇</x:v>
      </x:c>
      <x:c r="S599" s="47" t="n">
        <x:v>23</x:v>
      </x:c>
    </x:row>
    <x:row r="600" ht="22" customHeight="1">
      <x:c r="A600" s="1" t="str">
        <x:v>TOPIXmini</x:v>
      </x:c>
      <x:c r="B600" s="1" t="str">
        <x:v>G07</x:v>
      </x:c>
      <x:c r="C600" s="1" t="str">
        <x:v>対照47場</x:v>
      </x:c>
      <x:c r="D600" s="45" t="n">
        <x:v>1383076</x:v>
      </x:c>
      <x:c r="E600" s="45" t="n">
        <x:v>649170</x:v>
      </x:c>
      <x:c r="F600" s="45" t="n">
        <x:f>D600-E600</x:f>
        <x:v>733906</x:v>
      </x:c>
      <x:c r="G600" s="47" t="n">
        <x:v>20</x:v>
      </x:c>
      <x:c r="H600" s="47" t="n">
        <x:v>4</x:v>
      </x:c>
      <x:c r="I600" s="45" t="n">
        <x:v>360320</x:v>
      </x:c>
      <x:c r="J600" s="47" t="n">
        <x:v>113</x:v>
      </x:c>
      <x:c r="K600" s="45" t="n">
        <x:v>-49002</x:v>
      </x:c>
      <x:c r="L600" s="45" t="n">
        <x:v>27271</x:v>
      </x:c>
      <x:c r="M600" s="46" t="n">
        <x:v>181.72152777777777</x:v>
      </x:c>
      <x:c r="N600" s="46" t="n">
        <x:v>138.40902777777777</x:v>
      </x:c>
      <x:c r="O600" s="47" t="n">
        <x:v>5</x:v>
      </x:c>
      <x:c r="P600" s="1" t="str">
        <x:v>二市場の逆行と板変化で退出</x:v>
      </x:c>
      <x:c r="Q600" s="47" t="n">
        <x:v>0</x:v>
      </x:c>
      <x:c r="R600" s="1" t="str">
        <x:v>下落</x:v>
      </x:c>
      <x:c r="S600" s="47" t="n">
        <x:v>24</x:v>
      </x:c>
    </x:row>
    <x:row r="601" ht="22" customHeight="1">
      <x:c r="A601" s="1" t="str">
        <x:v>TOPIXmini</x:v>
      </x:c>
      <x:c r="B601" s="1" t="str">
        <x:v>G07</x:v>
      </x:c>
      <x:c r="C601" s="1" t="str">
        <x:v>診断3場</x:v>
      </x:c>
      <x:c r="D601" s="45" t="n">
        <x:v>209754</x:v>
      </x:c>
      <x:c r="E601" s="45" t="n">
        <x:v>151998</x:v>
      </x:c>
      <x:c r="F601" s="45" t="n">
        <x:f>D601-E601</x:f>
        <x:v>57756</x:v>
      </x:c>
      <x:c r="G601" s="47" t="n">
        <x:v>2</x:v>
      </x:c>
      <x:c r="H601" s="47" t="n">
        <x:v>1</x:v>
      </x:c>
      <x:c r="I601" s="45" t="n">
        <x:v>-27574</x:v>
      </x:c>
      <x:c r="J601" s="47" t="n">
        <x:v>28</x:v>
      </x:c>
      <x:c r="K601" s="45" t="n">
        <x:v>-27574</x:v>
      </x:c>
      <x:c r="L601" s="45" t="n">
        <x:v>27574</x:v>
      </x:c>
      <x:c r="M601" s="46" t="n">
        <x:v>80.17222222222223</x:v>
      </x:c>
      <x:c r="N601" s="46" t="n">
        <x:v>90</x:v>
      </x:c>
      <x:c r="O601" s="47" t="n">
        <x:v>5</x:v>
      </x:c>
      <x:c r="P601" s="1" t="str">
        <x:v>二市場の逆行と板変化で退出</x:v>
      </x:c>
      <x:c r="Q601" s="47" t="n">
        <x:v>0</x:v>
      </x:c>
      <x:c r="R601" s="1" t="str">
        <x:v>全場</x:v>
      </x:c>
      <x:c r="S601" s="47" t="n">
        <x:v>3</x:v>
      </x:c>
    </x:row>
    <x:row r="602" ht="22" customHeight="1">
      <x:c r="A602" s="1" t="str">
        <x:v>TOPIXmini</x:v>
      </x:c>
      <x:c r="B602" s="1" t="str">
        <x:v>G07</x:v>
      </x:c>
      <x:c r="C602" s="1" t="str">
        <x:v>診断3場</x:v>
      </x:c>
      <x:c r="D602" s="45" t="n">
        <x:v>82422</x:v>
      </x:c>
      <x:c r="E602" s="45" t="n">
        <x:v>109996</x:v>
      </x:c>
      <x:c r="F602" s="45" t="n">
        <x:f>D602-E602</x:f>
        <x:v>-27574</x:v>
      </x:c>
      <x:c r="G602" s="47" t="n">
        <x:v>0</x:v>
      </x:c>
      <x:c r="H602" s="47" t="n">
        <x:v>1</x:v>
      </x:c>
      <x:c r="I602" s="45" t="n">
        <x:v>-27574</x:v>
      </x:c>
      <x:c r="J602" s="47" t="n">
        <x:v>15</x:v>
      </x:c>
      <x:c r="K602" s="45" t="n">
        <x:v>-27574</x:v>
      </x:c>
      <x:c r="L602" s="45" t="n">
        <x:v>27574</x:v>
      </x:c>
      <x:c r="M602" s="46" t="n">
        <x:v>43.95</x:v>
      </x:c>
      <x:c r="N602" s="46" t="n">
        <x:v>122.2</x:v>
      </x:c>
      <x:c r="O602" s="47" t="n">
        <x:v>5</x:v>
      </x:c>
      <x:c r="P602" s="1" t="str">
        <x:v>二市場の逆行と板変化で退出</x:v>
      </x:c>
      <x:c r="Q602" s="47" t="n">
        <x:v>0</x:v>
      </x:c>
      <x:c r="R602" s="1" t="str">
        <x:v>デイ</x:v>
      </x:c>
      <x:c r="S602" s="47" t="n">
        <x:v>1</x:v>
      </x:c>
    </x:row>
    <x:row r="603" ht="22" customHeight="1">
      <x:c r="A603" s="1" t="str">
        <x:v>TOPIXmini</x:v>
      </x:c>
      <x:c r="B603" s="1" t="str">
        <x:v>G07</x:v>
      </x:c>
      <x:c r="C603" s="1" t="str">
        <x:v>診断3場</x:v>
      </x:c>
      <x:c r="D603" s="45" t="n">
        <x:v>127332</x:v>
      </x:c>
      <x:c r="E603" s="45" t="n">
        <x:v>42002</x:v>
      </x:c>
      <x:c r="F603" s="45" t="n">
        <x:f>D603-E603</x:f>
        <x:v>85330</x:v>
      </x:c>
      <x:c r="G603" s="47" t="n">
        <x:v>2</x:v>
      </x:c>
      <x:c r="H603" s="47" t="n">
        <x:v>0</x:v>
      </x:c>
      <x:c r="I603" s="45" t="n">
        <x:v>0</x:v>
      </x:c>
      <x:c r="J603" s="47" t="n">
        <x:v>13</x:v>
      </x:c>
      <x:c r="K603" s="45" t="n">
        <x:v>34584</x:v>
      </x:c>
      <x:c r="L603" s="45" t="n">
        <x:v>0</x:v>
      </x:c>
      <x:c r="M603" s="46" t="n">
        <x:v>98.28333333333333</x:v>
      </x:c>
      <x:c r="N603" s="46" t="n">
        <x:v>73.9</x:v>
      </x:c>
      <x:c r="O603" s="47" t="n">
        <x:v>5</x:v>
      </x:c>
      <x:c r="P603" s="1" t="str">
        <x:v>二市場の逆行と板変化で退出</x:v>
      </x:c>
      <x:c r="Q603" s="47" t="n">
        <x:v>0</x:v>
      </x:c>
      <x:c r="R603" s="1" t="str">
        <x:v>ナイト</x:v>
      </x:c>
      <x:c r="S603" s="47" t="n">
        <x:v>2</x:v>
      </x:c>
    </x:row>
    <x:row r="604" ht="22" customHeight="1">
      <x:c r="A604" s="1" t="str">
        <x:v>TOPIXmini</x:v>
      </x:c>
      <x:c r="B604" s="1" t="str">
        <x:v>G07</x:v>
      </x:c>
      <x:c r="C604" s="1" t="str">
        <x:v>診断3場</x:v>
      </x:c>
      <x:c r="D604" s="45" t="n">
        <x:v>40750</x:v>
      </x:c>
      <x:c r="E604" s="45" t="n">
        <x:v>6166</x:v>
      </x:c>
      <x:c r="F604" s="45" t="n">
        <x:f>D604-E604</x:f>
        <x:v>34584</x:v>
      </x:c>
      <x:c r="G604" s="47" t="n">
        <x:v>1</x:v>
      </x:c>
      <x:c r="H604" s="47" t="n">
        <x:v>0</x:v>
      </x:c>
      <x:c r="I604" s="45" t="n">
        <x:v>0</x:v>
      </x:c>
      <x:c r="J604" s="47" t="n">
        <x:v>4</x:v>
      </x:c>
      <x:c r="K604" s="45" t="n">
        <x:v>34584</x:v>
      </x:c>
      <x:c r="L604" s="45" t="n">
        <x:v>0</x:v>
      </x:c>
      <x:c r="M604" s="46" t="n">
        <x:v>125.63333333333334</x:v>
      </x:c>
      <x:c r="N604" s="46" t="n">
        <x:v>71.56666666666666</x:v>
      </x:c>
      <x:c r="O604" s="47" t="n">
        <x:v>5</x:v>
      </x:c>
      <x:c r="P604" s="1" t="str">
        <x:v>二市場の逆行と板変化で退出</x:v>
      </x:c>
      <x:c r="Q604" s="47" t="n">
        <x:v>0</x:v>
      </x:c>
      <x:c r="R604" s="1" t="str">
        <x:v>上昇</x:v>
      </x:c>
      <x:c r="S604" s="47" t="n">
        <x:v>1</x:v>
      </x:c>
    </x:row>
    <x:row r="605" ht="22" customHeight="1">
      <x:c r="A605" s="1" t="str">
        <x:v>TOPIXmini</x:v>
      </x:c>
      <x:c r="B605" s="1" t="str">
        <x:v>G07</x:v>
      </x:c>
      <x:c r="C605" s="1" t="str">
        <x:v>診断3場</x:v>
      </x:c>
      <x:c r="D605" s="45" t="n">
        <x:v>169004</x:v>
      </x:c>
      <x:c r="E605" s="45" t="n">
        <x:v>145832</x:v>
      </x:c>
      <x:c r="F605" s="45" t="n">
        <x:f>D605-E605</x:f>
        <x:v>23172</x:v>
      </x:c>
      <x:c r="G605" s="47" t="n">
        <x:v>1</x:v>
      </x:c>
      <x:c r="H605" s="47" t="n">
        <x:v>1</x:v>
      </x:c>
      <x:c r="I605" s="45" t="n">
        <x:v>-27574</x:v>
      </x:c>
      <x:c r="J605" s="47" t="n">
        <x:v>24</x:v>
      </x:c>
      <x:c r="K605" s="45" t="n">
        <x:v>-27574</x:v>
      </x:c>
      <x:c r="L605" s="45" t="n">
        <x:v>27574</x:v>
      </x:c>
      <x:c r="M605" s="46" t="n">
        <x:v>57.44166666666667</x:v>
      </x:c>
      <x:c r="N605" s="46" t="n">
        <x:v>99.21666666666667</x:v>
      </x:c>
      <x:c r="O605" s="47" t="n">
        <x:v>5</x:v>
      </x:c>
      <x:c r="P605" s="1" t="str">
        <x:v>二市場の逆行と板変化で退出</x:v>
      </x:c>
      <x:c r="Q605" s="47" t="n">
        <x:v>0</x:v>
      </x:c>
      <x:c r="R605" s="1" t="str">
        <x:v>下落</x:v>
      </x:c>
      <x:c r="S605" s="47" t="n">
        <x:v>2</x:v>
      </x:c>
    </x:row>
    <x:row r="606" ht="22" customHeight="1">
      <x:c r="A606" s="1" t="str">
        <x:v>TOPIXmini</x:v>
      </x:c>
      <x:c r="B606" s="1" t="str">
        <x:v>G08</x:v>
      </x:c>
      <x:c r="C606" s="1" t="str">
        <x:v>全50場</x:v>
      </x:c>
      <x:c r="D606" s="45" t="n">
        <x:v>2354974</x:v>
      </x:c>
      <x:c r="E606" s="45" t="n">
        <x:v>1627299</x:v>
      </x:c>
      <x:c r="F606" s="45" t="n">
        <x:f>D606-E606</x:f>
        <x:v>727675</x:v>
      </x:c>
      <x:c r="G606" s="47" t="n">
        <x:v>37</x:v>
      </x:c>
      <x:c r="H606" s="47" t="n">
        <x:v>13</x:v>
      </x:c>
      <x:c r="I606" s="45" t="n">
        <x:v>376597</x:v>
      </x:c>
      <x:c r="J606" s="47" t="n">
        <x:v>167</x:v>
      </x:c>
      <x:c r="K606" s="45" t="n">
        <x:v>-81996</x:v>
      </x:c>
      <x:c r="L606" s="45" t="n">
        <x:v>38769.846153846156</x:v>
      </x:c>
      <x:c r="M606" s="46" t="n">
        <x:v>199.60933333333335</x:v>
      </x:c>
      <x:c r="N606" s="46" t="n">
        <x:v>135.892</x:v>
      </x:c>
      <x:c r="O606" s="47" t="n">
        <x:v>5</x:v>
      </x:c>
      <x:c r="P606" s="1" t="str">
        <x:v>再進行確認と初回実額以内の追撃</x:v>
      </x:c>
      <x:c r="Q606" s="47" t="n">
        <x:v>0</x:v>
      </x:c>
      <x:c r="R606" s="1" t="str">
        <x:v>全場</x:v>
      </x:c>
      <x:c r="S606" s="47" t="n">
        <x:v>50</x:v>
      </x:c>
    </x:row>
    <x:row r="607" ht="22" customHeight="1">
      <x:c r="A607" s="1" t="str">
        <x:v>TOPIXmini</x:v>
      </x:c>
      <x:c r="B607" s="1" t="str">
        <x:v>G08</x:v>
      </x:c>
      <x:c r="C607" s="1" t="str">
        <x:v>全50場</x:v>
      </x:c>
      <x:c r="D607" s="45" t="n">
        <x:v>1319426</x:v>
      </x:c>
      <x:c r="E607" s="45" t="n">
        <x:v>968849</x:v>
      </x:c>
      <x:c r="F607" s="45" t="n">
        <x:f>D607-E607</x:f>
        <x:v>350577</x:v>
      </x:c>
      <x:c r="G607" s="47" t="n">
        <x:v>15</x:v>
      </x:c>
      <x:c r="H607" s="47" t="n">
        <x:v>10</x:v>
      </x:c>
      <x:c r="I607" s="45" t="n">
        <x:v>31995</x:v>
      </x:c>
      <x:c r="J607" s="47" t="n">
        <x:v>84</x:v>
      </x:c>
      <x:c r="K607" s="45" t="n">
        <x:v>-81996</x:v>
      </x:c>
      <x:c r="L607" s="45" t="n">
        <x:v>38833.2</x:v>
      </x:c>
      <x:c r="M607" s="46" t="n">
        <x:v>87.81933333333332</x:v>
      </x:c>
      <x:c r="N607" s="46" t="n">
        <x:v>201.864</x:v>
      </x:c>
      <x:c r="O607" s="47" t="n">
        <x:v>5</x:v>
      </x:c>
      <x:c r="P607" s="1" t="str">
        <x:v>再進行確認と初回実額以内の追撃</x:v>
      </x:c>
      <x:c r="Q607" s="47" t="n">
        <x:v>0</x:v>
      </x:c>
      <x:c r="R607" s="1" t="str">
        <x:v>デイ</x:v>
      </x:c>
      <x:c r="S607" s="47" t="n">
        <x:v>25</x:v>
      </x:c>
    </x:row>
    <x:row r="608" ht="22" customHeight="1">
      <x:c r="A608" s="1" t="str">
        <x:v>TOPIXmini</x:v>
      </x:c>
      <x:c r="B608" s="1" t="str">
        <x:v>G08</x:v>
      </x:c>
      <x:c r="C608" s="1" t="str">
        <x:v>全50場</x:v>
      </x:c>
      <x:c r="D608" s="45" t="n">
        <x:v>1035548</x:v>
      </x:c>
      <x:c r="E608" s="45" t="n">
        <x:v>658450</x:v>
      </x:c>
      <x:c r="F608" s="45" t="n">
        <x:f>D608-E608</x:f>
        <x:v>377098</x:v>
      </x:c>
      <x:c r="G608" s="47" t="n">
        <x:v>22</x:v>
      </x:c>
      <x:c r="H608" s="47" t="n">
        <x:v>3</x:v>
      </x:c>
      <x:c r="I608" s="45" t="n">
        <x:v>170694</x:v>
      </x:c>
      <x:c r="J608" s="47" t="n">
        <x:v>83</x:v>
      </x:c>
      <x:c r="K608" s="45" t="n">
        <x:v>-40836</x:v>
      </x:c>
      <x:c r="L608" s="45" t="n">
        <x:v>38558.666666666664</x:v>
      </x:c>
      <x:c r="M608" s="46" t="n">
        <x:v>311.3993333333333</x:v>
      </x:c>
      <x:c r="N608" s="46" t="n">
        <x:v>69.91999999999999</x:v>
      </x:c>
      <x:c r="O608" s="47" t="n">
        <x:v>5</x:v>
      </x:c>
      <x:c r="P608" s="1" t="str">
        <x:v>再進行確認と初回実額以内の追撃</x:v>
      </x:c>
      <x:c r="Q608" s="47" t="n">
        <x:v>0</x:v>
      </x:c>
      <x:c r="R608" s="1" t="str">
        <x:v>ナイト</x:v>
      </x:c>
      <x:c r="S608" s="47" t="n">
        <x:v>25</x:v>
      </x:c>
    </x:row>
    <x:row r="609" ht="22" customHeight="1">
      <x:c r="A609" s="1" t="str">
        <x:v>TOPIXmini</x:v>
      </x:c>
      <x:c r="B609" s="1" t="str">
        <x:v>G08</x:v>
      </x:c>
      <x:c r="C609" s="1" t="str">
        <x:v>全50場</x:v>
      </x:c>
      <x:c r="D609" s="45" t="n">
        <x:v>1006655</x:v>
      </x:c>
      <x:c r="E609" s="45" t="n">
        <x:v>800780</x:v>
      </x:c>
      <x:c r="F609" s="45" t="n">
        <x:f>D609-E609</x:f>
        <x:v>205875</x:v>
      </x:c>
      <x:c r="G609" s="47" t="n">
        <x:v>17</x:v>
      </x:c>
      <x:c r="H609" s="47" t="n">
        <x:v>7</x:v>
      </x:c>
      <x:c r="I609" s="45" t="n">
        <x:v>-30791</x:v>
      </x:c>
      <x:c r="J609" s="47" t="n">
        <x:v>71</x:v>
      </x:c>
      <x:c r="K609" s="45" t="n">
        <x:v>-70670</x:v>
      </x:c>
      <x:c r="L609" s="45" t="n">
        <x:v>43787.142857142855</x:v>
      </x:c>
      <x:c r="M609" s="46" t="n">
        <x:v>205.46319444444444</x:v>
      </x:c>
      <x:c r="N609" s="46" t="n">
        <x:v>131.20277777777778</x:v>
      </x:c>
      <x:c r="O609" s="47" t="n">
        <x:v>5</x:v>
      </x:c>
      <x:c r="P609" s="1" t="str">
        <x:v>再進行確認と初回実額以内の追撃</x:v>
      </x:c>
      <x:c r="Q609" s="47" t="n">
        <x:v>0</x:v>
      </x:c>
      <x:c r="R609" s="1" t="str">
        <x:v>上昇</x:v>
      </x:c>
      <x:c r="S609" s="47" t="n">
        <x:v>24</x:v>
      </x:c>
    </x:row>
    <x:row r="610" ht="22" customHeight="1">
      <x:c r="A610" s="1" t="str">
        <x:v>TOPIXmini</x:v>
      </x:c>
      <x:c r="B610" s="1" t="str">
        <x:v>G08</x:v>
      </x:c>
      <x:c r="C610" s="1" t="str">
        <x:v>全50場</x:v>
      </x:c>
      <x:c r="D610" s="45" t="n">
        <x:v>1348319</x:v>
      </x:c>
      <x:c r="E610" s="45" t="n">
        <x:v>826519</x:v>
      </x:c>
      <x:c r="F610" s="45" t="n">
        <x:f>D610-E610</x:f>
        <x:v>521800</x:v>
      </x:c>
      <x:c r="G610" s="47" t="n">
        <x:v>20</x:v>
      </x:c>
      <x:c r="H610" s="47" t="n">
        <x:v>6</x:v>
      </x:c>
      <x:c r="I610" s="45" t="n">
        <x:v>170722</x:v>
      </x:c>
      <x:c r="J610" s="47" t="n">
        <x:v>96</x:v>
      </x:c>
      <x:c r="K610" s="45" t="n">
        <x:v>-81996</x:v>
      </x:c>
      <x:c r="L610" s="45" t="n">
        <x:v>32916.333333333336</x:v>
      </x:c>
      <x:c r="M610" s="46" t="n">
        <x:v>194.20576923076922</x:v>
      </x:c>
      <x:c r="N610" s="46" t="n">
        <x:v>140.22051282051282</x:v>
      </x:c>
      <x:c r="O610" s="47" t="n">
        <x:v>5</x:v>
      </x:c>
      <x:c r="P610" s="1" t="str">
        <x:v>再進行確認と初回実額以内の追撃</x:v>
      </x:c>
      <x:c r="Q610" s="47" t="n">
        <x:v>0</x:v>
      </x:c>
      <x:c r="R610" s="1" t="str">
        <x:v>下落</x:v>
      </x:c>
      <x:c r="S610" s="47" t="n">
        <x:v>26</x:v>
      </x:c>
    </x:row>
    <x:row r="611" ht="22" customHeight="1">
      <x:c r="A611" s="1" t="str">
        <x:v>TOPIXmini</x:v>
      </x:c>
      <x:c r="B611" s="1" t="str">
        <x:v>G08</x:v>
      </x:c>
      <x:c r="C611" s="1" t="str">
        <x:v>対照47場</x:v>
      </x:c>
      <x:c r="D611" s="45" t="n">
        <x:v>2185642</x:v>
      </x:c>
      <x:c r="E611" s="45" t="n">
        <x:v>1434467</x:v>
      </x:c>
      <x:c r="F611" s="45" t="n">
        <x:f>D611-E611</x:f>
        <x:v>751175</x:v>
      </x:c>
      <x:c r="G611" s="47" t="n">
        <x:v>35</x:v>
      </x:c>
      <x:c r="H611" s="47" t="n">
        <x:v>12</x:v>
      </x:c>
      <x:c r="I611" s="45" t="n">
        <x:v>400097</x:v>
      </x:c>
      <x:c r="J611" s="47" t="n">
        <x:v>147</x:v>
      </x:c>
      <x:c r="K611" s="45" t="n">
        <x:v>-70670</x:v>
      </x:c>
      <x:c r="L611" s="45" t="n">
        <x:v>35167.666666666664</x:v>
      </x:c>
      <x:c r="M611" s="46" t="n">
        <x:v>207.2173758865248</x:v>
      </x:c>
      <x:c r="N611" s="46" t="n">
        <x:v>137.34539007092198</x:v>
      </x:c>
      <x:c r="O611" s="47" t="n">
        <x:v>5</x:v>
      </x:c>
      <x:c r="P611" s="1" t="str">
        <x:v>再進行確認と初回実額以内の追撃</x:v>
      </x:c>
      <x:c r="Q611" s="47" t="n">
        <x:v>0</x:v>
      </x:c>
      <x:c r="R611" s="1" t="str">
        <x:v>全場</x:v>
      </x:c>
      <x:c r="S611" s="47" t="n">
        <x:v>47</x:v>
      </x:c>
    </x:row>
    <x:row r="612" ht="22" customHeight="1">
      <x:c r="A612" s="1" t="str">
        <x:v>TOPIXmini</x:v>
      </x:c>
      <x:c r="B612" s="1" t="str">
        <x:v>G08</x:v>
      </x:c>
      <x:c r="C612" s="1" t="str">
        <x:v>対照47場</x:v>
      </x:c>
      <x:c r="D612" s="45" t="n">
        <x:v>1272758</x:v>
      </x:c>
      <x:c r="E612" s="45" t="n">
        <x:v>840185</x:v>
      </x:c>
      <x:c r="F612" s="45" t="n">
        <x:f>D612-E612</x:f>
        <x:v>432573</x:v>
      </x:c>
      <x:c r="G612" s="47" t="n">
        <x:v>15</x:v>
      </x:c>
      <x:c r="H612" s="47" t="n">
        <x:v>9</x:v>
      </x:c>
      <x:c r="I612" s="45" t="n">
        <x:v>113991</x:v>
      </x:c>
      <x:c r="J612" s="47" t="n">
        <x:v>76</x:v>
      </x:c>
      <x:c r="K612" s="45" t="n">
        <x:v>-70670</x:v>
      </x:c>
      <x:c r="L612" s="45" t="n">
        <x:v>34037.333333333336</x:v>
      </x:c>
      <x:c r="M612" s="46" t="n">
        <x:v>89.64722222222223</x:v>
      </x:c>
      <x:c r="N612" s="46" t="n">
        <x:v>202.7326388888889</x:v>
      </x:c>
      <x:c r="O612" s="47" t="n">
        <x:v>5</x:v>
      </x:c>
      <x:c r="P612" s="1" t="str">
        <x:v>再進行確認と初回実額以内の追撃</x:v>
      </x:c>
      <x:c r="Q612" s="47" t="n">
        <x:v>0</x:v>
      </x:c>
      <x:c r="R612" s="1" t="str">
        <x:v>デイ</x:v>
      </x:c>
      <x:c r="S612" s="47" t="n">
        <x:v>24</x:v>
      </x:c>
    </x:row>
    <x:row r="613" ht="22" customHeight="1">
      <x:c r="A613" s="1" t="str">
        <x:v>TOPIXmini</x:v>
      </x:c>
      <x:c r="B613" s="1" t="str">
        <x:v>G08</x:v>
      </x:c>
      <x:c r="C613" s="1" t="str">
        <x:v>対照47場</x:v>
      </x:c>
      <x:c r="D613" s="45" t="n">
        <x:v>912884</x:v>
      </x:c>
      <x:c r="E613" s="45" t="n">
        <x:v>594282</x:v>
      </x:c>
      <x:c r="F613" s="45" t="n">
        <x:f>D613-E613</x:f>
        <x:v>318602</x:v>
      </x:c>
      <x:c r="G613" s="47" t="n">
        <x:v>20</x:v>
      </x:c>
      <x:c r="H613" s="47" t="n">
        <x:v>3</x:v>
      </x:c>
      <x:c r="I613" s="45" t="n">
        <x:v>112198</x:v>
      </x:c>
      <x:c r="J613" s="47" t="n">
        <x:v>71</x:v>
      </x:c>
      <x:c r="K613" s="45" t="n">
        <x:v>-40836</x:v>
      </x:c>
      <x:c r="L613" s="45" t="n">
        <x:v>38558.666666666664</x:v>
      </x:c>
      <x:c r="M613" s="46" t="n">
        <x:v>329.8992753623188</x:v>
      </x:c>
      <x:c r="N613" s="46" t="n">
        <x:v>69.11521739130434</x:v>
      </x:c>
      <x:c r="O613" s="47" t="n">
        <x:v>5</x:v>
      </x:c>
      <x:c r="P613" s="1" t="str">
        <x:v>再進行確認と初回実額以内の追撃</x:v>
      </x:c>
      <x:c r="Q613" s="47" t="n">
        <x:v>0</x:v>
      </x:c>
      <x:c r="R613" s="1" t="str">
        <x:v>ナイト</x:v>
      </x:c>
      <x:c r="S613" s="47" t="n">
        <x:v>23</x:v>
      </x:c>
    </x:row>
    <x:row r="614" ht="22" customHeight="1">
      <x:c r="A614" s="1" t="str">
        <x:v>TOPIXmini</x:v>
      </x:c>
      <x:c r="B614" s="1" t="str">
        <x:v>G08</x:v>
      </x:c>
      <x:c r="C614" s="1" t="str">
        <x:v>対照47場</x:v>
      </x:c>
      <x:c r="D614" s="45" t="n">
        <x:v>966905</x:v>
      </x:c>
      <x:c r="E614" s="45" t="n">
        <x:v>782614</x:v>
      </x:c>
      <x:c r="F614" s="45" t="n">
        <x:f>D614-E614</x:f>
        <x:v>184291</x:v>
      </x:c>
      <x:c r="G614" s="47" t="n">
        <x:v>16</x:v>
      </x:c>
      <x:c r="H614" s="47" t="n">
        <x:v>7</x:v>
      </x:c>
      <x:c r="I614" s="45" t="n">
        <x:v>-52375</x:v>
      </x:c>
      <x:c r="J614" s="47" t="n">
        <x:v>67</x:v>
      </x:c>
      <x:c r="K614" s="45" t="n">
        <x:v>-70670</x:v>
      </x:c>
      <x:c r="L614" s="45" t="n">
        <x:v>43787.142857142855</x:v>
      </x:c>
      <x:c r="M614" s="46" t="n">
        <x:v>208.91956521739132</x:v>
      </x:c>
      <x:c r="N614" s="46" t="n">
        <x:v>133.6521739130435</x:v>
      </x:c>
      <x:c r="O614" s="47" t="n">
        <x:v>5</x:v>
      </x:c>
      <x:c r="P614" s="1" t="str">
        <x:v>再進行確認と初回実額以内の追撃</x:v>
      </x:c>
      <x:c r="Q614" s="47" t="n">
        <x:v>0</x:v>
      </x:c>
      <x:c r="R614" s="1" t="str">
        <x:v>上昇</x:v>
      </x:c>
      <x:c r="S614" s="47" t="n">
        <x:v>23</x:v>
      </x:c>
    </x:row>
    <x:row r="615" ht="22" customHeight="1">
      <x:c r="A615" s="1" t="str">
        <x:v>TOPIXmini</x:v>
      </x:c>
      <x:c r="B615" s="1" t="str">
        <x:v>G08</x:v>
      </x:c>
      <x:c r="C615" s="1" t="str">
        <x:v>対照47場</x:v>
      </x:c>
      <x:c r="D615" s="45" t="n">
        <x:v>1218737</x:v>
      </x:c>
      <x:c r="E615" s="45" t="n">
        <x:v>651853</x:v>
      </x:c>
      <x:c r="F615" s="45" t="n">
        <x:f>D615-E615</x:f>
        <x:v>566884</x:v>
      </x:c>
      <x:c r="G615" s="47" t="n">
        <x:v>19</x:v>
      </x:c>
      <x:c r="H615" s="47" t="n">
        <x:v>5</x:v>
      </x:c>
      <x:c r="I615" s="45" t="n">
        <x:v>215806</x:v>
      </x:c>
      <x:c r="J615" s="47" t="n">
        <x:v>80</x:v>
      </x:c>
      <x:c r="K615" s="45" t="n">
        <x:v>-40836</x:v>
      </x:c>
      <x:c r="L615" s="45" t="n">
        <x:v>23100.4</x:v>
      </x:c>
      <x:c r="M615" s="46" t="n">
        <x:v>205.5861111111111</x:v>
      </x:c>
      <x:c r="N615" s="46" t="n">
        <x:v>140.88472222222222</x:v>
      </x:c>
      <x:c r="O615" s="47" t="n">
        <x:v>5</x:v>
      </x:c>
      <x:c r="P615" s="1" t="str">
        <x:v>再進行確認と初回実額以内の追撃</x:v>
      </x:c>
      <x:c r="Q615" s="47" t="n">
        <x:v>0</x:v>
      </x:c>
      <x:c r="R615" s="1" t="str">
        <x:v>下落</x:v>
      </x:c>
      <x:c r="S615" s="47" t="n">
        <x:v>24</x:v>
      </x:c>
    </x:row>
    <x:row r="616" ht="22" customHeight="1">
      <x:c r="A616" s="1" t="str">
        <x:v>TOPIXmini</x:v>
      </x:c>
      <x:c r="B616" s="1" t="str">
        <x:v>G08</x:v>
      </x:c>
      <x:c r="C616" s="1" t="str">
        <x:v>診断3場</x:v>
      </x:c>
      <x:c r="D616" s="45" t="n">
        <x:v>169332</x:v>
      </x:c>
      <x:c r="E616" s="45" t="n">
        <x:v>192832</x:v>
      </x:c>
      <x:c r="F616" s="45" t="n">
        <x:f>D616-E616</x:f>
        <x:v>-23500</x:v>
      </x:c>
      <x:c r="G616" s="47" t="n">
        <x:v>2</x:v>
      </x:c>
      <x:c r="H616" s="47" t="n">
        <x:v>1</x:v>
      </x:c>
      <x:c r="I616" s="45" t="n">
        <x:v>-81996</x:v>
      </x:c>
      <x:c r="J616" s="47" t="n">
        <x:v>20</x:v>
      </x:c>
      <x:c r="K616" s="45" t="n">
        <x:v>-81996</x:v>
      </x:c>
      <x:c r="L616" s="45" t="n">
        <x:v>81996</x:v>
      </x:c>
      <x:c r="M616" s="46" t="n">
        <x:v>80.41666666666667</x:v>
      </x:c>
      <x:c r="N616" s="46" t="n">
        <x:v>113.12222222222222</x:v>
      </x:c>
      <x:c r="O616" s="47" t="n">
        <x:v>5</x:v>
      </x:c>
      <x:c r="P616" s="1" t="str">
        <x:v>再進行確認と初回実額以内の追撃</x:v>
      </x:c>
      <x:c r="Q616" s="47" t="n">
        <x:v>0</x:v>
      </x:c>
      <x:c r="R616" s="1" t="str">
        <x:v>全場</x:v>
      </x:c>
      <x:c r="S616" s="47" t="n">
        <x:v>3</x:v>
      </x:c>
    </x:row>
    <x:row r="617" ht="22" customHeight="1">
      <x:c r="A617" s="1" t="str">
        <x:v>TOPIXmini</x:v>
      </x:c>
      <x:c r="B617" s="1" t="str">
        <x:v>G08</x:v>
      </x:c>
      <x:c r="C617" s="1" t="str">
        <x:v>診断3場</x:v>
      </x:c>
      <x:c r="D617" s="45" t="n">
        <x:v>46668</x:v>
      </x:c>
      <x:c r="E617" s="45" t="n">
        <x:v>128664</x:v>
      </x:c>
      <x:c r="F617" s="45" t="n">
        <x:f>D617-E617</x:f>
        <x:v>-81996</x:v>
      </x:c>
      <x:c r="G617" s="47" t="n">
        <x:v>0</x:v>
      </x:c>
      <x:c r="H617" s="47" t="n">
        <x:v>1</x:v>
      </x:c>
      <x:c r="I617" s="45" t="n">
        <x:v>-81996</x:v>
      </x:c>
      <x:c r="J617" s="47" t="n">
        <x:v>8</x:v>
      </x:c>
      <x:c r="K617" s="45" t="n">
        <x:v>-81996</x:v>
      </x:c>
      <x:c r="L617" s="45" t="n">
        <x:v>81996</x:v>
      </x:c>
      <x:c r="M617" s="46" t="n">
        <x:v>43.95</x:v>
      </x:c>
      <x:c r="N617" s="46" t="n">
        <x:v>181.01666666666668</x:v>
      </x:c>
      <x:c r="O617" s="47" t="n">
        <x:v>5</x:v>
      </x:c>
      <x:c r="P617" s="1" t="str">
        <x:v>再進行確認と初回実額以内の追撃</x:v>
      </x:c>
      <x:c r="Q617" s="47" t="n">
        <x:v>0</x:v>
      </x:c>
      <x:c r="R617" s="1" t="str">
        <x:v>デイ</x:v>
      </x:c>
      <x:c r="S617" s="47" t="n">
        <x:v>1</x:v>
      </x:c>
    </x:row>
    <x:row r="618" ht="22" customHeight="1">
      <x:c r="A618" s="1" t="str">
        <x:v>TOPIXmini</x:v>
      </x:c>
      <x:c r="B618" s="1" t="str">
        <x:v>G08</x:v>
      </x:c>
      <x:c r="C618" s="1" t="str">
        <x:v>診断3場</x:v>
      </x:c>
      <x:c r="D618" s="45" t="n">
        <x:v>122664</x:v>
      </x:c>
      <x:c r="E618" s="45" t="n">
        <x:v>64168</x:v>
      </x:c>
      <x:c r="F618" s="45" t="n">
        <x:f>D618-E618</x:f>
        <x:v>58496</x:v>
      </x:c>
      <x:c r="G618" s="47" t="n">
        <x:v>2</x:v>
      </x:c>
      <x:c r="H618" s="47" t="n">
        <x:v>0</x:v>
      </x:c>
      <x:c r="I618" s="45" t="n">
        <x:v>0</x:v>
      </x:c>
      <x:c r="J618" s="47" t="n">
        <x:v>12</x:v>
      </x:c>
      <x:c r="K618" s="45" t="n">
        <x:v>21584</x:v>
      </x:c>
      <x:c r="L618" s="45" t="n">
        <x:v>0</x:v>
      </x:c>
      <x:c r="M618" s="46" t="n">
        <x:v>98.65</x:v>
      </x:c>
      <x:c r="N618" s="46" t="n">
        <x:v>79.175</x:v>
      </x:c>
      <x:c r="O618" s="47" t="n">
        <x:v>5</x:v>
      </x:c>
      <x:c r="P618" s="1" t="str">
        <x:v>再進行確認と初回実額以内の追撃</x:v>
      </x:c>
      <x:c r="Q618" s="47" t="n">
        <x:v>0</x:v>
      </x:c>
      <x:c r="R618" s="1" t="str">
        <x:v>ナイト</x:v>
      </x:c>
      <x:c r="S618" s="47" t="n">
        <x:v>2</x:v>
      </x:c>
    </x:row>
    <x:row r="619" ht="22" customHeight="1">
      <x:c r="A619" s="1" t="str">
        <x:v>TOPIXmini</x:v>
      </x:c>
      <x:c r="B619" s="1" t="str">
        <x:v>G08</x:v>
      </x:c>
      <x:c r="C619" s="1" t="str">
        <x:v>診断3場</x:v>
      </x:c>
      <x:c r="D619" s="45" t="n">
        <x:v>39750</x:v>
      </x:c>
      <x:c r="E619" s="45" t="n">
        <x:v>18166</x:v>
      </x:c>
      <x:c r="F619" s="45" t="n">
        <x:f>D619-E619</x:f>
        <x:v>21584</x:v>
      </x:c>
      <x:c r="G619" s="47" t="n">
        <x:v>1</x:v>
      </x:c>
      <x:c r="H619" s="47" t="n">
        <x:v>0</x:v>
      </x:c>
      <x:c r="I619" s="45" t="n">
        <x:v>0</x:v>
      </x:c>
      <x:c r="J619" s="47" t="n">
        <x:v>4</x:v>
      </x:c>
      <x:c r="K619" s="45" t="n">
        <x:v>21584</x:v>
      </x:c>
      <x:c r="L619" s="45" t="n">
        <x:v>0</x:v>
      </x:c>
      <x:c r="M619" s="46" t="n">
        <x:v>125.96666666666667</x:v>
      </x:c>
      <x:c r="N619" s="46" t="n">
        <x:v>74.86666666666666</x:v>
      </x:c>
      <x:c r="O619" s="47" t="n">
        <x:v>5</x:v>
      </x:c>
      <x:c r="P619" s="1" t="str">
        <x:v>再進行確認と初回実額以内の追撃</x:v>
      </x:c>
      <x:c r="Q619" s="47" t="n">
        <x:v>0</x:v>
      </x:c>
      <x:c r="R619" s="1" t="str">
        <x:v>上昇</x:v>
      </x:c>
      <x:c r="S619" s="47" t="n">
        <x:v>1</x:v>
      </x:c>
    </x:row>
    <x:row r="620" ht="22" customHeight="1">
      <x:c r="A620" s="1" t="str">
        <x:v>TOPIXmini</x:v>
      </x:c>
      <x:c r="B620" s="1" t="str">
        <x:v>G08</x:v>
      </x:c>
      <x:c r="C620" s="1" t="str">
        <x:v>診断3場</x:v>
      </x:c>
      <x:c r="D620" s="45" t="n">
        <x:v>129582</x:v>
      </x:c>
      <x:c r="E620" s="45" t="n">
        <x:v>174666</x:v>
      </x:c>
      <x:c r="F620" s="45" t="n">
        <x:f>D620-E620</x:f>
        <x:v>-45084</x:v>
      </x:c>
      <x:c r="G620" s="47" t="n">
        <x:v>1</x:v>
      </x:c>
      <x:c r="H620" s="47" t="n">
        <x:v>1</x:v>
      </x:c>
      <x:c r="I620" s="45" t="n">
        <x:v>-81996</x:v>
      </x:c>
      <x:c r="J620" s="47" t="n">
        <x:v>16</x:v>
      </x:c>
      <x:c r="K620" s="45" t="n">
        <x:v>-81996</x:v>
      </x:c>
      <x:c r="L620" s="45" t="n">
        <x:v>81996</x:v>
      </x:c>
      <x:c r="M620" s="46" t="n">
        <x:v>57.641666666666666</x:v>
      </x:c>
      <x:c r="N620" s="46" t="n">
        <x:v>132.25</x:v>
      </x:c>
      <x:c r="O620" s="47" t="n">
        <x:v>5</x:v>
      </x:c>
      <x:c r="P620" s="1" t="str">
        <x:v>再進行確認と初回実額以内の追撃</x:v>
      </x:c>
      <x:c r="Q620" s="47" t="n">
        <x:v>0</x:v>
      </x:c>
      <x:c r="R620" s="1" t="str">
        <x:v>下落</x:v>
      </x:c>
      <x:c r="S620" s="47" t="n">
        <x:v>2</x:v>
      </x:c>
    </x:row>
    <x:row r="621" ht="22" customHeight="1">
      <x:c r="A621" s="1" t="str">
        <x:v>TOPIXmini</x:v>
      </x:c>
      <x:c r="B621" s="1" t="str">
        <x:v>G09</x:v>
      </x:c>
      <x:c r="C621" s="1" t="str">
        <x:v>全50場</x:v>
      </x:c>
      <x:c r="D621" s="45" t="n">
        <x:v>2354974</x:v>
      </x:c>
      <x:c r="E621" s="45" t="n">
        <x:v>1627299</x:v>
      </x:c>
      <x:c r="F621" s="45" t="n">
        <x:f>D621-E621</x:f>
        <x:v>727675</x:v>
      </x:c>
      <x:c r="G621" s="47" t="n">
        <x:v>37</x:v>
      </x:c>
      <x:c r="H621" s="47" t="n">
        <x:v>13</x:v>
      </x:c>
      <x:c r="I621" s="45" t="n">
        <x:v>376597</x:v>
      </x:c>
      <x:c r="J621" s="47" t="n">
        <x:v>167</x:v>
      </x:c>
      <x:c r="K621" s="45" t="n">
        <x:v>-81996</x:v>
      </x:c>
      <x:c r="L621" s="45" t="n">
        <x:v>38769.846153846156</x:v>
      </x:c>
      <x:c r="M621" s="46" t="n">
        <x:v>199.60933333333335</x:v>
      </x:c>
      <x:c r="N621" s="46" t="n">
        <x:v>135.892</x:v>
      </x:c>
      <x:c r="O621" s="47" t="n">
        <x:v>5</x:v>
      </x:c>
      <x:c r="P621" s="1" t="str">
        <x:v>再進行確認と利益保護後の追撃</x:v>
      </x:c>
      <x:c r="Q621" s="47" t="n">
        <x:v>0</x:v>
      </x:c>
      <x:c r="R621" s="1" t="str">
        <x:v>全場</x:v>
      </x:c>
      <x:c r="S621" s="47" t="n">
        <x:v>50</x:v>
      </x:c>
    </x:row>
    <x:row r="622" ht="22" customHeight="1">
      <x:c r="A622" s="1" t="str">
        <x:v>TOPIXmini</x:v>
      </x:c>
      <x:c r="B622" s="1" t="str">
        <x:v>G09</x:v>
      </x:c>
      <x:c r="C622" s="1" t="str">
        <x:v>全50場</x:v>
      </x:c>
      <x:c r="D622" s="45" t="n">
        <x:v>1319426</x:v>
      </x:c>
      <x:c r="E622" s="45" t="n">
        <x:v>968849</x:v>
      </x:c>
      <x:c r="F622" s="45" t="n">
        <x:f>D622-E622</x:f>
        <x:v>350577</x:v>
      </x:c>
      <x:c r="G622" s="47" t="n">
        <x:v>15</x:v>
      </x:c>
      <x:c r="H622" s="47" t="n">
        <x:v>10</x:v>
      </x:c>
      <x:c r="I622" s="45" t="n">
        <x:v>31995</x:v>
      </x:c>
      <x:c r="J622" s="47" t="n">
        <x:v>84</x:v>
      </x:c>
      <x:c r="K622" s="45" t="n">
        <x:v>-81996</x:v>
      </x:c>
      <x:c r="L622" s="45" t="n">
        <x:v>38833.2</x:v>
      </x:c>
      <x:c r="M622" s="46" t="n">
        <x:v>87.81933333333332</x:v>
      </x:c>
      <x:c r="N622" s="46" t="n">
        <x:v>201.864</x:v>
      </x:c>
      <x:c r="O622" s="47" t="n">
        <x:v>5</x:v>
      </x:c>
      <x:c r="P622" s="1" t="str">
        <x:v>再進行確認と利益保護後の追撃</x:v>
      </x:c>
      <x:c r="Q622" s="47" t="n">
        <x:v>0</x:v>
      </x:c>
      <x:c r="R622" s="1" t="str">
        <x:v>デイ</x:v>
      </x:c>
      <x:c r="S622" s="47" t="n">
        <x:v>25</x:v>
      </x:c>
    </x:row>
    <x:row r="623" ht="22" customHeight="1">
      <x:c r="A623" s="1" t="str">
        <x:v>TOPIXmini</x:v>
      </x:c>
      <x:c r="B623" s="1" t="str">
        <x:v>G09</x:v>
      </x:c>
      <x:c r="C623" s="1" t="str">
        <x:v>全50場</x:v>
      </x:c>
      <x:c r="D623" s="45" t="n">
        <x:v>1035548</x:v>
      </x:c>
      <x:c r="E623" s="45" t="n">
        <x:v>658450</x:v>
      </x:c>
      <x:c r="F623" s="45" t="n">
        <x:f>D623-E623</x:f>
        <x:v>377098</x:v>
      </x:c>
      <x:c r="G623" s="47" t="n">
        <x:v>22</x:v>
      </x:c>
      <x:c r="H623" s="47" t="n">
        <x:v>3</x:v>
      </x:c>
      <x:c r="I623" s="45" t="n">
        <x:v>170694</x:v>
      </x:c>
      <x:c r="J623" s="47" t="n">
        <x:v>83</x:v>
      </x:c>
      <x:c r="K623" s="45" t="n">
        <x:v>-40836</x:v>
      </x:c>
      <x:c r="L623" s="45" t="n">
        <x:v>38558.666666666664</x:v>
      </x:c>
      <x:c r="M623" s="46" t="n">
        <x:v>311.3993333333333</x:v>
      </x:c>
      <x:c r="N623" s="46" t="n">
        <x:v>69.91999999999999</x:v>
      </x:c>
      <x:c r="O623" s="47" t="n">
        <x:v>5</x:v>
      </x:c>
      <x:c r="P623" s="1" t="str">
        <x:v>再進行確認と利益保護後の追撃</x:v>
      </x:c>
      <x:c r="Q623" s="47" t="n">
        <x:v>0</x:v>
      </x:c>
      <x:c r="R623" s="1" t="str">
        <x:v>ナイト</x:v>
      </x:c>
      <x:c r="S623" s="47" t="n">
        <x:v>25</x:v>
      </x:c>
    </x:row>
    <x:row r="624" ht="22" customHeight="1">
      <x:c r="A624" s="1" t="str">
        <x:v>TOPIXmini</x:v>
      </x:c>
      <x:c r="B624" s="1" t="str">
        <x:v>G09</x:v>
      </x:c>
      <x:c r="C624" s="1" t="str">
        <x:v>全50場</x:v>
      </x:c>
      <x:c r="D624" s="45" t="n">
        <x:v>1006655</x:v>
      </x:c>
      <x:c r="E624" s="45" t="n">
        <x:v>800780</x:v>
      </x:c>
      <x:c r="F624" s="45" t="n">
        <x:f>D624-E624</x:f>
        <x:v>205875</x:v>
      </x:c>
      <x:c r="G624" s="47" t="n">
        <x:v>17</x:v>
      </x:c>
      <x:c r="H624" s="47" t="n">
        <x:v>7</x:v>
      </x:c>
      <x:c r="I624" s="45" t="n">
        <x:v>-30791</x:v>
      </x:c>
      <x:c r="J624" s="47" t="n">
        <x:v>71</x:v>
      </x:c>
      <x:c r="K624" s="45" t="n">
        <x:v>-70670</x:v>
      </x:c>
      <x:c r="L624" s="45" t="n">
        <x:v>43787.142857142855</x:v>
      </x:c>
      <x:c r="M624" s="46" t="n">
        <x:v>205.46319444444444</x:v>
      </x:c>
      <x:c r="N624" s="46" t="n">
        <x:v>131.20277777777778</x:v>
      </x:c>
      <x:c r="O624" s="47" t="n">
        <x:v>5</x:v>
      </x:c>
      <x:c r="P624" s="1" t="str">
        <x:v>再進行確認と利益保護後の追撃</x:v>
      </x:c>
      <x:c r="Q624" s="47" t="n">
        <x:v>0</x:v>
      </x:c>
      <x:c r="R624" s="1" t="str">
        <x:v>上昇</x:v>
      </x:c>
      <x:c r="S624" s="47" t="n">
        <x:v>24</x:v>
      </x:c>
    </x:row>
    <x:row r="625" ht="22" customHeight="1">
      <x:c r="A625" s="1" t="str">
        <x:v>TOPIXmini</x:v>
      </x:c>
      <x:c r="B625" s="1" t="str">
        <x:v>G09</x:v>
      </x:c>
      <x:c r="C625" s="1" t="str">
        <x:v>全50場</x:v>
      </x:c>
      <x:c r="D625" s="45" t="n">
        <x:v>1348319</x:v>
      </x:c>
      <x:c r="E625" s="45" t="n">
        <x:v>826519</x:v>
      </x:c>
      <x:c r="F625" s="45" t="n">
        <x:f>D625-E625</x:f>
        <x:v>521800</x:v>
      </x:c>
      <x:c r="G625" s="47" t="n">
        <x:v>20</x:v>
      </x:c>
      <x:c r="H625" s="47" t="n">
        <x:v>6</x:v>
      </x:c>
      <x:c r="I625" s="45" t="n">
        <x:v>170722</x:v>
      </x:c>
      <x:c r="J625" s="47" t="n">
        <x:v>96</x:v>
      </x:c>
      <x:c r="K625" s="45" t="n">
        <x:v>-81996</x:v>
      </x:c>
      <x:c r="L625" s="45" t="n">
        <x:v>32916.333333333336</x:v>
      </x:c>
      <x:c r="M625" s="46" t="n">
        <x:v>194.20576923076922</x:v>
      </x:c>
      <x:c r="N625" s="46" t="n">
        <x:v>140.22051282051282</x:v>
      </x:c>
      <x:c r="O625" s="47" t="n">
        <x:v>5</x:v>
      </x:c>
      <x:c r="P625" s="1" t="str">
        <x:v>再進行確認と利益保護後の追撃</x:v>
      </x:c>
      <x:c r="Q625" s="47" t="n">
        <x:v>0</x:v>
      </x:c>
      <x:c r="R625" s="1" t="str">
        <x:v>下落</x:v>
      </x:c>
      <x:c r="S625" s="47" t="n">
        <x:v>26</x:v>
      </x:c>
    </x:row>
    <x:row r="626" ht="22" customHeight="1">
      <x:c r="A626" s="1" t="str">
        <x:v>TOPIXmini</x:v>
      </x:c>
      <x:c r="B626" s="1" t="str">
        <x:v>G09</x:v>
      </x:c>
      <x:c r="C626" s="1" t="str">
        <x:v>対照47場</x:v>
      </x:c>
      <x:c r="D626" s="45" t="n">
        <x:v>2185642</x:v>
      </x:c>
      <x:c r="E626" s="45" t="n">
        <x:v>1434467</x:v>
      </x:c>
      <x:c r="F626" s="45" t="n">
        <x:f>D626-E626</x:f>
        <x:v>751175</x:v>
      </x:c>
      <x:c r="G626" s="47" t="n">
        <x:v>35</x:v>
      </x:c>
      <x:c r="H626" s="47" t="n">
        <x:v>12</x:v>
      </x:c>
      <x:c r="I626" s="45" t="n">
        <x:v>400097</x:v>
      </x:c>
      <x:c r="J626" s="47" t="n">
        <x:v>147</x:v>
      </x:c>
      <x:c r="K626" s="45" t="n">
        <x:v>-70670</x:v>
      </x:c>
      <x:c r="L626" s="45" t="n">
        <x:v>35167.666666666664</x:v>
      </x:c>
      <x:c r="M626" s="46" t="n">
        <x:v>207.2173758865248</x:v>
      </x:c>
      <x:c r="N626" s="46" t="n">
        <x:v>137.34539007092198</x:v>
      </x:c>
      <x:c r="O626" s="47" t="n">
        <x:v>5</x:v>
      </x:c>
      <x:c r="P626" s="1" t="str">
        <x:v>再進行確認と利益保護後の追撃</x:v>
      </x:c>
      <x:c r="Q626" s="47" t="n">
        <x:v>0</x:v>
      </x:c>
      <x:c r="R626" s="1" t="str">
        <x:v>全場</x:v>
      </x:c>
      <x:c r="S626" s="47" t="n">
        <x:v>47</x:v>
      </x:c>
    </x:row>
    <x:row r="627" ht="22" customHeight="1">
      <x:c r="A627" s="1" t="str">
        <x:v>TOPIXmini</x:v>
      </x:c>
      <x:c r="B627" s="1" t="str">
        <x:v>G09</x:v>
      </x:c>
      <x:c r="C627" s="1" t="str">
        <x:v>対照47場</x:v>
      </x:c>
      <x:c r="D627" s="45" t="n">
        <x:v>1272758</x:v>
      </x:c>
      <x:c r="E627" s="45" t="n">
        <x:v>840185</x:v>
      </x:c>
      <x:c r="F627" s="45" t="n">
        <x:f>D627-E627</x:f>
        <x:v>432573</x:v>
      </x:c>
      <x:c r="G627" s="47" t="n">
        <x:v>15</x:v>
      </x:c>
      <x:c r="H627" s="47" t="n">
        <x:v>9</x:v>
      </x:c>
      <x:c r="I627" s="45" t="n">
        <x:v>113991</x:v>
      </x:c>
      <x:c r="J627" s="47" t="n">
        <x:v>76</x:v>
      </x:c>
      <x:c r="K627" s="45" t="n">
        <x:v>-70670</x:v>
      </x:c>
      <x:c r="L627" s="45" t="n">
        <x:v>34037.333333333336</x:v>
      </x:c>
      <x:c r="M627" s="46" t="n">
        <x:v>89.64722222222223</x:v>
      </x:c>
      <x:c r="N627" s="46" t="n">
        <x:v>202.7326388888889</x:v>
      </x:c>
      <x:c r="O627" s="47" t="n">
        <x:v>5</x:v>
      </x:c>
      <x:c r="P627" s="1" t="str">
        <x:v>再進行確認と利益保護後の追撃</x:v>
      </x:c>
      <x:c r="Q627" s="47" t="n">
        <x:v>0</x:v>
      </x:c>
      <x:c r="R627" s="1" t="str">
        <x:v>デイ</x:v>
      </x:c>
      <x:c r="S627" s="47" t="n">
        <x:v>24</x:v>
      </x:c>
    </x:row>
    <x:row r="628" ht="22" customHeight="1">
      <x:c r="A628" s="1" t="str">
        <x:v>TOPIXmini</x:v>
      </x:c>
      <x:c r="B628" s="1" t="str">
        <x:v>G09</x:v>
      </x:c>
      <x:c r="C628" s="1" t="str">
        <x:v>対照47場</x:v>
      </x:c>
      <x:c r="D628" s="45" t="n">
        <x:v>912884</x:v>
      </x:c>
      <x:c r="E628" s="45" t="n">
        <x:v>594282</x:v>
      </x:c>
      <x:c r="F628" s="45" t="n">
        <x:f>D628-E628</x:f>
        <x:v>318602</x:v>
      </x:c>
      <x:c r="G628" s="47" t="n">
        <x:v>20</x:v>
      </x:c>
      <x:c r="H628" s="47" t="n">
        <x:v>3</x:v>
      </x:c>
      <x:c r="I628" s="45" t="n">
        <x:v>112198</x:v>
      </x:c>
      <x:c r="J628" s="47" t="n">
        <x:v>71</x:v>
      </x:c>
      <x:c r="K628" s="45" t="n">
        <x:v>-40836</x:v>
      </x:c>
      <x:c r="L628" s="45" t="n">
        <x:v>38558.666666666664</x:v>
      </x:c>
      <x:c r="M628" s="46" t="n">
        <x:v>329.8992753623188</x:v>
      </x:c>
      <x:c r="N628" s="46" t="n">
        <x:v>69.11521739130434</x:v>
      </x:c>
      <x:c r="O628" s="47" t="n">
        <x:v>5</x:v>
      </x:c>
      <x:c r="P628" s="1" t="str">
        <x:v>再進行確認と利益保護後の追撃</x:v>
      </x:c>
      <x:c r="Q628" s="47" t="n">
        <x:v>0</x:v>
      </x:c>
      <x:c r="R628" s="1" t="str">
        <x:v>ナイト</x:v>
      </x:c>
      <x:c r="S628" s="47" t="n">
        <x:v>23</x:v>
      </x:c>
    </x:row>
    <x:row r="629" ht="22" customHeight="1">
      <x:c r="A629" s="1" t="str">
        <x:v>TOPIXmini</x:v>
      </x:c>
      <x:c r="B629" s="1" t="str">
        <x:v>G09</x:v>
      </x:c>
      <x:c r="C629" s="1" t="str">
        <x:v>対照47場</x:v>
      </x:c>
      <x:c r="D629" s="45" t="n">
        <x:v>966905</x:v>
      </x:c>
      <x:c r="E629" s="45" t="n">
        <x:v>782614</x:v>
      </x:c>
      <x:c r="F629" s="45" t="n">
        <x:f>D629-E629</x:f>
        <x:v>184291</x:v>
      </x:c>
      <x:c r="G629" s="47" t="n">
        <x:v>16</x:v>
      </x:c>
      <x:c r="H629" s="47" t="n">
        <x:v>7</x:v>
      </x:c>
      <x:c r="I629" s="45" t="n">
        <x:v>-52375</x:v>
      </x:c>
      <x:c r="J629" s="47" t="n">
        <x:v>67</x:v>
      </x:c>
      <x:c r="K629" s="45" t="n">
        <x:v>-70670</x:v>
      </x:c>
      <x:c r="L629" s="45" t="n">
        <x:v>43787.142857142855</x:v>
      </x:c>
      <x:c r="M629" s="46" t="n">
        <x:v>208.91956521739132</x:v>
      </x:c>
      <x:c r="N629" s="46" t="n">
        <x:v>133.6521739130435</x:v>
      </x:c>
      <x:c r="O629" s="47" t="n">
        <x:v>5</x:v>
      </x:c>
      <x:c r="P629" s="1" t="str">
        <x:v>再進行確認と利益保護後の追撃</x:v>
      </x:c>
      <x:c r="Q629" s="47" t="n">
        <x:v>0</x:v>
      </x:c>
      <x:c r="R629" s="1" t="str">
        <x:v>上昇</x:v>
      </x:c>
      <x:c r="S629" s="47" t="n">
        <x:v>23</x:v>
      </x:c>
    </x:row>
    <x:row r="630" ht="22" customHeight="1">
      <x:c r="A630" s="1" t="str">
        <x:v>TOPIXmini</x:v>
      </x:c>
      <x:c r="B630" s="1" t="str">
        <x:v>G09</x:v>
      </x:c>
      <x:c r="C630" s="1" t="str">
        <x:v>対照47場</x:v>
      </x:c>
      <x:c r="D630" s="45" t="n">
        <x:v>1218737</x:v>
      </x:c>
      <x:c r="E630" s="45" t="n">
        <x:v>651853</x:v>
      </x:c>
      <x:c r="F630" s="45" t="n">
        <x:f>D630-E630</x:f>
        <x:v>566884</x:v>
      </x:c>
      <x:c r="G630" s="47" t="n">
        <x:v>19</x:v>
      </x:c>
      <x:c r="H630" s="47" t="n">
        <x:v>5</x:v>
      </x:c>
      <x:c r="I630" s="45" t="n">
        <x:v>215806</x:v>
      </x:c>
      <x:c r="J630" s="47" t="n">
        <x:v>80</x:v>
      </x:c>
      <x:c r="K630" s="45" t="n">
        <x:v>-40836</x:v>
      </x:c>
      <x:c r="L630" s="45" t="n">
        <x:v>23100.4</x:v>
      </x:c>
      <x:c r="M630" s="46" t="n">
        <x:v>205.5861111111111</x:v>
      </x:c>
      <x:c r="N630" s="46" t="n">
        <x:v>140.88472222222222</x:v>
      </x:c>
      <x:c r="O630" s="47" t="n">
        <x:v>5</x:v>
      </x:c>
      <x:c r="P630" s="1" t="str">
        <x:v>再進行確認と利益保護後の追撃</x:v>
      </x:c>
      <x:c r="Q630" s="47" t="n">
        <x:v>0</x:v>
      </x:c>
      <x:c r="R630" s="1" t="str">
        <x:v>下落</x:v>
      </x:c>
      <x:c r="S630" s="47" t="n">
        <x:v>24</x:v>
      </x:c>
    </x:row>
    <x:row r="631" ht="22" customHeight="1">
      <x:c r="A631" s="1" t="str">
        <x:v>TOPIXmini</x:v>
      </x:c>
      <x:c r="B631" s="1" t="str">
        <x:v>G09</x:v>
      </x:c>
      <x:c r="C631" s="1" t="str">
        <x:v>診断3場</x:v>
      </x:c>
      <x:c r="D631" s="45" t="n">
        <x:v>169332</x:v>
      </x:c>
      <x:c r="E631" s="45" t="n">
        <x:v>192832</x:v>
      </x:c>
      <x:c r="F631" s="45" t="n">
        <x:f>D631-E631</x:f>
        <x:v>-23500</x:v>
      </x:c>
      <x:c r="G631" s="47" t="n">
        <x:v>2</x:v>
      </x:c>
      <x:c r="H631" s="47" t="n">
        <x:v>1</x:v>
      </x:c>
      <x:c r="I631" s="45" t="n">
        <x:v>-81996</x:v>
      </x:c>
      <x:c r="J631" s="47" t="n">
        <x:v>20</x:v>
      </x:c>
      <x:c r="K631" s="45" t="n">
        <x:v>-81996</x:v>
      </x:c>
      <x:c r="L631" s="45" t="n">
        <x:v>81996</x:v>
      </x:c>
      <x:c r="M631" s="46" t="n">
        <x:v>80.41666666666667</x:v>
      </x:c>
      <x:c r="N631" s="46" t="n">
        <x:v>113.12222222222222</x:v>
      </x:c>
      <x:c r="O631" s="47" t="n">
        <x:v>5</x:v>
      </x:c>
      <x:c r="P631" s="1" t="str">
        <x:v>再進行確認と利益保護後の追撃</x:v>
      </x:c>
      <x:c r="Q631" s="47" t="n">
        <x:v>0</x:v>
      </x:c>
      <x:c r="R631" s="1" t="str">
        <x:v>全場</x:v>
      </x:c>
      <x:c r="S631" s="47" t="n">
        <x:v>3</x:v>
      </x:c>
    </x:row>
    <x:row r="632" ht="22" customHeight="1">
      <x:c r="A632" s="1" t="str">
        <x:v>TOPIXmini</x:v>
      </x:c>
      <x:c r="B632" s="1" t="str">
        <x:v>G09</x:v>
      </x:c>
      <x:c r="C632" s="1" t="str">
        <x:v>診断3場</x:v>
      </x:c>
      <x:c r="D632" s="45" t="n">
        <x:v>46668</x:v>
      </x:c>
      <x:c r="E632" s="45" t="n">
        <x:v>128664</x:v>
      </x:c>
      <x:c r="F632" s="45" t="n">
        <x:f>D632-E632</x:f>
        <x:v>-81996</x:v>
      </x:c>
      <x:c r="G632" s="47" t="n">
        <x:v>0</x:v>
      </x:c>
      <x:c r="H632" s="47" t="n">
        <x:v>1</x:v>
      </x:c>
      <x:c r="I632" s="45" t="n">
        <x:v>-81996</x:v>
      </x:c>
      <x:c r="J632" s="47" t="n">
        <x:v>8</x:v>
      </x:c>
      <x:c r="K632" s="45" t="n">
        <x:v>-81996</x:v>
      </x:c>
      <x:c r="L632" s="45" t="n">
        <x:v>81996</x:v>
      </x:c>
      <x:c r="M632" s="46" t="n">
        <x:v>43.95</x:v>
      </x:c>
      <x:c r="N632" s="46" t="n">
        <x:v>181.01666666666668</x:v>
      </x:c>
      <x:c r="O632" s="47" t="n">
        <x:v>5</x:v>
      </x:c>
      <x:c r="P632" s="1" t="str">
        <x:v>再進行確認と利益保護後の追撃</x:v>
      </x:c>
      <x:c r="Q632" s="47" t="n">
        <x:v>0</x:v>
      </x:c>
      <x:c r="R632" s="1" t="str">
        <x:v>デイ</x:v>
      </x:c>
      <x:c r="S632" s="47" t="n">
        <x:v>1</x:v>
      </x:c>
    </x:row>
    <x:row r="633" ht="22" customHeight="1">
      <x:c r="A633" s="1" t="str">
        <x:v>TOPIXmini</x:v>
      </x:c>
      <x:c r="B633" s="1" t="str">
        <x:v>G09</x:v>
      </x:c>
      <x:c r="C633" s="1" t="str">
        <x:v>診断3場</x:v>
      </x:c>
      <x:c r="D633" s="45" t="n">
        <x:v>122664</x:v>
      </x:c>
      <x:c r="E633" s="45" t="n">
        <x:v>64168</x:v>
      </x:c>
      <x:c r="F633" s="45" t="n">
        <x:f>D633-E633</x:f>
        <x:v>58496</x:v>
      </x:c>
      <x:c r="G633" s="47" t="n">
        <x:v>2</x:v>
      </x:c>
      <x:c r="H633" s="47" t="n">
        <x:v>0</x:v>
      </x:c>
      <x:c r="I633" s="45" t="n">
        <x:v>0</x:v>
      </x:c>
      <x:c r="J633" s="47" t="n">
        <x:v>12</x:v>
      </x:c>
      <x:c r="K633" s="45" t="n">
        <x:v>21584</x:v>
      </x:c>
      <x:c r="L633" s="45" t="n">
        <x:v>0</x:v>
      </x:c>
      <x:c r="M633" s="46" t="n">
        <x:v>98.65</x:v>
      </x:c>
      <x:c r="N633" s="46" t="n">
        <x:v>79.175</x:v>
      </x:c>
      <x:c r="O633" s="47" t="n">
        <x:v>5</x:v>
      </x:c>
      <x:c r="P633" s="1" t="str">
        <x:v>再進行確認と利益保護後の追撃</x:v>
      </x:c>
      <x:c r="Q633" s="47" t="n">
        <x:v>0</x:v>
      </x:c>
      <x:c r="R633" s="1" t="str">
        <x:v>ナイト</x:v>
      </x:c>
      <x:c r="S633" s="47" t="n">
        <x:v>2</x:v>
      </x:c>
    </x:row>
    <x:row r="634" ht="22" customHeight="1">
      <x:c r="A634" s="1" t="str">
        <x:v>TOPIXmini</x:v>
      </x:c>
      <x:c r="B634" s="1" t="str">
        <x:v>G09</x:v>
      </x:c>
      <x:c r="C634" s="1" t="str">
        <x:v>診断3場</x:v>
      </x:c>
      <x:c r="D634" s="45" t="n">
        <x:v>39750</x:v>
      </x:c>
      <x:c r="E634" s="45" t="n">
        <x:v>18166</x:v>
      </x:c>
      <x:c r="F634" s="45" t="n">
        <x:f>D634-E634</x:f>
        <x:v>21584</x:v>
      </x:c>
      <x:c r="G634" s="47" t="n">
        <x:v>1</x:v>
      </x:c>
      <x:c r="H634" s="47" t="n">
        <x:v>0</x:v>
      </x:c>
      <x:c r="I634" s="45" t="n">
        <x:v>0</x:v>
      </x:c>
      <x:c r="J634" s="47" t="n">
        <x:v>4</x:v>
      </x:c>
      <x:c r="K634" s="45" t="n">
        <x:v>21584</x:v>
      </x:c>
      <x:c r="L634" s="45" t="n">
        <x:v>0</x:v>
      </x:c>
      <x:c r="M634" s="46" t="n">
        <x:v>125.96666666666667</x:v>
      </x:c>
      <x:c r="N634" s="46" t="n">
        <x:v>74.86666666666666</x:v>
      </x:c>
      <x:c r="O634" s="47" t="n">
        <x:v>5</x:v>
      </x:c>
      <x:c r="P634" s="1" t="str">
        <x:v>再進行確認と利益保護後の追撃</x:v>
      </x:c>
      <x:c r="Q634" s="47" t="n">
        <x:v>0</x:v>
      </x:c>
      <x:c r="R634" s="1" t="str">
        <x:v>上昇</x:v>
      </x:c>
      <x:c r="S634" s="47" t="n">
        <x:v>1</x:v>
      </x:c>
    </x:row>
    <x:row r="635" ht="22" customHeight="1">
      <x:c r="A635" s="1" t="str">
        <x:v>TOPIXmini</x:v>
      </x:c>
      <x:c r="B635" s="1" t="str">
        <x:v>G09</x:v>
      </x:c>
      <x:c r="C635" s="1" t="str">
        <x:v>診断3場</x:v>
      </x:c>
      <x:c r="D635" s="45" t="n">
        <x:v>129582</x:v>
      </x:c>
      <x:c r="E635" s="45" t="n">
        <x:v>174666</x:v>
      </x:c>
      <x:c r="F635" s="45" t="n">
        <x:f>D635-E635</x:f>
        <x:v>-45084</x:v>
      </x:c>
      <x:c r="G635" s="47" t="n">
        <x:v>1</x:v>
      </x:c>
      <x:c r="H635" s="47" t="n">
        <x:v>1</x:v>
      </x:c>
      <x:c r="I635" s="45" t="n">
        <x:v>-81996</x:v>
      </x:c>
      <x:c r="J635" s="47" t="n">
        <x:v>16</x:v>
      </x:c>
      <x:c r="K635" s="45" t="n">
        <x:v>-81996</x:v>
      </x:c>
      <x:c r="L635" s="45" t="n">
        <x:v>81996</x:v>
      </x:c>
      <x:c r="M635" s="46" t="n">
        <x:v>57.641666666666666</x:v>
      </x:c>
      <x:c r="N635" s="46" t="n">
        <x:v>132.25</x:v>
      </x:c>
      <x:c r="O635" s="47" t="n">
        <x:v>5</x:v>
      </x:c>
      <x:c r="P635" s="1" t="str">
        <x:v>再進行確認と利益保護後の追撃</x:v>
      </x:c>
      <x:c r="Q635" s="47" t="n">
        <x:v>0</x:v>
      </x:c>
      <x:c r="R635" s="1" t="str">
        <x:v>下落</x:v>
      </x:c>
      <x:c r="S635" s="47" t="n">
        <x:v>2</x:v>
      </x:c>
    </x:row>
    <x:row r="636" ht="22" customHeight="1">
      <x:c r="A636" s="1" t="str">
        <x:v>TOPIXmini</x:v>
      </x:c>
      <x:c r="B636" s="1" t="str">
        <x:v>G10</x:v>
      </x:c>
      <x:c r="C636" s="1" t="str">
        <x:v>全50場</x:v>
      </x:c>
      <x:c r="D636" s="45" t="n">
        <x:v>2419388</x:v>
      </x:c>
      <x:c r="E636" s="45" t="n">
        <x:v>1621465</x:v>
      </x:c>
      <x:c r="F636" s="45" t="n">
        <x:f>D636-E636</x:f>
        <x:v>797923</x:v>
      </x:c>
      <x:c r="G636" s="47" t="n">
        <x:v>37</x:v>
      </x:c>
      <x:c r="H636" s="47" t="n">
        <x:v>13</x:v>
      </x:c>
      <x:c r="I636" s="45" t="n">
        <x:v>447840</x:v>
      </x:c>
      <x:c r="J636" s="47" t="n">
        <x:v>184</x:v>
      </x:c>
      <x:c r="K636" s="45" t="n">
        <x:v>-91670</x:v>
      </x:c>
      <x:c r="L636" s="45" t="n">
        <x:v>41321.61538461538</x:v>
      </x:c>
      <x:c r="M636" s="46" t="n">
        <x:v>199.60933333333335</x:v>
      </x:c>
      <x:c r="N636" s="46" t="n">
        <x:v>125.97800000000002</x:v>
      </x:c>
      <x:c r="O636" s="47" t="n">
        <x:v>5</x:v>
      </x:c>
      <x:c r="P636" s="1" t="str">
        <x:v>再進行・追撃保護・二市場退出</x:v>
      </x:c>
      <x:c r="Q636" s="47" t="n">
        <x:v>0</x:v>
      </x:c>
      <x:c r="R636" s="1" t="str">
        <x:v>全場</x:v>
      </x:c>
      <x:c r="S636" s="47" t="n">
        <x:v>50</x:v>
      </x:c>
    </x:row>
    <x:row r="637" ht="22" customHeight="1">
      <x:c r="A637" s="1" t="str">
        <x:v>TOPIXmini</x:v>
      </x:c>
      <x:c r="B637" s="1" t="str">
        <x:v>G10</x:v>
      </x:c>
      <x:c r="C637" s="1" t="str">
        <x:v>全50場</x:v>
      </x:c>
      <x:c r="D637" s="45" t="n">
        <x:v>1396674</x:v>
      </x:c>
      <x:c r="E637" s="45" t="n">
        <x:v>985517</x:v>
      </x:c>
      <x:c r="F637" s="45" t="n">
        <x:f>D637-E637</x:f>
        <x:v>411157</x:v>
      </x:c>
      <x:c r="G637" s="47" t="n">
        <x:v>16</x:v>
      </x:c>
      <x:c r="H637" s="47" t="n">
        <x:v>9</x:v>
      </x:c>
      <x:c r="I637" s="45" t="n">
        <x:v>86575</x:v>
      </x:c>
      <x:c r="J637" s="47" t="n">
        <x:v>99</x:v>
      </x:c>
      <x:c r="K637" s="45" t="n">
        <x:v>-91670</x:v>
      </x:c>
      <x:c r="L637" s="45" t="n">
        <x:v>46611.22222222222</x:v>
      </x:c>
      <x:c r="M637" s="46" t="n">
        <x:v>87.81933333333332</x:v>
      </x:c>
      <x:c r="N637" s="46" t="n">
        <x:v>184.56466666666668</x:v>
      </x:c>
      <x:c r="O637" s="47" t="n">
        <x:v>5</x:v>
      </x:c>
      <x:c r="P637" s="1" t="str">
        <x:v>再進行・追撃保護・二市場退出</x:v>
      </x:c>
      <x:c r="Q637" s="47" t="n">
        <x:v>0</x:v>
      </x:c>
      <x:c r="R637" s="1" t="str">
        <x:v>デイ</x:v>
      </x:c>
      <x:c r="S637" s="47" t="n">
        <x:v>25</x:v>
      </x:c>
    </x:row>
    <x:row r="638" ht="22" customHeight="1">
      <x:c r="A638" s="1" t="str">
        <x:v>TOPIXmini</x:v>
      </x:c>
      <x:c r="B638" s="1" t="str">
        <x:v>G10</x:v>
      </x:c>
      <x:c r="C638" s="1" t="str">
        <x:v>全50場</x:v>
      </x:c>
      <x:c r="D638" s="45" t="n">
        <x:v>1022714</x:v>
      </x:c>
      <x:c r="E638" s="45" t="n">
        <x:v>635948</x:v>
      </x:c>
      <x:c r="F638" s="45" t="n">
        <x:f>D638-E638</x:f>
        <x:v>386766</x:v>
      </x:c>
      <x:c r="G638" s="47" t="n">
        <x:v>21</x:v>
      </x:c>
      <x:c r="H638" s="47" t="n">
        <x:v>4</x:v>
      </x:c>
      <x:c r="I638" s="45" t="n">
        <x:v>184528</x:v>
      </x:c>
      <x:c r="J638" s="47" t="n">
        <x:v>85</x:v>
      </x:c>
      <x:c r="K638" s="45" t="n">
        <x:v>-40836</x:v>
      </x:c>
      <x:c r="L638" s="45" t="n">
        <x:v>29420</x:v>
      </x:c>
      <x:c r="M638" s="46" t="n">
        <x:v>311.3993333333333</x:v>
      </x:c>
      <x:c r="N638" s="46" t="n">
        <x:v>67.39133333333334</x:v>
      </x:c>
      <x:c r="O638" s="47" t="n">
        <x:v>5</x:v>
      </x:c>
      <x:c r="P638" s="1" t="str">
        <x:v>再進行・追撃保護・二市場退出</x:v>
      </x:c>
      <x:c r="Q638" s="47" t="n">
        <x:v>0</x:v>
      </x:c>
      <x:c r="R638" s="1" t="str">
        <x:v>ナイト</x:v>
      </x:c>
      <x:c r="S638" s="47" t="n">
        <x:v>25</x:v>
      </x:c>
    </x:row>
    <x:row r="639" ht="22" customHeight="1">
      <x:c r="A639" s="1" t="str">
        <x:v>TOPIXmini</x:v>
      </x:c>
      <x:c r="B639" s="1" t="str">
        <x:v>G10</x:v>
      </x:c>
      <x:c r="C639" s="1" t="str">
        <x:v>全50場</x:v>
      </x:c>
      <x:c r="D639" s="45" t="n">
        <x:v>1016404</x:v>
      </x:c>
      <x:c r="E639" s="45" t="n">
        <x:v>815116</x:v>
      </x:c>
      <x:c r="F639" s="45" t="n">
        <x:f>D639-E639</x:f>
        <x:v>201288</x:v>
      </x:c>
      <x:c r="G639" s="47" t="n">
        <x:v>17</x:v>
      </x:c>
      <x:c r="H639" s="47" t="n">
        <x:v>7</x:v>
      </x:c>
      <x:c r="I639" s="45" t="n">
        <x:v>-41378</x:v>
      </x:c>
      <x:c r="J639" s="47" t="n">
        <x:v>79</x:v>
      </x:c>
      <x:c r="K639" s="45" t="n">
        <x:v>-91670</x:v>
      </x:c>
      <x:c r="L639" s="45" t="n">
        <x:v>49442.42857142857</x:v>
      </x:c>
      <x:c r="M639" s="46" t="n">
        <x:v>205.46319444444444</x:v>
      </x:c>
      <x:c r="N639" s="46" t="n">
        <x:v>118.78958333333333</x:v>
      </x:c>
      <x:c r="O639" s="47" t="n">
        <x:v>5</x:v>
      </x:c>
      <x:c r="P639" s="1" t="str">
        <x:v>再進行・追撃保護・二市場退出</x:v>
      </x:c>
      <x:c r="Q639" s="47" t="n">
        <x:v>0</x:v>
      </x:c>
      <x:c r="R639" s="1" t="str">
        <x:v>上昇</x:v>
      </x:c>
      <x:c r="S639" s="47" t="n">
        <x:v>24</x:v>
      </x:c>
    </x:row>
    <x:row r="640" ht="22" customHeight="1">
      <x:c r="A640" s="1" t="str">
        <x:v>TOPIXmini</x:v>
      </x:c>
      <x:c r="B640" s="1" t="str">
        <x:v>G10</x:v>
      </x:c>
      <x:c r="C640" s="1" t="str">
        <x:v>全50場</x:v>
      </x:c>
      <x:c r="D640" s="45" t="n">
        <x:v>1402984</x:v>
      </x:c>
      <x:c r="E640" s="45" t="n">
        <x:v>806349</x:v>
      </x:c>
      <x:c r="F640" s="45" t="n">
        <x:f>D640-E640</x:f>
        <x:v>596635</x:v>
      </x:c>
      <x:c r="G640" s="47" t="n">
        <x:v>20</x:v>
      </x:c>
      <x:c r="H640" s="47" t="n">
        <x:v>6</x:v>
      </x:c>
      <x:c r="I640" s="45" t="n">
        <x:v>249723</x:v>
      </x:c>
      <x:c r="J640" s="47" t="n">
        <x:v>105</x:v>
      </x:c>
      <x:c r="K640" s="45" t="n">
        <x:v>-56167</x:v>
      </x:c>
      <x:c r="L640" s="45" t="n">
        <x:v>31847.333333333332</x:v>
      </x:c>
      <x:c r="M640" s="46" t="n">
        <x:v>194.20576923076922</x:v>
      </x:c>
      <x:c r="N640" s="46" t="n">
        <x:v>132.61346153846154</x:v>
      </x:c>
      <x:c r="O640" s="47" t="n">
        <x:v>5</x:v>
      </x:c>
      <x:c r="P640" s="1" t="str">
        <x:v>再進行・追撃保護・二市場退出</x:v>
      </x:c>
      <x:c r="Q640" s="47" t="n">
        <x:v>0</x:v>
      </x:c>
      <x:c r="R640" s="1" t="str">
        <x:v>下落</x:v>
      </x:c>
      <x:c r="S640" s="47" t="n">
        <x:v>26</x:v>
      </x:c>
    </x:row>
    <x:row r="641" ht="22" customHeight="1">
      <x:c r="A641" s="1" t="str">
        <x:v>TOPIXmini</x:v>
      </x:c>
      <x:c r="B641" s="1" t="str">
        <x:v>G10</x:v>
      </x:c>
      <x:c r="C641" s="1" t="str">
        <x:v>対照47場</x:v>
      </x:c>
      <x:c r="D641" s="45" t="n">
        <x:v>2244804</x:v>
      </x:c>
      <x:c r="E641" s="45" t="n">
        <x:v>1470301</x:v>
      </x:c>
      <x:c r="F641" s="45" t="n">
        <x:f>D641-E641</x:f>
        <x:v>774503</x:v>
      </x:c>
      <x:c r="G641" s="47" t="n">
        <x:v>35</x:v>
      </x:c>
      <x:c r="H641" s="47" t="n">
        <x:v>12</x:v>
      </x:c>
      <x:c r="I641" s="45" t="n">
        <x:v>424420</x:v>
      </x:c>
      <x:c r="J641" s="47" t="n">
        <x:v>160</x:v>
      </x:c>
      <x:c r="K641" s="45" t="n">
        <x:v>-91670</x:v>
      </x:c>
      <x:c r="L641" s="45" t="n">
        <x:v>41258.75</x:v>
      </x:c>
      <x:c r="M641" s="46" t="n">
        <x:v>207.2173758865248</x:v>
      </x:c>
      <x:c r="N641" s="46" t="n">
        <x:v>129.16985815602837</x:v>
      </x:c>
      <x:c r="O641" s="47" t="n">
        <x:v>5</x:v>
      </x:c>
      <x:c r="P641" s="1" t="str">
        <x:v>再進行・追撃保護・二市場退出</x:v>
      </x:c>
      <x:c r="Q641" s="47" t="n">
        <x:v>0</x:v>
      </x:c>
      <x:c r="R641" s="1" t="str">
        <x:v>全場</x:v>
      </x:c>
      <x:c r="S641" s="47" t="n">
        <x:v>47</x:v>
      </x:c>
    </x:row>
    <x:row r="642" ht="22" customHeight="1">
      <x:c r="A642" s="1" t="str">
        <x:v>TOPIXmini</x:v>
      </x:c>
      <x:c r="B642" s="1" t="str">
        <x:v>G10</x:v>
      </x:c>
      <x:c r="C642" s="1" t="str">
        <x:v>対照47場</x:v>
      </x:c>
      <x:c r="D642" s="45" t="n">
        <x:v>1334754</x:v>
      </x:c>
      <x:c r="E642" s="45" t="n">
        <x:v>881521</x:v>
      </x:c>
      <x:c r="F642" s="45" t="n">
        <x:f>D642-E642</x:f>
        <x:v>453233</x:v>
      </x:c>
      <x:c r="G642" s="47" t="n">
        <x:v>16</x:v>
      </x:c>
      <x:c r="H642" s="47" t="n">
        <x:v>8</x:v>
      </x:c>
      <x:c r="I642" s="45" t="n">
        <x:v>128651</x:v>
      </x:c>
      <x:c r="J642" s="47" t="n">
        <x:v>87</x:v>
      </x:c>
      <x:c r="K642" s="45" t="n">
        <x:v>-91670</x:v>
      </x:c>
      <x:c r="L642" s="45" t="n">
        <x:v>47178.125</x:v>
      </x:c>
      <x:c r="M642" s="46" t="n">
        <x:v>89.64722222222223</x:v>
      </x:c>
      <x:c r="N642" s="46" t="n">
        <x:v>188.04166666666666</x:v>
      </x:c>
      <x:c r="O642" s="47" t="n">
        <x:v>5</x:v>
      </x:c>
      <x:c r="P642" s="1" t="str">
        <x:v>再進行・追撃保護・二市場退出</x:v>
      </x:c>
      <x:c r="Q642" s="47" t="n">
        <x:v>0</x:v>
      </x:c>
      <x:c r="R642" s="1" t="str">
        <x:v>デイ</x:v>
      </x:c>
      <x:c r="S642" s="47" t="n">
        <x:v>24</x:v>
      </x:c>
    </x:row>
    <x:row r="643" ht="22" customHeight="1">
      <x:c r="A643" s="1" t="str">
        <x:v>TOPIXmini</x:v>
      </x:c>
      <x:c r="B643" s="1" t="str">
        <x:v>G10</x:v>
      </x:c>
      <x:c r="C643" s="1" t="str">
        <x:v>対照47場</x:v>
      </x:c>
      <x:c r="D643" s="45" t="n">
        <x:v>910050</x:v>
      </x:c>
      <x:c r="E643" s="45" t="n">
        <x:v>588780</x:v>
      </x:c>
      <x:c r="F643" s="45" t="n">
        <x:f>D643-E643</x:f>
        <x:v>321270</x:v>
      </x:c>
      <x:c r="G643" s="47" t="n">
        <x:v>19</x:v>
      </x:c>
      <x:c r="H643" s="47" t="n">
        <x:v>4</x:v>
      </x:c>
      <x:c r="I643" s="45" t="n">
        <x:v>119032</x:v>
      </x:c>
      <x:c r="J643" s="47" t="n">
        <x:v>73</x:v>
      </x:c>
      <x:c r="K643" s="45" t="n">
        <x:v>-40836</x:v>
      </x:c>
      <x:c r="L643" s="45" t="n">
        <x:v>29420</x:v>
      </x:c>
      <x:c r="M643" s="46" t="n">
        <x:v>329.8992753623188</x:v>
      </x:c>
      <x:c r="N643" s="46" t="n">
        <x:v>67.73840579710145</x:v>
      </x:c>
      <x:c r="O643" s="47" t="n">
        <x:v>5</x:v>
      </x:c>
      <x:c r="P643" s="1" t="str">
        <x:v>再進行・追撃保護・二市場退出</x:v>
      </x:c>
      <x:c r="Q643" s="47" t="n">
        <x:v>0</x:v>
      </x:c>
      <x:c r="R643" s="1" t="str">
        <x:v>ナイト</x:v>
      </x:c>
      <x:c r="S643" s="47" t="n">
        <x:v>23</x:v>
      </x:c>
    </x:row>
    <x:row r="644" ht="22" customHeight="1">
      <x:c r="A644" s="1" t="str">
        <x:v>TOPIXmini</x:v>
      </x:c>
      <x:c r="B644" s="1" t="str">
        <x:v>G10</x:v>
      </x:c>
      <x:c r="C644" s="1" t="str">
        <x:v>対照47場</x:v>
      </x:c>
      <x:c r="D644" s="45" t="n">
        <x:v>976654</x:v>
      </x:c>
      <x:c r="E644" s="45" t="n">
        <x:v>808950</x:v>
      </x:c>
      <x:c r="F644" s="45" t="n">
        <x:f>D644-E644</x:f>
        <x:v>167704</x:v>
      </x:c>
      <x:c r="G644" s="47" t="n">
        <x:v>16</x:v>
      </x:c>
      <x:c r="H644" s="47" t="n">
        <x:v>7</x:v>
      </x:c>
      <x:c r="I644" s="45" t="n">
        <x:v>-74962</x:v>
      </x:c>
      <x:c r="J644" s="47" t="n">
        <x:v>75</x:v>
      </x:c>
      <x:c r="K644" s="45" t="n">
        <x:v>-91670</x:v>
      </x:c>
      <x:c r="L644" s="45" t="n">
        <x:v>49442.42857142857</x:v>
      </x:c>
      <x:c r="M644" s="46" t="n">
        <x:v>208.91956521739132</x:v>
      </x:c>
      <x:c r="N644" s="46" t="n">
        <x:v>120.8572463768116</x:v>
      </x:c>
      <x:c r="O644" s="47" t="n">
        <x:v>5</x:v>
      </x:c>
      <x:c r="P644" s="1" t="str">
        <x:v>再進行・追撃保護・二市場退出</x:v>
      </x:c>
      <x:c r="Q644" s="47" t="n">
        <x:v>0</x:v>
      </x:c>
      <x:c r="R644" s="1" t="str">
        <x:v>上昇</x:v>
      </x:c>
      <x:c r="S644" s="47" t="n">
        <x:v>23</x:v>
      </x:c>
    </x:row>
    <x:row r="645" ht="22" customHeight="1">
      <x:c r="A645" s="1" t="str">
        <x:v>TOPIXmini</x:v>
      </x:c>
      <x:c r="B645" s="1" t="str">
        <x:v>G10</x:v>
      </x:c>
      <x:c r="C645" s="1" t="str">
        <x:v>対照47場</x:v>
      </x:c>
      <x:c r="D645" s="45" t="n">
        <x:v>1268150</x:v>
      </x:c>
      <x:c r="E645" s="45" t="n">
        <x:v>661351</x:v>
      </x:c>
      <x:c r="F645" s="45" t="n">
        <x:f>D645-E645</x:f>
        <x:v>606799</x:v>
      </x:c>
      <x:c r="G645" s="47" t="n">
        <x:v>19</x:v>
      </x:c>
      <x:c r="H645" s="47" t="n">
        <x:v>5</x:v>
      </x:c>
      <x:c r="I645" s="45" t="n">
        <x:v>259887</x:v>
      </x:c>
      <x:c r="J645" s="47" t="n">
        <x:v>85</x:v>
      </x:c>
      <x:c r="K645" s="45" t="n">
        <x:v>-56167</x:v>
      </x:c>
      <x:c r="L645" s="45" t="n">
        <x:v>29801.6</x:v>
      </x:c>
      <x:c r="M645" s="46" t="n">
        <x:v>205.5861111111111</x:v>
      </x:c>
      <x:c r="N645" s="46" t="n">
        <x:v>137.1361111111111</x:v>
      </x:c>
      <x:c r="O645" s="47" t="n">
        <x:v>5</x:v>
      </x:c>
      <x:c r="P645" s="1" t="str">
        <x:v>再進行・追撃保護・二市場退出</x:v>
      </x:c>
      <x:c r="Q645" s="47" t="n">
        <x:v>0</x:v>
      </x:c>
      <x:c r="R645" s="1" t="str">
        <x:v>下落</x:v>
      </x:c>
      <x:c r="S645" s="47" t="n">
        <x:v>24</x:v>
      </x:c>
    </x:row>
    <x:row r="646" ht="22" customHeight="1">
      <x:c r="A646" s="1" t="str">
        <x:v>TOPIXmini</x:v>
      </x:c>
      <x:c r="B646" s="1" t="str">
        <x:v>G10</x:v>
      </x:c>
      <x:c r="C646" s="1" t="str">
        <x:v>診断3場</x:v>
      </x:c>
      <x:c r="D646" s="45" t="n">
        <x:v>174584</x:v>
      </x:c>
      <x:c r="E646" s="45" t="n">
        <x:v>151164</x:v>
      </x:c>
      <x:c r="F646" s="45" t="n">
        <x:f>D646-E646</x:f>
        <x:v>23420</x:v>
      </x:c>
      <x:c r="G646" s="47" t="n">
        <x:v>2</x:v>
      </x:c>
      <x:c r="H646" s="47" t="n">
        <x:v>1</x:v>
      </x:c>
      <x:c r="I646" s="45" t="n">
        <x:v>-42076</x:v>
      </x:c>
      <x:c r="J646" s="47" t="n">
        <x:v>24</x:v>
      </x:c>
      <x:c r="K646" s="45" t="n">
        <x:v>-42076</x:v>
      </x:c>
      <x:c r="L646" s="45" t="n">
        <x:v>42076</x:v>
      </x:c>
      <x:c r="M646" s="46" t="n">
        <x:v>80.41666666666667</x:v>
      </x:c>
      <x:c r="N646" s="46" t="n">
        <x:v>75.97222222222223</x:v>
      </x:c>
      <x:c r="O646" s="47" t="n">
        <x:v>5</x:v>
      </x:c>
      <x:c r="P646" s="1" t="str">
        <x:v>再進行・追撃保護・二市場退出</x:v>
      </x:c>
      <x:c r="Q646" s="47" t="n">
        <x:v>0</x:v>
      </x:c>
      <x:c r="R646" s="1" t="str">
        <x:v>全場</x:v>
      </x:c>
      <x:c r="S646" s="47" t="n">
        <x:v>3</x:v>
      </x:c>
    </x:row>
    <x:row r="647" ht="22" customHeight="1">
      <x:c r="A647" s="1" t="str">
        <x:v>TOPIXmini</x:v>
      </x:c>
      <x:c r="B647" s="1" t="str">
        <x:v>G10</x:v>
      </x:c>
      <x:c r="C647" s="1" t="str">
        <x:v>診断3場</x:v>
      </x:c>
      <x:c r="D647" s="45" t="n">
        <x:v>61920</x:v>
      </x:c>
      <x:c r="E647" s="45" t="n">
        <x:v>103996</x:v>
      </x:c>
      <x:c r="F647" s="45" t="n">
        <x:f>D647-E647</x:f>
        <x:v>-42076</x:v>
      </x:c>
      <x:c r="G647" s="47" t="n">
        <x:v>0</x:v>
      </x:c>
      <x:c r="H647" s="47" t="n">
        <x:v>1</x:v>
      </x:c>
      <x:c r="I647" s="45" t="n">
        <x:v>-42076</x:v>
      </x:c>
      <x:c r="J647" s="47" t="n">
        <x:v>12</x:v>
      </x:c>
      <x:c r="K647" s="45" t="n">
        <x:v>-42076</x:v>
      </x:c>
      <x:c r="L647" s="45" t="n">
        <x:v>42076</x:v>
      </x:c>
      <x:c r="M647" s="46" t="n">
        <x:v>43.95</x:v>
      </x:c>
      <x:c r="N647" s="46" t="n">
        <x:v>101.11666666666666</x:v>
      </x:c>
      <x:c r="O647" s="47" t="n">
        <x:v>5</x:v>
      </x:c>
      <x:c r="P647" s="1" t="str">
        <x:v>再進行・追撃保護・二市場退出</x:v>
      </x:c>
      <x:c r="Q647" s="47" t="n">
        <x:v>0</x:v>
      </x:c>
      <x:c r="R647" s="1" t="str">
        <x:v>デイ</x:v>
      </x:c>
      <x:c r="S647" s="47" t="n">
        <x:v>1</x:v>
      </x:c>
    </x:row>
    <x:row r="648" ht="22" customHeight="1">
      <x:c r="A648" s="1" t="str">
        <x:v>TOPIXmini</x:v>
      </x:c>
      <x:c r="B648" s="1" t="str">
        <x:v>G10</x:v>
      </x:c>
      <x:c r="C648" s="1" t="str">
        <x:v>診断3場</x:v>
      </x:c>
      <x:c r="D648" s="45" t="n">
        <x:v>112664</x:v>
      </x:c>
      <x:c r="E648" s="45" t="n">
        <x:v>47168</x:v>
      </x:c>
      <x:c r="F648" s="45" t="n">
        <x:f>D648-E648</x:f>
        <x:v>65496</x:v>
      </x:c>
      <x:c r="G648" s="47" t="n">
        <x:v>2</x:v>
      </x:c>
      <x:c r="H648" s="47" t="n">
        <x:v>0</x:v>
      </x:c>
      <x:c r="I648" s="45" t="n">
        <x:v>0</x:v>
      </x:c>
      <x:c r="J648" s="47" t="n">
        <x:v>12</x:v>
      </x:c>
      <x:c r="K648" s="45" t="n">
        <x:v>31912</x:v>
      </x:c>
      <x:c r="L648" s="45" t="n">
        <x:v>0</x:v>
      </x:c>
      <x:c r="M648" s="46" t="n">
        <x:v>98.65</x:v>
      </x:c>
      <x:c r="N648" s="46" t="n">
        <x:v>63.400000000000006</x:v>
      </x:c>
      <x:c r="O648" s="47" t="n">
        <x:v>5</x:v>
      </x:c>
      <x:c r="P648" s="1" t="str">
        <x:v>再進行・追撃保護・二市場退出</x:v>
      </x:c>
      <x:c r="Q648" s="47" t="n">
        <x:v>0</x:v>
      </x:c>
      <x:c r="R648" s="1" t="str">
        <x:v>ナイト</x:v>
      </x:c>
      <x:c r="S648" s="47" t="n">
        <x:v>2</x:v>
      </x:c>
    </x:row>
    <x:row r="649" ht="22" customHeight="1">
      <x:c r="A649" s="1" t="str">
        <x:v>TOPIXmini</x:v>
      </x:c>
      <x:c r="B649" s="1" t="str">
        <x:v>G10</x:v>
      </x:c>
      <x:c r="C649" s="1" t="str">
        <x:v>診断3場</x:v>
      </x:c>
      <x:c r="D649" s="45" t="n">
        <x:v>39750</x:v>
      </x:c>
      <x:c r="E649" s="45" t="n">
        <x:v>6166</x:v>
      </x:c>
      <x:c r="F649" s="45" t="n">
        <x:f>D649-E649</x:f>
        <x:v>33584</x:v>
      </x:c>
      <x:c r="G649" s="47" t="n">
        <x:v>1</x:v>
      </x:c>
      <x:c r="H649" s="47" t="n">
        <x:v>0</x:v>
      </x:c>
      <x:c r="I649" s="45" t="n">
        <x:v>0</x:v>
      </x:c>
      <x:c r="J649" s="47" t="n">
        <x:v>4</x:v>
      </x:c>
      <x:c r="K649" s="45" t="n">
        <x:v>33584</x:v>
      </x:c>
      <x:c r="L649" s="45" t="n">
        <x:v>0</x:v>
      </x:c>
      <x:c r="M649" s="46" t="n">
        <x:v>125.96666666666667</x:v>
      </x:c>
      <x:c r="N649" s="46" t="n">
        <x:v>71.23333333333333</x:v>
      </x:c>
      <x:c r="O649" s="47" t="n">
        <x:v>5</x:v>
      </x:c>
      <x:c r="P649" s="1" t="str">
        <x:v>再進行・追撃保護・二市場退出</x:v>
      </x:c>
      <x:c r="Q649" s="47" t="n">
        <x:v>0</x:v>
      </x:c>
      <x:c r="R649" s="1" t="str">
        <x:v>上昇</x:v>
      </x:c>
      <x:c r="S649" s="47" t="n">
        <x:v>1</x:v>
      </x:c>
    </x:row>
    <x:row r="650" ht="22" customHeight="1">
      <x:c r="A650" s="1" t="str">
        <x:v>TOPIXmini</x:v>
      </x:c>
      <x:c r="B650" s="1" t="str">
        <x:v>G10</x:v>
      </x:c>
      <x:c r="C650" s="1" t="str">
        <x:v>診断3場</x:v>
      </x:c>
      <x:c r="D650" s="45" t="n">
        <x:v>134834</x:v>
      </x:c>
      <x:c r="E650" s="45" t="n">
        <x:v>144998</x:v>
      </x:c>
      <x:c r="F650" s="45" t="n">
        <x:f>D650-E650</x:f>
        <x:v>-10164</x:v>
      </x:c>
      <x:c r="G650" s="47" t="n">
        <x:v>1</x:v>
      </x:c>
      <x:c r="H650" s="47" t="n">
        <x:v>1</x:v>
      </x:c>
      <x:c r="I650" s="45" t="n">
        <x:v>-42076</x:v>
      </x:c>
      <x:c r="J650" s="47" t="n">
        <x:v>20</x:v>
      </x:c>
      <x:c r="K650" s="45" t="n">
        <x:v>-42076</x:v>
      </x:c>
      <x:c r="L650" s="45" t="n">
        <x:v>42076</x:v>
      </x:c>
      <x:c r="M650" s="46" t="n">
        <x:v>57.641666666666666</x:v>
      </x:c>
      <x:c r="N650" s="46" t="n">
        <x:v>78.34166666666667</x:v>
      </x:c>
      <x:c r="O650" s="47" t="n">
        <x:v>5</x:v>
      </x:c>
      <x:c r="P650" s="1" t="str">
        <x:v>再進行・追撃保護・二市場退出</x:v>
      </x:c>
      <x:c r="Q650" s="47" t="n">
        <x:v>0</x:v>
      </x:c>
      <x:c r="R650" s="1" t="str">
        <x:v>下落</x:v>
      </x:c>
      <x:c r="S650" s="47" t="n">
        <x:v>2</x:v>
      </x:c>
    </x:row>
    <x:row r="651" ht="22" customHeight="1">
      <x:c r="A651" s="1" t="str">
        <x:v>TOPIXmini</x:v>
      </x:c>
      <x:c r="B651" s="1" t="str">
        <x:v>G11</x:v>
      </x:c>
      <x:c r="C651" s="1" t="str">
        <x:v>全50場</x:v>
      </x:c>
      <x:c r="D651" s="45" t="n">
        <x:v>2419388</x:v>
      </x:c>
      <x:c r="E651" s="45" t="n">
        <x:v>1623465</x:v>
      </x:c>
      <x:c r="F651" s="45" t="n">
        <x:f>D651-E651</x:f>
        <x:v>795923</x:v>
      </x:c>
      <x:c r="G651" s="47" t="n">
        <x:v>37</x:v>
      </x:c>
      <x:c r="H651" s="47" t="n">
        <x:v>13</x:v>
      </x:c>
      <x:c r="I651" s="45" t="n">
        <x:v>445840</x:v>
      </x:c>
      <x:c r="J651" s="47" t="n">
        <x:v>184</x:v>
      </x:c>
      <x:c r="K651" s="45" t="n">
        <x:v>-91670</x:v>
      </x:c>
      <x:c r="L651" s="45" t="n">
        <x:v>41321.61538461538</x:v>
      </x:c>
      <x:c r="M651" s="46" t="n">
        <x:v>199.60933333333335</x:v>
      </x:c>
      <x:c r="N651" s="46" t="n">
        <x:v>125.98666666666668</x:v>
      </x:c>
      <x:c r="O651" s="47" t="n">
        <x:v>5</x:v>
      </x:c>
      <x:c r="P651" s="1" t="str">
        <x:v>再進行・追撃保護・板で退出</x:v>
      </x:c>
      <x:c r="Q651" s="47" t="n">
        <x:v>0</x:v>
      </x:c>
      <x:c r="R651" s="1" t="str">
        <x:v>全場</x:v>
      </x:c>
      <x:c r="S651" s="47" t="n">
        <x:v>50</x:v>
      </x:c>
    </x:row>
    <x:row r="652" ht="22" customHeight="1">
      <x:c r="A652" s="1" t="str">
        <x:v>TOPIXmini</x:v>
      </x:c>
      <x:c r="B652" s="1" t="str">
        <x:v>G11</x:v>
      </x:c>
      <x:c r="C652" s="1" t="str">
        <x:v>全50場</x:v>
      </x:c>
      <x:c r="D652" s="45" t="n">
        <x:v>1396674</x:v>
      </x:c>
      <x:c r="E652" s="45" t="n">
        <x:v>987517</x:v>
      </x:c>
      <x:c r="F652" s="45" t="n">
        <x:f>D652-E652</x:f>
        <x:v>409157</x:v>
      </x:c>
      <x:c r="G652" s="47" t="n">
        <x:v>16</x:v>
      </x:c>
      <x:c r="H652" s="47" t="n">
        <x:v>9</x:v>
      </x:c>
      <x:c r="I652" s="45" t="n">
        <x:v>84575</x:v>
      </x:c>
      <x:c r="J652" s="47" t="n">
        <x:v>99</x:v>
      </x:c>
      <x:c r="K652" s="45" t="n">
        <x:v>-91670</x:v>
      </x:c>
      <x:c r="L652" s="45" t="n">
        <x:v>46611.22222222222</x:v>
      </x:c>
      <x:c r="M652" s="46" t="n">
        <x:v>87.81933333333332</x:v>
      </x:c>
      <x:c r="N652" s="46" t="n">
        <x:v>184.582</x:v>
      </x:c>
      <x:c r="O652" s="47" t="n">
        <x:v>5</x:v>
      </x:c>
      <x:c r="P652" s="1" t="str">
        <x:v>再進行・追撃保護・板で退出</x:v>
      </x:c>
      <x:c r="Q652" s="47" t="n">
        <x:v>0</x:v>
      </x:c>
      <x:c r="R652" s="1" t="str">
        <x:v>デイ</x:v>
      </x:c>
      <x:c r="S652" s="47" t="n">
        <x:v>25</x:v>
      </x:c>
    </x:row>
    <x:row r="653" ht="22" customHeight="1">
      <x:c r="A653" s="1" t="str">
        <x:v>TOPIXmini</x:v>
      </x:c>
      <x:c r="B653" s="1" t="str">
        <x:v>G11</x:v>
      </x:c>
      <x:c r="C653" s="1" t="str">
        <x:v>全50場</x:v>
      </x:c>
      <x:c r="D653" s="45" t="n">
        <x:v>1022714</x:v>
      </x:c>
      <x:c r="E653" s="45" t="n">
        <x:v>635948</x:v>
      </x:c>
      <x:c r="F653" s="45" t="n">
        <x:f>D653-E653</x:f>
        <x:v>386766</x:v>
      </x:c>
      <x:c r="G653" s="47" t="n">
        <x:v>21</x:v>
      </x:c>
      <x:c r="H653" s="47" t="n">
        <x:v>4</x:v>
      </x:c>
      <x:c r="I653" s="45" t="n">
        <x:v>184528</x:v>
      </x:c>
      <x:c r="J653" s="47" t="n">
        <x:v>85</x:v>
      </x:c>
      <x:c r="K653" s="45" t="n">
        <x:v>-40836</x:v>
      </x:c>
      <x:c r="L653" s="45" t="n">
        <x:v>29420</x:v>
      </x:c>
      <x:c r="M653" s="46" t="n">
        <x:v>311.3993333333333</x:v>
      </x:c>
      <x:c r="N653" s="46" t="n">
        <x:v>67.39133333333334</x:v>
      </x:c>
      <x:c r="O653" s="47" t="n">
        <x:v>5</x:v>
      </x:c>
      <x:c r="P653" s="1" t="str">
        <x:v>再進行・追撃保護・板で退出</x:v>
      </x:c>
      <x:c r="Q653" s="47" t="n">
        <x:v>0</x:v>
      </x:c>
      <x:c r="R653" s="1" t="str">
        <x:v>ナイト</x:v>
      </x:c>
      <x:c r="S653" s="47" t="n">
        <x:v>25</x:v>
      </x:c>
    </x:row>
    <x:row r="654" ht="22" customHeight="1">
      <x:c r="A654" s="1" t="str">
        <x:v>TOPIXmini</x:v>
      </x:c>
      <x:c r="B654" s="1" t="str">
        <x:v>G11</x:v>
      </x:c>
      <x:c r="C654" s="1" t="str">
        <x:v>全50場</x:v>
      </x:c>
      <x:c r="D654" s="45" t="n">
        <x:v>1016404</x:v>
      </x:c>
      <x:c r="E654" s="45" t="n">
        <x:v>817116</x:v>
      </x:c>
      <x:c r="F654" s="45" t="n">
        <x:f>D654-E654</x:f>
        <x:v>199288</x:v>
      </x:c>
      <x:c r="G654" s="47" t="n">
        <x:v>17</x:v>
      </x:c>
      <x:c r="H654" s="47" t="n">
        <x:v>7</x:v>
      </x:c>
      <x:c r="I654" s="45" t="n">
        <x:v>-43378</x:v>
      </x:c>
      <x:c r="J654" s="47" t="n">
        <x:v>79</x:v>
      </x:c>
      <x:c r="K654" s="45" t="n">
        <x:v>-91670</x:v>
      </x:c>
      <x:c r="L654" s="45" t="n">
        <x:v>49442.42857142857</x:v>
      </x:c>
      <x:c r="M654" s="46" t="n">
        <x:v>205.46319444444444</x:v>
      </x:c>
      <x:c r="N654" s="46" t="n">
        <x:v>118.80763888888889</x:v>
      </x:c>
      <x:c r="O654" s="47" t="n">
        <x:v>5</x:v>
      </x:c>
      <x:c r="P654" s="1" t="str">
        <x:v>再進行・追撃保護・板で退出</x:v>
      </x:c>
      <x:c r="Q654" s="47" t="n">
        <x:v>0</x:v>
      </x:c>
      <x:c r="R654" s="1" t="str">
        <x:v>上昇</x:v>
      </x:c>
      <x:c r="S654" s="47" t="n">
        <x:v>24</x:v>
      </x:c>
    </x:row>
    <x:row r="655" ht="22" customHeight="1">
      <x:c r="A655" s="1" t="str">
        <x:v>TOPIXmini</x:v>
      </x:c>
      <x:c r="B655" s="1" t="str">
        <x:v>G11</x:v>
      </x:c>
      <x:c r="C655" s="1" t="str">
        <x:v>全50場</x:v>
      </x:c>
      <x:c r="D655" s="45" t="n">
        <x:v>1402984</x:v>
      </x:c>
      <x:c r="E655" s="45" t="n">
        <x:v>806349</x:v>
      </x:c>
      <x:c r="F655" s="45" t="n">
        <x:f>D655-E655</x:f>
        <x:v>596635</x:v>
      </x:c>
      <x:c r="G655" s="47" t="n">
        <x:v>20</x:v>
      </x:c>
      <x:c r="H655" s="47" t="n">
        <x:v>6</x:v>
      </x:c>
      <x:c r="I655" s="45" t="n">
        <x:v>249723</x:v>
      </x:c>
      <x:c r="J655" s="47" t="n">
        <x:v>105</x:v>
      </x:c>
      <x:c r="K655" s="45" t="n">
        <x:v>-56167</x:v>
      </x:c>
      <x:c r="L655" s="45" t="n">
        <x:v>31847.333333333332</x:v>
      </x:c>
      <x:c r="M655" s="46" t="n">
        <x:v>194.20576923076922</x:v>
      </x:c>
      <x:c r="N655" s="46" t="n">
        <x:v>132.61346153846154</x:v>
      </x:c>
      <x:c r="O655" s="47" t="n">
        <x:v>5</x:v>
      </x:c>
      <x:c r="P655" s="1" t="str">
        <x:v>再進行・追撃保護・板で退出</x:v>
      </x:c>
      <x:c r="Q655" s="47" t="n">
        <x:v>0</x:v>
      </x:c>
      <x:c r="R655" s="1" t="str">
        <x:v>下落</x:v>
      </x:c>
      <x:c r="S655" s="47" t="n">
        <x:v>26</x:v>
      </x:c>
    </x:row>
    <x:row r="656" ht="22" customHeight="1">
      <x:c r="A656" s="1" t="str">
        <x:v>TOPIXmini</x:v>
      </x:c>
      <x:c r="B656" s="1" t="str">
        <x:v>G11</x:v>
      </x:c>
      <x:c r="C656" s="1" t="str">
        <x:v>対照47場</x:v>
      </x:c>
      <x:c r="D656" s="45" t="n">
        <x:v>2244804</x:v>
      </x:c>
      <x:c r="E656" s="45" t="n">
        <x:v>1472301</x:v>
      </x:c>
      <x:c r="F656" s="45" t="n">
        <x:f>D656-E656</x:f>
        <x:v>772503</x:v>
      </x:c>
      <x:c r="G656" s="47" t="n">
        <x:v>35</x:v>
      </x:c>
      <x:c r="H656" s="47" t="n">
        <x:v>12</x:v>
      </x:c>
      <x:c r="I656" s="45" t="n">
        <x:v>422420</x:v>
      </x:c>
      <x:c r="J656" s="47" t="n">
        <x:v>160</x:v>
      </x:c>
      <x:c r="K656" s="45" t="n">
        <x:v>-91670</x:v>
      </x:c>
      <x:c r="L656" s="45" t="n">
        <x:v>41258.75</x:v>
      </x:c>
      <x:c r="M656" s="46" t="n">
        <x:v>207.2173758865248</x:v>
      </x:c>
      <x:c r="N656" s="46" t="n">
        <x:v>129.1790780141844</x:v>
      </x:c>
      <x:c r="O656" s="47" t="n">
        <x:v>5</x:v>
      </x:c>
      <x:c r="P656" s="1" t="str">
        <x:v>再進行・追撃保護・板で退出</x:v>
      </x:c>
      <x:c r="Q656" s="47" t="n">
        <x:v>0</x:v>
      </x:c>
      <x:c r="R656" s="1" t="str">
        <x:v>全場</x:v>
      </x:c>
      <x:c r="S656" s="47" t="n">
        <x:v>47</x:v>
      </x:c>
    </x:row>
    <x:row r="657" ht="22" customHeight="1">
      <x:c r="A657" s="1" t="str">
        <x:v>TOPIXmini</x:v>
      </x:c>
      <x:c r="B657" s="1" t="str">
        <x:v>G11</x:v>
      </x:c>
      <x:c r="C657" s="1" t="str">
        <x:v>対照47場</x:v>
      </x:c>
      <x:c r="D657" s="45" t="n">
        <x:v>1334754</x:v>
      </x:c>
      <x:c r="E657" s="45" t="n">
        <x:v>883521</x:v>
      </x:c>
      <x:c r="F657" s="45" t="n">
        <x:f>D657-E657</x:f>
        <x:v>451233</x:v>
      </x:c>
      <x:c r="G657" s="47" t="n">
        <x:v>16</x:v>
      </x:c>
      <x:c r="H657" s="47" t="n">
        <x:v>8</x:v>
      </x:c>
      <x:c r="I657" s="45" t="n">
        <x:v>126651</x:v>
      </x:c>
      <x:c r="J657" s="47" t="n">
        <x:v>87</x:v>
      </x:c>
      <x:c r="K657" s="45" t="n">
        <x:v>-91670</x:v>
      </x:c>
      <x:c r="L657" s="45" t="n">
        <x:v>47178.125</x:v>
      </x:c>
      <x:c r="M657" s="46" t="n">
        <x:v>89.64722222222223</x:v>
      </x:c>
      <x:c r="N657" s="46" t="n">
        <x:v>188.05972222222223</x:v>
      </x:c>
      <x:c r="O657" s="47" t="n">
        <x:v>5</x:v>
      </x:c>
      <x:c r="P657" s="1" t="str">
        <x:v>再進行・追撃保護・板で退出</x:v>
      </x:c>
      <x:c r="Q657" s="47" t="n">
        <x:v>0</x:v>
      </x:c>
      <x:c r="R657" s="1" t="str">
        <x:v>デイ</x:v>
      </x:c>
      <x:c r="S657" s="47" t="n">
        <x:v>24</x:v>
      </x:c>
    </x:row>
    <x:row r="658" ht="22" customHeight="1">
      <x:c r="A658" s="1" t="str">
        <x:v>TOPIXmini</x:v>
      </x:c>
      <x:c r="B658" s="1" t="str">
        <x:v>G11</x:v>
      </x:c>
      <x:c r="C658" s="1" t="str">
        <x:v>対照47場</x:v>
      </x:c>
      <x:c r="D658" s="45" t="n">
        <x:v>910050</x:v>
      </x:c>
      <x:c r="E658" s="45" t="n">
        <x:v>588780</x:v>
      </x:c>
      <x:c r="F658" s="45" t="n">
        <x:f>D658-E658</x:f>
        <x:v>321270</x:v>
      </x:c>
      <x:c r="G658" s="47" t="n">
        <x:v>19</x:v>
      </x:c>
      <x:c r="H658" s="47" t="n">
        <x:v>4</x:v>
      </x:c>
      <x:c r="I658" s="45" t="n">
        <x:v>119032</x:v>
      </x:c>
      <x:c r="J658" s="47" t="n">
        <x:v>73</x:v>
      </x:c>
      <x:c r="K658" s="45" t="n">
        <x:v>-40836</x:v>
      </x:c>
      <x:c r="L658" s="45" t="n">
        <x:v>29420</x:v>
      </x:c>
      <x:c r="M658" s="46" t="n">
        <x:v>329.8992753623188</x:v>
      </x:c>
      <x:c r="N658" s="46" t="n">
        <x:v>67.73840579710145</x:v>
      </x:c>
      <x:c r="O658" s="47" t="n">
        <x:v>5</x:v>
      </x:c>
      <x:c r="P658" s="1" t="str">
        <x:v>再進行・追撃保護・板で退出</x:v>
      </x:c>
      <x:c r="Q658" s="47" t="n">
        <x:v>0</x:v>
      </x:c>
      <x:c r="R658" s="1" t="str">
        <x:v>ナイト</x:v>
      </x:c>
      <x:c r="S658" s="47" t="n">
        <x:v>23</x:v>
      </x:c>
    </x:row>
    <x:row r="659" ht="22" customHeight="1">
      <x:c r="A659" s="1" t="str">
        <x:v>TOPIXmini</x:v>
      </x:c>
      <x:c r="B659" s="1" t="str">
        <x:v>G11</x:v>
      </x:c>
      <x:c r="C659" s="1" t="str">
        <x:v>対照47場</x:v>
      </x:c>
      <x:c r="D659" s="45" t="n">
        <x:v>976654</x:v>
      </x:c>
      <x:c r="E659" s="45" t="n">
        <x:v>810950</x:v>
      </x:c>
      <x:c r="F659" s="45" t="n">
        <x:f>D659-E659</x:f>
        <x:v>165704</x:v>
      </x:c>
      <x:c r="G659" s="47" t="n">
        <x:v>16</x:v>
      </x:c>
      <x:c r="H659" s="47" t="n">
        <x:v>7</x:v>
      </x:c>
      <x:c r="I659" s="45" t="n">
        <x:v>-76962</x:v>
      </x:c>
      <x:c r="J659" s="47" t="n">
        <x:v>75</x:v>
      </x:c>
      <x:c r="K659" s="45" t="n">
        <x:v>-91670</x:v>
      </x:c>
      <x:c r="L659" s="45" t="n">
        <x:v>49442.42857142857</x:v>
      </x:c>
      <x:c r="M659" s="46" t="n">
        <x:v>208.91956521739132</x:v>
      </x:c>
      <x:c r="N659" s="46" t="n">
        <x:v>120.87608695652175</x:v>
      </x:c>
      <x:c r="O659" s="47" t="n">
        <x:v>5</x:v>
      </x:c>
      <x:c r="P659" s="1" t="str">
        <x:v>再進行・追撃保護・板で退出</x:v>
      </x:c>
      <x:c r="Q659" s="47" t="n">
        <x:v>0</x:v>
      </x:c>
      <x:c r="R659" s="1" t="str">
        <x:v>上昇</x:v>
      </x:c>
      <x:c r="S659" s="47" t="n">
        <x:v>23</x:v>
      </x:c>
    </x:row>
    <x:row r="660" ht="22" customHeight="1">
      <x:c r="A660" s="1" t="str">
        <x:v>TOPIXmini</x:v>
      </x:c>
      <x:c r="B660" s="1" t="str">
        <x:v>G11</x:v>
      </x:c>
      <x:c r="C660" s="1" t="str">
        <x:v>対照47場</x:v>
      </x:c>
      <x:c r="D660" s="45" t="n">
        <x:v>1268150</x:v>
      </x:c>
      <x:c r="E660" s="45" t="n">
        <x:v>661351</x:v>
      </x:c>
      <x:c r="F660" s="45" t="n">
        <x:f>D660-E660</x:f>
        <x:v>606799</x:v>
      </x:c>
      <x:c r="G660" s="47" t="n">
        <x:v>19</x:v>
      </x:c>
      <x:c r="H660" s="47" t="n">
        <x:v>5</x:v>
      </x:c>
      <x:c r="I660" s="45" t="n">
        <x:v>259887</x:v>
      </x:c>
      <x:c r="J660" s="47" t="n">
        <x:v>85</x:v>
      </x:c>
      <x:c r="K660" s="45" t="n">
        <x:v>-56167</x:v>
      </x:c>
      <x:c r="L660" s="45" t="n">
        <x:v>29801.6</x:v>
      </x:c>
      <x:c r="M660" s="46" t="n">
        <x:v>205.5861111111111</x:v>
      </x:c>
      <x:c r="N660" s="46" t="n">
        <x:v>137.1361111111111</x:v>
      </x:c>
      <x:c r="O660" s="47" t="n">
        <x:v>5</x:v>
      </x:c>
      <x:c r="P660" s="1" t="str">
        <x:v>再進行・追撃保護・板で退出</x:v>
      </x:c>
      <x:c r="Q660" s="47" t="n">
        <x:v>0</x:v>
      </x:c>
      <x:c r="R660" s="1" t="str">
        <x:v>下落</x:v>
      </x:c>
      <x:c r="S660" s="47" t="n">
        <x:v>24</x:v>
      </x:c>
    </x:row>
    <x:row r="661" ht="22" customHeight="1">
      <x:c r="A661" s="1" t="str">
        <x:v>TOPIXmini</x:v>
      </x:c>
      <x:c r="B661" s="1" t="str">
        <x:v>G11</x:v>
      </x:c>
      <x:c r="C661" s="1" t="str">
        <x:v>診断3場</x:v>
      </x:c>
      <x:c r="D661" s="45" t="n">
        <x:v>174584</x:v>
      </x:c>
      <x:c r="E661" s="45" t="n">
        <x:v>151164</x:v>
      </x:c>
      <x:c r="F661" s="45" t="n">
        <x:f>D661-E661</x:f>
        <x:v>23420</x:v>
      </x:c>
      <x:c r="G661" s="47" t="n">
        <x:v>2</x:v>
      </x:c>
      <x:c r="H661" s="47" t="n">
        <x:v>1</x:v>
      </x:c>
      <x:c r="I661" s="45" t="n">
        <x:v>-42076</x:v>
      </x:c>
      <x:c r="J661" s="47" t="n">
        <x:v>24</x:v>
      </x:c>
      <x:c r="K661" s="45" t="n">
        <x:v>-42076</x:v>
      </x:c>
      <x:c r="L661" s="45" t="n">
        <x:v>42076</x:v>
      </x:c>
      <x:c r="M661" s="46" t="n">
        <x:v>80.41666666666667</x:v>
      </x:c>
      <x:c r="N661" s="46" t="n">
        <x:v>75.97222222222223</x:v>
      </x:c>
      <x:c r="O661" s="47" t="n">
        <x:v>5</x:v>
      </x:c>
      <x:c r="P661" s="1" t="str">
        <x:v>再進行・追撃保護・板で退出</x:v>
      </x:c>
      <x:c r="Q661" s="47" t="n">
        <x:v>0</x:v>
      </x:c>
      <x:c r="R661" s="1" t="str">
        <x:v>全場</x:v>
      </x:c>
      <x:c r="S661" s="47" t="n">
        <x:v>3</x:v>
      </x:c>
    </x:row>
    <x:row r="662" ht="22" customHeight="1">
      <x:c r="A662" s="1" t="str">
        <x:v>TOPIXmini</x:v>
      </x:c>
      <x:c r="B662" s="1" t="str">
        <x:v>G11</x:v>
      </x:c>
      <x:c r="C662" s="1" t="str">
        <x:v>診断3場</x:v>
      </x:c>
      <x:c r="D662" s="45" t="n">
        <x:v>61920</x:v>
      </x:c>
      <x:c r="E662" s="45" t="n">
        <x:v>103996</x:v>
      </x:c>
      <x:c r="F662" s="45" t="n">
        <x:f>D662-E662</x:f>
        <x:v>-42076</x:v>
      </x:c>
      <x:c r="G662" s="47" t="n">
        <x:v>0</x:v>
      </x:c>
      <x:c r="H662" s="47" t="n">
        <x:v>1</x:v>
      </x:c>
      <x:c r="I662" s="45" t="n">
        <x:v>-42076</x:v>
      </x:c>
      <x:c r="J662" s="47" t="n">
        <x:v>12</x:v>
      </x:c>
      <x:c r="K662" s="45" t="n">
        <x:v>-42076</x:v>
      </x:c>
      <x:c r="L662" s="45" t="n">
        <x:v>42076</x:v>
      </x:c>
      <x:c r="M662" s="46" t="n">
        <x:v>43.95</x:v>
      </x:c>
      <x:c r="N662" s="46" t="n">
        <x:v>101.11666666666666</x:v>
      </x:c>
      <x:c r="O662" s="47" t="n">
        <x:v>5</x:v>
      </x:c>
      <x:c r="P662" s="1" t="str">
        <x:v>再進行・追撃保護・板で退出</x:v>
      </x:c>
      <x:c r="Q662" s="47" t="n">
        <x:v>0</x:v>
      </x:c>
      <x:c r="R662" s="1" t="str">
        <x:v>デイ</x:v>
      </x:c>
      <x:c r="S662" s="47" t="n">
        <x:v>1</x:v>
      </x:c>
    </x:row>
    <x:row r="663" ht="22" customHeight="1">
      <x:c r="A663" s="1" t="str">
        <x:v>TOPIXmini</x:v>
      </x:c>
      <x:c r="B663" s="1" t="str">
        <x:v>G11</x:v>
      </x:c>
      <x:c r="C663" s="1" t="str">
        <x:v>診断3場</x:v>
      </x:c>
      <x:c r="D663" s="45" t="n">
        <x:v>112664</x:v>
      </x:c>
      <x:c r="E663" s="45" t="n">
        <x:v>47168</x:v>
      </x:c>
      <x:c r="F663" s="45" t="n">
        <x:f>D663-E663</x:f>
        <x:v>65496</x:v>
      </x:c>
      <x:c r="G663" s="47" t="n">
        <x:v>2</x:v>
      </x:c>
      <x:c r="H663" s="47" t="n">
        <x:v>0</x:v>
      </x:c>
      <x:c r="I663" s="45" t="n">
        <x:v>0</x:v>
      </x:c>
      <x:c r="J663" s="47" t="n">
        <x:v>12</x:v>
      </x:c>
      <x:c r="K663" s="45" t="n">
        <x:v>31912</x:v>
      </x:c>
      <x:c r="L663" s="45" t="n">
        <x:v>0</x:v>
      </x:c>
      <x:c r="M663" s="46" t="n">
        <x:v>98.65</x:v>
      </x:c>
      <x:c r="N663" s="46" t="n">
        <x:v>63.400000000000006</x:v>
      </x:c>
      <x:c r="O663" s="47" t="n">
        <x:v>5</x:v>
      </x:c>
      <x:c r="P663" s="1" t="str">
        <x:v>再進行・追撃保護・板で退出</x:v>
      </x:c>
      <x:c r="Q663" s="47" t="n">
        <x:v>0</x:v>
      </x:c>
      <x:c r="R663" s="1" t="str">
        <x:v>ナイト</x:v>
      </x:c>
      <x:c r="S663" s="47" t="n">
        <x:v>2</x:v>
      </x:c>
    </x:row>
    <x:row r="664" ht="22" customHeight="1">
      <x:c r="A664" s="1" t="str">
        <x:v>TOPIXmini</x:v>
      </x:c>
      <x:c r="B664" s="1" t="str">
        <x:v>G11</x:v>
      </x:c>
      <x:c r="C664" s="1" t="str">
        <x:v>診断3場</x:v>
      </x:c>
      <x:c r="D664" s="45" t="n">
        <x:v>39750</x:v>
      </x:c>
      <x:c r="E664" s="45" t="n">
        <x:v>6166</x:v>
      </x:c>
      <x:c r="F664" s="45" t="n">
        <x:f>D664-E664</x:f>
        <x:v>33584</x:v>
      </x:c>
      <x:c r="G664" s="47" t="n">
        <x:v>1</x:v>
      </x:c>
      <x:c r="H664" s="47" t="n">
        <x:v>0</x:v>
      </x:c>
      <x:c r="I664" s="45" t="n">
        <x:v>0</x:v>
      </x:c>
      <x:c r="J664" s="47" t="n">
        <x:v>4</x:v>
      </x:c>
      <x:c r="K664" s="45" t="n">
        <x:v>33584</x:v>
      </x:c>
      <x:c r="L664" s="45" t="n">
        <x:v>0</x:v>
      </x:c>
      <x:c r="M664" s="46" t="n">
        <x:v>125.96666666666667</x:v>
      </x:c>
      <x:c r="N664" s="46" t="n">
        <x:v>71.23333333333333</x:v>
      </x:c>
      <x:c r="O664" s="47" t="n">
        <x:v>5</x:v>
      </x:c>
      <x:c r="P664" s="1" t="str">
        <x:v>再進行・追撃保護・板で退出</x:v>
      </x:c>
      <x:c r="Q664" s="47" t="n">
        <x:v>0</x:v>
      </x:c>
      <x:c r="R664" s="1" t="str">
        <x:v>上昇</x:v>
      </x:c>
      <x:c r="S664" s="47" t="n">
        <x:v>1</x:v>
      </x:c>
    </x:row>
    <x:row r="665" ht="22" customHeight="1">
      <x:c r="A665" s="1" t="str">
        <x:v>TOPIXmini</x:v>
      </x:c>
      <x:c r="B665" s="1" t="str">
        <x:v>G11</x:v>
      </x:c>
      <x:c r="C665" s="1" t="str">
        <x:v>診断3場</x:v>
      </x:c>
      <x:c r="D665" s="45" t="n">
        <x:v>134834</x:v>
      </x:c>
      <x:c r="E665" s="45" t="n">
        <x:v>144998</x:v>
      </x:c>
      <x:c r="F665" s="45" t="n">
        <x:f>D665-E665</x:f>
        <x:v>-10164</x:v>
      </x:c>
      <x:c r="G665" s="47" t="n">
        <x:v>1</x:v>
      </x:c>
      <x:c r="H665" s="47" t="n">
        <x:v>1</x:v>
      </x:c>
      <x:c r="I665" s="45" t="n">
        <x:v>-42076</x:v>
      </x:c>
      <x:c r="J665" s="47" t="n">
        <x:v>20</x:v>
      </x:c>
      <x:c r="K665" s="45" t="n">
        <x:v>-42076</x:v>
      </x:c>
      <x:c r="L665" s="45" t="n">
        <x:v>42076</x:v>
      </x:c>
      <x:c r="M665" s="46" t="n">
        <x:v>57.641666666666666</x:v>
      </x:c>
      <x:c r="N665" s="46" t="n">
        <x:v>78.34166666666667</x:v>
      </x:c>
      <x:c r="O665" s="47" t="n">
        <x:v>5</x:v>
      </x:c>
      <x:c r="P665" s="1" t="str">
        <x:v>再進行・追撃保護・板で退出</x:v>
      </x:c>
      <x:c r="Q665" s="47" t="n">
        <x:v>0</x:v>
      </x:c>
      <x:c r="R665" s="1" t="str">
        <x:v>下落</x:v>
      </x:c>
      <x:c r="S665" s="47" t="n">
        <x:v>2</x:v>
      </x:c>
    </x:row>
    <x:row r="666" ht="22" customHeight="1">
      <x:c r="A666" s="1" t="str">
        <x:v>TOPIXmini</x:v>
      </x:c>
      <x:c r="B666" s="1" t="str">
        <x:v>G12</x:v>
      </x:c>
      <x:c r="C666" s="1" t="str">
        <x:v>全50場</x:v>
      </x:c>
      <x:c r="D666" s="45" t="n">
        <x:v>2515904</x:v>
      </x:c>
      <x:c r="E666" s="45" t="n">
        <x:v>1613364</x:v>
      </x:c>
      <x:c r="F666" s="45" t="n">
        <x:f>D666-E666</x:f>
        <x:v>902540</x:v>
      </x:c>
      <x:c r="G666" s="47" t="n">
        <x:v>38</x:v>
      </x:c>
      <x:c r="H666" s="47" t="n">
        <x:v>12</x:v>
      </x:c>
      <x:c r="I666" s="45" t="n">
        <x:v>534788</x:v>
      </x:c>
      <x:c r="J666" s="47" t="n">
        <x:v>221</x:v>
      </x:c>
      <x:c r="K666" s="45" t="n">
        <x:v>-65326</x:v>
      </x:c>
      <x:c r="L666" s="45" t="n">
        <x:v>39541.583333333336</x:v>
      </x:c>
      <x:c r="M666" s="46" t="n">
        <x:v>187.65733333333333</x:v>
      </x:c>
      <x:c r="N666" s="46" t="n">
        <x:v>128.09866666666667</x:v>
      </x:c>
      <x:c r="O666" s="47" t="n">
        <x:v>5</x:v>
      </x:c>
      <x:c r="P666" s="1" t="str">
        <x:v>板支持・追撃保護・板で退出</x:v>
      </x:c>
      <x:c r="Q666" s="47" t="n">
        <x:v>0</x:v>
      </x:c>
      <x:c r="R666" s="1" t="str">
        <x:v>全場</x:v>
      </x:c>
      <x:c r="S666" s="47" t="n">
        <x:v>50</x:v>
      </x:c>
    </x:row>
    <x:row r="667" ht="22" customHeight="1">
      <x:c r="A667" s="1" t="str">
        <x:v>TOPIXmini</x:v>
      </x:c>
      <x:c r="B667" s="1" t="str">
        <x:v>G12</x:v>
      </x:c>
      <x:c r="C667" s="1" t="str">
        <x:v>全50場</x:v>
      </x:c>
      <x:c r="D667" s="45" t="n">
        <x:v>1475350</x:v>
      </x:c>
      <x:c r="E667" s="45" t="n">
        <x:v>948918</x:v>
      </x:c>
      <x:c r="F667" s="45" t="n">
        <x:f>D667-E667</x:f>
        <x:v>526432</x:v>
      </x:c>
      <x:c r="G667" s="47" t="n">
        <x:v>17</x:v>
      </x:c>
      <x:c r="H667" s="47" t="n">
        <x:v>8</x:v>
      </x:c>
      <x:c r="I667" s="45" t="n">
        <x:v>223678</x:v>
      </x:c>
      <x:c r="J667" s="47" t="n">
        <x:v>123</x:v>
      </x:c>
      <x:c r="K667" s="45" t="n">
        <x:v>-65326</x:v>
      </x:c>
      <x:c r="L667" s="45" t="n">
        <x:v>42560.875</x:v>
      </x:c>
      <x:c r="M667" s="46" t="n">
        <x:v>87.47533333333332</x:v>
      </x:c>
      <x:c r="N667" s="46" t="n">
        <x:v>183.556</x:v>
      </x:c>
      <x:c r="O667" s="47" t="n">
        <x:v>5</x:v>
      </x:c>
      <x:c r="P667" s="1" t="str">
        <x:v>板支持・追撃保護・板で退出</x:v>
      </x:c>
      <x:c r="Q667" s="47" t="n">
        <x:v>0</x:v>
      </x:c>
      <x:c r="R667" s="1" t="str">
        <x:v>デイ</x:v>
      </x:c>
      <x:c r="S667" s="47" t="n">
        <x:v>25</x:v>
      </x:c>
    </x:row>
    <x:row r="668" ht="22" customHeight="1">
      <x:c r="A668" s="1" t="str">
        <x:v>TOPIXmini</x:v>
      </x:c>
      <x:c r="B668" s="1" t="str">
        <x:v>G12</x:v>
      </x:c>
      <x:c r="C668" s="1" t="str">
        <x:v>全50場</x:v>
      </x:c>
      <x:c r="D668" s="45" t="n">
        <x:v>1040554</x:v>
      </x:c>
      <x:c r="E668" s="45" t="n">
        <x:v>664446</x:v>
      </x:c>
      <x:c r="F668" s="45" t="n">
        <x:f>D668-E668</x:f>
        <x:v>376108</x:v>
      </x:c>
      <x:c r="G668" s="47" t="n">
        <x:v>21</x:v>
      </x:c>
      <x:c r="H668" s="47" t="n">
        <x:v>4</x:v>
      </x:c>
      <x:c r="I668" s="45" t="n">
        <x:v>141034</x:v>
      </x:c>
      <x:c r="J668" s="47" t="n">
        <x:v>98</x:v>
      </x:c>
      <x:c r="K668" s="45" t="n">
        <x:v>-49002</x:v>
      </x:c>
      <x:c r="L668" s="45" t="n">
        <x:v>33503</x:v>
      </x:c>
      <x:c r="M668" s="46" t="n">
        <x:v>287.8393333333333</x:v>
      </x:c>
      <x:c r="N668" s="46" t="n">
        <x:v>72.64133333333334</x:v>
      </x:c>
      <x:c r="O668" s="47" t="n">
        <x:v>5</x:v>
      </x:c>
      <x:c r="P668" s="1" t="str">
        <x:v>板支持・追撃保護・板で退出</x:v>
      </x:c>
      <x:c r="Q668" s="47" t="n">
        <x:v>0</x:v>
      </x:c>
      <x:c r="R668" s="1" t="str">
        <x:v>ナイト</x:v>
      </x:c>
      <x:c r="S668" s="47" t="n">
        <x:v>25</x:v>
      </x:c>
    </x:row>
    <x:row r="669" ht="22" customHeight="1">
      <x:c r="A669" s="1" t="str">
        <x:v>TOPIXmini</x:v>
      </x:c>
      <x:c r="B669" s="1" t="str">
        <x:v>G12</x:v>
      </x:c>
      <x:c r="C669" s="1" t="str">
        <x:v>全50場</x:v>
      </x:c>
      <x:c r="D669" s="45" t="n">
        <x:v>1002828</x:v>
      </x:c>
      <x:c r="E669" s="45" t="n">
        <x:v>792942</x:v>
      </x:c>
      <x:c r="F669" s="45" t="n">
        <x:f>D669-E669</x:f>
        <x:v>209886</x:v>
      </x:c>
      <x:c r="G669" s="47" t="n">
        <x:v>17</x:v>
      </x:c>
      <x:c r="H669" s="47" t="n">
        <x:v>7</x:v>
      </x:c>
      <x:c r="I669" s="45" t="n">
        <x:v>-21614</x:v>
      </x:c>
      <x:c r="J669" s="47" t="n">
        <x:v>92</x:v>
      </x:c>
      <x:c r="K669" s="45" t="n">
        <x:v>-57919</x:v>
      </x:c>
      <x:c r="L669" s="45" t="n">
        <x:v>39465</x:v>
      </x:c>
      <x:c r="M669" s="46" t="n">
        <x:v>203.31319444444443</x:v>
      </x:c>
      <x:c r="N669" s="46" t="n">
        <x:v>123.57291666666667</x:v>
      </x:c>
      <x:c r="O669" s="47" t="n">
        <x:v>5</x:v>
      </x:c>
      <x:c r="P669" s="1" t="str">
        <x:v>板支持・追撃保護・板で退出</x:v>
      </x:c>
      <x:c r="Q669" s="47" t="n">
        <x:v>0</x:v>
      </x:c>
      <x:c r="R669" s="1" t="str">
        <x:v>上昇</x:v>
      </x:c>
      <x:c r="S669" s="47" t="n">
        <x:v>24</x:v>
      </x:c>
    </x:row>
    <x:row r="670" ht="22" customHeight="1">
      <x:c r="A670" s="1" t="str">
        <x:v>TOPIXmini</x:v>
      </x:c>
      <x:c r="B670" s="1" t="str">
        <x:v>G12</x:v>
      </x:c>
      <x:c r="C670" s="1" t="str">
        <x:v>全50場</x:v>
      </x:c>
      <x:c r="D670" s="45" t="n">
        <x:v>1513076</x:v>
      </x:c>
      <x:c r="E670" s="45" t="n">
        <x:v>820422</x:v>
      </x:c>
      <x:c r="F670" s="45" t="n">
        <x:f>D670-E670</x:f>
        <x:v>692654</x:v>
      </x:c>
      <x:c r="G670" s="47" t="n">
        <x:v>21</x:v>
      </x:c>
      <x:c r="H670" s="47" t="n">
        <x:v>5</x:v>
      </x:c>
      <x:c r="I670" s="45" t="n">
        <x:v>324902</x:v>
      </x:c>
      <x:c r="J670" s="47" t="n">
        <x:v>129</x:v>
      </x:c>
      <x:c r="K670" s="45" t="n">
        <x:v>-65326</x:v>
      </x:c>
      <x:c r="L670" s="45" t="n">
        <x:v>39648.8</x:v>
      </x:c>
      <x:c r="M670" s="46" t="n">
        <x:v>173.20576923076922</x:v>
      </x:c>
      <x:c r="N670" s="46" t="n">
        <x:v>132.27628205128204</x:v>
      </x:c>
      <x:c r="O670" s="47" t="n">
        <x:v>5</x:v>
      </x:c>
      <x:c r="P670" s="1" t="str">
        <x:v>板支持・追撃保護・板で退出</x:v>
      </x:c>
      <x:c r="Q670" s="47" t="n">
        <x:v>0</x:v>
      </x:c>
      <x:c r="R670" s="1" t="str">
        <x:v>下落</x:v>
      </x:c>
      <x:c r="S670" s="47" t="n">
        <x:v>26</x:v>
      </x:c>
    </x:row>
    <x:row r="671" ht="22" customHeight="1">
      <x:c r="A671" s="1" t="str">
        <x:v>TOPIXmini</x:v>
      </x:c>
      <x:c r="B671" s="1" t="str">
        <x:v>G12</x:v>
      </x:c>
      <x:c r="C671" s="1" t="str">
        <x:v>対照47場</x:v>
      </x:c>
      <x:c r="D671" s="45" t="n">
        <x:v>2311984</x:v>
      </x:c>
      <x:c r="E671" s="45" t="n">
        <x:v>1430448</x:v>
      </x:c>
      <x:c r="F671" s="45" t="n">
        <x:f>D671-E671</x:f>
        <x:v>881536</x:v>
      </x:c>
      <x:c r="G671" s="47" t="n">
        <x:v>36</x:v>
      </x:c>
      <x:c r="H671" s="47" t="n">
        <x:v>11</x:v>
      </x:c>
      <x:c r="I671" s="45" t="n">
        <x:v>513784</x:v>
      </x:c>
      <x:c r="J671" s="47" t="n">
        <x:v>193</x:v>
      </x:c>
      <x:c r="K671" s="45" t="n">
        <x:v>-57919</x:v>
      </x:c>
      <x:c r="L671" s="45" t="n">
        <x:v>37197.545454545456</x:v>
      </x:c>
      <x:c r="M671" s="46" t="n">
        <x:v>194.51808510638296</x:v>
      </x:c>
      <x:c r="N671" s="46" t="n">
        <x:v>130.5276595744681</x:v>
      </x:c>
      <x:c r="O671" s="47" t="n">
        <x:v>5</x:v>
      </x:c>
      <x:c r="P671" s="1" t="str">
        <x:v>板支持・追撃保護・板で退出</x:v>
      </x:c>
      <x:c r="Q671" s="47" t="n">
        <x:v>0</x:v>
      </x:c>
      <x:c r="R671" s="1" t="str">
        <x:v>全場</x:v>
      </x:c>
      <x:c r="S671" s="47" t="n">
        <x:v>47</x:v>
      </x:c>
    </x:row>
    <x:row r="672" ht="22" customHeight="1">
      <x:c r="A672" s="1" t="str">
        <x:v>TOPIXmini</x:v>
      </x:c>
      <x:c r="B672" s="1" t="str">
        <x:v>G12</x:v>
      </x:c>
      <x:c r="C672" s="1" t="str">
        <x:v>対照47場</x:v>
      </x:c>
      <x:c r="D672" s="45" t="n">
        <x:v>1399762</x:v>
      </x:c>
      <x:c r="E672" s="45" t="n">
        <x:v>808004</x:v>
      </x:c>
      <x:c r="F672" s="45" t="n">
        <x:f>D672-E672</x:f>
        <x:v>591758</x:v>
      </x:c>
      <x:c r="G672" s="47" t="n">
        <x:v>17</x:v>
      </x:c>
      <x:c r="H672" s="47" t="n">
        <x:v>7</x:v>
      </x:c>
      <x:c r="I672" s="45" t="n">
        <x:v>289004</x:v>
      </x:c>
      <x:c r="J672" s="47" t="n">
        <x:v>108</x:v>
      </x:c>
      <x:c r="K672" s="45" t="n">
        <x:v>-57919</x:v>
      </x:c>
      <x:c r="L672" s="45" t="n">
        <x:v>39308.71428571428</x:v>
      </x:c>
      <x:c r="M672" s="46" t="n">
        <x:v>89.28888888888889</x:v>
      </x:c>
      <x:c r="N672" s="46" t="n">
        <x:v>185.88958333333335</x:v>
      </x:c>
      <x:c r="O672" s="47" t="n">
        <x:v>5</x:v>
      </x:c>
      <x:c r="P672" s="1" t="str">
        <x:v>板支持・追撃保護・板で退出</x:v>
      </x:c>
      <x:c r="Q672" s="47" t="n">
        <x:v>0</x:v>
      </x:c>
      <x:c r="R672" s="1" t="str">
        <x:v>デイ</x:v>
      </x:c>
      <x:c r="S672" s="47" t="n">
        <x:v>24</x:v>
      </x:c>
    </x:row>
    <x:row r="673" ht="22" customHeight="1">
      <x:c r="A673" s="1" t="str">
        <x:v>TOPIXmini</x:v>
      </x:c>
      <x:c r="B673" s="1" t="str">
        <x:v>G12</x:v>
      </x:c>
      <x:c r="C673" s="1" t="str">
        <x:v>対照47場</x:v>
      </x:c>
      <x:c r="D673" s="45" t="n">
        <x:v>912222</x:v>
      </x:c>
      <x:c r="E673" s="45" t="n">
        <x:v>622444</x:v>
      </x:c>
      <x:c r="F673" s="45" t="n">
        <x:f>D673-E673</x:f>
        <x:v>289778</x:v>
      </x:c>
      <x:c r="G673" s="47" t="n">
        <x:v>19</x:v>
      </x:c>
      <x:c r="H673" s="47" t="n">
        <x:v>4</x:v>
      </x:c>
      <x:c r="I673" s="45" t="n">
        <x:v>71202</x:v>
      </x:c>
      <x:c r="J673" s="47" t="n">
        <x:v>85</x:v>
      </x:c>
      <x:c r="K673" s="45" t="n">
        <x:v>-49002</x:v>
      </x:c>
      <x:c r="L673" s="45" t="n">
        <x:v>33503</x:v>
      </x:c>
      <x:c r="M673" s="46" t="n">
        <x:v>304.32246376811594</x:v>
      </x:c>
      <x:c r="N673" s="46" t="n">
        <x:v>72.7586956521739</x:v>
      </x:c>
      <x:c r="O673" s="47" t="n">
        <x:v>5</x:v>
      </x:c>
      <x:c r="P673" s="1" t="str">
        <x:v>板支持・追撃保護・板で退出</x:v>
      </x:c>
      <x:c r="Q673" s="47" t="n">
        <x:v>0</x:v>
      </x:c>
      <x:c r="R673" s="1" t="str">
        <x:v>ナイト</x:v>
      </x:c>
      <x:c r="S673" s="47" t="n">
        <x:v>23</x:v>
      </x:c>
    </x:row>
    <x:row r="674" ht="22" customHeight="1">
      <x:c r="A674" s="1" t="str">
        <x:v>TOPIXmini</x:v>
      </x:c>
      <x:c r="B674" s="1" t="str">
        <x:v>G12</x:v>
      </x:c>
      <x:c r="C674" s="1" t="str">
        <x:v>対照47場</x:v>
      </x:c>
      <x:c r="D674" s="45" t="n">
        <x:v>961078</x:v>
      </x:c>
      <x:c r="E674" s="45" t="n">
        <x:v>786776</x:v>
      </x:c>
      <x:c r="F674" s="45" t="n">
        <x:f>D674-E674</x:f>
        <x:v>174302</x:v>
      </x:c>
      <x:c r="G674" s="47" t="n">
        <x:v>16</x:v>
      </x:c>
      <x:c r="H674" s="47" t="n">
        <x:v>7</x:v>
      </x:c>
      <x:c r="I674" s="45" t="n">
        <x:v>-57198</x:v>
      </x:c>
      <x:c r="J674" s="47" t="n">
        <x:v>88</x:v>
      </x:c>
      <x:c r="K674" s="45" t="n">
        <x:v>-57919</x:v>
      </x:c>
      <x:c r="L674" s="45" t="n">
        <x:v>39465</x:v>
      </x:c>
      <x:c r="M674" s="46" t="n">
        <x:v>206.69057971014493</x:v>
      </x:c>
      <x:c r="N674" s="46" t="n">
        <x:v>126.0608695652174</x:v>
      </x:c>
      <x:c r="O674" s="47" t="n">
        <x:v>5</x:v>
      </x:c>
      <x:c r="P674" s="1" t="str">
        <x:v>板支持・追撃保護・板で退出</x:v>
      </x:c>
      <x:c r="Q674" s="47" t="n">
        <x:v>0</x:v>
      </x:c>
      <x:c r="R674" s="1" t="str">
        <x:v>上昇</x:v>
      </x:c>
      <x:c r="S674" s="47" t="n">
        <x:v>23</x:v>
      </x:c>
    </x:row>
    <x:row r="675" ht="22" customHeight="1">
      <x:c r="A675" s="1" t="str">
        <x:v>TOPIXmini</x:v>
      </x:c>
      <x:c r="B675" s="1" t="str">
        <x:v>G12</x:v>
      </x:c>
      <x:c r="C675" s="1" t="str">
        <x:v>対照47場</x:v>
      </x:c>
      <x:c r="D675" s="45" t="n">
        <x:v>1350906</x:v>
      </x:c>
      <x:c r="E675" s="45" t="n">
        <x:v>643672</x:v>
      </x:c>
      <x:c r="F675" s="45" t="n">
        <x:f>D675-E675</x:f>
        <x:v>707234</x:v>
      </x:c>
      <x:c r="G675" s="47" t="n">
        <x:v>20</x:v>
      </x:c>
      <x:c r="H675" s="47" t="n">
        <x:v>4</x:v>
      </x:c>
      <x:c r="I675" s="45" t="n">
        <x:v>339482</x:v>
      </x:c>
      <x:c r="J675" s="47" t="n">
        <x:v>105</x:v>
      </x:c>
      <x:c r="K675" s="45" t="n">
        <x:v>-49002</x:v>
      </x:c>
      <x:c r="L675" s="45" t="n">
        <x:v>33229.5</x:v>
      </x:c>
      <x:c r="M675" s="46" t="n">
        <x:v>182.85277777777776</x:v>
      </x:c>
      <x:c r="N675" s="46" t="n">
        <x:v>134.8083333333333</x:v>
      </x:c>
      <x:c r="O675" s="47" t="n">
        <x:v>5</x:v>
      </x:c>
      <x:c r="P675" s="1" t="str">
        <x:v>板支持・追撃保護・板で退出</x:v>
      </x:c>
      <x:c r="Q675" s="47" t="n">
        <x:v>0</x:v>
      </x:c>
      <x:c r="R675" s="1" t="str">
        <x:v>下落</x:v>
      </x:c>
      <x:c r="S675" s="47" t="n">
        <x:v>24</x:v>
      </x:c>
    </x:row>
    <x:row r="676" ht="22" customHeight="1">
      <x:c r="A676" s="1" t="str">
        <x:v>TOPIXmini</x:v>
      </x:c>
      <x:c r="B676" s="1" t="str">
        <x:v>G12</x:v>
      </x:c>
      <x:c r="C676" s="1" t="str">
        <x:v>診断3場</x:v>
      </x:c>
      <x:c r="D676" s="45" t="n">
        <x:v>203920</x:v>
      </x:c>
      <x:c r="E676" s="45" t="n">
        <x:v>182916</x:v>
      </x:c>
      <x:c r="F676" s="45" t="n">
        <x:f>D676-E676</x:f>
        <x:v>21004</x:v>
      </x:c>
      <x:c r="G676" s="47" t="n">
        <x:v>2</x:v>
      </x:c>
      <x:c r="H676" s="47" t="n">
        <x:v>1</x:v>
      </x:c>
      <x:c r="I676" s="45" t="n">
        <x:v>-65326</x:v>
      </x:c>
      <x:c r="J676" s="47" t="n">
        <x:v>28</x:v>
      </x:c>
      <x:c r="K676" s="45" t="n">
        <x:v>-65326</x:v>
      </x:c>
      <x:c r="L676" s="45" t="n">
        <x:v>65326</x:v>
      </x:c>
      <x:c r="M676" s="46" t="n">
        <x:v>80.17222222222223</x:v>
      </x:c>
      <x:c r="N676" s="46" t="n">
        <x:v>90.04444444444444</x:v>
      </x:c>
      <x:c r="O676" s="47" t="n">
        <x:v>5</x:v>
      </x:c>
      <x:c r="P676" s="1" t="str">
        <x:v>板支持・追撃保護・板で退出</x:v>
      </x:c>
      <x:c r="Q676" s="47" t="n">
        <x:v>0</x:v>
      </x:c>
      <x:c r="R676" s="1" t="str">
        <x:v>全場</x:v>
      </x:c>
      <x:c r="S676" s="47" t="n">
        <x:v>3</x:v>
      </x:c>
    </x:row>
    <x:row r="677" ht="22" customHeight="1">
      <x:c r="A677" s="1" t="str">
        <x:v>TOPIXmini</x:v>
      </x:c>
      <x:c r="B677" s="1" t="str">
        <x:v>G12</x:v>
      </x:c>
      <x:c r="C677" s="1" t="str">
        <x:v>診断3場</x:v>
      </x:c>
      <x:c r="D677" s="45" t="n">
        <x:v>75588</x:v>
      </x:c>
      <x:c r="E677" s="45" t="n">
        <x:v>140914</x:v>
      </x:c>
      <x:c r="F677" s="45" t="n">
        <x:f>D677-E677</x:f>
        <x:v>-65326</x:v>
      </x:c>
      <x:c r="G677" s="47" t="n">
        <x:v>0</x:v>
      </x:c>
      <x:c r="H677" s="47" t="n">
        <x:v>1</x:v>
      </x:c>
      <x:c r="I677" s="45" t="n">
        <x:v>-65326</x:v>
      </x:c>
      <x:c r="J677" s="47" t="n">
        <x:v>15</x:v>
      </x:c>
      <x:c r="K677" s="45" t="n">
        <x:v>-65326</x:v>
      </x:c>
      <x:c r="L677" s="45" t="n">
        <x:v>65326</x:v>
      </x:c>
      <x:c r="M677" s="46" t="n">
        <x:v>43.95</x:v>
      </x:c>
      <x:c r="N677" s="46" t="n">
        <x:v>127.55</x:v>
      </x:c>
      <x:c r="O677" s="47" t="n">
        <x:v>5</x:v>
      </x:c>
      <x:c r="P677" s="1" t="str">
        <x:v>板支持・追撃保護・板で退出</x:v>
      </x:c>
      <x:c r="Q677" s="47" t="n">
        <x:v>0</x:v>
      </x:c>
      <x:c r="R677" s="1" t="str">
        <x:v>デイ</x:v>
      </x:c>
      <x:c r="S677" s="47" t="n">
        <x:v>1</x:v>
      </x:c>
    </x:row>
    <x:row r="678" ht="22" customHeight="1">
      <x:c r="A678" s="1" t="str">
        <x:v>TOPIXmini</x:v>
      </x:c>
      <x:c r="B678" s="1" t="str">
        <x:v>G12</x:v>
      </x:c>
      <x:c r="C678" s="1" t="str">
        <x:v>診断3場</x:v>
      </x:c>
      <x:c r="D678" s="45" t="n">
        <x:v>128332</x:v>
      </x:c>
      <x:c r="E678" s="45" t="n">
        <x:v>42002</x:v>
      </x:c>
      <x:c r="F678" s="45" t="n">
        <x:f>D678-E678</x:f>
        <x:v>86330</x:v>
      </x:c>
      <x:c r="G678" s="47" t="n">
        <x:v>2</x:v>
      </x:c>
      <x:c r="H678" s="47" t="n">
        <x:v>0</x:v>
      </x:c>
      <x:c r="I678" s="45" t="n">
        <x:v>0</x:v>
      </x:c>
      <x:c r="J678" s="47" t="n">
        <x:v>13</x:v>
      </x:c>
      <x:c r="K678" s="45" t="n">
        <x:v>35584</x:v>
      </x:c>
      <x:c r="L678" s="45" t="n">
        <x:v>0</x:v>
      </x:c>
      <x:c r="M678" s="46" t="n">
        <x:v>98.28333333333333</x:v>
      </x:c>
      <x:c r="N678" s="46" t="n">
        <x:v>71.29166666666666</x:v>
      </x:c>
      <x:c r="O678" s="47" t="n">
        <x:v>5</x:v>
      </x:c>
      <x:c r="P678" s="1" t="str">
        <x:v>板支持・追撃保護・板で退出</x:v>
      </x:c>
      <x:c r="Q678" s="47" t="n">
        <x:v>0</x:v>
      </x:c>
      <x:c r="R678" s="1" t="str">
        <x:v>ナイト</x:v>
      </x:c>
      <x:c r="S678" s="47" t="n">
        <x:v>2</x:v>
      </x:c>
    </x:row>
    <x:row r="679" ht="22" customHeight="1">
      <x:c r="A679" s="1" t="str">
        <x:v>TOPIXmini</x:v>
      </x:c>
      <x:c r="B679" s="1" t="str">
        <x:v>G12</x:v>
      </x:c>
      <x:c r="C679" s="1" t="str">
        <x:v>診断3場</x:v>
      </x:c>
      <x:c r="D679" s="45" t="n">
        <x:v>41750</x:v>
      </x:c>
      <x:c r="E679" s="45" t="n">
        <x:v>6166</x:v>
      </x:c>
      <x:c r="F679" s="45" t="n">
        <x:f>D679-E679</x:f>
        <x:v>35584</x:v>
      </x:c>
      <x:c r="G679" s="47" t="n">
        <x:v>1</x:v>
      </x:c>
      <x:c r="H679" s="47" t="n">
        <x:v>0</x:v>
      </x:c>
      <x:c r="I679" s="45" t="n">
        <x:v>0</x:v>
      </x:c>
      <x:c r="J679" s="47" t="n">
        <x:v>4</x:v>
      </x:c>
      <x:c r="K679" s="45" t="n">
        <x:v>35584</x:v>
      </x:c>
      <x:c r="L679" s="45" t="n">
        <x:v>0</x:v>
      </x:c>
      <x:c r="M679" s="46" t="n">
        <x:v>125.63333333333334</x:v>
      </x:c>
      <x:c r="N679" s="46" t="n">
        <x:v>66.35</x:v>
      </x:c>
      <x:c r="O679" s="47" t="n">
        <x:v>5</x:v>
      </x:c>
      <x:c r="P679" s="1" t="str">
        <x:v>板支持・追撃保護・板で退出</x:v>
      </x:c>
      <x:c r="Q679" s="47" t="n">
        <x:v>0</x:v>
      </x:c>
      <x:c r="R679" s="1" t="str">
        <x:v>上昇</x:v>
      </x:c>
      <x:c r="S679" s="47" t="n">
        <x:v>1</x:v>
      </x:c>
    </x:row>
    <x:row r="680" ht="22" customHeight="1">
      <x:c r="A680" s="1" t="str">
        <x:v>TOPIXmini</x:v>
      </x:c>
      <x:c r="B680" s="1" t="str">
        <x:v>G12</x:v>
      </x:c>
      <x:c r="C680" s="1" t="str">
        <x:v>診断3場</x:v>
      </x:c>
      <x:c r="D680" s="45" t="n">
        <x:v>162170</x:v>
      </x:c>
      <x:c r="E680" s="45" t="n">
        <x:v>176750</x:v>
      </x:c>
      <x:c r="F680" s="45" t="n">
        <x:f>D680-E680</x:f>
        <x:v>-14580</x:v>
      </x:c>
      <x:c r="G680" s="47" t="n">
        <x:v>1</x:v>
      </x:c>
      <x:c r="H680" s="47" t="n">
        <x:v>1</x:v>
      </x:c>
      <x:c r="I680" s="45" t="n">
        <x:v>-65326</x:v>
      </x:c>
      <x:c r="J680" s="47" t="n">
        <x:v>24</x:v>
      </x:c>
      <x:c r="K680" s="45" t="n">
        <x:v>-65326</x:v>
      </x:c>
      <x:c r="L680" s="45" t="n">
        <x:v>65326</x:v>
      </x:c>
      <x:c r="M680" s="46" t="n">
        <x:v>57.44166666666667</x:v>
      </x:c>
      <x:c r="N680" s="46" t="n">
        <x:v>101.89166666666667</x:v>
      </x:c>
      <x:c r="O680" s="47" t="n">
        <x:v>5</x:v>
      </x:c>
      <x:c r="P680" s="1" t="str">
        <x:v>板支持・追撃保護・板で退出</x:v>
      </x:c>
      <x:c r="Q680" s="47" t="n">
        <x:v>0</x:v>
      </x:c>
      <x:c r="R680" s="1" t="str">
        <x:v>下落</x:v>
      </x:c>
      <x:c r="S680" s="47" t="n">
        <x:v>2</x:v>
      </x:c>
    </x:row>
    <x:row r="681" ht="22" customHeight="1">
      <x:c r="A681" s="1" t="str">
        <x:v>TOPIXmini</x:v>
      </x:c>
      <x:c r="B681" s="1" t="str">
        <x:v>H01</x:v>
      </x:c>
      <x:c r="C681" s="1" t="str">
        <x:v>全50場</x:v>
      </x:c>
      <x:c r="D681" s="45" t="n">
        <x:v>2362926</x:v>
      </x:c>
      <x:c r="E681" s="45" t="n">
        <x:v>1431836</x:v>
      </x:c>
      <x:c r="F681" s="45" t="n">
        <x:f>D681-E681</x:f>
        <x:v>931090</x:v>
      </x:c>
      <x:c r="G681" s="47" t="n">
        <x:v>38</x:v>
      </x:c>
      <x:c r="H681" s="47" t="n">
        <x:v>12</x:v>
      </x:c>
      <x:c r="I681" s="45" t="n">
        <x:v>580337</x:v>
      </x:c>
      <x:c r="J681" s="47" t="n">
        <x:v>192</x:v>
      </x:c>
      <x:c r="K681" s="45" t="n">
        <x:v>-62322</x:v>
      </x:c>
      <x:c r="L681" s="45" t="n">
        <x:v>28678.916666666668</x:v>
      </x:c>
      <x:c r="M681" s="46" t="n">
        <x:v>185.33866666666668</x:v>
      </x:c>
      <x:c r="N681" s="46" t="n">
        <x:v>146.427</x:v>
      </x:c>
      <x:c r="O681" s="47" t="n">
        <x:v>5</x:v>
      </x:c>
      <x:c r="P681" s="1" t="str">
        <x:v>逆行で半減し元の停止追尾を残す</x:v>
      </x:c>
      <x:c r="Q681" s="47" t="n">
        <x:v>0</x:v>
      </x:c>
      <x:c r="R681" s="1" t="str">
        <x:v>全場</x:v>
      </x:c>
      <x:c r="S681" s="47" t="n">
        <x:v>50</x:v>
      </x:c>
    </x:row>
    <x:row r="682" ht="22" customHeight="1">
      <x:c r="A682" s="1" t="str">
        <x:v>TOPIXmini</x:v>
      </x:c>
      <x:c r="B682" s="1" t="str">
        <x:v>H01</x:v>
      </x:c>
      <x:c r="C682" s="1" t="str">
        <x:v>全50場</x:v>
      </x:c>
      <x:c r="D682" s="45" t="n">
        <x:v>1343280</x:v>
      </x:c>
      <x:c r="E682" s="45" t="n">
        <x:v>754568</x:v>
      </x:c>
      <x:c r="F682" s="45" t="n">
        <x:f>D682-E682</x:f>
        <x:v>588712</x:v>
      </x:c>
      <x:c r="G682" s="47" t="n">
        <x:v>17</x:v>
      </x:c>
      <x:c r="H682" s="47" t="n">
        <x:v>8</x:v>
      </x:c>
      <x:c r="I682" s="45" t="n">
        <x:v>291293</x:v>
      </x:c>
      <x:c r="J682" s="47" t="n">
        <x:v>94</x:v>
      </x:c>
      <x:c r="K682" s="45" t="n">
        <x:v>-62322</x:v>
      </x:c>
      <x:c r="L682" s="45" t="n">
        <x:v>27267.125</x:v>
      </x:c>
      <x:c r="M682" s="46" t="n">
        <x:v>86.97733333333333</x:v>
      </x:c>
      <x:c r="N682" s="46" t="n">
        <x:v>212.03133333333332</x:v>
      </x:c>
      <x:c r="O682" s="47" t="n">
        <x:v>5</x:v>
      </x:c>
      <x:c r="P682" s="1" t="str">
        <x:v>逆行で半減し元の停止追尾を残す</x:v>
      </x:c>
      <x:c r="Q682" s="47" t="n">
        <x:v>0</x:v>
      </x:c>
      <x:c r="R682" s="1" t="str">
        <x:v>デイ</x:v>
      </x:c>
      <x:c r="S682" s="47" t="n">
        <x:v>25</x:v>
      </x:c>
    </x:row>
    <x:row r="683" ht="22" customHeight="1">
      <x:c r="A683" s="1" t="str">
        <x:v>TOPIXmini</x:v>
      </x:c>
      <x:c r="B683" s="1" t="str">
        <x:v>H01</x:v>
      </x:c>
      <x:c r="C683" s="1" t="str">
        <x:v>全50場</x:v>
      </x:c>
      <x:c r="D683" s="45" t="n">
        <x:v>1019646</x:v>
      </x:c>
      <x:c r="E683" s="45" t="n">
        <x:v>677268</x:v>
      </x:c>
      <x:c r="F683" s="45" t="n">
        <x:f>D683-E683</x:f>
        <x:v>342378</x:v>
      </x:c>
      <x:c r="G683" s="47" t="n">
        <x:v>21</x:v>
      </x:c>
      <x:c r="H683" s="47" t="n">
        <x:v>4</x:v>
      </x:c>
      <x:c r="I683" s="45" t="n">
        <x:v>124797</x:v>
      </x:c>
      <x:c r="J683" s="47" t="n">
        <x:v>98</x:v>
      </x:c>
      <x:c r="K683" s="45" t="n">
        <x:v>-44086</x:v>
      </x:c>
      <x:c r="L683" s="45" t="n">
        <x:v>31502.5</x:v>
      </x:c>
      <x:c r="M683" s="46" t="n">
        <x:v>283.7</x:v>
      </x:c>
      <x:c r="N683" s="46" t="n">
        <x:v>80.82266666666666</x:v>
      </x:c>
      <x:c r="O683" s="47" t="n">
        <x:v>5</x:v>
      </x:c>
      <x:c r="P683" s="1" t="str">
        <x:v>逆行で半減し元の停止追尾を残す</x:v>
      </x:c>
      <x:c r="Q683" s="47" t="n">
        <x:v>0</x:v>
      </x:c>
      <x:c r="R683" s="1" t="str">
        <x:v>ナイト</x:v>
      </x:c>
      <x:c r="S683" s="47" t="n">
        <x:v>25</x:v>
      </x:c>
    </x:row>
    <x:row r="684" ht="22" customHeight="1">
      <x:c r="A684" s="1" t="str">
        <x:v>TOPIXmini</x:v>
      </x:c>
      <x:c r="B684" s="1" t="str">
        <x:v>H01</x:v>
      </x:c>
      <x:c r="C684" s="1" t="str">
        <x:v>全50場</x:v>
      </x:c>
      <x:c r="D684" s="45" t="n">
        <x:v>995997</x:v>
      </x:c>
      <x:c r="E684" s="45" t="n">
        <x:v>684844</x:v>
      </x:c>
      <x:c r="F684" s="45" t="n">
        <x:f>D684-E684</x:f>
        <x:v>311153</x:v>
      </x:c>
      <x:c r="G684" s="47" t="n">
        <x:v>17</x:v>
      </x:c>
      <x:c r="H684" s="47" t="n">
        <x:v>7</x:v>
      </x:c>
      <x:c r="I684" s="45" t="n">
        <x:v>74487</x:v>
      </x:c>
      <x:c r="J684" s="47" t="n">
        <x:v>77</x:v>
      </x:c>
      <x:c r="K684" s="45" t="n">
        <x:v>-44086</x:v>
      </x:c>
      <x:c r="L684" s="45" t="n">
        <x:v>25380.285714285714</x:v>
      </x:c>
      <x:c r="M684" s="46" t="n">
        <x:v>199.6138888888889</x:v>
      </x:c>
      <x:c r="N684" s="46" t="n">
        <x:v>135.1798611111111</x:v>
      </x:c>
      <x:c r="O684" s="47" t="n">
        <x:v>5</x:v>
      </x:c>
      <x:c r="P684" s="1" t="str">
        <x:v>逆行で半減し元の停止追尾を残す</x:v>
      </x:c>
      <x:c r="Q684" s="47" t="n">
        <x:v>0</x:v>
      </x:c>
      <x:c r="R684" s="1" t="str">
        <x:v>上昇</x:v>
      </x:c>
      <x:c r="S684" s="47" t="n">
        <x:v>24</x:v>
      </x:c>
    </x:row>
    <x:row r="685" ht="22" customHeight="1">
      <x:c r="A685" s="1" t="str">
        <x:v>TOPIXmini</x:v>
      </x:c>
      <x:c r="B685" s="1" t="str">
        <x:v>H01</x:v>
      </x:c>
      <x:c r="C685" s="1" t="str">
        <x:v>全50場</x:v>
      </x:c>
      <x:c r="D685" s="45" t="n">
        <x:v>1366929</x:v>
      </x:c>
      <x:c r="E685" s="45" t="n">
        <x:v>746992</x:v>
      </x:c>
      <x:c r="F685" s="45" t="n">
        <x:f>D685-E685</x:f>
        <x:v>619937</x:v>
      </x:c>
      <x:c r="G685" s="47" t="n">
        <x:v>21</x:v>
      </x:c>
      <x:c r="H685" s="47" t="n">
        <x:v>5</x:v>
      </x:c>
      <x:c r="I685" s="45" t="n">
        <x:v>274685</x:v>
      </x:c>
      <x:c r="J685" s="47" t="n">
        <x:v>115</x:v>
      </x:c>
      <x:c r="K685" s="45" t="n">
        <x:v>-62322</x:v>
      </x:c>
      <x:c r="L685" s="45" t="n">
        <x:v>33297</x:v>
      </x:c>
      <x:c r="M685" s="46" t="n">
        <x:v>172.16153846153844</x:v>
      </x:c>
      <x:c r="N685" s="46" t="n">
        <x:v>156.80897435897435</x:v>
      </x:c>
      <x:c r="O685" s="47" t="n">
        <x:v>5</x:v>
      </x:c>
      <x:c r="P685" s="1" t="str">
        <x:v>逆行で半減し元の停止追尾を残す</x:v>
      </x:c>
      <x:c r="Q685" s="47" t="n">
        <x:v>0</x:v>
      </x:c>
      <x:c r="R685" s="1" t="str">
        <x:v>下落</x:v>
      </x:c>
      <x:c r="S685" s="47" t="n">
        <x:v>26</x:v>
      </x:c>
    </x:row>
    <x:row r="686" ht="22" customHeight="1">
      <x:c r="A686" s="1" t="str">
        <x:v>TOPIXmini</x:v>
      </x:c>
      <x:c r="B686" s="1" t="str">
        <x:v>H01</x:v>
      </x:c>
      <x:c r="C686" s="1" t="str">
        <x:v>対照47場</x:v>
      </x:c>
      <x:c r="D686" s="45" t="n">
        <x:v>2186923</x:v>
      </x:c>
      <x:c r="E686" s="45" t="n">
        <x:v>1269010</x:v>
      </x:c>
      <x:c r="F686" s="45" t="n">
        <x:f>D686-E686</x:f>
        <x:v>917913</x:v>
      </x:c>
      <x:c r="G686" s="47" t="n">
        <x:v>36</x:v>
      </x:c>
      <x:c r="H686" s="47" t="n">
        <x:v>11</x:v>
      </x:c>
      <x:c r="I686" s="45" t="n">
        <x:v>567160</x:v>
      </x:c>
      <x:c r="J686" s="47" t="n">
        <x:v>170</x:v>
      </x:c>
      <x:c r="K686" s="45" t="n">
        <x:v>-49328</x:v>
      </x:c>
      <x:c r="L686" s="45" t="n">
        <x:v>25620.454545454544</x:v>
      </x:c>
      <x:c r="M686" s="46" t="n">
        <x:v>192.05141843971634</x:v>
      </x:c>
      <x:c r="N686" s="46" t="n">
        <x:v>148.24787234042552</x:v>
      </x:c>
      <x:c r="O686" s="47" t="n">
        <x:v>5</x:v>
      </x:c>
      <x:c r="P686" s="1" t="str">
        <x:v>逆行で半減し元の停止追尾を残す</x:v>
      </x:c>
      <x:c r="Q686" s="47" t="n">
        <x:v>0</x:v>
      </x:c>
      <x:c r="R686" s="1" t="str">
        <x:v>全場</x:v>
      </x:c>
      <x:c r="S686" s="47" t="n">
        <x:v>47</x:v>
      </x:c>
    </x:row>
    <x:row r="687" ht="22" customHeight="1">
      <x:c r="A687" s="1" t="str">
        <x:v>TOPIXmini</x:v>
      </x:c>
      <x:c r="B687" s="1" t="str">
        <x:v>H01</x:v>
      </x:c>
      <x:c r="C687" s="1" t="str">
        <x:v>対照47場</x:v>
      </x:c>
      <x:c r="D687" s="45" t="n">
        <x:v>1290777</x:v>
      </x:c>
      <x:c r="E687" s="45" t="n">
        <x:v>639743</x:v>
      </x:c>
      <x:c r="F687" s="45" t="n">
        <x:f>D687-E687</x:f>
        <x:v>651034</x:v>
      </x:c>
      <x:c r="G687" s="47" t="n">
        <x:v>17</x:v>
      </x:c>
      <x:c r="H687" s="47" t="n">
        <x:v>7</x:v>
      </x:c>
      <x:c r="I687" s="45" t="n">
        <x:v>353615</x:v>
      </x:c>
      <x:c r="J687" s="47" t="n">
        <x:v>84</x:v>
      </x:c>
      <x:c r="K687" s="45" t="n">
        <x:v>-49328</x:v>
      </x:c>
      <x:c r="L687" s="45" t="n">
        <x:v>22259.285714285714</x:v>
      </x:c>
      <x:c r="M687" s="46" t="n">
        <x:v>88.7701388888889</x:v>
      </x:c>
      <x:c r="N687" s="46" t="n">
        <x:v>212.77152777777778</x:v>
      </x:c>
      <x:c r="O687" s="47" t="n">
        <x:v>5</x:v>
      </x:c>
      <x:c r="P687" s="1" t="str">
        <x:v>逆行で半減し元の停止追尾を残す</x:v>
      </x:c>
      <x:c r="Q687" s="47" t="n">
        <x:v>0</x:v>
      </x:c>
      <x:c r="R687" s="1" t="str">
        <x:v>デイ</x:v>
      </x:c>
      <x:c r="S687" s="47" t="n">
        <x:v>24</x:v>
      </x:c>
    </x:row>
    <x:row r="688" ht="22" customHeight="1">
      <x:c r="A688" s="1" t="str">
        <x:v>TOPIXmini</x:v>
      </x:c>
      <x:c r="B688" s="1" t="str">
        <x:v>H01</x:v>
      </x:c>
      <x:c r="C688" s="1" t="str">
        <x:v>対照47場</x:v>
      </x:c>
      <x:c r="D688" s="45" t="n">
        <x:v>896146</x:v>
      </x:c>
      <x:c r="E688" s="45" t="n">
        <x:v>629267</x:v>
      </x:c>
      <x:c r="F688" s="45" t="n">
        <x:f>D688-E688</x:f>
        <x:v>266879</x:v>
      </x:c>
      <x:c r="G688" s="47" t="n">
        <x:v>19</x:v>
      </x:c>
      <x:c r="H688" s="47" t="n">
        <x:v>4</x:v>
      </x:c>
      <x:c r="I688" s="45" t="n">
        <x:v>60633</x:v>
      </x:c>
      <x:c r="J688" s="47" t="n">
        <x:v>86</x:v>
      </x:c>
      <x:c r="K688" s="45" t="n">
        <x:v>-44086</x:v>
      </x:c>
      <x:c r="L688" s="45" t="n">
        <x:v>31502.5</x:v>
      </x:c>
      <x:c r="M688" s="46" t="n">
        <x:v>299.82318840579705</x:v>
      </x:c>
      <x:c r="N688" s="46" t="n">
        <x:v>80.91884057971015</x:v>
      </x:c>
      <x:c r="O688" s="47" t="n">
        <x:v>5</x:v>
      </x:c>
      <x:c r="P688" s="1" t="str">
        <x:v>逆行で半減し元の停止追尾を残す</x:v>
      </x:c>
      <x:c r="Q688" s="47" t="n">
        <x:v>0</x:v>
      </x:c>
      <x:c r="R688" s="1" t="str">
        <x:v>ナイト</x:v>
      </x:c>
      <x:c r="S688" s="47" t="n">
        <x:v>23</x:v>
      </x:c>
    </x:row>
    <x:row r="689" ht="22" customHeight="1">
      <x:c r="A689" s="1" t="str">
        <x:v>TOPIXmini</x:v>
      </x:c>
      <x:c r="B689" s="1" t="str">
        <x:v>H01</x:v>
      </x:c>
      <x:c r="C689" s="1" t="str">
        <x:v>対照47場</x:v>
      </x:c>
      <x:c r="D689" s="45" t="n">
        <x:v>955247</x:v>
      </x:c>
      <x:c r="E689" s="45" t="n">
        <x:v>672679</x:v>
      </x:c>
      <x:c r="F689" s="45" t="n">
        <x:f>D689-E689</x:f>
        <x:v>282568</x:v>
      </x:c>
      <x:c r="G689" s="47" t="n">
        <x:v>16</x:v>
      </x:c>
      <x:c r="H689" s="47" t="n">
        <x:v>7</x:v>
      </x:c>
      <x:c r="I689" s="45" t="n">
        <x:v>45902</x:v>
      </x:c>
      <x:c r="J689" s="47" t="n">
        <x:v>73</x:v>
      </x:c>
      <x:c r="K689" s="45" t="n">
        <x:v>-44086</x:v>
      </x:c>
      <x:c r="L689" s="45" t="n">
        <x:v>25380.285714285714</x:v>
      </x:c>
      <x:c r="M689" s="46" t="n">
        <x:v>202.8304347826087</x:v>
      </x:c>
      <x:c r="N689" s="46" t="n">
        <x:v>137.7876811594203</x:v>
      </x:c>
      <x:c r="O689" s="47" t="n">
        <x:v>5</x:v>
      </x:c>
      <x:c r="P689" s="1" t="str">
        <x:v>逆行で半減し元の停止追尾を残す</x:v>
      </x:c>
      <x:c r="Q689" s="47" t="n">
        <x:v>0</x:v>
      </x:c>
      <x:c r="R689" s="1" t="str">
        <x:v>上昇</x:v>
      </x:c>
      <x:c r="S689" s="47" t="n">
        <x:v>23</x:v>
      </x:c>
    </x:row>
    <x:row r="690" ht="22" customHeight="1">
      <x:c r="A690" s="1" t="str">
        <x:v>TOPIXmini</x:v>
      </x:c>
      <x:c r="B690" s="1" t="str">
        <x:v>H01</x:v>
      </x:c>
      <x:c r="C690" s="1" t="str">
        <x:v>対照47場</x:v>
      </x:c>
      <x:c r="D690" s="45" t="n">
        <x:v>1231676</x:v>
      </x:c>
      <x:c r="E690" s="45" t="n">
        <x:v>596331</x:v>
      </x:c>
      <x:c r="F690" s="45" t="n">
        <x:f>D690-E690</x:f>
        <x:v>635345</x:v>
      </x:c>
      <x:c r="G690" s="47" t="n">
        <x:v>20</x:v>
      </x:c>
      <x:c r="H690" s="47" t="n">
        <x:v>4</x:v>
      </x:c>
      <x:c r="I690" s="45" t="n">
        <x:v>290093</x:v>
      </x:c>
      <x:c r="J690" s="47" t="n">
        <x:v>97</x:v>
      </x:c>
      <x:c r="K690" s="45" t="n">
        <x:v>-49328</x:v>
      </x:c>
      <x:c r="L690" s="45" t="n">
        <x:v>26040.75</x:v>
      </x:c>
      <x:c r="M690" s="46" t="n">
        <x:v>181.72152777777777</x:v>
      </x:c>
      <x:c r="N690" s="46" t="n">
        <x:v>158.2722222222222</x:v>
      </x:c>
      <x:c r="O690" s="47" t="n">
        <x:v>5</x:v>
      </x:c>
      <x:c r="P690" s="1" t="str">
        <x:v>逆行で半減し元の停止追尾を残す</x:v>
      </x:c>
      <x:c r="Q690" s="47" t="n">
        <x:v>0</x:v>
      </x:c>
      <x:c r="R690" s="1" t="str">
        <x:v>下落</x:v>
      </x:c>
      <x:c r="S690" s="47" t="n">
        <x:v>24</x:v>
      </x:c>
    </x:row>
    <x:row r="691" ht="22" customHeight="1">
      <x:c r="A691" s="1" t="str">
        <x:v>TOPIXmini</x:v>
      </x:c>
      <x:c r="B691" s="1" t="str">
        <x:v>H01</x:v>
      </x:c>
      <x:c r="C691" s="1" t="str">
        <x:v>診断3場</x:v>
      </x:c>
      <x:c r="D691" s="45" t="n">
        <x:v>176003</x:v>
      </x:c>
      <x:c r="E691" s="45" t="n">
        <x:v>162826</x:v>
      </x:c>
      <x:c r="F691" s="45" t="n">
        <x:f>D691-E691</x:f>
        <x:v>13177</x:v>
      </x:c>
      <x:c r="G691" s="47" t="n">
        <x:v>2</x:v>
      </x:c>
      <x:c r="H691" s="47" t="n">
        <x:v>1</x:v>
      </x:c>
      <x:c r="I691" s="45" t="n">
        <x:v>-62322</x:v>
      </x:c>
      <x:c r="J691" s="47" t="n">
        <x:v>22</x:v>
      </x:c>
      <x:c r="K691" s="45" t="n">
        <x:v>-62322</x:v>
      </x:c>
      <x:c r="L691" s="45" t="n">
        <x:v>62322</x:v>
      </x:c>
      <x:c r="M691" s="46" t="n">
        <x:v>80.17222222222223</x:v>
      </x:c>
      <x:c r="N691" s="46" t="n">
        <x:v>117.89999999999999</x:v>
      </x:c>
      <x:c r="O691" s="47" t="n">
        <x:v>5</x:v>
      </x:c>
      <x:c r="P691" s="1" t="str">
        <x:v>逆行で半減し元の停止追尾を残す</x:v>
      </x:c>
      <x:c r="Q691" s="47" t="n">
        <x:v>0</x:v>
      </x:c>
      <x:c r="R691" s="1" t="str">
        <x:v>全場</x:v>
      </x:c>
      <x:c r="S691" s="47" t="n">
        <x:v>3</x:v>
      </x:c>
    </x:row>
    <x:row r="692" ht="22" customHeight="1">
      <x:c r="A692" s="1" t="str">
        <x:v>TOPIXmini</x:v>
      </x:c>
      <x:c r="B692" s="1" t="str">
        <x:v>H01</x:v>
      </x:c>
      <x:c r="C692" s="1" t="str">
        <x:v>診断3場</x:v>
      </x:c>
      <x:c r="D692" s="45" t="n">
        <x:v>52503</x:v>
      </x:c>
      <x:c r="E692" s="45" t="n">
        <x:v>114825</x:v>
      </x:c>
      <x:c r="F692" s="45" t="n">
        <x:f>D692-E692</x:f>
        <x:v>-62322</x:v>
      </x:c>
      <x:c r="G692" s="47" t="n">
        <x:v>0</x:v>
      </x:c>
      <x:c r="H692" s="47" t="n">
        <x:v>1</x:v>
      </x:c>
      <x:c r="I692" s="45" t="n">
        <x:v>-62322</x:v>
      </x:c>
      <x:c r="J692" s="47" t="n">
        <x:v>10</x:v>
      </x:c>
      <x:c r="K692" s="45" t="n">
        <x:v>-62322</x:v>
      </x:c>
      <x:c r="L692" s="45" t="n">
        <x:v>62322</x:v>
      </x:c>
      <x:c r="M692" s="46" t="n">
        <x:v>43.95</x:v>
      </x:c>
      <x:c r="N692" s="46" t="n">
        <x:v>194.26666666666668</x:v>
      </x:c>
      <x:c r="O692" s="47" t="n">
        <x:v>5</x:v>
      </x:c>
      <x:c r="P692" s="1" t="str">
        <x:v>逆行で半減し元の停止追尾を残す</x:v>
      </x:c>
      <x:c r="Q692" s="47" t="n">
        <x:v>0</x:v>
      </x:c>
      <x:c r="R692" s="1" t="str">
        <x:v>デイ</x:v>
      </x:c>
      <x:c r="S692" s="47" t="n">
        <x:v>1</x:v>
      </x:c>
    </x:row>
    <x:row r="693" ht="22" customHeight="1">
      <x:c r="A693" s="1" t="str">
        <x:v>TOPIXmini</x:v>
      </x:c>
      <x:c r="B693" s="1" t="str">
        <x:v>H01</x:v>
      </x:c>
      <x:c r="C693" s="1" t="str">
        <x:v>診断3場</x:v>
      </x:c>
      <x:c r="D693" s="45" t="n">
        <x:v>123500</x:v>
      </x:c>
      <x:c r="E693" s="45" t="n">
        <x:v>48001</x:v>
      </x:c>
      <x:c r="F693" s="45" t="n">
        <x:f>D693-E693</x:f>
        <x:v>75499</x:v>
      </x:c>
      <x:c r="G693" s="47" t="n">
        <x:v>2</x:v>
      </x:c>
      <x:c r="H693" s="47" t="n">
        <x:v>0</x:v>
      </x:c>
      <x:c r="I693" s="45" t="n">
        <x:v>0</x:v>
      </x:c>
      <x:c r="J693" s="47" t="n">
        <x:v>12</x:v>
      </x:c>
      <x:c r="K693" s="45" t="n">
        <x:v>28585</x:v>
      </x:c>
      <x:c r="L693" s="45" t="n">
        <x:v>0</x:v>
      </x:c>
      <x:c r="M693" s="46" t="n">
        <x:v>98.28333333333333</x:v>
      </x:c>
      <x:c r="N693" s="46" t="n">
        <x:v>79.71666666666667</x:v>
      </x:c>
      <x:c r="O693" s="47" t="n">
        <x:v>5</x:v>
      </x:c>
      <x:c r="P693" s="1" t="str">
        <x:v>逆行で半減し元の停止追尾を残す</x:v>
      </x:c>
      <x:c r="Q693" s="47" t="n">
        <x:v>0</x:v>
      </x:c>
      <x:c r="R693" s="1" t="str">
        <x:v>ナイト</x:v>
      </x:c>
      <x:c r="S693" s="47" t="n">
        <x:v>2</x:v>
      </x:c>
    </x:row>
    <x:row r="694" ht="22" customHeight="1">
      <x:c r="A694" s="1" t="str">
        <x:v>TOPIXmini</x:v>
      </x:c>
      <x:c r="B694" s="1" t="str">
        <x:v>H01</x:v>
      </x:c>
      <x:c r="C694" s="1" t="str">
        <x:v>診断3場</x:v>
      </x:c>
      <x:c r="D694" s="45" t="n">
        <x:v>40750</x:v>
      </x:c>
      <x:c r="E694" s="45" t="n">
        <x:v>12165</x:v>
      </x:c>
      <x:c r="F694" s="45" t="n">
        <x:f>D694-E694</x:f>
        <x:v>28585</x:v>
      </x:c>
      <x:c r="G694" s="47" t="n">
        <x:v>1</x:v>
      </x:c>
      <x:c r="H694" s="47" t="n">
        <x:v>0</x:v>
      </x:c>
      <x:c r="I694" s="45" t="n">
        <x:v>0</x:v>
      </x:c>
      <x:c r="J694" s="47" t="n">
        <x:v>4</x:v>
      </x:c>
      <x:c r="K694" s="45" t="n">
        <x:v>28585</x:v>
      </x:c>
      <x:c r="L694" s="45" t="n">
        <x:v>0</x:v>
      </x:c>
      <x:c r="M694" s="46" t="n">
        <x:v>125.63333333333334</x:v>
      </x:c>
      <x:c r="N694" s="46" t="n">
        <x:v>75.2</x:v>
      </x:c>
      <x:c r="O694" s="47" t="n">
        <x:v>5</x:v>
      </x:c>
      <x:c r="P694" s="1" t="str">
        <x:v>逆行で半減し元の停止追尾を残す</x:v>
      </x:c>
      <x:c r="Q694" s="47" t="n">
        <x:v>0</x:v>
      </x:c>
      <x:c r="R694" s="1" t="str">
        <x:v>上昇</x:v>
      </x:c>
      <x:c r="S694" s="47" t="n">
        <x:v>1</x:v>
      </x:c>
    </x:row>
    <x:row r="695" ht="22" customHeight="1">
      <x:c r="A695" s="1" t="str">
        <x:v>TOPIXmini</x:v>
      </x:c>
      <x:c r="B695" s="1" t="str">
        <x:v>H01</x:v>
      </x:c>
      <x:c r="C695" s="1" t="str">
        <x:v>診断3場</x:v>
      </x:c>
      <x:c r="D695" s="45" t="n">
        <x:v>135253</x:v>
      </x:c>
      <x:c r="E695" s="45" t="n">
        <x:v>150661</x:v>
      </x:c>
      <x:c r="F695" s="45" t="n">
        <x:f>D695-E695</x:f>
        <x:v>-15408</x:v>
      </x:c>
      <x:c r="G695" s="47" t="n">
        <x:v>1</x:v>
      </x:c>
      <x:c r="H695" s="47" t="n">
        <x:v>1</x:v>
      </x:c>
      <x:c r="I695" s="45" t="n">
        <x:v>-62322</x:v>
      </x:c>
      <x:c r="J695" s="47" t="n">
        <x:v>18</x:v>
      </x:c>
      <x:c r="K695" s="45" t="n">
        <x:v>-62322</x:v>
      </x:c>
      <x:c r="L695" s="45" t="n">
        <x:v>62322</x:v>
      </x:c>
      <x:c r="M695" s="46" t="n">
        <x:v>57.44166666666667</x:v>
      </x:c>
      <x:c r="N695" s="46" t="n">
        <x:v>139.25</x:v>
      </x:c>
      <x:c r="O695" s="47" t="n">
        <x:v>5</x:v>
      </x:c>
      <x:c r="P695" s="1" t="str">
        <x:v>逆行で半減し元の停止追尾を残す</x:v>
      </x:c>
      <x:c r="Q695" s="47" t="n">
        <x:v>0</x:v>
      </x:c>
      <x:c r="R695" s="1" t="str">
        <x:v>下落</x:v>
      </x:c>
      <x:c r="S695" s="47" t="n">
        <x:v>2</x:v>
      </x:c>
    </x:row>
    <x:row r="696" ht="22" customHeight="1">
      <x:c r="A696" s="1" t="str">
        <x:v>TOPIXmini</x:v>
      </x:c>
      <x:c r="B696" s="1" t="str">
        <x:v>H02</x:v>
      </x:c>
      <x:c r="C696" s="1" t="str">
        <x:v>全50場</x:v>
      </x:c>
      <x:c r="D696" s="45" t="n">
        <x:v>2302313</x:v>
      </x:c>
      <x:c r="E696" s="45" t="n">
        <x:v>1542433</x:v>
      </x:c>
      <x:c r="F696" s="45" t="n">
        <x:f>D696-E696</x:f>
        <x:v>759880</x:v>
      </x:c>
      <x:c r="G696" s="47" t="n">
        <x:v>37</x:v>
      </x:c>
      <x:c r="H696" s="47" t="n">
        <x:v>13</x:v>
      </x:c>
      <x:c r="I696" s="45" t="n">
        <x:v>413629</x:v>
      </x:c>
      <x:c r="J696" s="47" t="n">
        <x:v>166</x:v>
      </x:c>
      <x:c r="K696" s="45" t="n">
        <x:v>-81168</x:v>
      </x:c>
      <x:c r="L696" s="45" t="n">
        <x:v>37036.846153846156</x:v>
      </x:c>
      <x:c r="M696" s="46" t="n">
        <x:v>199.60933333333335</x:v>
      </x:c>
      <x:c r="N696" s="46" t="n">
        <x:v>135.67466666666667</x:v>
      </x:c>
      <x:c r="O696" s="47" t="n">
        <x:v>5</x:v>
      </x:c>
      <x:c r="P696" s="1" t="str">
        <x:v>再進行確認・追撃保護と逆行半減</x:v>
      </x:c>
      <x:c r="Q696" s="47" t="n">
        <x:v>0</x:v>
      </x:c>
      <x:c r="R696" s="1" t="str">
        <x:v>全場</x:v>
      </x:c>
      <x:c r="S696" s="47" t="n">
        <x:v>50</x:v>
      </x:c>
    </x:row>
    <x:row r="697" ht="22" customHeight="1">
      <x:c r="A697" s="1" t="str">
        <x:v>TOPIXmini</x:v>
      </x:c>
      <x:c r="B697" s="1" t="str">
        <x:v>H02</x:v>
      </x:c>
      <x:c r="C697" s="1" t="str">
        <x:v>全50場</x:v>
      </x:c>
      <x:c r="D697" s="45" t="n">
        <x:v>1279597</x:v>
      </x:c>
      <x:c r="E697" s="45" t="n">
        <x:v>899823</x:v>
      </x:c>
      <x:c r="F697" s="45" t="n">
        <x:f>D697-E697</x:f>
        <x:v>379774</x:v>
      </x:c>
      <x:c r="G697" s="47" t="n">
        <x:v>15</x:v>
      </x:c>
      <x:c r="H697" s="47" t="n">
        <x:v>10</x:v>
      </x:c>
      <x:c r="I697" s="45" t="n">
        <x:v>58191</x:v>
      </x:c>
      <x:c r="J697" s="47" t="n">
        <x:v>83</x:v>
      </x:c>
      <x:c r="K697" s="45" t="n">
        <x:v>-81168</x:v>
      </x:c>
      <x:c r="L697" s="45" t="n">
        <x:v>36580.3</x:v>
      </x:c>
      <x:c r="M697" s="46" t="n">
        <x:v>87.81933333333332</x:v>
      </x:c>
      <x:c r="N697" s="46" t="n">
        <x:v>201.42933333333335</x:v>
      </x:c>
      <x:c r="O697" s="47" t="n">
        <x:v>5</x:v>
      </x:c>
      <x:c r="P697" s="1" t="str">
        <x:v>再進行確認・追撃保護と逆行半減</x:v>
      </x:c>
      <x:c r="Q697" s="47" t="n">
        <x:v>0</x:v>
      </x:c>
      <x:c r="R697" s="1" t="str">
        <x:v>デイ</x:v>
      </x:c>
      <x:c r="S697" s="47" t="n">
        <x:v>25</x:v>
      </x:c>
    </x:row>
    <x:row r="698" ht="22" customHeight="1">
      <x:c r="A698" s="1" t="str">
        <x:v>TOPIXmini</x:v>
      </x:c>
      <x:c r="B698" s="1" t="str">
        <x:v>H02</x:v>
      </x:c>
      <x:c r="C698" s="1" t="str">
        <x:v>全50場</x:v>
      </x:c>
      <x:c r="D698" s="45" t="n">
        <x:v>1022716</x:v>
      </x:c>
      <x:c r="E698" s="45" t="n">
        <x:v>642610</x:v>
      </x:c>
      <x:c r="F698" s="45" t="n">
        <x:f>D698-E698</x:f>
        <x:v>380106</x:v>
      </x:c>
      <x:c r="G698" s="47" t="n">
        <x:v>22</x:v>
      </x:c>
      <x:c r="H698" s="47" t="n">
        <x:v>3</x:v>
      </x:c>
      <x:c r="I698" s="45" t="n">
        <x:v>178701</x:v>
      </x:c>
      <x:c r="J698" s="47" t="n">
        <x:v>83</x:v>
      </x:c>
      <x:c r="K698" s="45" t="n">
        <x:v>-40836</x:v>
      </x:c>
      <x:c r="L698" s="45" t="n">
        <x:v>38558.666666666664</x:v>
      </x:c>
      <x:c r="M698" s="46" t="n">
        <x:v>311.3993333333333</x:v>
      </x:c>
      <x:c r="N698" s="46" t="n">
        <x:v>69.91999999999999</x:v>
      </x:c>
      <x:c r="O698" s="47" t="n">
        <x:v>5</x:v>
      </x:c>
      <x:c r="P698" s="1" t="str">
        <x:v>再進行確認・追撃保護と逆行半減</x:v>
      </x:c>
      <x:c r="Q698" s="47" t="n">
        <x:v>0</x:v>
      </x:c>
      <x:c r="R698" s="1" t="str">
        <x:v>ナイト</x:v>
      </x:c>
      <x:c r="S698" s="47" t="n">
        <x:v>25</x:v>
      </x:c>
    </x:row>
    <x:row r="699" ht="22" customHeight="1">
      <x:c r="A699" s="1" t="str">
        <x:v>TOPIXmini</x:v>
      </x:c>
      <x:c r="B699" s="1" t="str">
        <x:v>H02</x:v>
      </x:c>
      <x:c r="C699" s="1" t="str">
        <x:v>全50場</x:v>
      </x:c>
      <x:c r="D699" s="45" t="n">
        <x:v>993323</x:v>
      </x:c>
      <x:c r="E699" s="45" t="n">
        <x:v>760934</x:v>
      </x:c>
      <x:c r="F699" s="45" t="n">
        <x:f>D699-E699</x:f>
        <x:v>232389</x:v>
      </x:c>
      <x:c r="G699" s="47" t="n">
        <x:v>17</x:v>
      </x:c>
      <x:c r="H699" s="47" t="n">
        <x:v>7</x:v>
      </x:c>
      <x:c r="I699" s="45" t="n">
        <x:v>-7278</x:v>
      </x:c>
      <x:c r="J699" s="47" t="n">
        <x:v>71</x:v>
      </x:c>
      <x:c r="K699" s="45" t="n">
        <x:v>-81168</x:v>
      </x:c>
      <x:c r="L699" s="45" t="n">
        <x:v>42500.142857142855</x:v>
      </x:c>
      <x:c r="M699" s="46" t="n">
        <x:v>205.46319444444444</x:v>
      </x:c>
      <x:c r="N699" s="46" t="n">
        <x:v>131.20277777777778</x:v>
      </x:c>
      <x:c r="O699" s="47" t="n">
        <x:v>5</x:v>
      </x:c>
      <x:c r="P699" s="1" t="str">
        <x:v>再進行確認・追撃保護と逆行半減</x:v>
      </x:c>
      <x:c r="Q699" s="47" t="n">
        <x:v>0</x:v>
      </x:c>
      <x:c r="R699" s="1" t="str">
        <x:v>上昇</x:v>
      </x:c>
      <x:c r="S699" s="47" t="n">
        <x:v>24</x:v>
      </x:c>
    </x:row>
    <x:row r="700" ht="22" customHeight="1">
      <x:c r="A700" s="1" t="str">
        <x:v>TOPIXmini</x:v>
      </x:c>
      <x:c r="B700" s="1" t="str">
        <x:v>H02</x:v>
      </x:c>
      <x:c r="C700" s="1" t="str">
        <x:v>全50場</x:v>
      </x:c>
      <x:c r="D700" s="45" t="n">
        <x:v>1308990</x:v>
      </x:c>
      <x:c r="E700" s="45" t="n">
        <x:v>781499</x:v>
      </x:c>
      <x:c r="F700" s="45" t="n">
        <x:f>D700-E700</x:f>
        <x:v>527491</x:v>
      </x:c>
      <x:c r="G700" s="47" t="n">
        <x:v>20</x:v>
      </x:c>
      <x:c r="H700" s="47" t="n">
        <x:v>6</x:v>
      </x:c>
      <x:c r="I700" s="45" t="n">
        <x:v>181412</x:v>
      </x:c>
      <x:c r="J700" s="47" t="n">
        <x:v>95</x:v>
      </x:c>
      <x:c r="K700" s="45" t="n">
        <x:v>-74490</x:v>
      </x:c>
      <x:c r="L700" s="45" t="n">
        <x:v>30663</x:v>
      </x:c>
      <x:c r="M700" s="46" t="n">
        <x:v>194.20576923076922</x:v>
      </x:c>
      <x:c r="N700" s="46" t="n">
        <x:v>139.8025641025641</x:v>
      </x:c>
      <x:c r="O700" s="47" t="n">
        <x:v>5</x:v>
      </x:c>
      <x:c r="P700" s="1" t="str">
        <x:v>再進行確認・追撃保護と逆行半減</x:v>
      </x:c>
      <x:c r="Q700" s="47" t="n">
        <x:v>0</x:v>
      </x:c>
      <x:c r="R700" s="1" t="str">
        <x:v>下落</x:v>
      </x:c>
      <x:c r="S700" s="47" t="n">
        <x:v>26</x:v>
      </x:c>
    </x:row>
    <x:row r="701" ht="22" customHeight="1">
      <x:c r="A701" s="1" t="str">
        <x:v>TOPIXmini</x:v>
      </x:c>
      <x:c r="B701" s="1" t="str">
        <x:v>H02</x:v>
      </x:c>
      <x:c r="C701" s="1" t="str">
        <x:v>対照47場</x:v>
      </x:c>
      <x:c r="D701" s="45" t="n">
        <x:v>2144813</x:v>
      </x:c>
      <x:c r="E701" s="45" t="n">
        <x:v>1372442</x:v>
      </x:c>
      <x:c r="F701" s="45" t="n">
        <x:f>D701-E701</x:f>
        <x:v>772371</x:v>
      </x:c>
      <x:c r="G701" s="47" t="n">
        <x:v>35</x:v>
      </x:c>
      <x:c r="H701" s="47" t="n">
        <x:v>12</x:v>
      </x:c>
      <x:c r="I701" s="45" t="n">
        <x:v>426120</x:v>
      </x:c>
      <x:c r="J701" s="47" t="n">
        <x:v>146</x:v>
      </x:c>
      <x:c r="K701" s="45" t="n">
        <x:v>-81168</x:v>
      </x:c>
      <x:c r="L701" s="45" t="n">
        <x:v>33915.75</x:v>
      </x:c>
      <x:c r="M701" s="46" t="n">
        <x:v>207.2173758865248</x:v>
      </x:c>
      <x:c r="N701" s="46" t="n">
        <x:v>137.11418439716311</x:v>
      </x:c>
      <x:c r="O701" s="47" t="n">
        <x:v>5</x:v>
      </x:c>
      <x:c r="P701" s="1" t="str">
        <x:v>再進行確認・追撃保護と逆行半減</x:v>
      </x:c>
      <x:c r="Q701" s="47" t="n">
        <x:v>0</x:v>
      </x:c>
      <x:c r="R701" s="1" t="str">
        <x:v>全場</x:v>
      </x:c>
      <x:c r="S701" s="47" t="n">
        <x:v>47</x:v>
      </x:c>
    </x:row>
    <x:row r="702" ht="22" customHeight="1">
      <x:c r="A702" s="1" t="str">
        <x:v>TOPIXmini</x:v>
      </x:c>
      <x:c r="B702" s="1" t="str">
        <x:v>H02</x:v>
      </x:c>
      <x:c r="C702" s="1" t="str">
        <x:v>対照47場</x:v>
      </x:c>
      <x:c r="D702" s="45" t="n">
        <x:v>1239762</x:v>
      </x:c>
      <x:c r="E702" s="45" t="n">
        <x:v>785498</x:v>
      </x:c>
      <x:c r="F702" s="45" t="n">
        <x:f>D702-E702</x:f>
        <x:v>454264</x:v>
      </x:c>
      <x:c r="G702" s="47" t="n">
        <x:v>15</x:v>
      </x:c>
      <x:c r="H702" s="47" t="n">
        <x:v>9</x:v>
      </x:c>
      <x:c r="I702" s="45" t="n">
        <x:v>132681</x:v>
      </x:c>
      <x:c r="J702" s="47" t="n">
        <x:v>75</x:v>
      </x:c>
      <x:c r="K702" s="45" t="n">
        <x:v>-81168</x:v>
      </x:c>
      <x:c r="L702" s="45" t="n">
        <x:v>32368.11111111111</x:v>
      </x:c>
      <x:c r="M702" s="46" t="n">
        <x:v>89.64722222222223</x:v>
      </x:c>
      <x:c r="N702" s="46" t="n">
        <x:v>202.27986111111113</x:v>
      </x:c>
      <x:c r="O702" s="47" t="n">
        <x:v>5</x:v>
      </x:c>
      <x:c r="P702" s="1" t="str">
        <x:v>再進行確認・追撃保護と逆行半減</x:v>
      </x:c>
      <x:c r="Q702" s="47" t="n">
        <x:v>0</x:v>
      </x:c>
      <x:c r="R702" s="1" t="str">
        <x:v>デイ</x:v>
      </x:c>
      <x:c r="S702" s="47" t="n">
        <x:v>24</x:v>
      </x:c>
    </x:row>
    <x:row r="703" ht="22" customHeight="1">
      <x:c r="A703" s="1" t="str">
        <x:v>TOPIXmini</x:v>
      </x:c>
      <x:c r="B703" s="1" t="str">
        <x:v>H02</x:v>
      </x:c>
      <x:c r="C703" s="1" t="str">
        <x:v>対照47場</x:v>
      </x:c>
      <x:c r="D703" s="45" t="n">
        <x:v>905051</x:v>
      </x:c>
      <x:c r="E703" s="45" t="n">
        <x:v>586944</x:v>
      </x:c>
      <x:c r="F703" s="45" t="n">
        <x:f>D703-E703</x:f>
        <x:v>318107</x:v>
      </x:c>
      <x:c r="G703" s="47" t="n">
        <x:v>20</x:v>
      </x:c>
      <x:c r="H703" s="47" t="n">
        <x:v>3</x:v>
      </x:c>
      <x:c r="I703" s="45" t="n">
        <x:v>116702</x:v>
      </x:c>
      <x:c r="J703" s="47" t="n">
        <x:v>71</x:v>
      </x:c>
      <x:c r="K703" s="45" t="n">
        <x:v>-40836</x:v>
      </x:c>
      <x:c r="L703" s="45" t="n">
        <x:v>38558.666666666664</x:v>
      </x:c>
      <x:c r="M703" s="46" t="n">
        <x:v>329.8992753623188</x:v>
      </x:c>
      <x:c r="N703" s="46" t="n">
        <x:v>69.11521739130434</x:v>
      </x:c>
      <x:c r="O703" s="47" t="n">
        <x:v>5</x:v>
      </x:c>
      <x:c r="P703" s="1" t="str">
        <x:v>再進行確認・追撃保護と逆行半減</x:v>
      </x:c>
      <x:c r="Q703" s="47" t="n">
        <x:v>0</x:v>
      </x:c>
      <x:c r="R703" s="1" t="str">
        <x:v>ナイト</x:v>
      </x:c>
      <x:c r="S703" s="47" t="n">
        <x:v>23</x:v>
      </x:c>
    </x:row>
    <x:row r="704" ht="22" customHeight="1">
      <x:c r="A704" s="1" t="str">
        <x:v>TOPIXmini</x:v>
      </x:c>
      <x:c r="B704" s="1" t="str">
        <x:v>H02</x:v>
      </x:c>
      <x:c r="C704" s="1" t="str">
        <x:v>対照47場</x:v>
      </x:c>
      <x:c r="D704" s="45" t="n">
        <x:v>953573</x:v>
      </x:c>
      <x:c r="E704" s="45" t="n">
        <x:v>748769</x:v>
      </x:c>
      <x:c r="F704" s="45" t="n">
        <x:f>D704-E704</x:f>
        <x:v>204804</x:v>
      </x:c>
      <x:c r="G704" s="47" t="n">
        <x:v>16</x:v>
      </x:c>
      <x:c r="H704" s="47" t="n">
        <x:v>7</x:v>
      </x:c>
      <x:c r="I704" s="45" t="n">
        <x:v>-34863</x:v>
      </x:c>
      <x:c r="J704" s="47" t="n">
        <x:v>67</x:v>
      </x:c>
      <x:c r="K704" s="45" t="n">
        <x:v>-81168</x:v>
      </x:c>
      <x:c r="L704" s="45" t="n">
        <x:v>42500.142857142855</x:v>
      </x:c>
      <x:c r="M704" s="46" t="n">
        <x:v>208.91956521739132</x:v>
      </x:c>
      <x:c r="N704" s="46" t="n">
        <x:v>133.6521739130435</x:v>
      </x:c>
      <x:c r="O704" s="47" t="n">
        <x:v>5</x:v>
      </x:c>
      <x:c r="P704" s="1" t="str">
        <x:v>再進行確認・追撃保護と逆行半減</x:v>
      </x:c>
      <x:c r="Q704" s="47" t="n">
        <x:v>0</x:v>
      </x:c>
      <x:c r="R704" s="1" t="str">
        <x:v>上昇</x:v>
      </x:c>
      <x:c r="S704" s="47" t="n">
        <x:v>23</x:v>
      </x:c>
    </x:row>
    <x:row r="705" ht="22" customHeight="1">
      <x:c r="A705" s="1" t="str">
        <x:v>TOPIXmini</x:v>
      </x:c>
      <x:c r="B705" s="1" t="str">
        <x:v>H02</x:v>
      </x:c>
      <x:c r="C705" s="1" t="str">
        <x:v>対照47場</x:v>
      </x:c>
      <x:c r="D705" s="45" t="n">
        <x:v>1191240</x:v>
      </x:c>
      <x:c r="E705" s="45" t="n">
        <x:v>623673</x:v>
      </x:c>
      <x:c r="F705" s="45" t="n">
        <x:f>D705-E705</x:f>
        <x:v>567567</x:v>
      </x:c>
      <x:c r="G705" s="47" t="n">
        <x:v>19</x:v>
      </x:c>
      <x:c r="H705" s="47" t="n">
        <x:v>5</x:v>
      </x:c>
      <x:c r="I705" s="45" t="n">
        <x:v>221488</x:v>
      </x:c>
      <x:c r="J705" s="47" t="n">
        <x:v>79</x:v>
      </x:c>
      <x:c r="K705" s="45" t="n">
        <x:v>-40836</x:v>
      </x:c>
      <x:c r="L705" s="45" t="n">
        <x:v>21897.6</x:v>
      </x:c>
      <x:c r="M705" s="46" t="n">
        <x:v>205.5861111111111</x:v>
      </x:c>
      <x:c r="N705" s="46" t="n">
        <x:v>140.43194444444444</x:v>
      </x:c>
      <x:c r="O705" s="47" t="n">
        <x:v>5</x:v>
      </x:c>
      <x:c r="P705" s="1" t="str">
        <x:v>再進行確認・追撃保護と逆行半減</x:v>
      </x:c>
      <x:c r="Q705" s="47" t="n">
        <x:v>0</x:v>
      </x:c>
      <x:c r="R705" s="1" t="str">
        <x:v>下落</x:v>
      </x:c>
      <x:c r="S705" s="47" t="n">
        <x:v>24</x:v>
      </x:c>
    </x:row>
    <x:row r="706" ht="22" customHeight="1">
      <x:c r="A706" s="1" t="str">
        <x:v>TOPIXmini</x:v>
      </x:c>
      <x:c r="B706" s="1" t="str">
        <x:v>H02</x:v>
      </x:c>
      <x:c r="C706" s="1" t="str">
        <x:v>診断3場</x:v>
      </x:c>
      <x:c r="D706" s="45" t="n">
        <x:v>157500</x:v>
      </x:c>
      <x:c r="E706" s="45" t="n">
        <x:v>169991</x:v>
      </x:c>
      <x:c r="F706" s="45" t="n">
        <x:f>D706-E706</x:f>
        <x:v>-12491</x:v>
      </x:c>
      <x:c r="G706" s="47" t="n">
        <x:v>2</x:v>
      </x:c>
      <x:c r="H706" s="47" t="n">
        <x:v>1</x:v>
      </x:c>
      <x:c r="I706" s="45" t="n">
        <x:v>-74490</x:v>
      </x:c>
      <x:c r="J706" s="47" t="n">
        <x:v>20</x:v>
      </x:c>
      <x:c r="K706" s="45" t="n">
        <x:v>-74490</x:v>
      </x:c>
      <x:c r="L706" s="45" t="n">
        <x:v>74490</x:v>
      </x:c>
      <x:c r="M706" s="46" t="n">
        <x:v>80.41666666666667</x:v>
      </x:c>
      <x:c r="N706" s="46" t="n">
        <x:v>113.12222222222222</x:v>
      </x:c>
      <x:c r="O706" s="47" t="n">
        <x:v>5</x:v>
      </x:c>
      <x:c r="P706" s="1" t="str">
        <x:v>再進行確認・追撃保護と逆行半減</x:v>
      </x:c>
      <x:c r="Q706" s="47" t="n">
        <x:v>0</x:v>
      </x:c>
      <x:c r="R706" s="1" t="str">
        <x:v>全場</x:v>
      </x:c>
      <x:c r="S706" s="47" t="n">
        <x:v>3</x:v>
      </x:c>
    </x:row>
    <x:row r="707" ht="22" customHeight="1">
      <x:c r="A707" s="1" t="str">
        <x:v>TOPIXmini</x:v>
      </x:c>
      <x:c r="B707" s="1" t="str">
        <x:v>H02</x:v>
      </x:c>
      <x:c r="C707" s="1" t="str">
        <x:v>診断3場</x:v>
      </x:c>
      <x:c r="D707" s="45" t="n">
        <x:v>39835</x:v>
      </x:c>
      <x:c r="E707" s="45" t="n">
        <x:v>114325</x:v>
      </x:c>
      <x:c r="F707" s="45" t="n">
        <x:f>D707-E707</x:f>
        <x:v>-74490</x:v>
      </x:c>
      <x:c r="G707" s="47" t="n">
        <x:v>0</x:v>
      </x:c>
      <x:c r="H707" s="47" t="n">
        <x:v>1</x:v>
      </x:c>
      <x:c r="I707" s="45" t="n">
        <x:v>-74490</x:v>
      </x:c>
      <x:c r="J707" s="47" t="n">
        <x:v>8</x:v>
      </x:c>
      <x:c r="K707" s="45" t="n">
        <x:v>-74490</x:v>
      </x:c>
      <x:c r="L707" s="45" t="n">
        <x:v>74490</x:v>
      </x:c>
      <x:c r="M707" s="46" t="n">
        <x:v>43.95</x:v>
      </x:c>
      <x:c r="N707" s="46" t="n">
        <x:v>181.01666666666668</x:v>
      </x:c>
      <x:c r="O707" s="47" t="n">
        <x:v>5</x:v>
      </x:c>
      <x:c r="P707" s="1" t="str">
        <x:v>再進行確認・追撃保護と逆行半減</x:v>
      </x:c>
      <x:c r="Q707" s="47" t="n">
        <x:v>0</x:v>
      </x:c>
      <x:c r="R707" s="1" t="str">
        <x:v>デイ</x:v>
      </x:c>
      <x:c r="S707" s="47" t="n">
        <x:v>1</x:v>
      </x:c>
    </x:row>
    <x:row r="708" ht="22" customHeight="1">
      <x:c r="A708" s="1" t="str">
        <x:v>TOPIXmini</x:v>
      </x:c>
      <x:c r="B708" s="1" t="str">
        <x:v>H02</x:v>
      </x:c>
      <x:c r="C708" s="1" t="str">
        <x:v>診断3場</x:v>
      </x:c>
      <x:c r="D708" s="45" t="n">
        <x:v>117665</x:v>
      </x:c>
      <x:c r="E708" s="45" t="n">
        <x:v>55666</x:v>
      </x:c>
      <x:c r="F708" s="45" t="n">
        <x:f>D708-E708</x:f>
        <x:v>61999</x:v>
      </x:c>
      <x:c r="G708" s="47" t="n">
        <x:v>2</x:v>
      </x:c>
      <x:c r="H708" s="47" t="n">
        <x:v>0</x:v>
      </x:c>
      <x:c r="I708" s="45" t="n">
        <x:v>0</x:v>
      </x:c>
      <x:c r="J708" s="47" t="n">
        <x:v>12</x:v>
      </x:c>
      <x:c r="K708" s="45" t="n">
        <x:v>27585</x:v>
      </x:c>
      <x:c r="L708" s="45" t="n">
        <x:v>0</x:v>
      </x:c>
      <x:c r="M708" s="46" t="n">
        <x:v>98.65</x:v>
      </x:c>
      <x:c r="N708" s="46" t="n">
        <x:v>79.175</x:v>
      </x:c>
      <x:c r="O708" s="47" t="n">
        <x:v>5</x:v>
      </x:c>
      <x:c r="P708" s="1" t="str">
        <x:v>再進行確認・追撃保護と逆行半減</x:v>
      </x:c>
      <x:c r="Q708" s="47" t="n">
        <x:v>0</x:v>
      </x:c>
      <x:c r="R708" s="1" t="str">
        <x:v>ナイト</x:v>
      </x:c>
      <x:c r="S708" s="47" t="n">
        <x:v>2</x:v>
      </x:c>
    </x:row>
    <x:row r="709" ht="22" customHeight="1">
      <x:c r="A709" s="1" t="str">
        <x:v>TOPIXmini</x:v>
      </x:c>
      <x:c r="B709" s="1" t="str">
        <x:v>H02</x:v>
      </x:c>
      <x:c r="C709" s="1" t="str">
        <x:v>診断3場</x:v>
      </x:c>
      <x:c r="D709" s="45" t="n">
        <x:v>39750</x:v>
      </x:c>
      <x:c r="E709" s="45" t="n">
        <x:v>12165</x:v>
      </x:c>
      <x:c r="F709" s="45" t="n">
        <x:f>D709-E709</x:f>
        <x:v>27585</x:v>
      </x:c>
      <x:c r="G709" s="47" t="n">
        <x:v>1</x:v>
      </x:c>
      <x:c r="H709" s="47" t="n">
        <x:v>0</x:v>
      </x:c>
      <x:c r="I709" s="45" t="n">
        <x:v>0</x:v>
      </x:c>
      <x:c r="J709" s="47" t="n">
        <x:v>4</x:v>
      </x:c>
      <x:c r="K709" s="45" t="n">
        <x:v>27585</x:v>
      </x:c>
      <x:c r="L709" s="45" t="n">
        <x:v>0</x:v>
      </x:c>
      <x:c r="M709" s="46" t="n">
        <x:v>125.96666666666667</x:v>
      </x:c>
      <x:c r="N709" s="46" t="n">
        <x:v>74.86666666666666</x:v>
      </x:c>
      <x:c r="O709" s="47" t="n">
        <x:v>5</x:v>
      </x:c>
      <x:c r="P709" s="1" t="str">
        <x:v>再進行確認・追撃保護と逆行半減</x:v>
      </x:c>
      <x:c r="Q709" s="47" t="n">
        <x:v>0</x:v>
      </x:c>
      <x:c r="R709" s="1" t="str">
        <x:v>上昇</x:v>
      </x:c>
      <x:c r="S709" s="47" t="n">
        <x:v>1</x:v>
      </x:c>
    </x:row>
    <x:row r="710" ht="22" customHeight="1">
      <x:c r="A710" s="1" t="str">
        <x:v>TOPIXmini</x:v>
      </x:c>
      <x:c r="B710" s="1" t="str">
        <x:v>H02</x:v>
      </x:c>
      <x:c r="C710" s="1" t="str">
        <x:v>診断3場</x:v>
      </x:c>
      <x:c r="D710" s="45" t="n">
        <x:v>117750</x:v>
      </x:c>
      <x:c r="E710" s="45" t="n">
        <x:v>157826</x:v>
      </x:c>
      <x:c r="F710" s="45" t="n">
        <x:f>D710-E710</x:f>
        <x:v>-40076</x:v>
      </x:c>
      <x:c r="G710" s="47" t="n">
        <x:v>1</x:v>
      </x:c>
      <x:c r="H710" s="47" t="n">
        <x:v>1</x:v>
      </x:c>
      <x:c r="I710" s="45" t="n">
        <x:v>-74490</x:v>
      </x:c>
      <x:c r="J710" s="47" t="n">
        <x:v>16</x:v>
      </x:c>
      <x:c r="K710" s="45" t="n">
        <x:v>-74490</x:v>
      </x:c>
      <x:c r="L710" s="45" t="n">
        <x:v>74490</x:v>
      </x:c>
      <x:c r="M710" s="46" t="n">
        <x:v>57.641666666666666</x:v>
      </x:c>
      <x:c r="N710" s="46" t="n">
        <x:v>132.25</x:v>
      </x:c>
      <x:c r="O710" s="47" t="n">
        <x:v>5</x:v>
      </x:c>
      <x:c r="P710" s="1" t="str">
        <x:v>再進行確認・追撃保護と逆行半減</x:v>
      </x:c>
      <x:c r="Q710" s="47" t="n">
        <x:v>0</x:v>
      </x:c>
      <x:c r="R710" s="1" t="str">
        <x:v>下落</x:v>
      </x:c>
      <x:c r="S710" s="47" t="n">
        <x:v>2</x:v>
      </x:c>
    </x:row>
    <x:row r="711" ht="22" customHeight="1">
      <x:c r="A711" s="1" t="str">
        <x:v>TOPIXmini</x:v>
      </x:c>
      <x:c r="B711" s="1" t="str">
        <x:v>X01</x:v>
      </x:c>
      <x:c r="C711" s="1" t="str">
        <x:v>全50場</x:v>
      </x:c>
      <x:c r="D711" s="45" t="n">
        <x:v>1246869</x:v>
      </x:c>
      <x:c r="E711" s="45" t="n">
        <x:v>1087595</x:v>
      </x:c>
      <x:c r="F711" s="45" t="n">
        <x:f>D711-E711</x:f>
        <x:v>159274</x:v>
      </x:c>
      <x:c r="G711" s="47" t="n">
        <x:v>26</x:v>
      </x:c>
      <x:c r="H711" s="47" t="n">
        <x:v>24</x:v>
      </x:c>
      <x:c r="I711" s="45" t="n">
        <x:v>-76388</x:v>
      </x:c>
      <x:c r="J711" s="47" t="n">
        <x:v>119</x:v>
      </x:c>
      <x:c r="K711" s="45" t="n">
        <x:v>-58754</x:v>
      </x:c>
      <x:c r="L711" s="45" t="n">
        <x:v>24235.791666666668</x:v>
      </x:c>
      <x:c r="M711" s="46" t="n">
        <x:v>248.86666666666667</x:v>
      </x:c>
      <x:c r="N711" s="46" t="n">
        <x:v>42.705</x:v>
      </x:c>
      <x:c r="O711" s="47" t="n">
        <x:v>5</x:v>
      </x:c>
      <x:c r="P711" s="1" t="str">
        <x:v>元主担当に二市場価格逆行15秒退出</x:v>
      </x:c>
      <x:c r="Q711" s="47" t="n">
        <x:v>0</x:v>
      </x:c>
      <x:c r="R711" s="1" t="str">
        <x:v>全場</x:v>
      </x:c>
      <x:c r="S711" s="47" t="n">
        <x:v>50</x:v>
      </x:c>
    </x:row>
    <x:row r="712" ht="22" customHeight="1">
      <x:c r="A712" s="1" t="str">
        <x:v>TOPIXmini</x:v>
      </x:c>
      <x:c r="B712" s="1" t="str">
        <x:v>X01</x:v>
      </x:c>
      <x:c r="C712" s="1" t="str">
        <x:v>全50場</x:v>
      </x:c>
      <x:c r="D712" s="45" t="n">
        <x:v>619819</x:v>
      </x:c>
      <x:c r="E712" s="45" t="n">
        <x:v>533793</x:v>
      </x:c>
      <x:c r="F712" s="45" t="n">
        <x:f>D712-E712</x:f>
        <x:v>86026</x:v>
      </x:c>
      <x:c r="G712" s="47" t="n">
        <x:v>12</x:v>
      </x:c>
      <x:c r="H712" s="47" t="n">
        <x:v>13</x:v>
      </x:c>
      <x:c r="I712" s="45" t="n">
        <x:v>-149636</x:v>
      </x:c>
      <x:c r="J712" s="47" t="n">
        <x:v>55</x:v>
      </x:c>
      <x:c r="K712" s="45" t="n">
        <x:v>-58754</x:v>
      </x:c>
      <x:c r="L712" s="45" t="n">
        <x:v>25605.615384615383</x:v>
      </x:c>
      <x:c r="M712" s="46" t="n">
        <x:v>103.26933333333332</x:v>
      </x:c>
      <x:c r="N712" s="46" t="n">
        <x:v>45.07666666666667</x:v>
      </x:c>
      <x:c r="O712" s="47" t="n">
        <x:v>5</x:v>
      </x:c>
      <x:c r="P712" s="1" t="str">
        <x:v>元主担当に二市場価格逆行15秒退出</x:v>
      </x:c>
      <x:c r="Q712" s="47" t="n">
        <x:v>0</x:v>
      </x:c>
      <x:c r="R712" s="1" t="str">
        <x:v>デイ</x:v>
      </x:c>
      <x:c r="S712" s="47" t="n">
        <x:v>25</x:v>
      </x:c>
    </x:row>
    <x:row r="713" ht="22" customHeight="1">
      <x:c r="A713" s="1" t="str">
        <x:v>TOPIXmini</x:v>
      </x:c>
      <x:c r="B713" s="1" t="str">
        <x:v>X01</x:v>
      </x:c>
      <x:c r="C713" s="1" t="str">
        <x:v>全50場</x:v>
      </x:c>
      <x:c r="D713" s="45" t="n">
        <x:v>627050</x:v>
      </x:c>
      <x:c r="E713" s="45" t="n">
        <x:v>553802</x:v>
      </x:c>
      <x:c r="F713" s="45" t="n">
        <x:f>D713-E713</x:f>
        <x:v>73248</x:v>
      </x:c>
      <x:c r="G713" s="47" t="n">
        <x:v>14</x:v>
      </x:c>
      <x:c r="H713" s="47" t="n">
        <x:v>11</x:v>
      </x:c>
      <x:c r="I713" s="45" t="n">
        <x:v>-80490</x:v>
      </x:c>
      <x:c r="J713" s="47" t="n">
        <x:v>64</x:v>
      </x:c>
      <x:c r="K713" s="45" t="n">
        <x:v>-53754</x:v>
      </x:c>
      <x:c r="L713" s="45" t="n">
        <x:v>22616.909090909092</x:v>
      </x:c>
      <x:c r="M713" s="46" t="n">
        <x:v>394.464</x:v>
      </x:c>
      <x:c r="N713" s="46" t="n">
        <x:v>40.333333333333336</x:v>
      </x:c>
      <x:c r="O713" s="47" t="n">
        <x:v>5</x:v>
      </x:c>
      <x:c r="P713" s="1" t="str">
        <x:v>元主担当に二市場価格逆行15秒退出</x:v>
      </x:c>
      <x:c r="Q713" s="47" t="n">
        <x:v>0</x:v>
      </x:c>
      <x:c r="R713" s="1" t="str">
        <x:v>ナイト</x:v>
      </x:c>
      <x:c r="S713" s="47" t="n">
        <x:v>25</x:v>
      </x:c>
    </x:row>
    <x:row r="714" ht="22" customHeight="1">
      <x:c r="A714" s="1" t="str">
        <x:v>TOPIXmini</x:v>
      </x:c>
      <x:c r="B714" s="1" t="str">
        <x:v>X01</x:v>
      </x:c>
      <x:c r="C714" s="1" t="str">
        <x:v>全50場</x:v>
      </x:c>
      <x:c r="D714" s="45" t="n">
        <x:v>708312</x:v>
      </x:c>
      <x:c r="E714" s="45" t="n">
        <x:v>503376</x:v>
      </x:c>
      <x:c r="F714" s="45" t="n">
        <x:f>D714-E714</x:f>
        <x:v>204936</x:v>
      </x:c>
      <x:c r="G714" s="47" t="n">
        <x:v>15</x:v>
      </x:c>
      <x:c r="H714" s="47" t="n">
        <x:v>9</x:v>
      </x:c>
      <x:c r="I714" s="45" t="n">
        <x:v>16697</x:v>
      </x:c>
      <x:c r="J714" s="47" t="n">
        <x:v>54</x:v>
      </x:c>
      <x:c r="K714" s="45" t="n">
        <x:v>-53754</x:v>
      </x:c>
      <x:c r="L714" s="45" t="n">
        <x:v>27530.777777777777</x:v>
      </x:c>
      <x:c r="M714" s="46" t="n">
        <x:v>259.5180555555556</x:v>
      </x:c>
      <x:c r="N714" s="46" t="n">
        <x:v>48.11111111111111</x:v>
      </x:c>
      <x:c r="O714" s="47" t="n">
        <x:v>5</x:v>
      </x:c>
      <x:c r="P714" s="1" t="str">
        <x:v>元主担当に二市場価格逆行15秒退出</x:v>
      </x:c>
      <x:c r="Q714" s="47" t="n">
        <x:v>0</x:v>
      </x:c>
      <x:c r="R714" s="1" t="str">
        <x:v>上昇</x:v>
      </x:c>
      <x:c r="S714" s="47" t="n">
        <x:v>24</x:v>
      </x:c>
    </x:row>
    <x:row r="715" ht="22" customHeight="1">
      <x:c r="A715" s="1" t="str">
        <x:v>TOPIXmini</x:v>
      </x:c>
      <x:c r="B715" s="1" t="str">
        <x:v>X01</x:v>
      </x:c>
      <x:c r="C715" s="1" t="str">
        <x:v>全50場</x:v>
      </x:c>
      <x:c r="D715" s="45" t="n">
        <x:v>538557</x:v>
      </x:c>
      <x:c r="E715" s="45" t="n">
        <x:v>584219</x:v>
      </x:c>
      <x:c r="F715" s="45" t="n">
        <x:f>D715-E715</x:f>
        <x:v>-45662</x:v>
      </x:c>
      <x:c r="G715" s="47" t="n">
        <x:v>11</x:v>
      </x:c>
      <x:c r="H715" s="47" t="n">
        <x:v>15</x:v>
      </x:c>
      <x:c r="I715" s="45" t="n">
        <x:v>-240159</x:v>
      </x:c>
      <x:c r="J715" s="47" t="n">
        <x:v>65</x:v>
      </x:c>
      <x:c r="K715" s="45" t="n">
        <x:v>-58754</x:v>
      </x:c>
      <x:c r="L715" s="45" t="n">
        <x:v>22258.8</x:v>
      </x:c>
      <x:c r="M715" s="46" t="n">
        <x:v>239.03461538461536</x:v>
      </x:c>
      <x:c r="N715" s="46" t="n">
        <x:v>37.714743589743584</x:v>
      </x:c>
      <x:c r="O715" s="47" t="n">
        <x:v>5</x:v>
      </x:c>
      <x:c r="P715" s="1" t="str">
        <x:v>元主担当に二市場価格逆行15秒退出</x:v>
      </x:c>
      <x:c r="Q715" s="47" t="n">
        <x:v>0</x:v>
      </x:c>
      <x:c r="R715" s="1" t="str">
        <x:v>下落</x:v>
      </x:c>
      <x:c r="S715" s="47" t="n">
        <x:v>26</x:v>
      </x:c>
    </x:row>
    <x:row r="716" ht="22" customHeight="1">
      <x:c r="A716" s="1" t="str">
        <x:v>TOPIXmini</x:v>
      </x:c>
      <x:c r="B716" s="1" t="str">
        <x:v>X01</x:v>
      </x:c>
      <x:c r="C716" s="1" t="str">
        <x:v>対照47場</x:v>
      </x:c>
      <x:c r="D716" s="45" t="n">
        <x:v>1180623</x:v>
      </x:c>
      <x:c r="E716" s="45" t="n">
        <x:v>970087</x:v>
      </x:c>
      <x:c r="F716" s="45" t="n">
        <x:f>D716-E716</x:f>
        <x:v>210536</x:v>
      </x:c>
      <x:c r="G716" s="47" t="n">
        <x:v>25</x:v>
      </x:c>
      <x:c r="H716" s="47" t="n">
        <x:v>22</x:v>
      </x:c>
      <x:c r="I716" s="45" t="n">
        <x:v>-25126</x:v>
      </x:c>
      <x:c r="J716" s="47" t="n">
        <x:v>110</x:v>
      </x:c>
      <x:c r="K716" s="45" t="n">
        <x:v>-53754</x:v>
      </x:c>
      <x:c r="L716" s="45" t="n">
        <x:v>22726.68181818182</x:v>
      </x:c>
      <x:c r="M716" s="46" t="n">
        <x:v>246.12127659574466</x:v>
      </x:c>
      <x:c r="N716" s="46" t="n">
        <x:v>43.401773049645385</x:v>
      </x:c>
      <x:c r="O716" s="47" t="n">
        <x:v>5</x:v>
      </x:c>
      <x:c r="P716" s="1" t="str">
        <x:v>元主担当に二市場価格逆行15秒退出</x:v>
      </x:c>
      <x:c r="Q716" s="47" t="n">
        <x:v>0</x:v>
      </x:c>
      <x:c r="R716" s="1" t="str">
        <x:v>全場</x:v>
      </x:c>
      <x:c r="S716" s="47" t="n">
        <x:v>47</x:v>
      </x:c>
    </x:row>
    <x:row r="717" ht="22" customHeight="1">
      <x:c r="A717" s="1" t="str">
        <x:v>TOPIXmini</x:v>
      </x:c>
      <x:c r="B717" s="1" t="str">
        <x:v>X01</x:v>
      </x:c>
      <x:c r="C717" s="1" t="str">
        <x:v>対照47場</x:v>
      </x:c>
      <x:c r="D717" s="45" t="n">
        <x:v>619819</x:v>
      </x:c>
      <x:c r="E717" s="45" t="n">
        <x:v>475039</x:v>
      </x:c>
      <x:c r="F717" s="45" t="n">
        <x:f>D717-E717</x:f>
        <x:v>144780</x:v>
      </x:c>
      <x:c r="G717" s="47" t="n">
        <x:v>12</x:v>
      </x:c>
      <x:c r="H717" s="47" t="n">
        <x:v>12</x:v>
      </x:c>
      <x:c r="I717" s="45" t="n">
        <x:v>-90882</x:v>
      </x:c>
      <x:c r="J717" s="47" t="n">
        <x:v>52</x:v>
      </x:c>
      <x:c r="K717" s="45" t="n">
        <x:v>-45836</x:v>
      </x:c>
      <x:c r="L717" s="45" t="n">
        <x:v>22843.25</x:v>
      </x:c>
      <x:c r="M717" s="46" t="n">
        <x:v>103.72291666666666</x:v>
      </x:c>
      <x:c r="N717" s="46" t="n">
        <x:v>46.105555555555554</x:v>
      </x:c>
      <x:c r="O717" s="47" t="n">
        <x:v>5</x:v>
      </x:c>
      <x:c r="P717" s="1" t="str">
        <x:v>元主担当に二市場価格逆行15秒退出</x:v>
      </x:c>
      <x:c r="Q717" s="47" t="n">
        <x:v>0</x:v>
      </x:c>
      <x:c r="R717" s="1" t="str">
        <x:v>デイ</x:v>
      </x:c>
      <x:c r="S717" s="47" t="n">
        <x:v>24</x:v>
      </x:c>
    </x:row>
    <x:row r="718" ht="22" customHeight="1">
      <x:c r="A718" s="1" t="str">
        <x:v>TOPIXmini</x:v>
      </x:c>
      <x:c r="B718" s="1" t="str">
        <x:v>X01</x:v>
      </x:c>
      <x:c r="C718" s="1" t="str">
        <x:v>対照47場</x:v>
      </x:c>
      <x:c r="D718" s="45" t="n">
        <x:v>560804</x:v>
      </x:c>
      <x:c r="E718" s="45" t="n">
        <x:v>495048</x:v>
      </x:c>
      <x:c r="F718" s="45" t="n">
        <x:f>D718-E718</x:f>
        <x:v>65756</x:v>
      </x:c>
      <x:c r="G718" s="47" t="n">
        <x:v>13</x:v>
      </x:c>
      <x:c r="H718" s="47" t="n">
        <x:v>10</x:v>
      </x:c>
      <x:c r="I718" s="45" t="n">
        <x:v>-87982</x:v>
      </x:c>
      <x:c r="J718" s="47" t="n">
        <x:v>58</x:v>
      </x:c>
      <x:c r="K718" s="45" t="n">
        <x:v>-53754</x:v>
      </x:c>
      <x:c r="L718" s="45" t="n">
        <x:v>22586.8</x:v>
      </x:c>
      <x:c r="M718" s="46" t="n">
        <x:v>394.7108695652173</x:v>
      </x:c>
      <x:c r="N718" s="46" t="n">
        <x:v>40.58043478260869</x:v>
      </x:c>
      <x:c r="O718" s="47" t="n">
        <x:v>5</x:v>
      </x:c>
      <x:c r="P718" s="1" t="str">
        <x:v>元主担当に二市場価格逆行15秒退出</x:v>
      </x:c>
      <x:c r="Q718" s="47" t="n">
        <x:v>0</x:v>
      </x:c>
      <x:c r="R718" s="1" t="str">
        <x:v>ナイト</x:v>
      </x:c>
      <x:c r="S718" s="47" t="n">
        <x:v>23</x:v>
      </x:c>
    </x:row>
    <x:row r="719" ht="22" customHeight="1">
      <x:c r="A719" s="1" t="str">
        <x:v>TOPIXmini</x:v>
      </x:c>
      <x:c r="B719" s="1" t="str">
        <x:v>X01</x:v>
      </x:c>
      <x:c r="C719" s="1" t="str">
        <x:v>対照47場</x:v>
      </x:c>
      <x:c r="D719" s="45" t="n">
        <x:v>708312</x:v>
      </x:c>
      <x:c r="E719" s="45" t="n">
        <x:v>480458</x:v>
      </x:c>
      <x:c r="F719" s="45" t="n">
        <x:f>D719-E719</x:f>
        <x:v>227854</x:v>
      </x:c>
      <x:c r="G719" s="47" t="n">
        <x:v>15</x:v>
      </x:c>
      <x:c r="H719" s="47" t="n">
        <x:v>8</x:v>
      </x:c>
      <x:c r="I719" s="45" t="n">
        <x:v>39615</x:v>
      </x:c>
      <x:c r="J719" s="47" t="n">
        <x:v>53</x:v>
      </x:c>
      <x:c r="K719" s="45" t="n">
        <x:v>-53754</x:v>
      </x:c>
      <x:c r="L719" s="45" t="n">
        <x:v>28107.375</x:v>
      </x:c>
      <x:c r="M719" s="46" t="n">
        <x:v>253.4434782608695</x:v>
      </x:c>
      <x:c r="N719" s="46" t="n">
        <x:v>48.862318840579704</x:v>
      </x:c>
      <x:c r="O719" s="47" t="n">
        <x:v>5</x:v>
      </x:c>
      <x:c r="P719" s="1" t="str">
        <x:v>元主担当に二市場価格逆行15秒退出</x:v>
      </x:c>
      <x:c r="Q719" s="47" t="n">
        <x:v>0</x:v>
      </x:c>
      <x:c r="R719" s="1" t="str">
        <x:v>上昇</x:v>
      </x:c>
      <x:c r="S719" s="47" t="n">
        <x:v>23</x:v>
      </x:c>
    </x:row>
    <x:row r="720" ht="22" customHeight="1">
      <x:c r="A720" s="1" t="str">
        <x:v>TOPIXmini</x:v>
      </x:c>
      <x:c r="B720" s="1" t="str">
        <x:v>X01</x:v>
      </x:c>
      <x:c r="C720" s="1" t="str">
        <x:v>対照47場</x:v>
      </x:c>
      <x:c r="D720" s="45" t="n">
        <x:v>472311</x:v>
      </x:c>
      <x:c r="E720" s="45" t="n">
        <x:v>489629</x:v>
      </x:c>
      <x:c r="F720" s="45" t="n">
        <x:f>D720-E720</x:f>
        <x:v>-17318</x:v>
      </x:c>
      <x:c r="G720" s="47" t="n">
        <x:v>10</x:v>
      </x:c>
      <x:c r="H720" s="47" t="n">
        <x:v>14</x:v>
      </x:c>
      <x:c r="I720" s="45" t="n">
        <x:v>-211815</x:v>
      </x:c>
      <x:c r="J720" s="47" t="n">
        <x:v>57</x:v>
      </x:c>
      <x:c r="K720" s="45" t="n">
        <x:v>-45836</x:v>
      </x:c>
      <x:c r="L720" s="45" t="n">
        <x:v>19652</x:v>
      </x:c>
      <x:c r="M720" s="46" t="n">
        <x:v>239.10416666666666</x:v>
      </x:c>
      <x:c r="N720" s="46" t="n">
        <x:v>38.168749999999996</x:v>
      </x:c>
      <x:c r="O720" s="47" t="n">
        <x:v>5</x:v>
      </x:c>
      <x:c r="P720" s="1" t="str">
        <x:v>元主担当に二市場価格逆行15秒退出</x:v>
      </x:c>
      <x:c r="Q720" s="47" t="n">
        <x:v>0</x:v>
      </x:c>
      <x:c r="R720" s="1" t="str">
        <x:v>下落</x:v>
      </x:c>
      <x:c r="S720" s="47" t="n">
        <x:v>24</x:v>
      </x:c>
    </x:row>
    <x:row r="721" ht="22" customHeight="1">
      <x:c r="A721" s="1" t="str">
        <x:v>TOPIXmini</x:v>
      </x:c>
      <x:c r="B721" s="1" t="str">
        <x:v>X01</x:v>
      </x:c>
      <x:c r="C721" s="1" t="str">
        <x:v>診断3場</x:v>
      </x:c>
      <x:c r="D721" s="45" t="n">
        <x:v>66246</x:v>
      </x:c>
      <x:c r="E721" s="45" t="n">
        <x:v>117508</x:v>
      </x:c>
      <x:c r="F721" s="45" t="n">
        <x:f>D721-E721</x:f>
        <x:v>-51262</x:v>
      </x:c>
      <x:c r="G721" s="47" t="n">
        <x:v>1</x:v>
      </x:c>
      <x:c r="H721" s="47" t="n">
        <x:v>2</x:v>
      </x:c>
      <x:c r="I721" s="45" t="n">
        <x:v>-81672</x:v>
      </x:c>
      <x:c r="J721" s="47" t="n">
        <x:v>9</x:v>
      </x:c>
      <x:c r="K721" s="45" t="n">
        <x:v>-58754</x:v>
      </x:c>
      <x:c r="L721" s="45" t="n">
        <x:v>40836</x:v>
      </x:c>
      <x:c r="M721" s="46" t="n">
        <x:v>291.8777777777778</x:v>
      </x:c>
      <x:c r="N721" s="46" t="n">
        <x:v>31.788888888888888</x:v>
      </x:c>
      <x:c r="O721" s="47" t="n">
        <x:v>5</x:v>
      </x:c>
      <x:c r="P721" s="1" t="str">
        <x:v>元主担当に二市場価格逆行15秒退出</x:v>
      </x:c>
      <x:c r="Q721" s="47" t="n">
        <x:v>0</x:v>
      </x:c>
      <x:c r="R721" s="1" t="str">
        <x:v>全場</x:v>
      </x:c>
      <x:c r="S721" s="47" t="n">
        <x:v>3</x:v>
      </x:c>
    </x:row>
    <x:row r="722" ht="22" customHeight="1">
      <x:c r="A722" s="1" t="str">
        <x:v>TOPIXmini</x:v>
      </x:c>
      <x:c r="B722" s="1" t="str">
        <x:v>X01</x:v>
      </x:c>
      <x:c r="C722" s="1" t="str">
        <x:v>診断3場</x:v>
      </x:c>
      <x:c r="D722" s="45" t="n">
        <x:v>0</x:v>
      </x:c>
      <x:c r="E722" s="45" t="n">
        <x:v>58754</x:v>
      </x:c>
      <x:c r="F722" s="45" t="n">
        <x:f>D722-E722</x:f>
        <x:v>-58754</x:v>
      </x:c>
      <x:c r="G722" s="47" t="n">
        <x:v>0</x:v>
      </x:c>
      <x:c r="H722" s="47" t="n">
        <x:v>1</x:v>
      </x:c>
      <x:c r="I722" s="45" t="n">
        <x:v>-58754</x:v>
      </x:c>
      <x:c r="J722" s="47" t="n">
        <x:v>3</x:v>
      </x:c>
      <x:c r="K722" s="45" t="n">
        <x:v>-58754</x:v>
      </x:c>
      <x:c r="L722" s="45" t="n">
        <x:v>58754</x:v>
      </x:c>
      <x:c r="M722" s="46" t="n">
        <x:v>92.38333333333334</x:v>
      </x:c>
      <x:c r="N722" s="46" t="n">
        <x:v>20.383333333333333</x:v>
      </x:c>
      <x:c r="O722" s="47" t="n">
        <x:v>5</x:v>
      </x:c>
      <x:c r="P722" s="1" t="str">
        <x:v>元主担当に二市場価格逆行15秒退出</x:v>
      </x:c>
      <x:c r="Q722" s="47" t="n">
        <x:v>0</x:v>
      </x:c>
      <x:c r="R722" s="1" t="str">
        <x:v>デイ</x:v>
      </x:c>
      <x:c r="S722" s="47" t="n">
        <x:v>1</x:v>
      </x:c>
    </x:row>
    <x:row r="723" ht="22" customHeight="1">
      <x:c r="A723" s="1" t="str">
        <x:v>TOPIXmini</x:v>
      </x:c>
      <x:c r="B723" s="1" t="str">
        <x:v>X01</x:v>
      </x:c>
      <x:c r="C723" s="1" t="str">
        <x:v>診断3場</x:v>
      </x:c>
      <x:c r="D723" s="45" t="n">
        <x:v>66246</x:v>
      </x:c>
      <x:c r="E723" s="45" t="n">
        <x:v>58754</x:v>
      </x:c>
      <x:c r="F723" s="45" t="n">
        <x:f>D723-E723</x:f>
        <x:v>7492</x:v>
      </x:c>
      <x:c r="G723" s="47" t="n">
        <x:v>1</x:v>
      </x:c>
      <x:c r="H723" s="47" t="n">
        <x:v>1</x:v>
      </x:c>
      <x:c r="I723" s="45" t="n">
        <x:v>-22918</x:v>
      </x:c>
      <x:c r="J723" s="47" t="n">
        <x:v>6</x:v>
      </x:c>
      <x:c r="K723" s="45" t="n">
        <x:v>-22918</x:v>
      </x:c>
      <x:c r="L723" s="45" t="n">
        <x:v>22918</x:v>
      </x:c>
      <x:c r="M723" s="46" t="n">
        <x:v>391.625</x:v>
      </x:c>
      <x:c r="N723" s="46" t="n">
        <x:v>37.49166666666667</x:v>
      </x:c>
      <x:c r="O723" s="47" t="n">
        <x:v>5</x:v>
      </x:c>
      <x:c r="P723" s="1" t="str">
        <x:v>元主担当に二市場価格逆行15秒退出</x:v>
      </x:c>
      <x:c r="Q723" s="47" t="n">
        <x:v>0</x:v>
      </x:c>
      <x:c r="R723" s="1" t="str">
        <x:v>ナイト</x:v>
      </x:c>
      <x:c r="S723" s="47" t="n">
        <x:v>2</x:v>
      </x:c>
    </x:row>
    <x:row r="724" ht="22" customHeight="1">
      <x:c r="A724" s="1" t="str">
        <x:v>TOPIXmini</x:v>
      </x:c>
      <x:c r="B724" s="1" t="str">
        <x:v>X01</x:v>
      </x:c>
      <x:c r="C724" s="1" t="str">
        <x:v>診断3場</x:v>
      </x:c>
      <x:c r="D724" s="45" t="n">
        <x:v>0</x:v>
      </x:c>
      <x:c r="E724" s="45" t="n">
        <x:v>22918</x:v>
      </x:c>
      <x:c r="F724" s="45" t="n">
        <x:f>D724-E724</x:f>
        <x:v>-22918</x:v>
      </x:c>
      <x:c r="G724" s="47" t="n">
        <x:v>0</x:v>
      </x:c>
      <x:c r="H724" s="47" t="n">
        <x:v>1</x:v>
      </x:c>
      <x:c r="I724" s="45" t="n">
        <x:v>-22918</x:v>
      </x:c>
      <x:c r="J724" s="47" t="n">
        <x:v>1</x:v>
      </x:c>
      <x:c r="K724" s="45" t="n">
        <x:v>-22918</x:v>
      </x:c>
      <x:c r="L724" s="45" t="n">
        <x:v>22918</x:v>
      </x:c>
      <x:c r="M724" s="46" t="n">
        <x:v>399.23333333333335</x:v>
      </x:c>
      <x:c r="N724" s="46" t="n">
        <x:v>30.833333333333332</x:v>
      </x:c>
      <x:c r="O724" s="47" t="n">
        <x:v>5</x:v>
      </x:c>
      <x:c r="P724" s="1" t="str">
        <x:v>元主担当に二市場価格逆行15秒退出</x:v>
      </x:c>
      <x:c r="Q724" s="47" t="n">
        <x:v>0</x:v>
      </x:c>
      <x:c r="R724" s="1" t="str">
        <x:v>上昇</x:v>
      </x:c>
      <x:c r="S724" s="47" t="n">
        <x:v>1</x:v>
      </x:c>
    </x:row>
    <x:row r="725" ht="22" customHeight="1">
      <x:c r="A725" s="1" t="str">
        <x:v>TOPIXmini</x:v>
      </x:c>
      <x:c r="B725" s="1" t="str">
        <x:v>X01</x:v>
      </x:c>
      <x:c r="C725" s="1" t="str">
        <x:v>診断3場</x:v>
      </x:c>
      <x:c r="D725" s="45" t="n">
        <x:v>66246</x:v>
      </x:c>
      <x:c r="E725" s="45" t="n">
        <x:v>94590</x:v>
      </x:c>
      <x:c r="F725" s="45" t="n">
        <x:f>D725-E725</x:f>
        <x:v>-28344</x:v>
      </x:c>
      <x:c r="G725" s="47" t="n">
        <x:v>1</x:v>
      </x:c>
      <x:c r="H725" s="47" t="n">
        <x:v>1</x:v>
      </x:c>
      <x:c r="I725" s="45" t="n">
        <x:v>-58754</x:v>
      </x:c>
      <x:c r="J725" s="47" t="n">
        <x:v>8</x:v>
      </x:c>
      <x:c r="K725" s="45" t="n">
        <x:v>-58754</x:v>
      </x:c>
      <x:c r="L725" s="45" t="n">
        <x:v>58754</x:v>
      </x:c>
      <x:c r="M725" s="46" t="n">
        <x:v>238.2</x:v>
      </x:c>
      <x:c r="N725" s="46" t="n">
        <x:v>32.266666666666666</x:v>
      </x:c>
      <x:c r="O725" s="47" t="n">
        <x:v>5</x:v>
      </x:c>
      <x:c r="P725" s="1" t="str">
        <x:v>元主担当に二市場価格逆行15秒退出</x:v>
      </x:c>
      <x:c r="Q725" s="47" t="n">
        <x:v>0</x:v>
      </x:c>
      <x:c r="R725" s="1" t="str">
        <x:v>下落</x:v>
      </x:c>
      <x:c r="S725" s="47" t="n">
        <x:v>2</x:v>
      </x:c>
    </x:row>
    <x:row r="726" ht="22" customHeight="1">
      <x:c r="A726" s="1" t="str">
        <x:v>TOPIXmini</x:v>
      </x:c>
      <x:c r="B726" s="1" t="str">
        <x:v>X02</x:v>
      </x:c>
      <x:c r="C726" s="1" t="str">
        <x:v>全50場</x:v>
      </x:c>
      <x:c r="D726" s="45" t="n">
        <x:v>1271451</x:v>
      </x:c>
      <x:c r="E726" s="45" t="n">
        <x:v>1084677</x:v>
      </x:c>
      <x:c r="F726" s="45" t="n">
        <x:f>D726-E726</x:f>
        <x:v>186774</x:v>
      </x:c>
      <x:c r="G726" s="47" t="n">
        <x:v>27</x:v>
      </x:c>
      <x:c r="H726" s="47" t="n">
        <x:v>23</x:v>
      </x:c>
      <x:c r="I726" s="45" t="n">
        <x:v>-48888</x:v>
      </x:c>
      <x:c r="J726" s="47" t="n">
        <x:v>119</x:v>
      </x:c>
      <x:c r="K726" s="45" t="n">
        <x:v>-58754</x:v>
      </x:c>
      <x:c r="L726" s="45" t="n">
        <x:v>25162.652173913044</x:v>
      </x:c>
      <x:c r="M726" s="46" t="n">
        <x:v>248.86666666666667</x:v>
      </x:c>
      <x:c r="N726" s="46" t="n">
        <x:v>42.828</x:v>
      </x:c>
      <x:c r="O726" s="47" t="n">
        <x:v>5</x:v>
      </x:c>
      <x:c r="P726" s="1" t="str">
        <x:v>元主担当に二市場価格と板逆行15秒退出</x:v>
      </x:c>
      <x:c r="Q726" s="47" t="n">
        <x:v>0</x:v>
      </x:c>
      <x:c r="R726" s="1" t="str">
        <x:v>全場</x:v>
      </x:c>
      <x:c r="S726" s="47" t="n">
        <x:v>50</x:v>
      </x:c>
    </x:row>
    <x:row r="727" ht="22" customHeight="1">
      <x:c r="A727" s="1" t="str">
        <x:v>TOPIXmini</x:v>
      </x:c>
      <x:c r="B727" s="1" t="str">
        <x:v>X02</x:v>
      </x:c>
      <x:c r="C727" s="1" t="str">
        <x:v>全50場</x:v>
      </x:c>
      <x:c r="D727" s="45" t="n">
        <x:v>619819</x:v>
      </x:c>
      <x:c r="E727" s="45" t="n">
        <x:v>533793</x:v>
      </x:c>
      <x:c r="F727" s="45" t="n">
        <x:f>D727-E727</x:f>
        <x:v>86026</x:v>
      </x:c>
      <x:c r="G727" s="47" t="n">
        <x:v>12</x:v>
      </x:c>
      <x:c r="H727" s="47" t="n">
        <x:v>13</x:v>
      </x:c>
      <x:c r="I727" s="45" t="n">
        <x:v>-149636</x:v>
      </x:c>
      <x:c r="J727" s="47" t="n">
        <x:v>55</x:v>
      </x:c>
      <x:c r="K727" s="45" t="n">
        <x:v>-58754</x:v>
      </x:c>
      <x:c r="L727" s="45" t="n">
        <x:v>25605.615384615383</x:v>
      </x:c>
      <x:c r="M727" s="46" t="n">
        <x:v>103.26933333333332</x:v>
      </x:c>
      <x:c r="N727" s="46" t="n">
        <x:v>45.07666666666667</x:v>
      </x:c>
      <x:c r="O727" s="47" t="n">
        <x:v>5</x:v>
      </x:c>
      <x:c r="P727" s="1" t="str">
        <x:v>元主担当に二市場価格と板逆行15秒退出</x:v>
      </x:c>
      <x:c r="Q727" s="47" t="n">
        <x:v>0</x:v>
      </x:c>
      <x:c r="R727" s="1" t="str">
        <x:v>デイ</x:v>
      </x:c>
      <x:c r="S727" s="47" t="n">
        <x:v>25</x:v>
      </x:c>
    </x:row>
    <x:row r="728" ht="22" customHeight="1">
      <x:c r="A728" s="1" t="str">
        <x:v>TOPIXmini</x:v>
      </x:c>
      <x:c r="B728" s="1" t="str">
        <x:v>X02</x:v>
      </x:c>
      <x:c r="C728" s="1" t="str">
        <x:v>全50場</x:v>
      </x:c>
      <x:c r="D728" s="45" t="n">
        <x:v>651632</x:v>
      </x:c>
      <x:c r="E728" s="45" t="n">
        <x:v>550884</x:v>
      </x:c>
      <x:c r="F728" s="45" t="n">
        <x:f>D728-E728</x:f>
        <x:v>100748</x:v>
      </x:c>
      <x:c r="G728" s="47" t="n">
        <x:v>15</x:v>
      </x:c>
      <x:c r="H728" s="47" t="n">
        <x:v>10</x:v>
      </x:c>
      <x:c r="I728" s="45" t="n">
        <x:v>-52990</x:v>
      </x:c>
      <x:c r="J728" s="47" t="n">
        <x:v>64</x:v>
      </x:c>
      <x:c r="K728" s="45" t="n">
        <x:v>-53754</x:v>
      </x:c>
      <x:c r="L728" s="45" t="n">
        <x:v>24586.8</x:v>
      </x:c>
      <x:c r="M728" s="46" t="n">
        <x:v>394.464</x:v>
      </x:c>
      <x:c r="N728" s="46" t="n">
        <x:v>40.57933333333334</x:v>
      </x:c>
      <x:c r="O728" s="47" t="n">
        <x:v>5</x:v>
      </x:c>
      <x:c r="P728" s="1" t="str">
        <x:v>元主担当に二市場価格と板逆行15秒退出</x:v>
      </x:c>
      <x:c r="Q728" s="47" t="n">
        <x:v>0</x:v>
      </x:c>
      <x:c r="R728" s="1" t="str">
        <x:v>ナイト</x:v>
      </x:c>
      <x:c r="S728" s="47" t="n">
        <x:v>25</x:v>
      </x:c>
    </x:row>
    <x:row r="729" ht="22" customHeight="1">
      <x:c r="A729" s="1" t="str">
        <x:v>TOPIXmini</x:v>
      </x:c>
      <x:c r="B729" s="1" t="str">
        <x:v>X02</x:v>
      </x:c>
      <x:c r="C729" s="1" t="str">
        <x:v>全50場</x:v>
      </x:c>
      <x:c r="D729" s="45" t="n">
        <x:v>708312</x:v>
      </x:c>
      <x:c r="E729" s="45" t="n">
        <x:v>503376</x:v>
      </x:c>
      <x:c r="F729" s="45" t="n">
        <x:f>D729-E729</x:f>
        <x:v>204936</x:v>
      </x:c>
      <x:c r="G729" s="47" t="n">
        <x:v>15</x:v>
      </x:c>
      <x:c r="H729" s="47" t="n">
        <x:v>9</x:v>
      </x:c>
      <x:c r="I729" s="45" t="n">
        <x:v>16697</x:v>
      </x:c>
      <x:c r="J729" s="47" t="n">
        <x:v>54</x:v>
      </x:c>
      <x:c r="K729" s="45" t="n">
        <x:v>-53754</x:v>
      </x:c>
      <x:c r="L729" s="45" t="n">
        <x:v>27530.777777777777</x:v>
      </x:c>
      <x:c r="M729" s="46" t="n">
        <x:v>259.5180555555556</x:v>
      </x:c>
      <x:c r="N729" s="46" t="n">
        <x:v>48.11111111111111</x:v>
      </x:c>
      <x:c r="O729" s="47" t="n">
        <x:v>5</x:v>
      </x:c>
      <x:c r="P729" s="1" t="str">
        <x:v>元主担当に二市場価格と板逆行15秒退出</x:v>
      </x:c>
      <x:c r="Q729" s="47" t="n">
        <x:v>0</x:v>
      </x:c>
      <x:c r="R729" s="1" t="str">
        <x:v>上昇</x:v>
      </x:c>
      <x:c r="S729" s="47" t="n">
        <x:v>24</x:v>
      </x:c>
    </x:row>
    <x:row r="730" ht="22" customHeight="1">
      <x:c r="A730" s="1" t="str">
        <x:v>TOPIXmini</x:v>
      </x:c>
      <x:c r="B730" s="1" t="str">
        <x:v>X02</x:v>
      </x:c>
      <x:c r="C730" s="1" t="str">
        <x:v>全50場</x:v>
      </x:c>
      <x:c r="D730" s="45" t="n">
        <x:v>563139</x:v>
      </x:c>
      <x:c r="E730" s="45" t="n">
        <x:v>581301</x:v>
      </x:c>
      <x:c r="F730" s="45" t="n">
        <x:f>D730-E730</x:f>
        <x:v>-18162</x:v>
      </x:c>
      <x:c r="G730" s="47" t="n">
        <x:v>12</x:v>
      </x:c>
      <x:c r="H730" s="47" t="n">
        <x:v>14</x:v>
      </x:c>
      <x:c r="I730" s="45" t="n">
        <x:v>-212659</x:v>
      </x:c>
      <x:c r="J730" s="47" t="n">
        <x:v>65</x:v>
      </x:c>
      <x:c r="K730" s="45" t="n">
        <x:v>-58754</x:v>
      </x:c>
      <x:c r="L730" s="45" t="n">
        <x:v>23640.285714285714</x:v>
      </x:c>
      <x:c r="M730" s="46" t="n">
        <x:v>239.03461538461536</x:v>
      </x:c>
      <x:c r="N730" s="46" t="n">
        <x:v>37.95128205128205</x:v>
      </x:c>
      <x:c r="O730" s="47" t="n">
        <x:v>5</x:v>
      </x:c>
      <x:c r="P730" s="1" t="str">
        <x:v>元主担当に二市場価格と板逆行15秒退出</x:v>
      </x:c>
      <x:c r="Q730" s="47" t="n">
        <x:v>0</x:v>
      </x:c>
      <x:c r="R730" s="1" t="str">
        <x:v>下落</x:v>
      </x:c>
      <x:c r="S730" s="47" t="n">
        <x:v>26</x:v>
      </x:c>
    </x:row>
    <x:row r="731" ht="22" customHeight="1">
      <x:c r="A731" s="1" t="str">
        <x:v>TOPIXmini</x:v>
      </x:c>
      <x:c r="B731" s="1" t="str">
        <x:v>X02</x:v>
      </x:c>
      <x:c r="C731" s="1" t="str">
        <x:v>対照47場</x:v>
      </x:c>
      <x:c r="D731" s="45" t="n">
        <x:v>1205205</x:v>
      </x:c>
      <x:c r="E731" s="45" t="n">
        <x:v>967169</x:v>
      </x:c>
      <x:c r="F731" s="45" t="n">
        <x:f>D731-E731</x:f>
        <x:v>238036</x:v>
      </x:c>
      <x:c r="G731" s="47" t="n">
        <x:v>26</x:v>
      </x:c>
      <x:c r="H731" s="47" t="n">
        <x:v>21</x:v>
      </x:c>
      <x:c r="I731" s="45" t="n">
        <x:v>2374</x:v>
      </x:c>
      <x:c r="J731" s="47" t="n">
        <x:v>110</x:v>
      </x:c>
      <x:c r="K731" s="45" t="n">
        <x:v>-53754</x:v>
      </x:c>
      <x:c r="L731" s="45" t="n">
        <x:v>23669.95238095238</x:v>
      </x:c>
      <x:c r="M731" s="46" t="n">
        <x:v>246.12127659574466</x:v>
      </x:c>
      <x:c r="N731" s="46" t="n">
        <x:v>43.53262411347517</x:v>
      </x:c>
      <x:c r="O731" s="47" t="n">
        <x:v>5</x:v>
      </x:c>
      <x:c r="P731" s="1" t="str">
        <x:v>元主担当に二市場価格と板逆行15秒退出</x:v>
      </x:c>
      <x:c r="Q731" s="47" t="n">
        <x:v>0</x:v>
      </x:c>
      <x:c r="R731" s="1" t="str">
        <x:v>全場</x:v>
      </x:c>
      <x:c r="S731" s="47" t="n">
        <x:v>47</x:v>
      </x:c>
    </x:row>
    <x:row r="732" ht="22" customHeight="1">
      <x:c r="A732" s="1" t="str">
        <x:v>TOPIXmini</x:v>
      </x:c>
      <x:c r="B732" s="1" t="str">
        <x:v>X02</x:v>
      </x:c>
      <x:c r="C732" s="1" t="str">
        <x:v>対照47場</x:v>
      </x:c>
      <x:c r="D732" s="45" t="n">
        <x:v>619819</x:v>
      </x:c>
      <x:c r="E732" s="45" t="n">
        <x:v>475039</x:v>
      </x:c>
      <x:c r="F732" s="45" t="n">
        <x:f>D732-E732</x:f>
        <x:v>144780</x:v>
      </x:c>
      <x:c r="G732" s="47" t="n">
        <x:v>12</x:v>
      </x:c>
      <x:c r="H732" s="47" t="n">
        <x:v>12</x:v>
      </x:c>
      <x:c r="I732" s="45" t="n">
        <x:v>-90882</x:v>
      </x:c>
      <x:c r="J732" s="47" t="n">
        <x:v>52</x:v>
      </x:c>
      <x:c r="K732" s="45" t="n">
        <x:v>-45836</x:v>
      </x:c>
      <x:c r="L732" s="45" t="n">
        <x:v>22843.25</x:v>
      </x:c>
      <x:c r="M732" s="46" t="n">
        <x:v>103.72291666666666</x:v>
      </x:c>
      <x:c r="N732" s="46" t="n">
        <x:v>46.105555555555554</x:v>
      </x:c>
      <x:c r="O732" s="47" t="n">
        <x:v>5</x:v>
      </x:c>
      <x:c r="P732" s="1" t="str">
        <x:v>元主担当に二市場価格と板逆行15秒退出</x:v>
      </x:c>
      <x:c r="Q732" s="47" t="n">
        <x:v>0</x:v>
      </x:c>
      <x:c r="R732" s="1" t="str">
        <x:v>デイ</x:v>
      </x:c>
      <x:c r="S732" s="47" t="n">
        <x:v>24</x:v>
      </x:c>
    </x:row>
    <x:row r="733" ht="22" customHeight="1">
      <x:c r="A733" s="1" t="str">
        <x:v>TOPIXmini</x:v>
      </x:c>
      <x:c r="B733" s="1" t="str">
        <x:v>X02</x:v>
      </x:c>
      <x:c r="C733" s="1" t="str">
        <x:v>対照47場</x:v>
      </x:c>
      <x:c r="D733" s="45" t="n">
        <x:v>585386</x:v>
      </x:c>
      <x:c r="E733" s="45" t="n">
        <x:v>492130</x:v>
      </x:c>
      <x:c r="F733" s="45" t="n">
        <x:f>D733-E733</x:f>
        <x:v>93256</x:v>
      </x:c>
      <x:c r="G733" s="47" t="n">
        <x:v>14</x:v>
      </x:c>
      <x:c r="H733" s="47" t="n">
        <x:v>9</x:v>
      </x:c>
      <x:c r="I733" s="45" t="n">
        <x:v>-60482</x:v>
      </x:c>
      <x:c r="J733" s="47" t="n">
        <x:v>58</x:v>
      </x:c>
      <x:c r="K733" s="45" t="n">
        <x:v>-53754</x:v>
      </x:c>
      <x:c r="L733" s="45" t="n">
        <x:v>24772.222222222223</x:v>
      </x:c>
      <x:c r="M733" s="46" t="n">
        <x:v>394.7108695652173</x:v>
      </x:c>
      <x:c r="N733" s="46" t="n">
        <x:v>40.84782608695652</x:v>
      </x:c>
      <x:c r="O733" s="47" t="n">
        <x:v>5</x:v>
      </x:c>
      <x:c r="P733" s="1" t="str">
        <x:v>元主担当に二市場価格と板逆行15秒退出</x:v>
      </x:c>
      <x:c r="Q733" s="47" t="n">
        <x:v>0</x:v>
      </x:c>
      <x:c r="R733" s="1" t="str">
        <x:v>ナイト</x:v>
      </x:c>
      <x:c r="S733" s="47" t="n">
        <x:v>23</x:v>
      </x:c>
    </x:row>
    <x:row r="734" ht="22" customHeight="1">
      <x:c r="A734" s="1" t="str">
        <x:v>TOPIXmini</x:v>
      </x:c>
      <x:c r="B734" s="1" t="str">
        <x:v>X02</x:v>
      </x:c>
      <x:c r="C734" s="1" t="str">
        <x:v>対照47場</x:v>
      </x:c>
      <x:c r="D734" s="45" t="n">
        <x:v>708312</x:v>
      </x:c>
      <x:c r="E734" s="45" t="n">
        <x:v>480458</x:v>
      </x:c>
      <x:c r="F734" s="45" t="n">
        <x:f>D734-E734</x:f>
        <x:v>227854</x:v>
      </x:c>
      <x:c r="G734" s="47" t="n">
        <x:v>15</x:v>
      </x:c>
      <x:c r="H734" s="47" t="n">
        <x:v>8</x:v>
      </x:c>
      <x:c r="I734" s="45" t="n">
        <x:v>39615</x:v>
      </x:c>
      <x:c r="J734" s="47" t="n">
        <x:v>53</x:v>
      </x:c>
      <x:c r="K734" s="45" t="n">
        <x:v>-53754</x:v>
      </x:c>
      <x:c r="L734" s="45" t="n">
        <x:v>28107.375</x:v>
      </x:c>
      <x:c r="M734" s="46" t="n">
        <x:v>253.4434782608695</x:v>
      </x:c>
      <x:c r="N734" s="46" t="n">
        <x:v>48.862318840579704</x:v>
      </x:c>
      <x:c r="O734" s="47" t="n">
        <x:v>5</x:v>
      </x:c>
      <x:c r="P734" s="1" t="str">
        <x:v>元主担当に二市場価格と板逆行15秒退出</x:v>
      </x:c>
      <x:c r="Q734" s="47" t="n">
        <x:v>0</x:v>
      </x:c>
      <x:c r="R734" s="1" t="str">
        <x:v>上昇</x:v>
      </x:c>
      <x:c r="S734" s="47" t="n">
        <x:v>23</x:v>
      </x:c>
    </x:row>
    <x:row r="735" ht="22" customHeight="1">
      <x:c r="A735" s="1" t="str">
        <x:v>TOPIXmini</x:v>
      </x:c>
      <x:c r="B735" s="1" t="str">
        <x:v>X02</x:v>
      </x:c>
      <x:c r="C735" s="1" t="str">
        <x:v>対照47場</x:v>
      </x:c>
      <x:c r="D735" s="45" t="n">
        <x:v>496893</x:v>
      </x:c>
      <x:c r="E735" s="45" t="n">
        <x:v>486711</x:v>
      </x:c>
      <x:c r="F735" s="45" t="n">
        <x:f>D735-E735</x:f>
        <x:v>10182</x:v>
      </x:c>
      <x:c r="G735" s="47" t="n">
        <x:v>11</x:v>
      </x:c>
      <x:c r="H735" s="47" t="n">
        <x:v>13</x:v>
      </x:c>
      <x:c r="I735" s="45" t="n">
        <x:v>-184315</x:v>
      </x:c>
      <x:c r="J735" s="47" t="n">
        <x:v>57</x:v>
      </x:c>
      <x:c r="K735" s="45" t="n">
        <x:v>-45836</x:v>
      </x:c>
      <x:c r="L735" s="45" t="n">
        <x:v>20939.23076923077</x:v>
      </x:c>
      <x:c r="M735" s="46" t="n">
        <x:v>239.10416666666666</x:v>
      </x:c>
      <x:c r="N735" s="46" t="n">
        <x:v>38.425000000000004</x:v>
      </x:c>
      <x:c r="O735" s="47" t="n">
        <x:v>5</x:v>
      </x:c>
      <x:c r="P735" s="1" t="str">
        <x:v>元主担当に二市場価格と板逆行15秒退出</x:v>
      </x:c>
      <x:c r="Q735" s="47" t="n">
        <x:v>0</x:v>
      </x:c>
      <x:c r="R735" s="1" t="str">
        <x:v>下落</x:v>
      </x:c>
      <x:c r="S735" s="47" t="n">
        <x:v>24</x:v>
      </x:c>
    </x:row>
    <x:row r="736" ht="22" customHeight="1">
      <x:c r="A736" s="1" t="str">
        <x:v>TOPIXmini</x:v>
      </x:c>
      <x:c r="B736" s="1" t="str">
        <x:v>X02</x:v>
      </x:c>
      <x:c r="C736" s="1" t="str">
        <x:v>診断3場</x:v>
      </x:c>
      <x:c r="D736" s="45" t="n">
        <x:v>66246</x:v>
      </x:c>
      <x:c r="E736" s="45" t="n">
        <x:v>117508</x:v>
      </x:c>
      <x:c r="F736" s="45" t="n">
        <x:f>D736-E736</x:f>
        <x:v>-51262</x:v>
      </x:c>
      <x:c r="G736" s="47" t="n">
        <x:v>1</x:v>
      </x:c>
      <x:c r="H736" s="47" t="n">
        <x:v>2</x:v>
      </x:c>
      <x:c r="I736" s="45" t="n">
        <x:v>-81672</x:v>
      </x:c>
      <x:c r="J736" s="47" t="n">
        <x:v>9</x:v>
      </x:c>
      <x:c r="K736" s="45" t="n">
        <x:v>-58754</x:v>
      </x:c>
      <x:c r="L736" s="45" t="n">
        <x:v>40836</x:v>
      </x:c>
      <x:c r="M736" s="46" t="n">
        <x:v>291.8777777777778</x:v>
      </x:c>
      <x:c r="N736" s="46" t="n">
        <x:v>31.788888888888888</x:v>
      </x:c>
      <x:c r="O736" s="47" t="n">
        <x:v>5</x:v>
      </x:c>
      <x:c r="P736" s="1" t="str">
        <x:v>元主担当に二市場価格と板逆行15秒退出</x:v>
      </x:c>
      <x:c r="Q736" s="47" t="n">
        <x:v>0</x:v>
      </x:c>
      <x:c r="R736" s="1" t="str">
        <x:v>全場</x:v>
      </x:c>
      <x:c r="S736" s="47" t="n">
        <x:v>3</x:v>
      </x:c>
    </x:row>
    <x:row r="737" ht="22" customHeight="1">
      <x:c r="A737" s="1" t="str">
        <x:v>TOPIXmini</x:v>
      </x:c>
      <x:c r="B737" s="1" t="str">
        <x:v>X02</x:v>
      </x:c>
      <x:c r="C737" s="1" t="str">
        <x:v>診断3場</x:v>
      </x:c>
      <x:c r="D737" s="45" t="n">
        <x:v>0</x:v>
      </x:c>
      <x:c r="E737" s="45" t="n">
        <x:v>58754</x:v>
      </x:c>
      <x:c r="F737" s="45" t="n">
        <x:f>D737-E737</x:f>
        <x:v>-58754</x:v>
      </x:c>
      <x:c r="G737" s="47" t="n">
        <x:v>0</x:v>
      </x:c>
      <x:c r="H737" s="47" t="n">
        <x:v>1</x:v>
      </x:c>
      <x:c r="I737" s="45" t="n">
        <x:v>-58754</x:v>
      </x:c>
      <x:c r="J737" s="47" t="n">
        <x:v>3</x:v>
      </x:c>
      <x:c r="K737" s="45" t="n">
        <x:v>-58754</x:v>
      </x:c>
      <x:c r="L737" s="45" t="n">
        <x:v>58754</x:v>
      </x:c>
      <x:c r="M737" s="46" t="n">
        <x:v>92.38333333333334</x:v>
      </x:c>
      <x:c r="N737" s="46" t="n">
        <x:v>20.383333333333333</x:v>
      </x:c>
      <x:c r="O737" s="47" t="n">
        <x:v>5</x:v>
      </x:c>
      <x:c r="P737" s="1" t="str">
        <x:v>元主担当に二市場価格と板逆行15秒退出</x:v>
      </x:c>
      <x:c r="Q737" s="47" t="n">
        <x:v>0</x:v>
      </x:c>
      <x:c r="R737" s="1" t="str">
        <x:v>デイ</x:v>
      </x:c>
      <x:c r="S737" s="47" t="n">
        <x:v>1</x:v>
      </x:c>
    </x:row>
    <x:row r="738" ht="22" customHeight="1">
      <x:c r="A738" s="1" t="str">
        <x:v>TOPIXmini</x:v>
      </x:c>
      <x:c r="B738" s="1" t="str">
        <x:v>X02</x:v>
      </x:c>
      <x:c r="C738" s="1" t="str">
        <x:v>診断3場</x:v>
      </x:c>
      <x:c r="D738" s="45" t="n">
        <x:v>66246</x:v>
      </x:c>
      <x:c r="E738" s="45" t="n">
        <x:v>58754</x:v>
      </x:c>
      <x:c r="F738" s="45" t="n">
        <x:f>D738-E738</x:f>
        <x:v>7492</x:v>
      </x:c>
      <x:c r="G738" s="47" t="n">
        <x:v>1</x:v>
      </x:c>
      <x:c r="H738" s="47" t="n">
        <x:v>1</x:v>
      </x:c>
      <x:c r="I738" s="45" t="n">
        <x:v>-22918</x:v>
      </x:c>
      <x:c r="J738" s="47" t="n">
        <x:v>6</x:v>
      </x:c>
      <x:c r="K738" s="45" t="n">
        <x:v>-22918</x:v>
      </x:c>
      <x:c r="L738" s="45" t="n">
        <x:v>22918</x:v>
      </x:c>
      <x:c r="M738" s="46" t="n">
        <x:v>391.625</x:v>
      </x:c>
      <x:c r="N738" s="46" t="n">
        <x:v>37.49166666666667</x:v>
      </x:c>
      <x:c r="O738" s="47" t="n">
        <x:v>5</x:v>
      </x:c>
      <x:c r="P738" s="1" t="str">
        <x:v>元主担当に二市場価格と板逆行15秒退出</x:v>
      </x:c>
      <x:c r="Q738" s="47" t="n">
        <x:v>0</x:v>
      </x:c>
      <x:c r="R738" s="1" t="str">
        <x:v>ナイト</x:v>
      </x:c>
      <x:c r="S738" s="47" t="n">
        <x:v>2</x:v>
      </x:c>
    </x:row>
    <x:row r="739" ht="22" customHeight="1">
      <x:c r="A739" s="1" t="str">
        <x:v>TOPIXmini</x:v>
      </x:c>
      <x:c r="B739" s="1" t="str">
        <x:v>X02</x:v>
      </x:c>
      <x:c r="C739" s="1" t="str">
        <x:v>診断3場</x:v>
      </x:c>
      <x:c r="D739" s="45" t="n">
        <x:v>0</x:v>
      </x:c>
      <x:c r="E739" s="45" t="n">
        <x:v>22918</x:v>
      </x:c>
      <x:c r="F739" s="45" t="n">
        <x:f>D739-E739</x:f>
        <x:v>-22918</x:v>
      </x:c>
      <x:c r="G739" s="47" t="n">
        <x:v>0</x:v>
      </x:c>
      <x:c r="H739" s="47" t="n">
        <x:v>1</x:v>
      </x:c>
      <x:c r="I739" s="45" t="n">
        <x:v>-22918</x:v>
      </x:c>
      <x:c r="J739" s="47" t="n">
        <x:v>1</x:v>
      </x:c>
      <x:c r="K739" s="45" t="n">
        <x:v>-22918</x:v>
      </x:c>
      <x:c r="L739" s="45" t="n">
        <x:v>22918</x:v>
      </x:c>
      <x:c r="M739" s="46" t="n">
        <x:v>399.23333333333335</x:v>
      </x:c>
      <x:c r="N739" s="46" t="n">
        <x:v>30.833333333333332</x:v>
      </x:c>
      <x:c r="O739" s="47" t="n">
        <x:v>5</x:v>
      </x:c>
      <x:c r="P739" s="1" t="str">
        <x:v>元主担当に二市場価格と板逆行15秒退出</x:v>
      </x:c>
      <x:c r="Q739" s="47" t="n">
        <x:v>0</x:v>
      </x:c>
      <x:c r="R739" s="1" t="str">
        <x:v>上昇</x:v>
      </x:c>
      <x:c r="S739" s="47" t="n">
        <x:v>1</x:v>
      </x:c>
    </x:row>
    <x:row r="740" ht="22" customHeight="1">
      <x:c r="A740" s="1" t="str">
        <x:v>TOPIXmini</x:v>
      </x:c>
      <x:c r="B740" s="1" t="str">
        <x:v>X02</x:v>
      </x:c>
      <x:c r="C740" s="1" t="str">
        <x:v>診断3場</x:v>
      </x:c>
      <x:c r="D740" s="45" t="n">
        <x:v>66246</x:v>
      </x:c>
      <x:c r="E740" s="45" t="n">
        <x:v>94590</x:v>
      </x:c>
      <x:c r="F740" s="45" t="n">
        <x:f>D740-E740</x:f>
        <x:v>-28344</x:v>
      </x:c>
      <x:c r="G740" s="47" t="n">
        <x:v>1</x:v>
      </x:c>
      <x:c r="H740" s="47" t="n">
        <x:v>1</x:v>
      </x:c>
      <x:c r="I740" s="45" t="n">
        <x:v>-58754</x:v>
      </x:c>
      <x:c r="J740" s="47" t="n">
        <x:v>8</x:v>
      </x:c>
      <x:c r="K740" s="45" t="n">
        <x:v>-58754</x:v>
      </x:c>
      <x:c r="L740" s="45" t="n">
        <x:v>58754</x:v>
      </x:c>
      <x:c r="M740" s="46" t="n">
        <x:v>238.2</x:v>
      </x:c>
      <x:c r="N740" s="46" t="n">
        <x:v>32.266666666666666</x:v>
      </x:c>
      <x:c r="O740" s="47" t="n">
        <x:v>5</x:v>
      </x:c>
      <x:c r="P740" s="1" t="str">
        <x:v>元主担当に二市場価格と板逆行15秒退出</x:v>
      </x:c>
      <x:c r="Q740" s="47" t="n">
        <x:v>0</x:v>
      </x:c>
      <x:c r="R740" s="1" t="str">
        <x:v>下落</x:v>
      </x:c>
      <x:c r="S740" s="47" t="n">
        <x:v>2</x:v>
      </x:c>
    </x:row>
    <x:row r="741" ht="22" customHeight="1">
      <x:c r="A741" s="1" t="str">
        <x:v>TOPIXmini</x:v>
      </x:c>
      <x:c r="B741" s="1" t="str">
        <x:v>Y01</x:v>
      </x:c>
      <x:c r="C741" s="1" t="str">
        <x:v>全50場</x:v>
      </x:c>
      <x:c r="D741" s="45" t="n">
        <x:v>1543145</x:v>
      </x:c>
      <x:c r="E741" s="45" t="n">
        <x:v>1546869</x:v>
      </x:c>
      <x:c r="F741" s="45" t="n">
        <x:f>D741-E741</x:f>
        <x:v>-3724</x:v>
      </x:c>
      <x:c r="G741" s="47" t="n">
        <x:v>25</x:v>
      </x:c>
      <x:c r="H741" s="47" t="n">
        <x:v>25</x:v>
      </x:c>
      <x:c r="I741" s="45" t="n">
        <x:v>-217888</x:v>
      </x:c>
      <x:c r="J741" s="47" t="n">
        <x:v>230</x:v>
      </x:c>
      <x:c r="K741" s="45" t="n">
        <x:v>-84666</x:v>
      </x:c>
      <x:c r="L741" s="45" t="n">
        <x:v>29407.48</x:v>
      </x:c>
      <x:c r="M741" s="46" t="n">
        <x:v>199.60933333333335</x:v>
      </x:c>
      <x:c r="N741" s="46" t="n">
        <x:v>65.339</x:v>
      </x:c>
      <x:c r="O741" s="47" t="n">
        <x:v>5</x:v>
      </x:c>
      <x:c r="P741" s="1" t="str">
        <x:v>X01にG10の追加担当を併用</x:v>
      </x:c>
      <x:c r="Q741" s="47" t="n">
        <x:v>0</x:v>
      </x:c>
      <x:c r="R741" s="1" t="str">
        <x:v>全場</x:v>
      </x:c>
      <x:c r="S741" s="47" t="n">
        <x:v>50</x:v>
      </x:c>
    </x:row>
    <x:row r="742" ht="22" customHeight="1">
      <x:c r="A742" s="1" t="str">
        <x:v>TOPIXmini</x:v>
      </x:c>
      <x:c r="B742" s="1" t="str">
        <x:v>Y01</x:v>
      </x:c>
      <x:c r="C742" s="1" t="str">
        <x:v>全50場</x:v>
      </x:c>
      <x:c r="D742" s="45" t="n">
        <x:v>812087</x:v>
      </x:c>
      <x:c r="E742" s="45" t="n">
        <x:v>935077</x:v>
      </x:c>
      <x:c r="F742" s="45" t="n">
        <x:f>D742-E742</x:f>
        <x:v>-122990</x:v>
      </x:c>
      <x:c r="G742" s="47" t="n">
        <x:v>11</x:v>
      </x:c>
      <x:c r="H742" s="47" t="n">
        <x:v>14</x:v>
      </x:c>
      <x:c r="I742" s="45" t="n">
        <x:v>-337154</x:v>
      </x:c>
      <x:c r="J742" s="47" t="n">
        <x:v>145</x:v>
      </x:c>
      <x:c r="K742" s="45" t="n">
        <x:v>-84666</x:v>
      </x:c>
      <x:c r="L742" s="45" t="n">
        <x:v>37148.21428571428</x:v>
      </x:c>
      <x:c r="M742" s="46" t="n">
        <x:v>87.81933333333332</x:v>
      </x:c>
      <x:c r="N742" s="46" t="n">
        <x:v>78.51733333333333</x:v>
      </x:c>
      <x:c r="O742" s="47" t="n">
        <x:v>5</x:v>
      </x:c>
      <x:c r="P742" s="1" t="str">
        <x:v>X01にG10の追加担当を併用</x:v>
      </x:c>
      <x:c r="Q742" s="47" t="n">
        <x:v>0</x:v>
      </x:c>
      <x:c r="R742" s="1" t="str">
        <x:v>デイ</x:v>
      </x:c>
      <x:c r="S742" s="47" t="n">
        <x:v>25</x:v>
      </x:c>
    </x:row>
    <x:row r="743" ht="22" customHeight="1">
      <x:c r="A743" s="1" t="str">
        <x:v>TOPIXmini</x:v>
      </x:c>
      <x:c r="B743" s="1" t="str">
        <x:v>Y01</x:v>
      </x:c>
      <x:c r="C743" s="1" t="str">
        <x:v>全50場</x:v>
      </x:c>
      <x:c r="D743" s="45" t="n">
        <x:v>731058</x:v>
      </x:c>
      <x:c r="E743" s="45" t="n">
        <x:v>611792</x:v>
      </x:c>
      <x:c r="F743" s="45" t="n">
        <x:f>D743-E743</x:f>
        <x:v>119266</x:v>
      </x:c>
      <x:c r="G743" s="47" t="n">
        <x:v>14</x:v>
      </x:c>
      <x:c r="H743" s="47" t="n">
        <x:v>11</x:v>
      </x:c>
      <x:c r="I743" s="45" t="n">
        <x:v>-17804</x:v>
      </x:c>
      <x:c r="J743" s="47" t="n">
        <x:v>85</x:v>
      </x:c>
      <x:c r="K743" s="45" t="n">
        <x:v>-40836</x:v>
      </x:c>
      <x:c r="L743" s="45" t="n">
        <x:v>19555.636363636364</x:v>
      </x:c>
      <x:c r="M743" s="46" t="n">
        <x:v>311.3993333333333</x:v>
      </x:c>
      <x:c r="N743" s="46" t="n">
        <x:v>52.160666666666664</x:v>
      </x:c>
      <x:c r="O743" s="47" t="n">
        <x:v>5</x:v>
      </x:c>
      <x:c r="P743" s="1" t="str">
        <x:v>X01にG10の追加担当を併用</x:v>
      </x:c>
      <x:c r="Q743" s="47" t="n">
        <x:v>0</x:v>
      </x:c>
      <x:c r="R743" s="1" t="str">
        <x:v>ナイト</x:v>
      </x:c>
      <x:c r="S743" s="47" t="n">
        <x:v>25</x:v>
      </x:c>
    </x:row>
    <x:row r="744" ht="22" customHeight="1">
      <x:c r="A744" s="1" t="str">
        <x:v>TOPIXmini</x:v>
      </x:c>
      <x:c r="B744" s="1" t="str">
        <x:v>Y01</x:v>
      </x:c>
      <x:c r="C744" s="1" t="str">
        <x:v>全50場</x:v>
      </x:c>
      <x:c r="D744" s="45" t="n">
        <x:v>802988</x:v>
      </x:c>
      <x:c r="E744" s="45" t="n">
        <x:v>693522</x:v>
      </x:c>
      <x:c r="F744" s="45" t="n">
        <x:f>D744-E744</x:f>
        <x:v>109466</x:v>
      </x:c>
      <x:c r="G744" s="47" t="n">
        <x:v>15</x:v>
      </x:c>
      <x:c r="H744" s="47" t="n">
        <x:v>9</x:v>
      </x:c>
      <x:c r="I744" s="45" t="n">
        <x:v>-38773</x:v>
      </x:c>
      <x:c r="J744" s="47" t="n">
        <x:v>99</x:v>
      </x:c>
      <x:c r="K744" s="45" t="n">
        <x:v>-64002</x:v>
      </x:c>
      <x:c r="L744" s="45" t="n">
        <x:v>31843.444444444445</x:v>
      </x:c>
      <x:c r="M744" s="46" t="n">
        <x:v>205.46319444444444</x:v>
      </x:c>
      <x:c r="N744" s="46" t="n">
        <x:v>71.76180555555555</x:v>
      </x:c>
      <x:c r="O744" s="47" t="n">
        <x:v>5</x:v>
      </x:c>
      <x:c r="P744" s="1" t="str">
        <x:v>X01にG10の追加担当を併用</x:v>
      </x:c>
      <x:c r="Q744" s="47" t="n">
        <x:v>0</x:v>
      </x:c>
      <x:c r="R744" s="1" t="str">
        <x:v>上昇</x:v>
      </x:c>
      <x:c r="S744" s="47" t="n">
        <x:v>24</x:v>
      </x:c>
    </x:row>
    <x:row r="745" ht="22" customHeight="1">
      <x:c r="A745" s="1" t="str">
        <x:v>TOPIXmini</x:v>
      </x:c>
      <x:c r="B745" s="1" t="str">
        <x:v>Y01</x:v>
      </x:c>
      <x:c r="C745" s="1" t="str">
        <x:v>全50場</x:v>
      </x:c>
      <x:c r="D745" s="45" t="n">
        <x:v>740157</x:v>
      </x:c>
      <x:c r="E745" s="45" t="n">
        <x:v>853347</x:v>
      </x:c>
      <x:c r="F745" s="45" t="n">
        <x:f>D745-E745</x:f>
        <x:v>-113190</x:v>
      </x:c>
      <x:c r="G745" s="47" t="n">
        <x:v>10</x:v>
      </x:c>
      <x:c r="H745" s="47" t="n">
        <x:v>16</x:v>
      </x:c>
      <x:c r="I745" s="45" t="n">
        <x:v>-309521</x:v>
      </x:c>
      <x:c r="J745" s="47" t="n">
        <x:v>131</x:v>
      </x:c>
      <x:c r="K745" s="45" t="n">
        <x:v>-84666</x:v>
      </x:c>
      <x:c r="L745" s="45" t="n">
        <x:v>28037.25</x:v>
      </x:c>
      <x:c r="M745" s="46" t="n">
        <x:v>194.20576923076922</x:v>
      </x:c>
      <x:c r="N745" s="46" t="n">
        <x:v>59.4102564102564</x:v>
      </x:c>
      <x:c r="O745" s="47" t="n">
        <x:v>5</x:v>
      </x:c>
      <x:c r="P745" s="1" t="str">
        <x:v>X01にG10の追加担当を併用</x:v>
      </x:c>
      <x:c r="Q745" s="47" t="n">
        <x:v>0</x:v>
      </x:c>
      <x:c r="R745" s="1" t="str">
        <x:v>下落</x:v>
      </x:c>
      <x:c r="S745" s="47" t="n">
        <x:v>26</x:v>
      </x:c>
    </x:row>
    <x:row r="746" ht="22" customHeight="1">
      <x:c r="A746" s="1" t="str">
        <x:v>TOPIXmini</x:v>
      </x:c>
      <x:c r="B746" s="1" t="str">
        <x:v>Y01</x:v>
      </x:c>
      <x:c r="C746" s="1" t="str">
        <x:v>対照47場</x:v>
      </x:c>
      <x:c r="D746" s="45" t="n">
        <x:v>1400643</x:v>
      </x:c>
      <x:c r="E746" s="45" t="n">
        <x:v>1372787</x:v>
      </x:c>
      <x:c r="F746" s="45" t="n">
        <x:f>D746-E746</x:f>
        <x:v>27856</x:v>
      </x:c>
      <x:c r="G746" s="47" t="n">
        <x:v>24</x:v>
      </x:c>
      <x:c r="H746" s="47" t="n">
        <x:v>23</x:v>
      </x:c>
      <x:c r="I746" s="45" t="n">
        <x:v>-186308</x:v>
      </x:c>
      <x:c r="J746" s="47" t="n">
        <x:v>206</x:v>
      </x:c>
      <x:c r="K746" s="45" t="n">
        <x:v>-84666</x:v>
      </x:c>
      <x:c r="L746" s="45" t="n">
        <x:v>29204.130434782608</x:v>
      </x:c>
      <x:c r="M746" s="46" t="n">
        <x:v>207.2173758865248</x:v>
      </x:c>
      <x:c r="N746" s="46" t="n">
        <x:v>65.24078014184397</x:v>
      </x:c>
      <x:c r="O746" s="47" t="n">
        <x:v>5</x:v>
      </x:c>
      <x:c r="P746" s="1" t="str">
        <x:v>X01にG10の追加担当を併用</x:v>
      </x:c>
      <x:c r="Q746" s="47" t="n">
        <x:v>0</x:v>
      </x:c>
      <x:c r="R746" s="1" t="str">
        <x:v>全場</x:v>
      </x:c>
      <x:c r="S746" s="47" t="n">
        <x:v>47</x:v>
      </x:c>
    </x:row>
    <x:row r="747" ht="22" customHeight="1">
      <x:c r="A747" s="1" t="str">
        <x:v>TOPIXmini</x:v>
      </x:c>
      <x:c r="B747" s="1" t="str">
        <x:v>Y01</x:v>
      </x:c>
      <x:c r="C747" s="1" t="str">
        <x:v>対照47場</x:v>
      </x:c>
      <x:c r="D747" s="45" t="n">
        <x:v>750167</x:v>
      </x:c>
      <x:c r="E747" s="45" t="n">
        <x:v>831081</x:v>
      </x:c>
      <x:c r="F747" s="45" t="n">
        <x:f>D747-E747</x:f>
        <x:v>-80914</x:v>
      </x:c>
      <x:c r="G747" s="47" t="n">
        <x:v>11</x:v>
      </x:c>
      <x:c r="H747" s="47" t="n">
        <x:v>13</x:v>
      </x:c>
      <x:c r="I747" s="45" t="n">
        <x:v>-295078</x:v>
      </x:c>
      <x:c r="J747" s="47" t="n">
        <x:v>133</x:v>
      </x:c>
      <x:c r="K747" s="45" t="n">
        <x:v>-84666</x:v>
      </x:c>
      <x:c r="L747" s="45" t="n">
        <x:v>36769.153846153844</x:v>
      </x:c>
      <x:c r="M747" s="46" t="n">
        <x:v>89.64722222222223</x:v>
      </x:c>
      <x:c r="N747" s="46" t="n">
        <x:v>77.57569444444444</x:v>
      </x:c>
      <x:c r="O747" s="47" t="n">
        <x:v>5</x:v>
      </x:c>
      <x:c r="P747" s="1" t="str">
        <x:v>X01にG10の追加担当を併用</x:v>
      </x:c>
      <x:c r="Q747" s="47" t="n">
        <x:v>0</x:v>
      </x:c>
      <x:c r="R747" s="1" t="str">
        <x:v>デイ</x:v>
      </x:c>
      <x:c r="S747" s="47" t="n">
        <x:v>24</x:v>
      </x:c>
    </x:row>
    <x:row r="748" ht="22" customHeight="1">
      <x:c r="A748" s="1" t="str">
        <x:v>TOPIXmini</x:v>
      </x:c>
      <x:c r="B748" s="1" t="str">
        <x:v>Y01</x:v>
      </x:c>
      <x:c r="C748" s="1" t="str">
        <x:v>対照47場</x:v>
      </x:c>
      <x:c r="D748" s="45" t="n">
        <x:v>650476</x:v>
      </x:c>
      <x:c r="E748" s="45" t="n">
        <x:v>541706</x:v>
      </x:c>
      <x:c r="F748" s="45" t="n">
        <x:f>D748-E748</x:f>
        <x:v>108770</x:v>
      </x:c>
      <x:c r="G748" s="47" t="n">
        <x:v>13</x:v>
      </x:c>
      <x:c r="H748" s="47" t="n">
        <x:v>10</x:v>
      </x:c>
      <x:c r="I748" s="45" t="n">
        <x:v>-28300</x:v>
      </x:c>
      <x:c r="J748" s="47" t="n">
        <x:v>73</x:v>
      </x:c>
      <x:c r="K748" s="45" t="n">
        <x:v>-40836</x:v>
      </x:c>
      <x:c r="L748" s="45" t="n">
        <x:v>19369.6</x:v>
      </x:c>
      <x:c r="M748" s="46" t="n">
        <x:v>329.8992753623188</x:v>
      </x:c>
      <x:c r="N748" s="46" t="n">
        <x:v>52.3695652173913</x:v>
      </x:c>
      <x:c r="O748" s="47" t="n">
        <x:v>5</x:v>
      </x:c>
      <x:c r="P748" s="1" t="str">
        <x:v>X01にG10の追加担当を併用</x:v>
      </x:c>
      <x:c r="Q748" s="47" t="n">
        <x:v>0</x:v>
      </x:c>
      <x:c r="R748" s="1" t="str">
        <x:v>ナイト</x:v>
      </x:c>
      <x:c r="S748" s="47" t="n">
        <x:v>23</x:v>
      </x:c>
    </x:row>
    <x:row r="749" ht="22" customHeight="1">
      <x:c r="A749" s="1" t="str">
        <x:v>TOPIXmini</x:v>
      </x:c>
      <x:c r="B749" s="1" t="str">
        <x:v>Y01</x:v>
      </x:c>
      <x:c r="C749" s="1" t="str">
        <x:v>対照47場</x:v>
      </x:c>
      <x:c r="D749" s="45" t="n">
        <x:v>795320</x:v>
      </x:c>
      <x:c r="E749" s="45" t="n">
        <x:v>664438</x:v>
      </x:c>
      <x:c r="F749" s="45" t="n">
        <x:f>D749-E749</x:f>
        <x:v>130882</x:v>
      </x:c>
      <x:c r="G749" s="47" t="n">
        <x:v>15</x:v>
      </x:c>
      <x:c r="H749" s="47" t="n">
        <x:v>8</x:v>
      </x:c>
      <x:c r="I749" s="45" t="n">
        <x:v>-17357</x:v>
      </x:c>
      <x:c r="J749" s="47" t="n">
        <x:v>95</x:v>
      </x:c>
      <x:c r="K749" s="45" t="n">
        <x:v>-64002</x:v>
      </x:c>
      <x:c r="L749" s="45" t="n">
        <x:v>33146.875</x:v>
      </x:c>
      <x:c r="M749" s="46" t="n">
        <x:v>208.91956521739132</x:v>
      </x:c>
      <x:c r="N749" s="46" t="n">
        <x:v>72.97101449275362</x:v>
      </x:c>
      <x:c r="O749" s="47" t="n">
        <x:v>5</x:v>
      </x:c>
      <x:c r="P749" s="1" t="str">
        <x:v>X01にG10の追加担当を併用</x:v>
      </x:c>
      <x:c r="Q749" s="47" t="n">
        <x:v>0</x:v>
      </x:c>
      <x:c r="R749" s="1" t="str">
        <x:v>上昇</x:v>
      </x:c>
      <x:c r="S749" s="47" t="n">
        <x:v>23</x:v>
      </x:c>
    </x:row>
    <x:row r="750" ht="22" customHeight="1">
      <x:c r="A750" s="1" t="str">
        <x:v>TOPIXmini</x:v>
      </x:c>
      <x:c r="B750" s="1" t="str">
        <x:v>Y01</x:v>
      </x:c>
      <x:c r="C750" s="1" t="str">
        <x:v>対照47場</x:v>
      </x:c>
      <x:c r="D750" s="45" t="n">
        <x:v>605323</x:v>
      </x:c>
      <x:c r="E750" s="45" t="n">
        <x:v>708349</x:v>
      </x:c>
      <x:c r="F750" s="45" t="n">
        <x:f>D750-E750</x:f>
        <x:v>-103026</x:v>
      </x:c>
      <x:c r="G750" s="47" t="n">
        <x:v>9</x:v>
      </x:c>
      <x:c r="H750" s="47" t="n">
        <x:v>15</x:v>
      </x:c>
      <x:c r="I750" s="45" t="n">
        <x:v>-299357</x:v>
      </x:c>
      <x:c r="J750" s="47" t="n">
        <x:v>111</x:v>
      </x:c>
      <x:c r="K750" s="45" t="n">
        <x:v>-84666</x:v>
      </x:c>
      <x:c r="L750" s="45" t="n">
        <x:v>27101.333333333332</x:v>
      </x:c>
      <x:c r="M750" s="46" t="n">
        <x:v>205.5861111111111</x:v>
      </x:c>
      <x:c r="N750" s="46" t="n">
        <x:v>57.83263888888889</x:v>
      </x:c>
      <x:c r="O750" s="47" t="n">
        <x:v>5</x:v>
      </x:c>
      <x:c r="P750" s="1" t="str">
        <x:v>X01にG10の追加担当を併用</x:v>
      </x:c>
      <x:c r="Q750" s="47" t="n">
        <x:v>0</x:v>
      </x:c>
      <x:c r="R750" s="1" t="str">
        <x:v>下落</x:v>
      </x:c>
      <x:c r="S750" s="47" t="n">
        <x:v>24</x:v>
      </x:c>
    </x:row>
    <x:row r="751" ht="22" customHeight="1">
      <x:c r="A751" s="1" t="str">
        <x:v>TOPIXmini</x:v>
      </x:c>
      <x:c r="B751" s="1" t="str">
        <x:v>Y01</x:v>
      </x:c>
      <x:c r="C751" s="1" t="str">
        <x:v>診断3場</x:v>
      </x:c>
      <x:c r="D751" s="45" t="n">
        <x:v>142502</x:v>
      </x:c>
      <x:c r="E751" s="45" t="n">
        <x:v>174082</x:v>
      </x:c>
      <x:c r="F751" s="45" t="n">
        <x:f>D751-E751</x:f>
        <x:v>-31580</x:v>
      </x:c>
      <x:c r="G751" s="47" t="n">
        <x:v>1</x:v>
      </x:c>
      <x:c r="H751" s="47" t="n">
        <x:v>2</x:v>
      </x:c>
      <x:c r="I751" s="45" t="n">
        <x:v>-63492</x:v>
      </x:c>
      <x:c r="J751" s="47" t="n">
        <x:v>24</x:v>
      </x:c>
      <x:c r="K751" s="45" t="n">
        <x:v>-42076</x:v>
      </x:c>
      <x:c r="L751" s="45" t="n">
        <x:v>31746</x:v>
      </x:c>
      <x:c r="M751" s="46" t="n">
        <x:v>80.41666666666667</x:v>
      </x:c>
      <x:c r="N751" s="46" t="n">
        <x:v>66.87777777777778</x:v>
      </x:c>
      <x:c r="O751" s="47" t="n">
        <x:v>5</x:v>
      </x:c>
      <x:c r="P751" s="1" t="str">
        <x:v>X01にG10の追加担当を併用</x:v>
      </x:c>
      <x:c r="Q751" s="47" t="n">
        <x:v>0</x:v>
      </x:c>
      <x:c r="R751" s="1" t="str">
        <x:v>全場</x:v>
      </x:c>
      <x:c r="S751" s="47" t="n">
        <x:v>3</x:v>
      </x:c>
    </x:row>
    <x:row r="752" ht="22" customHeight="1">
      <x:c r="A752" s="1" t="str">
        <x:v>TOPIXmini</x:v>
      </x:c>
      <x:c r="B752" s="1" t="str">
        <x:v>Y01</x:v>
      </x:c>
      <x:c r="C752" s="1" t="str">
        <x:v>診断3場</x:v>
      </x:c>
      <x:c r="D752" s="45" t="n">
        <x:v>61920</x:v>
      </x:c>
      <x:c r="E752" s="45" t="n">
        <x:v>103996</x:v>
      </x:c>
      <x:c r="F752" s="45" t="n">
        <x:f>D752-E752</x:f>
        <x:v>-42076</x:v>
      </x:c>
      <x:c r="G752" s="47" t="n">
        <x:v>0</x:v>
      </x:c>
      <x:c r="H752" s="47" t="n">
        <x:v>1</x:v>
      </x:c>
      <x:c r="I752" s="45" t="n">
        <x:v>-42076</x:v>
      </x:c>
      <x:c r="J752" s="47" t="n">
        <x:v>12</x:v>
      </x:c>
      <x:c r="K752" s="45" t="n">
        <x:v>-42076</x:v>
      </x:c>
      <x:c r="L752" s="45" t="n">
        <x:v>42076</x:v>
      </x:c>
      <x:c r="M752" s="46" t="n">
        <x:v>43.95</x:v>
      </x:c>
      <x:c r="N752" s="46" t="n">
        <x:v>101.11666666666666</x:v>
      </x:c>
      <x:c r="O752" s="47" t="n">
        <x:v>5</x:v>
      </x:c>
      <x:c r="P752" s="1" t="str">
        <x:v>X01にG10の追加担当を併用</x:v>
      </x:c>
      <x:c r="Q752" s="47" t="n">
        <x:v>0</x:v>
      </x:c>
      <x:c r="R752" s="1" t="str">
        <x:v>デイ</x:v>
      </x:c>
      <x:c r="S752" s="47" t="n">
        <x:v>1</x:v>
      </x:c>
    </x:row>
    <x:row r="753" ht="22" customHeight="1">
      <x:c r="A753" s="1" t="str">
        <x:v>TOPIXmini</x:v>
      </x:c>
      <x:c r="B753" s="1" t="str">
        <x:v>Y01</x:v>
      </x:c>
      <x:c r="C753" s="1" t="str">
        <x:v>診断3場</x:v>
      </x:c>
      <x:c r="D753" s="45" t="n">
        <x:v>80582</x:v>
      </x:c>
      <x:c r="E753" s="45" t="n">
        <x:v>70086</x:v>
      </x:c>
      <x:c r="F753" s="45" t="n">
        <x:f>D753-E753</x:f>
        <x:v>10496</x:v>
      </x:c>
      <x:c r="G753" s="47" t="n">
        <x:v>1</x:v>
      </x:c>
      <x:c r="H753" s="47" t="n">
        <x:v>1</x:v>
      </x:c>
      <x:c r="I753" s="45" t="n">
        <x:v>-21416</x:v>
      </x:c>
      <x:c r="J753" s="47" t="n">
        <x:v>12</x:v>
      </x:c>
      <x:c r="K753" s="45" t="n">
        <x:v>-21416</x:v>
      </x:c>
      <x:c r="L753" s="45" t="n">
        <x:v>21416</x:v>
      </x:c>
      <x:c r="M753" s="46" t="n">
        <x:v>98.65</x:v>
      </x:c>
      <x:c r="N753" s="46" t="n">
        <x:v>49.75833333333334</x:v>
      </x:c>
      <x:c r="O753" s="47" t="n">
        <x:v>5</x:v>
      </x:c>
      <x:c r="P753" s="1" t="str">
        <x:v>X01にG10の追加担当を併用</x:v>
      </x:c>
      <x:c r="Q753" s="47" t="n">
        <x:v>0</x:v>
      </x:c>
      <x:c r="R753" s="1" t="str">
        <x:v>ナイト</x:v>
      </x:c>
      <x:c r="S753" s="47" t="n">
        <x:v>2</x:v>
      </x:c>
    </x:row>
    <x:row r="754" ht="22" customHeight="1">
      <x:c r="A754" s="1" t="str">
        <x:v>TOPIXmini</x:v>
      </x:c>
      <x:c r="B754" s="1" t="str">
        <x:v>Y01</x:v>
      </x:c>
      <x:c r="C754" s="1" t="str">
        <x:v>診断3場</x:v>
      </x:c>
      <x:c r="D754" s="45" t="n">
        <x:v>7668</x:v>
      </x:c>
      <x:c r="E754" s="45" t="n">
        <x:v>29084</x:v>
      </x:c>
      <x:c r="F754" s="45" t="n">
        <x:f>D754-E754</x:f>
        <x:v>-21416</x:v>
      </x:c>
      <x:c r="G754" s="47" t="n">
        <x:v>0</x:v>
      </x:c>
      <x:c r="H754" s="47" t="n">
        <x:v>1</x:v>
      </x:c>
      <x:c r="I754" s="45" t="n">
        <x:v>-21416</x:v>
      </x:c>
      <x:c r="J754" s="47" t="n">
        <x:v>4</x:v>
      </x:c>
      <x:c r="K754" s="45" t="n">
        <x:v>-21416</x:v>
      </x:c>
      <x:c r="L754" s="45" t="n">
        <x:v>21416</x:v>
      </x:c>
      <x:c r="M754" s="46" t="n">
        <x:v>125.96666666666667</x:v>
      </x:c>
      <x:c r="N754" s="46" t="n">
        <x:v>43.95</x:v>
      </x:c>
      <x:c r="O754" s="47" t="n">
        <x:v>5</x:v>
      </x:c>
      <x:c r="P754" s="1" t="str">
        <x:v>X01にG10の追加担当を併用</x:v>
      </x:c>
      <x:c r="Q754" s="47" t="n">
        <x:v>0</x:v>
      </x:c>
      <x:c r="R754" s="1" t="str">
        <x:v>上昇</x:v>
      </x:c>
      <x:c r="S754" s="47" t="n">
        <x:v>1</x:v>
      </x:c>
    </x:row>
    <x:row r="755" ht="22" customHeight="1">
      <x:c r="A755" s="1" t="str">
        <x:v>TOPIXmini</x:v>
      </x:c>
      <x:c r="B755" s="1" t="str">
        <x:v>Y01</x:v>
      </x:c>
      <x:c r="C755" s="1" t="str">
        <x:v>診断3場</x:v>
      </x:c>
      <x:c r="D755" s="45" t="n">
        <x:v>134834</x:v>
      </x:c>
      <x:c r="E755" s="45" t="n">
        <x:v>144998</x:v>
      </x:c>
      <x:c r="F755" s="45" t="n">
        <x:f>D755-E755</x:f>
        <x:v>-10164</x:v>
      </x:c>
      <x:c r="G755" s="47" t="n">
        <x:v>1</x:v>
      </x:c>
      <x:c r="H755" s="47" t="n">
        <x:v>1</x:v>
      </x:c>
      <x:c r="I755" s="45" t="n">
        <x:v>-42076</x:v>
      </x:c>
      <x:c r="J755" s="47" t="n">
        <x:v>20</x:v>
      </x:c>
      <x:c r="K755" s="45" t="n">
        <x:v>-42076</x:v>
      </x:c>
      <x:c r="L755" s="45" t="n">
        <x:v>42076</x:v>
      </x:c>
      <x:c r="M755" s="46" t="n">
        <x:v>57.641666666666666</x:v>
      </x:c>
      <x:c r="N755" s="46" t="n">
        <x:v>78.34166666666667</x:v>
      </x:c>
      <x:c r="O755" s="47" t="n">
        <x:v>5</x:v>
      </x:c>
      <x:c r="P755" s="1" t="str">
        <x:v>X01にG10の追加担当を併用</x:v>
      </x:c>
      <x:c r="Q755" s="47" t="n">
        <x:v>0</x:v>
      </x:c>
      <x:c r="R755" s="1" t="str">
        <x:v>下落</x:v>
      </x:c>
      <x:c r="S755" s="47" t="n">
        <x:v>2</x:v>
      </x:c>
    </x:row>
    <x:row r="756" ht="22" customHeight="1">
      <x:c r="A756" s="1" t="str">
        <x:v>TOPIXmini</x:v>
      </x:c>
      <x:c r="B756" s="1" t="str">
        <x:v>Y02</x:v>
      </x:c>
      <x:c r="C756" s="1" t="str">
        <x:v>全50場</x:v>
      </x:c>
      <x:c r="D756" s="45" t="n">
        <x:v>1569561</x:v>
      </x:c>
      <x:c r="E756" s="45" t="n">
        <x:v>1540785</x:v>
      </x:c>
      <x:c r="F756" s="45" t="n">
        <x:f>D756-E756</x:f>
        <x:v>28776</x:v>
      </x:c>
      <x:c r="G756" s="47" t="n">
        <x:v>26</x:v>
      </x:c>
      <x:c r="H756" s="47" t="n">
        <x:v>24</x:v>
      </x:c>
      <x:c r="I756" s="45" t="n">
        <x:v>-183388</x:v>
      </x:c>
      <x:c r="J756" s="47" t="n">
        <x:v>230</x:v>
      </x:c>
      <x:c r="K756" s="45" t="n">
        <x:v>-84666</x:v>
      </x:c>
      <x:c r="L756" s="45" t="n">
        <x:v>29955.708333333332</x:v>
      </x:c>
      <x:c r="M756" s="46" t="n">
        <x:v>199.60933333333335</x:v>
      </x:c>
      <x:c r="N756" s="46" t="n">
        <x:v>65.523</x:v>
      </x:c>
      <x:c r="O756" s="47" t="n">
        <x:v>5</x:v>
      </x:c>
      <x:c r="P756" s="1" t="str">
        <x:v>X02にG11の追加担当を併用</x:v>
      </x:c>
      <x:c r="Q756" s="47" t="n">
        <x:v>0</x:v>
      </x:c>
      <x:c r="R756" s="1" t="str">
        <x:v>全場</x:v>
      </x:c>
      <x:c r="S756" s="47" t="n">
        <x:v>50</x:v>
      </x:c>
    </x:row>
    <x:row r="757" ht="22" customHeight="1">
      <x:c r="A757" s="1" t="str">
        <x:v>TOPIXmini</x:v>
      </x:c>
      <x:c r="B757" s="1" t="str">
        <x:v>Y02</x:v>
      </x:c>
      <x:c r="C757" s="1" t="str">
        <x:v>全50場</x:v>
      </x:c>
      <x:c r="D757" s="45" t="n">
        <x:v>813921</x:v>
      </x:c>
      <x:c r="E757" s="45" t="n">
        <x:v>931911</x:v>
      </x:c>
      <x:c r="F757" s="45" t="n">
        <x:f>D757-E757</x:f>
        <x:v>-117990</x:v>
      </x:c>
      <x:c r="G757" s="47" t="n">
        <x:v>11</x:v>
      </x:c>
      <x:c r="H757" s="47" t="n">
        <x:v>14</x:v>
      </x:c>
      <x:c r="I757" s="45" t="n">
        <x:v>-330154</x:v>
      </x:c>
      <x:c r="J757" s="47" t="n">
        <x:v>145</x:v>
      </x:c>
      <x:c r="K757" s="45" t="n">
        <x:v>-84666</x:v>
      </x:c>
      <x:c r="L757" s="45" t="n">
        <x:v>37148.21428571428</x:v>
      </x:c>
      <x:c r="M757" s="46" t="n">
        <x:v>87.81933333333332</x:v>
      </x:c>
      <x:c r="N757" s="46" t="n">
        <x:v>78.63933333333333</x:v>
      </x:c>
      <x:c r="O757" s="47" t="n">
        <x:v>5</x:v>
      </x:c>
      <x:c r="P757" s="1" t="str">
        <x:v>X02にG11の追加担当を併用</x:v>
      </x:c>
      <x:c r="Q757" s="47" t="n">
        <x:v>0</x:v>
      </x:c>
      <x:c r="R757" s="1" t="str">
        <x:v>デイ</x:v>
      </x:c>
      <x:c r="S757" s="47" t="n">
        <x:v>25</x:v>
      </x:c>
    </x:row>
    <x:row r="758" ht="22" customHeight="1">
      <x:c r="A758" s="1" t="str">
        <x:v>TOPIXmini</x:v>
      </x:c>
      <x:c r="B758" s="1" t="str">
        <x:v>Y02</x:v>
      </x:c>
      <x:c r="C758" s="1" t="str">
        <x:v>全50場</x:v>
      </x:c>
      <x:c r="D758" s="45" t="n">
        <x:v>755640</x:v>
      </x:c>
      <x:c r="E758" s="45" t="n">
        <x:v>608874</x:v>
      </x:c>
      <x:c r="F758" s="45" t="n">
        <x:f>D758-E758</x:f>
        <x:v>146766</x:v>
      </x:c>
      <x:c r="G758" s="47" t="n">
        <x:v>15</x:v>
      </x:c>
      <x:c r="H758" s="47" t="n">
        <x:v>10</x:v>
      </x:c>
      <x:c r="I758" s="45" t="n">
        <x:v>9696</x:v>
      </x:c>
      <x:c r="J758" s="47" t="n">
        <x:v>85</x:v>
      </x:c>
      <x:c r="K758" s="45" t="n">
        <x:v>-40836</x:v>
      </x:c>
      <x:c r="L758" s="45" t="n">
        <x:v>19886.2</x:v>
      </x:c>
      <x:c r="M758" s="46" t="n">
        <x:v>311.3993333333333</x:v>
      </x:c>
      <x:c r="N758" s="46" t="n">
        <x:v>52.406666666666666</x:v>
      </x:c>
      <x:c r="O758" s="47" t="n">
        <x:v>5</x:v>
      </x:c>
      <x:c r="P758" s="1" t="str">
        <x:v>X02にG11の追加担当を併用</x:v>
      </x:c>
      <x:c r="Q758" s="47" t="n">
        <x:v>0</x:v>
      </x:c>
      <x:c r="R758" s="1" t="str">
        <x:v>ナイト</x:v>
      </x:c>
      <x:c r="S758" s="47" t="n">
        <x:v>25</x:v>
      </x:c>
    </x:row>
    <x:row r="759" ht="22" customHeight="1">
      <x:c r="A759" s="1" t="str">
        <x:v>TOPIXmini</x:v>
      </x:c>
      <x:c r="B759" s="1" t="str">
        <x:v>Y02</x:v>
      </x:c>
      <x:c r="C759" s="1" t="str">
        <x:v>全50場</x:v>
      </x:c>
      <x:c r="D759" s="45" t="n">
        <x:v>804822</x:v>
      </x:c>
      <x:c r="E759" s="45" t="n">
        <x:v>690356</x:v>
      </x:c>
      <x:c r="F759" s="45" t="n">
        <x:f>D759-E759</x:f>
        <x:v>114466</x:v>
      </x:c>
      <x:c r="G759" s="47" t="n">
        <x:v>15</x:v>
      </x:c>
      <x:c r="H759" s="47" t="n">
        <x:v>9</x:v>
      </x:c>
      <x:c r="I759" s="45" t="n">
        <x:v>-31773</x:v>
      </x:c>
      <x:c r="J759" s="47" t="n">
        <x:v>99</x:v>
      </x:c>
      <x:c r="K759" s="45" t="n">
        <x:v>-64002</x:v>
      </x:c>
      <x:c r="L759" s="45" t="n">
        <x:v>31843.444444444445</x:v>
      </x:c>
      <x:c r="M759" s="46" t="n">
        <x:v>205.46319444444444</x:v>
      </x:c>
      <x:c r="N759" s="46" t="n">
        <x:v>71.88888888888889</x:v>
      </x:c>
      <x:c r="O759" s="47" t="n">
        <x:v>5</x:v>
      </x:c>
      <x:c r="P759" s="1" t="str">
        <x:v>X02にG11の追加担当を併用</x:v>
      </x:c>
      <x:c r="Q759" s="47" t="n">
        <x:v>0</x:v>
      </x:c>
      <x:c r="R759" s="1" t="str">
        <x:v>上昇</x:v>
      </x:c>
      <x:c r="S759" s="47" t="n">
        <x:v>24</x:v>
      </x:c>
    </x:row>
    <x:row r="760" ht="22" customHeight="1">
      <x:c r="A760" s="1" t="str">
        <x:v>TOPIXmini</x:v>
      </x:c>
      <x:c r="B760" s="1" t="str">
        <x:v>Y02</x:v>
      </x:c>
      <x:c r="C760" s="1" t="str">
        <x:v>全50場</x:v>
      </x:c>
      <x:c r="D760" s="45" t="n">
        <x:v>764739</x:v>
      </x:c>
      <x:c r="E760" s="45" t="n">
        <x:v>850429</x:v>
      </x:c>
      <x:c r="F760" s="45" t="n">
        <x:f>D760-E760</x:f>
        <x:v>-85690</x:v>
      </x:c>
      <x:c r="G760" s="47" t="n">
        <x:v>11</x:v>
      </x:c>
      <x:c r="H760" s="47" t="n">
        <x:v>15</x:v>
      </x:c>
      <x:c r="I760" s="45" t="n">
        <x:v>-282021</x:v>
      </x:c>
      <x:c r="J760" s="47" t="n">
        <x:v>131</x:v>
      </x:c>
      <x:c r="K760" s="45" t="n">
        <x:v>-84666</x:v>
      </x:c>
      <x:c r="L760" s="45" t="n">
        <x:v>28823.066666666666</x:v>
      </x:c>
      <x:c r="M760" s="46" t="n">
        <x:v>194.20576923076922</x:v>
      </x:c>
      <x:c r="N760" s="46" t="n">
        <x:v>59.64679487179486</x:v>
      </x:c>
      <x:c r="O760" s="47" t="n">
        <x:v>5</x:v>
      </x:c>
      <x:c r="P760" s="1" t="str">
        <x:v>X02にG11の追加担当を併用</x:v>
      </x:c>
      <x:c r="Q760" s="47" t="n">
        <x:v>0</x:v>
      </x:c>
      <x:c r="R760" s="1" t="str">
        <x:v>下落</x:v>
      </x:c>
      <x:c r="S760" s="47" t="n">
        <x:v>26</x:v>
      </x:c>
    </x:row>
    <x:row r="761" ht="22" customHeight="1">
      <x:c r="A761" s="1" t="str">
        <x:v>TOPIXmini</x:v>
      </x:c>
      <x:c r="B761" s="1" t="str">
        <x:v>Y02</x:v>
      </x:c>
      <x:c r="C761" s="1" t="str">
        <x:v>対照47場</x:v>
      </x:c>
      <x:c r="D761" s="45" t="n">
        <x:v>1427059</x:v>
      </x:c>
      <x:c r="E761" s="45" t="n">
        <x:v>1366703</x:v>
      </x:c>
      <x:c r="F761" s="45" t="n">
        <x:f>D761-E761</x:f>
        <x:v>60356</x:v>
      </x:c>
      <x:c r="G761" s="47" t="n">
        <x:v>25</x:v>
      </x:c>
      <x:c r="H761" s="47" t="n">
        <x:v>22</x:v>
      </x:c>
      <x:c r="I761" s="45" t="n">
        <x:v>-151808</x:v>
      </x:c>
      <x:c r="J761" s="47" t="n">
        <x:v>206</x:v>
      </x:c>
      <x:c r="K761" s="45" t="n">
        <x:v>-84666</x:v>
      </x:c>
      <x:c r="L761" s="45" t="n">
        <x:v>29792.954545454544</x:v>
      </x:c>
      <x:c r="M761" s="46" t="n">
        <x:v>207.2173758865248</x:v>
      </x:c>
      <x:c r="N761" s="46" t="n">
        <x:v>65.43652482269503</x:v>
      </x:c>
      <x:c r="O761" s="47" t="n">
        <x:v>5</x:v>
      </x:c>
      <x:c r="P761" s="1" t="str">
        <x:v>X02にG11の追加担当を併用</x:v>
      </x:c>
      <x:c r="Q761" s="47" t="n">
        <x:v>0</x:v>
      </x:c>
      <x:c r="R761" s="1" t="str">
        <x:v>全場</x:v>
      </x:c>
      <x:c r="S761" s="47" t="n">
        <x:v>47</x:v>
      </x:c>
    </x:row>
    <x:row r="762" ht="22" customHeight="1">
      <x:c r="A762" s="1" t="str">
        <x:v>TOPIXmini</x:v>
      </x:c>
      <x:c r="B762" s="1" t="str">
        <x:v>Y02</x:v>
      </x:c>
      <x:c r="C762" s="1" t="str">
        <x:v>対照47場</x:v>
      </x:c>
      <x:c r="D762" s="45" t="n">
        <x:v>752001</x:v>
      </x:c>
      <x:c r="E762" s="45" t="n">
        <x:v>827915</x:v>
      </x:c>
      <x:c r="F762" s="45" t="n">
        <x:f>D762-E762</x:f>
        <x:v>-75914</x:v>
      </x:c>
      <x:c r="G762" s="47" t="n">
        <x:v>11</x:v>
      </x:c>
      <x:c r="H762" s="47" t="n">
        <x:v>13</x:v>
      </x:c>
      <x:c r="I762" s="45" t="n">
        <x:v>-288078</x:v>
      </x:c>
      <x:c r="J762" s="47" t="n">
        <x:v>133</x:v>
      </x:c>
      <x:c r="K762" s="45" t="n">
        <x:v>-84666</x:v>
      </x:c>
      <x:c r="L762" s="45" t="n">
        <x:v>36769.153846153844</x:v>
      </x:c>
      <x:c r="M762" s="46" t="n">
        <x:v>89.64722222222223</x:v>
      </x:c>
      <x:c r="N762" s="46" t="n">
        <x:v>77.70277777777777</x:v>
      </x:c>
      <x:c r="O762" s="47" t="n">
        <x:v>5</x:v>
      </x:c>
      <x:c r="P762" s="1" t="str">
        <x:v>X02にG11の追加担当を併用</x:v>
      </x:c>
      <x:c r="Q762" s="47" t="n">
        <x:v>0</x:v>
      </x:c>
      <x:c r="R762" s="1" t="str">
        <x:v>デイ</x:v>
      </x:c>
      <x:c r="S762" s="47" t="n">
        <x:v>24</x:v>
      </x:c>
    </x:row>
    <x:row r="763" ht="22" customHeight="1">
      <x:c r="A763" s="1" t="str">
        <x:v>TOPIXmini</x:v>
      </x:c>
      <x:c r="B763" s="1" t="str">
        <x:v>Y02</x:v>
      </x:c>
      <x:c r="C763" s="1" t="str">
        <x:v>対照47場</x:v>
      </x:c>
      <x:c r="D763" s="45" t="n">
        <x:v>675058</x:v>
      </x:c>
      <x:c r="E763" s="45" t="n">
        <x:v>538788</x:v>
      </x:c>
      <x:c r="F763" s="45" t="n">
        <x:f>D763-E763</x:f>
        <x:v>136270</x:v>
      </x:c>
      <x:c r="G763" s="47" t="n">
        <x:v>14</x:v>
      </x:c>
      <x:c r="H763" s="47" t="n">
        <x:v>9</x:v>
      </x:c>
      <x:c r="I763" s="45" t="n">
        <x:v>-800</x:v>
      </x:c>
      <x:c r="J763" s="47" t="n">
        <x:v>73</x:v>
      </x:c>
      <x:c r="K763" s="45" t="n">
        <x:v>-40836</x:v>
      </x:c>
      <x:c r="L763" s="45" t="n">
        <x:v>19716.222222222223</x:v>
      </x:c>
      <x:c r="M763" s="46" t="n">
        <x:v>329.8992753623188</x:v>
      </x:c>
      <x:c r="N763" s="46" t="n">
        <x:v>52.63695652173912</x:v>
      </x:c>
      <x:c r="O763" s="47" t="n">
        <x:v>5</x:v>
      </x:c>
      <x:c r="P763" s="1" t="str">
        <x:v>X02にG11の追加担当を併用</x:v>
      </x:c>
      <x:c r="Q763" s="47" t="n">
        <x:v>0</x:v>
      </x:c>
      <x:c r="R763" s="1" t="str">
        <x:v>ナイト</x:v>
      </x:c>
      <x:c r="S763" s="47" t="n">
        <x:v>23</x:v>
      </x:c>
    </x:row>
    <x:row r="764" ht="22" customHeight="1">
      <x:c r="A764" s="1" t="str">
        <x:v>TOPIXmini</x:v>
      </x:c>
      <x:c r="B764" s="1" t="str">
        <x:v>Y02</x:v>
      </x:c>
      <x:c r="C764" s="1" t="str">
        <x:v>対照47場</x:v>
      </x:c>
      <x:c r="D764" s="45" t="n">
        <x:v>797154</x:v>
      </x:c>
      <x:c r="E764" s="45" t="n">
        <x:v>661272</x:v>
      </x:c>
      <x:c r="F764" s="45" t="n">
        <x:f>D764-E764</x:f>
        <x:v>135882</x:v>
      </x:c>
      <x:c r="G764" s="47" t="n">
        <x:v>15</x:v>
      </x:c>
      <x:c r="H764" s="47" t="n">
        <x:v>8</x:v>
      </x:c>
      <x:c r="I764" s="45" t="n">
        <x:v>-10357</x:v>
      </x:c>
      <x:c r="J764" s="47" t="n">
        <x:v>95</x:v>
      </x:c>
      <x:c r="K764" s="45" t="n">
        <x:v>-64002</x:v>
      </x:c>
      <x:c r="L764" s="45" t="n">
        <x:v>33146.875</x:v>
      </x:c>
      <x:c r="M764" s="46" t="n">
        <x:v>208.91956521739132</x:v>
      </x:c>
      <x:c r="N764" s="46" t="n">
        <x:v>73.1036231884058</x:v>
      </x:c>
      <x:c r="O764" s="47" t="n">
        <x:v>5</x:v>
      </x:c>
      <x:c r="P764" s="1" t="str">
        <x:v>X02にG11の追加担当を併用</x:v>
      </x:c>
      <x:c r="Q764" s="47" t="n">
        <x:v>0</x:v>
      </x:c>
      <x:c r="R764" s="1" t="str">
        <x:v>上昇</x:v>
      </x:c>
      <x:c r="S764" s="47" t="n">
        <x:v>23</x:v>
      </x:c>
    </x:row>
    <x:row r="765" ht="22" customHeight="1">
      <x:c r="A765" s="1" t="str">
        <x:v>TOPIXmini</x:v>
      </x:c>
      <x:c r="B765" s="1" t="str">
        <x:v>Y02</x:v>
      </x:c>
      <x:c r="C765" s="1" t="str">
        <x:v>対照47場</x:v>
      </x:c>
      <x:c r="D765" s="45" t="n">
        <x:v>629905</x:v>
      </x:c>
      <x:c r="E765" s="45" t="n">
        <x:v>705431</x:v>
      </x:c>
      <x:c r="F765" s="45" t="n">
        <x:f>D765-E765</x:f>
        <x:v>-75526</x:v>
      </x:c>
      <x:c r="G765" s="47" t="n">
        <x:v>10</x:v>
      </x:c>
      <x:c r="H765" s="47" t="n">
        <x:v>14</x:v>
      </x:c>
      <x:c r="I765" s="45" t="n">
        <x:v>-271857</x:v>
      </x:c>
      <x:c r="J765" s="47" t="n">
        <x:v>111</x:v>
      </x:c>
      <x:c r="K765" s="45" t="n">
        <x:v>-84666</x:v>
      </x:c>
      <x:c r="L765" s="45" t="n">
        <x:v>27876.428571428572</x:v>
      </x:c>
      <x:c r="M765" s="46" t="n">
        <x:v>205.5861111111111</x:v>
      </x:c>
      <x:c r="N765" s="46" t="n">
        <x:v>58.08888888888888</x:v>
      </x:c>
      <x:c r="O765" s="47" t="n">
        <x:v>5</x:v>
      </x:c>
      <x:c r="P765" s="1" t="str">
        <x:v>X02にG11の追加担当を併用</x:v>
      </x:c>
      <x:c r="Q765" s="47" t="n">
        <x:v>0</x:v>
      </x:c>
      <x:c r="R765" s="1" t="str">
        <x:v>下落</x:v>
      </x:c>
      <x:c r="S765" s="47" t="n">
        <x:v>24</x:v>
      </x:c>
    </x:row>
    <x:row r="766" ht="22" customHeight="1">
      <x:c r="A766" s="1" t="str">
        <x:v>TOPIXmini</x:v>
      </x:c>
      <x:c r="B766" s="1" t="str">
        <x:v>Y02</x:v>
      </x:c>
      <x:c r="C766" s="1" t="str">
        <x:v>診断3場</x:v>
      </x:c>
      <x:c r="D766" s="45" t="n">
        <x:v>142502</x:v>
      </x:c>
      <x:c r="E766" s="45" t="n">
        <x:v>174082</x:v>
      </x:c>
      <x:c r="F766" s="45" t="n">
        <x:f>D766-E766</x:f>
        <x:v>-31580</x:v>
      </x:c>
      <x:c r="G766" s="47" t="n">
        <x:v>1</x:v>
      </x:c>
      <x:c r="H766" s="47" t="n">
        <x:v>2</x:v>
      </x:c>
      <x:c r="I766" s="45" t="n">
        <x:v>-63492</x:v>
      </x:c>
      <x:c r="J766" s="47" t="n">
        <x:v>24</x:v>
      </x:c>
      <x:c r="K766" s="45" t="n">
        <x:v>-42076</x:v>
      </x:c>
      <x:c r="L766" s="45" t="n">
        <x:v>31746</x:v>
      </x:c>
      <x:c r="M766" s="46" t="n">
        <x:v>80.41666666666667</x:v>
      </x:c>
      <x:c r="N766" s="46" t="n">
        <x:v>66.87777777777778</x:v>
      </x:c>
      <x:c r="O766" s="47" t="n">
        <x:v>5</x:v>
      </x:c>
      <x:c r="P766" s="1" t="str">
        <x:v>X02にG11の追加担当を併用</x:v>
      </x:c>
      <x:c r="Q766" s="47" t="n">
        <x:v>0</x:v>
      </x:c>
      <x:c r="R766" s="1" t="str">
        <x:v>全場</x:v>
      </x:c>
      <x:c r="S766" s="47" t="n">
        <x:v>3</x:v>
      </x:c>
    </x:row>
    <x:row r="767" ht="22" customHeight="1">
      <x:c r="A767" s="1" t="str">
        <x:v>TOPIXmini</x:v>
      </x:c>
      <x:c r="B767" s="1" t="str">
        <x:v>Y02</x:v>
      </x:c>
      <x:c r="C767" s="1" t="str">
        <x:v>診断3場</x:v>
      </x:c>
      <x:c r="D767" s="45" t="n">
        <x:v>61920</x:v>
      </x:c>
      <x:c r="E767" s="45" t="n">
        <x:v>103996</x:v>
      </x:c>
      <x:c r="F767" s="45" t="n">
        <x:f>D767-E767</x:f>
        <x:v>-42076</x:v>
      </x:c>
      <x:c r="G767" s="47" t="n">
        <x:v>0</x:v>
      </x:c>
      <x:c r="H767" s="47" t="n">
        <x:v>1</x:v>
      </x:c>
      <x:c r="I767" s="45" t="n">
        <x:v>-42076</x:v>
      </x:c>
      <x:c r="J767" s="47" t="n">
        <x:v>12</x:v>
      </x:c>
      <x:c r="K767" s="45" t="n">
        <x:v>-42076</x:v>
      </x:c>
      <x:c r="L767" s="45" t="n">
        <x:v>42076</x:v>
      </x:c>
      <x:c r="M767" s="46" t="n">
        <x:v>43.95</x:v>
      </x:c>
      <x:c r="N767" s="46" t="n">
        <x:v>101.11666666666666</x:v>
      </x:c>
      <x:c r="O767" s="47" t="n">
        <x:v>5</x:v>
      </x:c>
      <x:c r="P767" s="1" t="str">
        <x:v>X02にG11の追加担当を併用</x:v>
      </x:c>
      <x:c r="Q767" s="47" t="n">
        <x:v>0</x:v>
      </x:c>
      <x:c r="R767" s="1" t="str">
        <x:v>デイ</x:v>
      </x:c>
      <x:c r="S767" s="47" t="n">
        <x:v>1</x:v>
      </x:c>
    </x:row>
    <x:row r="768" ht="22" customHeight="1">
      <x:c r="A768" s="1" t="str">
        <x:v>TOPIXmini</x:v>
      </x:c>
      <x:c r="B768" s="1" t="str">
        <x:v>Y02</x:v>
      </x:c>
      <x:c r="C768" s="1" t="str">
        <x:v>診断3場</x:v>
      </x:c>
      <x:c r="D768" s="45" t="n">
        <x:v>80582</x:v>
      </x:c>
      <x:c r="E768" s="45" t="n">
        <x:v>70086</x:v>
      </x:c>
      <x:c r="F768" s="45" t="n">
        <x:f>D768-E768</x:f>
        <x:v>10496</x:v>
      </x:c>
      <x:c r="G768" s="47" t="n">
        <x:v>1</x:v>
      </x:c>
      <x:c r="H768" s="47" t="n">
        <x:v>1</x:v>
      </x:c>
      <x:c r="I768" s="45" t="n">
        <x:v>-21416</x:v>
      </x:c>
      <x:c r="J768" s="47" t="n">
        <x:v>12</x:v>
      </x:c>
      <x:c r="K768" s="45" t="n">
        <x:v>-21416</x:v>
      </x:c>
      <x:c r="L768" s="45" t="n">
        <x:v>21416</x:v>
      </x:c>
      <x:c r="M768" s="46" t="n">
        <x:v>98.65</x:v>
      </x:c>
      <x:c r="N768" s="46" t="n">
        <x:v>49.75833333333334</x:v>
      </x:c>
      <x:c r="O768" s="47" t="n">
        <x:v>5</x:v>
      </x:c>
      <x:c r="P768" s="1" t="str">
        <x:v>X02にG11の追加担当を併用</x:v>
      </x:c>
      <x:c r="Q768" s="47" t="n">
        <x:v>0</x:v>
      </x:c>
      <x:c r="R768" s="1" t="str">
        <x:v>ナイト</x:v>
      </x:c>
      <x:c r="S768" s="47" t="n">
        <x:v>2</x:v>
      </x:c>
    </x:row>
    <x:row r="769" ht="22" customHeight="1">
      <x:c r="A769" s="1" t="str">
        <x:v>TOPIXmini</x:v>
      </x:c>
      <x:c r="B769" s="1" t="str">
        <x:v>Y02</x:v>
      </x:c>
      <x:c r="C769" s="1" t="str">
        <x:v>診断3場</x:v>
      </x:c>
      <x:c r="D769" s="45" t="n">
        <x:v>7668</x:v>
      </x:c>
      <x:c r="E769" s="45" t="n">
        <x:v>29084</x:v>
      </x:c>
      <x:c r="F769" s="45" t="n">
        <x:f>D769-E769</x:f>
        <x:v>-21416</x:v>
      </x:c>
      <x:c r="G769" s="47" t="n">
        <x:v>0</x:v>
      </x:c>
      <x:c r="H769" s="47" t="n">
        <x:v>1</x:v>
      </x:c>
      <x:c r="I769" s="45" t="n">
        <x:v>-21416</x:v>
      </x:c>
      <x:c r="J769" s="47" t="n">
        <x:v>4</x:v>
      </x:c>
      <x:c r="K769" s="45" t="n">
        <x:v>-21416</x:v>
      </x:c>
      <x:c r="L769" s="45" t="n">
        <x:v>21416</x:v>
      </x:c>
      <x:c r="M769" s="46" t="n">
        <x:v>125.96666666666667</x:v>
      </x:c>
      <x:c r="N769" s="46" t="n">
        <x:v>43.95</x:v>
      </x:c>
      <x:c r="O769" s="47" t="n">
        <x:v>5</x:v>
      </x:c>
      <x:c r="P769" s="1" t="str">
        <x:v>X02にG11の追加担当を併用</x:v>
      </x:c>
      <x:c r="Q769" s="47" t="n">
        <x:v>0</x:v>
      </x:c>
      <x:c r="R769" s="1" t="str">
        <x:v>上昇</x:v>
      </x:c>
      <x:c r="S769" s="47" t="n">
        <x:v>1</x:v>
      </x:c>
    </x:row>
    <x:row r="770" ht="22" customHeight="1">
      <x:c r="A770" s="1" t="str">
        <x:v>TOPIXmini</x:v>
      </x:c>
      <x:c r="B770" s="1" t="str">
        <x:v>Y02</x:v>
      </x:c>
      <x:c r="C770" s="1" t="str">
        <x:v>診断3場</x:v>
      </x:c>
      <x:c r="D770" s="45" t="n">
        <x:v>134834</x:v>
      </x:c>
      <x:c r="E770" s="45" t="n">
        <x:v>144998</x:v>
      </x:c>
      <x:c r="F770" s="45" t="n">
        <x:f>D770-E770</x:f>
        <x:v>-10164</x:v>
      </x:c>
      <x:c r="G770" s="47" t="n">
        <x:v>1</x:v>
      </x:c>
      <x:c r="H770" s="47" t="n">
        <x:v>1</x:v>
      </x:c>
      <x:c r="I770" s="45" t="n">
        <x:v>-42076</x:v>
      </x:c>
      <x:c r="J770" s="47" t="n">
        <x:v>20</x:v>
      </x:c>
      <x:c r="K770" s="45" t="n">
        <x:v>-42076</x:v>
      </x:c>
      <x:c r="L770" s="45" t="n">
        <x:v>42076</x:v>
      </x:c>
      <x:c r="M770" s="46" t="n">
        <x:v>57.641666666666666</x:v>
      </x:c>
      <x:c r="N770" s="46" t="n">
        <x:v>78.34166666666667</x:v>
      </x:c>
      <x:c r="O770" s="47" t="n">
        <x:v>5</x:v>
      </x:c>
      <x:c r="P770" s="1" t="str">
        <x:v>X02にG11の追加担当を併用</x:v>
      </x:c>
      <x:c r="Q770" s="47" t="n">
        <x:v>0</x:v>
      </x:c>
      <x:c r="R770" s="1" t="str">
        <x:v>下落</x:v>
      </x:c>
      <x:c r="S770" s="47" t="n">
        <x:v>2</x:v>
      </x:c>
    </x:row>
  </x:sheetData>
  <x:mergeCells>
    <x:mergeCell ref="A4:J4"/>
  </x:mergeCells>
  <x:conditionalFormatting sqref="D7:F30">
    <x:cfRule type="cellIs" dxfId="9" priority="1" operator="lessThan">
      <x:formula>0</x:formula>
    </x:cfRule>
  </x:conditionalFormatting>
  <x:conditionalFormatting sqref="I7:I30">
    <x:cfRule type="cellIs" dxfId="10" priority="2" operator="lessThan">
      <x:formula>0</x:formula>
    </x:cfRule>
  </x:conditionalFormatting>
  <x:conditionalFormatting sqref="K7:L30">
    <x:cfRule type="cellIs" dxfId="11" priority="3" operator="lessThan">
      <x:formula>0</x:formula>
    </x:cfRule>
  </x:conditionalFormatting>
  <x:conditionalFormatting sqref="Q7:Q30">
    <x:cfRule type="cellIs" dxfId="12" priority="4" operator="greaterThan">
      <x:formula>0</x:formula>
    </x:cfRule>
  </x:conditionalFormatting>
  <x:conditionalFormatting sqref="D36:F770">
    <x:cfRule type="cellIs" dxfId="13" priority="5" operator="lessThan">
      <x:formula>0</x:formula>
    </x:cfRule>
  </x:conditionalFormatting>
  <x:conditionalFormatting sqref="I36:I770">
    <x:cfRule type="cellIs" dxfId="14" priority="6" operator="lessThan">
      <x:formula>0</x:formula>
    </x:cfRule>
  </x:conditionalFormatting>
  <x:conditionalFormatting sqref="K36:L770">
    <x:cfRule type="cellIs" dxfId="15" priority="7" operator="lessThan">
      <x:formula>0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3e2bb4bcd8974be7"/>
    <x:tablePart xmlns:r="http://schemas.openxmlformats.org/officeDocument/2006/relationships" r:id="Rdd00e54442114195"/>
  </x:tableParts>
</x:worksheet>
</file>

<file path=xl/worksheets/sheet2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48" hidden="0" customWidth="1"/>
    <x:col min="7" max="7" width="12" hidden="0" customWidth="1"/>
    <x:col min="8" max="8" width="20" hidden="0" customWidth="1"/>
    <x:col min="9" max="9" width="20" hidden="0" customWidth="1"/>
    <x:col min="10" max="10" width="20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4" t="str">
        <x:v>昼夜別の基準手法と収支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  <x:c r="P2" s="2"/>
      <x:c r="Q2" s="2"/>
    </x:row>
    <x:row r="3" ht="22" customHeight="1">
      <x:c r="A3" s="7" t="str">
        <x:v>運用IDは昼夜の組み合わせを表します。昼夜それぞれの実行手法を明記します。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2" customHeight="1">
      <x:c r="A4" s="7" t="str">
        <x:v>診断3場は原因分析と改善に使用した期間です。昼夜別の比較を、未見期間の実証とは扱いません。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2" customHeight="1">
      <x:c r="A5" s="7" t="str">
        <x:v>金額は円・手数料後。全期間は昼25場・夜25場、対照は昼24場・夜23場、診断は昼1場・夜2場。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34" customHeight="1">
      <x:c r="A6" s="16" t="str">
        <x:v>商品</x:v>
      </x:c>
      <x:c r="B6" s="17" t="str">
        <x:v>運用ID</x:v>
      </x:c>
      <x:c r="C6" s="17" t="str">
        <x:v>昼夜</x:v>
      </x:c>
      <x:c r="D6" s="17" t="str">
        <x:v>対象</x:v>
      </x:c>
      <x:c r="E6" s="17" t="str">
        <x:v>実行手法</x:v>
      </x:c>
      <x:c r="F6" s="17" t="str">
        <x:v>運用説明</x:v>
      </x:c>
      <x:c r="G6" s="17" t="str">
        <x:v>対象場数</x:v>
      </x:c>
      <x:c r="H6" s="17" t="str">
        <x:v>利益（円）</x:v>
      </x:c>
      <x:c r="I6" s="17" t="str">
        <x:v>損失（円）</x:v>
      </x:c>
      <x:c r="J6" s="17" t="str">
        <x:v>収支（円）</x:v>
      </x:c>
      <x:c r="K6" s="17" t="str">
        <x:v>新規数</x:v>
      </x:c>
      <x:c r="L6" s="17" t="str">
        <x:v>黒字場数</x:v>
      </x:c>
      <x:c r="M6" s="17" t="str">
        <x:v>赤字場数</x:v>
      </x:c>
      <x:c r="N6" s="17" t="str">
        <x:v>無取引場数</x:v>
      </x:c>
      <x:c r="O6" s="17" t="str">
        <x:v>平均赤字（円）</x:v>
      </x:c>
      <x:c r="P6" s="17" t="str">
        <x:v>最大赤字（円）</x:v>
      </x:c>
      <x:c r="Q6" s="18" t="str">
        <x:v>上位3黒字除外（円）</x:v>
      </x:c>
    </x:row>
    <x:row r="7" ht="36" customHeight="1">
      <x:c r="A7" s="2" t="str">
        <x:v>日経mini</x:v>
      </x:c>
      <x:c r="B7" s="2" t="str">
        <x:v>B5</x:v>
      </x:c>
      <x:c r="C7" s="2" t="str">
        <x:v>デイ</x:v>
      </x:c>
      <x:c r="D7" s="2" t="str">
        <x:v>全50場</x:v>
      </x:c>
      <x:c r="E7" s="2" t="str">
        <x:v>B5（T06）</x:v>
      </x:c>
      <x:c r="F7" s="23" t="str">
        <x:v>従来基準</x:v>
      </x:c>
      <x:c r="G7" s="22" t="n">
        <x:f>COUNTIFS('日経_B5'!C7:C56,C7)</x:f>
        <x:v>25</x:v>
      </x:c>
      <x:c r="H7" s="20" t="n">
        <x:f>SUMIFS('日経_B5'!D7:D56,'日経_B5'!C7:C56,C7)</x:f>
        <x:v>2930864</x:v>
      </x:c>
      <x:c r="I7" s="20" t="n">
        <x:f>SUMIFS('日経_B5'!E7:E56,'日経_B5'!C7:C56,C7)</x:f>
        <x:v>1361672</x:v>
      </x:c>
      <x:c r="J7" s="20" t="n">
        <x:f>H7-I7</x:f>
        <x:v>1569192</x:v>
      </x:c>
      <x:c r="K7" s="22" t="n">
        <x:f>SUMIFS('日経_B5'!J7:J56,'日経_B5'!C7:C56,C7)</x:f>
        <x:v>62</x:v>
      </x:c>
      <x:c r="L7" s="22" t="n">
        <x:f>COUNTIFS('日経_B5'!F7:F56,"&gt;0",'日経_B5'!C7:C56,C7)</x:f>
        <x:v>16</x:v>
      </x:c>
      <x:c r="M7" s="22" t="n">
        <x:f>COUNTIFS('日経_B5'!F7:F56,"&lt;0",'日経_B5'!C7:C56,C7)</x:f>
        <x:v>9</x:v>
      </x:c>
      <x:c r="N7" s="22" t="n">
        <x:f>COUNTIFS('日経_B5'!J7:J56,"=0",'日経_B5'!C7:C56,C7)</x:f>
        <x:v>0</x:v>
      </x:c>
      <x:c r="O7" s="20" t="n">
        <x:f>IF(M7=0,0,-SUMIFS('日経_B5'!F7:F56,'日経_B5'!F7:F56,"&lt;0",'日経_B5'!C7:C56,C7)/M7)</x:f>
        <x:v>75989.33333333333</x:v>
      </x:c>
      <x:c r="P7" s="20" t="n">
        <x:f>MAX(0,-_xlfn.MINIFS('日経_B5'!F7:F56,'日経_B5'!C7:C56,C7))</x:f>
        <x:v>153304</x:v>
      </x:c>
      <x:c r="Q7" s="20" t="n">
        <x:f>J7-MAX(0,_xlfn.MAXIFS('日経_B5'!F7:F56,'日経_B5'!C7:C56,C7))-IF(COUNTIFS('日経_B5'!F7:F56,MAX(0,_xlfn.MAXIFS('日経_B5'!F7:F56,'日経_B5'!C7:C56,C7)),'日経_B5'!C7:C56,C7)&gt;=2,MAX(0,_xlfn.MAXIFS('日経_B5'!F7:F56,'日経_B5'!C7:C56,C7)),MAX(0,_xlfn.MAXIFS('日経_B5'!F7:F56,'日経_B5'!C7:C56,C7,'日経_B5'!F7:F56,"&lt;"&amp;MAX(0,_xlfn.MAXIFS('日経_B5'!F7:F56,'日経_B5'!C7:C56,C7)))))-IF(COUNTIFS('日経_B5'!F7:F56,MAX(0,_xlfn.MAXIFS('日経_B5'!F7:F56,'日経_B5'!C7:C56,C7)),'日経_B5'!C7:C56,C7)&gt;=3,MAX(0,_xlfn.MAXIFS('日経_B5'!F7:F56,'日経_B5'!C7:C56,C7)),IF(COUNTIFS('日経_B5'!F7:F56,IF(COUNTIFS('日経_B5'!F7:F56,MAX(0,_xlfn.MAXIFS('日経_B5'!F7:F56,'日経_B5'!C7:C56,C7)),'日経_B5'!C7:C56,C7)&gt;=2,MAX(0,_xlfn.MAXIFS('日経_B5'!F7:F56,'日経_B5'!C7:C56,C7)),MAX(0,_xlfn.MAXIFS('日経_B5'!F7:F56,'日経_B5'!C7:C56,C7,'日経_B5'!F7:F56,"&lt;"&amp;MAX(0,_xlfn.MAXIFS('日経_B5'!F7:F56,'日経_B5'!C7:C56,C7))))),'日経_B5'!C7:C56,C7)+COUNTIFS('日経_B5'!F7:F56,"&gt;"&amp;IF(COUNTIFS('日経_B5'!F7:F56,MAX(0,_xlfn.MAXIFS('日経_B5'!F7:F56,'日経_B5'!C7:C56,C7)),'日経_B5'!C7:C56,C7)&gt;=2,MAX(0,_xlfn.MAXIFS('日経_B5'!F7:F56,'日経_B5'!C7:C56,C7)),MAX(0,_xlfn.MAXIFS('日経_B5'!F7:F56,'日経_B5'!C7:C56,C7,'日経_B5'!F7:F56,"&lt;"&amp;MAX(0,_xlfn.MAXIFS('日経_B5'!F7:F56,'日経_B5'!C7:C56,C7))))),'日経_B5'!C7:C56,C7)&gt;=3,IF(COUNTIFS('日経_B5'!F7:F56,MAX(0,_xlfn.MAXIFS('日経_B5'!F7:F56,'日経_B5'!C7:C56,C7)),'日経_B5'!C7:C56,C7)&gt;=2,MAX(0,_xlfn.MAXIFS('日経_B5'!F7:F56,'日経_B5'!C7:C56,C7)),MAX(0,_xlfn.MAXIFS('日経_B5'!F7:F56,'日経_B5'!C7:C56,C7,'日経_B5'!F7:F56,"&lt;"&amp;MAX(0,_xlfn.MAXIFS('日経_B5'!F7:F56,'日経_B5'!C7:C56,C7))))),MAX(0,_xlfn.MAXIFS('日経_B5'!F7:F56,'日経_B5'!C7:C56,C7,'日経_B5'!F7:F56,"&lt;"&amp;IF(COUNTIFS('日経_B5'!F7:F56,MAX(0,_xlfn.MAXIFS('日経_B5'!F7:F56,'日経_B5'!C7:C56,C7)),'日経_B5'!C7:C56,C7)&gt;=2,MAX(0,_xlfn.MAXIFS('日経_B5'!F7:F56,'日経_B5'!C7:C56,C7)),MAX(0,_xlfn.MAXIFS('日経_B5'!F7:F56,'日経_B5'!C7:C56,C7,'日経_B5'!F7:F56,"&lt;"&amp;MAX(0,_xlfn.MAXIFS('日経_B5'!F7:F56,'日経_B5'!C7:C56,C7)))))))))</x:f>
        <x:v>570112</x:v>
      </x:c>
    </x:row>
    <x:row r="8" ht="36" customHeight="1">
      <x:c r="A8" s="2" t="str">
        <x:v>日経mini</x:v>
      </x:c>
      <x:c r="B8" s="2" t="str">
        <x:v>B5</x:v>
      </x:c>
      <x:c r="C8" s="2" t="str">
        <x:v>ナイト</x:v>
      </x:c>
      <x:c r="D8" s="2" t="str">
        <x:v>全50場</x:v>
      </x:c>
      <x:c r="E8" s="2" t="str">
        <x:v>B5（U06）</x:v>
      </x:c>
      <x:c r="F8" s="23" t="str">
        <x:v>従来基準</x:v>
      </x:c>
      <x:c r="G8" s="22" t="n">
        <x:f>COUNTIFS('日経_B5'!C7:C56,C8)</x:f>
        <x:v>25</x:v>
      </x:c>
      <x:c r="H8" s="20" t="n">
        <x:f>SUMIFS('日経_B5'!D7:D56,'日経_B5'!C7:C56,C8)</x:f>
        <x:v>1284324</x:v>
      </x:c>
      <x:c r="I8" s="20" t="n">
        <x:f>SUMIFS('日経_B5'!E7:E56,'日経_B5'!C7:C56,C8)</x:f>
        <x:v>788068</x:v>
      </x:c>
      <x:c r="J8" s="20" t="n">
        <x:f>H8-I8</x:f>
        <x:v>496256</x:v>
      </x:c>
      <x:c r="K8" s="22" t="n">
        <x:f>SUMIFS('日経_B5'!J7:J56,'日経_B5'!C7:C56,C8)</x:f>
        <x:v>46</x:v>
      </x:c>
      <x:c r="L8" s="22" t="n">
        <x:f>COUNTIFS('日経_B5'!F7:F56,"&gt;0",'日経_B5'!C7:C56,C8)</x:f>
        <x:v>16</x:v>
      </x:c>
      <x:c r="M8" s="22" t="n">
        <x:f>COUNTIFS('日経_B5'!F7:F56,"&lt;0",'日経_B5'!C7:C56,C8)</x:f>
        <x:v>9</x:v>
      </x:c>
      <x:c r="N8" s="22" t="n">
        <x:f>COUNTIFS('日経_B5'!J7:J56,"=0",'日経_B5'!C7:C56,C8)</x:f>
        <x:v>0</x:v>
      </x:c>
      <x:c r="O8" s="20" t="n">
        <x:f>IF(M8=0,0,-SUMIFS('日経_B5'!F7:F56,'日経_B5'!F7:F56,"&lt;0",'日経_B5'!C7:C56,C8)/M8)</x:f>
        <x:v>45144.444444444445</x:v>
      </x:c>
      <x:c r="P8" s="20" t="n">
        <x:f>MAX(0,-_xlfn.MINIFS('日経_B5'!F7:F56,'日経_B5'!C7:C56,C8))</x:f>
        <x:v>80768</x:v>
      </x:c>
      <x:c r="Q8" s="20" t="n">
        <x:f>J8-MAX(0,_xlfn.MAXIFS('日経_B5'!F7:F56,'日経_B5'!C7:C56,C8))-IF(COUNTIFS('日経_B5'!F7:F56,MAX(0,_xlfn.MAXIFS('日経_B5'!F7:F56,'日経_B5'!C7:C56,C8)),'日経_B5'!C7:C56,C8)&gt;=2,MAX(0,_xlfn.MAXIFS('日経_B5'!F7:F56,'日経_B5'!C7:C56,C8)),MAX(0,_xlfn.MAXIFS('日経_B5'!F7:F56,'日経_B5'!C7:C56,C8,'日経_B5'!F7:F56,"&lt;"&amp;MAX(0,_xlfn.MAXIFS('日経_B5'!F7:F56,'日経_B5'!C7:C56,C8)))))-IF(COUNTIFS('日経_B5'!F7:F56,MAX(0,_xlfn.MAXIFS('日経_B5'!F7:F56,'日経_B5'!C7:C56,C8)),'日経_B5'!C7:C56,C8)&gt;=3,MAX(0,_xlfn.MAXIFS('日経_B5'!F7:F56,'日経_B5'!C7:C56,C8)),IF(COUNTIFS('日経_B5'!F7:F56,IF(COUNTIFS('日経_B5'!F7:F56,MAX(0,_xlfn.MAXIFS('日経_B5'!F7:F56,'日経_B5'!C7:C56,C8)),'日経_B5'!C7:C56,C8)&gt;=2,MAX(0,_xlfn.MAXIFS('日経_B5'!F7:F56,'日経_B5'!C7:C56,C8)),MAX(0,_xlfn.MAXIFS('日経_B5'!F7:F56,'日経_B5'!C7:C56,C8,'日経_B5'!F7:F56,"&lt;"&amp;MAX(0,_xlfn.MAXIFS('日経_B5'!F7:F56,'日経_B5'!C7:C56,C8))))),'日経_B5'!C7:C56,C8)+COUNTIFS('日経_B5'!F7:F56,"&gt;"&amp;IF(COUNTIFS('日経_B5'!F7:F56,MAX(0,_xlfn.MAXIFS('日経_B5'!F7:F56,'日経_B5'!C7:C56,C8)),'日経_B5'!C7:C56,C8)&gt;=2,MAX(0,_xlfn.MAXIFS('日経_B5'!F7:F56,'日経_B5'!C7:C56,C8)),MAX(0,_xlfn.MAXIFS('日経_B5'!F7:F56,'日経_B5'!C7:C56,C8,'日経_B5'!F7:F56,"&lt;"&amp;MAX(0,_xlfn.MAXIFS('日経_B5'!F7:F56,'日経_B5'!C7:C56,C8))))),'日経_B5'!C7:C56,C8)&gt;=3,IF(COUNTIFS('日経_B5'!F7:F56,MAX(0,_xlfn.MAXIFS('日経_B5'!F7:F56,'日経_B5'!C7:C56,C8)),'日経_B5'!C7:C56,C8)&gt;=2,MAX(0,_xlfn.MAXIFS('日経_B5'!F7:F56,'日経_B5'!C7:C56,C8)),MAX(0,_xlfn.MAXIFS('日経_B5'!F7:F56,'日経_B5'!C7:C56,C8,'日経_B5'!F7:F56,"&lt;"&amp;MAX(0,_xlfn.MAXIFS('日経_B5'!F7:F56,'日経_B5'!C7:C56,C8))))),MAX(0,_xlfn.MAXIFS('日経_B5'!F7:F56,'日経_B5'!C7:C56,C8,'日経_B5'!F7:F56,"&lt;"&amp;IF(COUNTIFS('日経_B5'!F7:F56,MAX(0,_xlfn.MAXIFS('日経_B5'!F7:F56,'日経_B5'!C7:C56,C8)),'日経_B5'!C7:C56,C8)&gt;=2,MAX(0,_xlfn.MAXIFS('日経_B5'!F7:F56,'日経_B5'!C7:C56,C8)),MAX(0,_xlfn.MAXIFS('日経_B5'!F7:F56,'日経_B5'!C7:C56,C8,'日経_B5'!F7:F56,"&lt;"&amp;MAX(0,_xlfn.MAXIFS('日経_B5'!F7:F56,'日経_B5'!C7:C56,C8)))))))))</x:f>
        <x:v>115098</x:v>
      </x:c>
    </x:row>
    <x:row r="9" ht="36" customHeight="1">
      <x:c r="A9" s="2" t="str">
        <x:v>日経mini</x:v>
      </x:c>
      <x:c r="B9" s="2" t="str">
        <x:v>B5</x:v>
      </x:c>
      <x:c r="C9" s="2" t="str">
        <x:v>デイ</x:v>
      </x:c>
      <x:c r="D9" s="2" t="str">
        <x:v>対照47場</x:v>
      </x:c>
      <x:c r="E9" s="2" t="str">
        <x:v>B5（T06）</x:v>
      </x:c>
      <x:c r="F9" s="23" t="str">
        <x:v>従来基準</x:v>
      </x:c>
      <x:c r="G9" s="22" t="n">
        <x:f>COUNTIFS('日経_B5'!C7:C53,C9)</x:f>
        <x:v>24</x:v>
      </x:c>
      <x:c r="H9" s="20" t="n">
        <x:f>SUMIFS('日経_B5'!D7:D53,'日経_B5'!C7:C53,C9)</x:f>
        <x:v>2930864</x:v>
      </x:c>
      <x:c r="I9" s="20" t="n">
        <x:f>SUMIFS('日経_B5'!E7:E53,'日経_B5'!C7:C53,C9)</x:f>
        <x:v>1316288</x:v>
      </x:c>
      <x:c r="J9" s="20" t="n">
        <x:f>H9-I9</x:f>
        <x:v>1614576</x:v>
      </x:c>
      <x:c r="K9" s="22" t="n">
        <x:f>SUMIFS('日経_B5'!J7:J53,'日経_B5'!C7:C53,C9)</x:f>
        <x:v>61</x:v>
      </x:c>
      <x:c r="L9" s="22" t="n">
        <x:f>COUNTIFS('日経_B5'!F7:F53,"&gt;0",'日経_B5'!C7:C53,C9)</x:f>
        <x:v>16</x:v>
      </x:c>
      <x:c r="M9" s="22" t="n">
        <x:f>COUNTIFS('日経_B5'!F7:F53,"&lt;0",'日経_B5'!C7:C53,C9)</x:f>
        <x:v>8</x:v>
      </x:c>
      <x:c r="N9" s="22" t="n">
        <x:f>COUNTIFS('日経_B5'!J7:J53,"=0",'日経_B5'!C7:C53,C9)</x:f>
        <x:v>0</x:v>
      </x:c>
      <x:c r="O9" s="20" t="n">
        <x:f>IF(M9=0,0,-SUMIFS('日経_B5'!F7:F53,'日経_B5'!F7:F53,"&lt;0",'日経_B5'!C7:C53,C9)/M9)</x:f>
        <x:v>79815</x:v>
      </x:c>
      <x:c r="P9" s="20" t="n">
        <x:f>MAX(0,-_xlfn.MINIFS('日経_B5'!F7:F53,'日経_B5'!C7:C53,C9))</x:f>
        <x:v>153304</x:v>
      </x:c>
      <x:c r="Q9" s="20" t="n">
        <x:f>J9-MAX(0,_xlfn.MAXIFS('日経_B5'!F7:F53,'日経_B5'!C7:C53,C9))-IF(COUNTIFS('日経_B5'!F7:F53,MAX(0,_xlfn.MAXIFS('日経_B5'!F7:F53,'日経_B5'!C7:C53,C9)),'日経_B5'!C7:C53,C9)&gt;=2,MAX(0,_xlfn.MAXIFS('日経_B5'!F7:F53,'日経_B5'!C7:C53,C9)),MAX(0,_xlfn.MAXIFS('日経_B5'!F7:F53,'日経_B5'!C7:C53,C9,'日経_B5'!F7:F53,"&lt;"&amp;MAX(0,_xlfn.MAXIFS('日経_B5'!F7:F53,'日経_B5'!C7:C53,C9)))))-IF(COUNTIFS('日経_B5'!F7:F53,MAX(0,_xlfn.MAXIFS('日経_B5'!F7:F53,'日経_B5'!C7:C53,C9)),'日経_B5'!C7:C53,C9)&gt;=3,MAX(0,_xlfn.MAXIFS('日経_B5'!F7:F53,'日経_B5'!C7:C53,C9)),IF(COUNTIFS('日経_B5'!F7:F53,IF(COUNTIFS('日経_B5'!F7:F53,MAX(0,_xlfn.MAXIFS('日経_B5'!F7:F53,'日経_B5'!C7:C53,C9)),'日経_B5'!C7:C53,C9)&gt;=2,MAX(0,_xlfn.MAXIFS('日経_B5'!F7:F53,'日経_B5'!C7:C53,C9)),MAX(0,_xlfn.MAXIFS('日経_B5'!F7:F53,'日経_B5'!C7:C53,C9,'日経_B5'!F7:F53,"&lt;"&amp;MAX(0,_xlfn.MAXIFS('日経_B5'!F7:F53,'日経_B5'!C7:C53,C9))))),'日経_B5'!C7:C53,C9)+COUNTIFS('日経_B5'!F7:F53,"&gt;"&amp;IF(COUNTIFS('日経_B5'!F7:F53,MAX(0,_xlfn.MAXIFS('日経_B5'!F7:F53,'日経_B5'!C7:C53,C9)),'日経_B5'!C7:C53,C9)&gt;=2,MAX(0,_xlfn.MAXIFS('日経_B5'!F7:F53,'日経_B5'!C7:C53,C9)),MAX(0,_xlfn.MAXIFS('日経_B5'!F7:F53,'日経_B5'!C7:C53,C9,'日経_B5'!F7:F53,"&lt;"&amp;MAX(0,_xlfn.MAXIFS('日経_B5'!F7:F53,'日経_B5'!C7:C53,C9))))),'日経_B5'!C7:C53,C9)&gt;=3,IF(COUNTIFS('日経_B5'!F7:F53,MAX(0,_xlfn.MAXIFS('日経_B5'!F7:F53,'日経_B5'!C7:C53,C9)),'日経_B5'!C7:C53,C9)&gt;=2,MAX(0,_xlfn.MAXIFS('日経_B5'!F7:F53,'日経_B5'!C7:C53,C9)),MAX(0,_xlfn.MAXIFS('日経_B5'!F7:F53,'日経_B5'!C7:C53,C9,'日経_B5'!F7:F53,"&lt;"&amp;MAX(0,_xlfn.MAXIFS('日経_B5'!F7:F53,'日経_B5'!C7:C53,C9))))),MAX(0,_xlfn.MAXIFS('日経_B5'!F7:F53,'日経_B5'!C7:C53,C9,'日経_B5'!F7:F53,"&lt;"&amp;IF(COUNTIFS('日経_B5'!F7:F53,MAX(0,_xlfn.MAXIFS('日経_B5'!F7:F53,'日経_B5'!C7:C53,C9)),'日経_B5'!C7:C53,C9)&gt;=2,MAX(0,_xlfn.MAXIFS('日経_B5'!F7:F53,'日経_B5'!C7:C53,C9)),MAX(0,_xlfn.MAXIFS('日経_B5'!F7:F53,'日経_B5'!C7:C53,C9,'日経_B5'!F7:F53,"&lt;"&amp;MAX(0,_xlfn.MAXIFS('日経_B5'!F7:F53,'日経_B5'!C7:C53,C9)))))))))</x:f>
        <x:v>615496</x:v>
      </x:c>
    </x:row>
    <x:row r="10" ht="36" customHeight="1">
      <x:c r="A10" s="2" t="str">
        <x:v>日経mini</x:v>
      </x:c>
      <x:c r="B10" s="2" t="str">
        <x:v>B5</x:v>
      </x:c>
      <x:c r="C10" s="2" t="str">
        <x:v>ナイト</x:v>
      </x:c>
      <x:c r="D10" s="2" t="str">
        <x:v>対照47場</x:v>
      </x:c>
      <x:c r="E10" s="2" t="str">
        <x:v>B5（U06）</x:v>
      </x:c>
      <x:c r="F10" s="23" t="str">
        <x:v>従来基準</x:v>
      </x:c>
      <x:c r="G10" s="22" t="n">
        <x:f>COUNTIFS('日経_B5'!C7:C53,C10)</x:f>
        <x:v>23</x:v>
      </x:c>
      <x:c r="H10" s="20" t="n">
        <x:f>SUMIFS('日経_B5'!D7:D53,'日経_B5'!C7:C53,C10)</x:f>
        <x:v>1179708</x:v>
      </x:c>
      <x:c r="I10" s="20" t="n">
        <x:f>SUMIFS('日経_B5'!E7:E53,'日経_B5'!C7:C53,C10)</x:f>
        <x:v>677300</x:v>
      </x:c>
      <x:c r="J10" s="20" t="n">
        <x:f>H10-I10</x:f>
        <x:v>502408</x:v>
      </x:c>
      <x:c r="K10" s="22" t="n">
        <x:f>SUMIFS('日経_B5'!J7:J53,'日経_B5'!C7:C53,C10)</x:f>
        <x:v>43</x:v>
      </x:c>
      <x:c r="L10" s="22" t="n">
        <x:f>COUNTIFS('日経_B5'!F7:F53,"&gt;0",'日経_B5'!C7:C53,C10)</x:f>
        <x:v>15</x:v>
      </x:c>
      <x:c r="M10" s="22" t="n">
        <x:f>COUNTIFS('日経_B5'!F7:F53,"&lt;0",'日経_B5'!C7:C53,C10)</x:f>
        <x:v>8</x:v>
      </x:c>
      <x:c r="N10" s="22" t="n">
        <x:f>COUNTIFS('日経_B5'!J7:J53,"=0",'日経_B5'!C7:C53,C10)</x:f>
        <x:v>0</x:v>
      </x:c>
      <x:c r="O10" s="20" t="n">
        <x:f>IF(M10=0,0,-SUMIFS('日経_B5'!F7:F53,'日経_B5'!F7:F53,"&lt;0",'日経_B5'!C7:C53,C10)/M10)</x:f>
        <x:v>43864.5</x:v>
      </x:c>
      <x:c r="P10" s="20" t="n">
        <x:f>MAX(0,-_xlfn.MINIFS('日経_B5'!F7:F53,'日経_B5'!C7:C53,C10))</x:f>
        <x:v>80768</x:v>
      </x:c>
      <x:c r="Q10" s="20" t="n">
        <x:f>J10-MAX(0,_xlfn.MAXIFS('日経_B5'!F7:F53,'日経_B5'!C7:C53,C10))-IF(COUNTIFS('日経_B5'!F7:F53,MAX(0,_xlfn.MAXIFS('日経_B5'!F7:F53,'日経_B5'!C7:C53,C10)),'日経_B5'!C7:C53,C10)&gt;=2,MAX(0,_xlfn.MAXIFS('日経_B5'!F7:F53,'日経_B5'!C7:C53,C10)),MAX(0,_xlfn.MAXIFS('日経_B5'!F7:F53,'日経_B5'!C7:C53,C10,'日経_B5'!F7:F53,"&lt;"&amp;MAX(0,_xlfn.MAXIFS('日経_B5'!F7:F53,'日経_B5'!C7:C53,C10)))))-IF(COUNTIFS('日経_B5'!F7:F53,MAX(0,_xlfn.MAXIFS('日経_B5'!F7:F53,'日経_B5'!C7:C53,C10)),'日経_B5'!C7:C53,C10)&gt;=3,MAX(0,_xlfn.MAXIFS('日経_B5'!F7:F53,'日経_B5'!C7:C53,C10)),IF(COUNTIFS('日経_B5'!F7:F53,IF(COUNTIFS('日経_B5'!F7:F53,MAX(0,_xlfn.MAXIFS('日経_B5'!F7:F53,'日経_B5'!C7:C53,C10)),'日経_B5'!C7:C53,C10)&gt;=2,MAX(0,_xlfn.MAXIFS('日経_B5'!F7:F53,'日経_B5'!C7:C53,C10)),MAX(0,_xlfn.MAXIFS('日経_B5'!F7:F53,'日経_B5'!C7:C53,C10,'日経_B5'!F7:F53,"&lt;"&amp;MAX(0,_xlfn.MAXIFS('日経_B5'!F7:F53,'日経_B5'!C7:C53,C10))))),'日経_B5'!C7:C53,C10)+COUNTIFS('日経_B5'!F7:F53,"&gt;"&amp;IF(COUNTIFS('日経_B5'!F7:F53,MAX(0,_xlfn.MAXIFS('日経_B5'!F7:F53,'日経_B5'!C7:C53,C10)),'日経_B5'!C7:C53,C10)&gt;=2,MAX(0,_xlfn.MAXIFS('日経_B5'!F7:F53,'日経_B5'!C7:C53,C10)),MAX(0,_xlfn.MAXIFS('日経_B5'!F7:F53,'日経_B5'!C7:C53,C10,'日経_B5'!F7:F53,"&lt;"&amp;MAX(0,_xlfn.MAXIFS('日経_B5'!F7:F53,'日経_B5'!C7:C53,C10))))),'日経_B5'!C7:C53,C10)&gt;=3,IF(COUNTIFS('日経_B5'!F7:F53,MAX(0,_xlfn.MAXIFS('日経_B5'!F7:F53,'日経_B5'!C7:C53,C10)),'日経_B5'!C7:C53,C10)&gt;=2,MAX(0,_xlfn.MAXIFS('日経_B5'!F7:F53,'日経_B5'!C7:C53,C10)),MAX(0,_xlfn.MAXIFS('日経_B5'!F7:F53,'日経_B5'!C7:C53,C10,'日経_B5'!F7:F53,"&lt;"&amp;MAX(0,_xlfn.MAXIFS('日経_B5'!F7:F53,'日経_B5'!C7:C53,C10))))),MAX(0,_xlfn.MAXIFS('日経_B5'!F7:F53,'日経_B5'!C7:C53,C10,'日経_B5'!F7:F53,"&lt;"&amp;IF(COUNTIFS('日経_B5'!F7:F53,MAX(0,_xlfn.MAXIFS('日経_B5'!F7:F53,'日経_B5'!C7:C53,C10)),'日経_B5'!C7:C53,C10)&gt;=2,MAX(0,_xlfn.MAXIFS('日経_B5'!F7:F53,'日経_B5'!C7:C53,C10)),MAX(0,_xlfn.MAXIFS('日経_B5'!F7:F53,'日経_B5'!C7:C53,C10,'日経_B5'!F7:F53,"&lt;"&amp;MAX(0,_xlfn.MAXIFS('日経_B5'!F7:F53,'日経_B5'!C7:C53,C10)))))))))</x:f>
        <x:v>121250</x:v>
      </x:c>
    </x:row>
    <x:row r="11" ht="36" customHeight="1">
      <x:c r="A11" s="2" t="str">
        <x:v>日経mini</x:v>
      </x:c>
      <x:c r="B11" s="2" t="str">
        <x:v>B5</x:v>
      </x:c>
      <x:c r="C11" s="2" t="str">
        <x:v>デイ</x:v>
      </x:c>
      <x:c r="D11" s="2" t="str">
        <x:v>診断3場</x:v>
      </x:c>
      <x:c r="E11" s="2" t="str">
        <x:v>B5（T06）</x:v>
      </x:c>
      <x:c r="F11" s="23" t="str">
        <x:v>従来基準</x:v>
      </x:c>
      <x:c r="G11" s="22" t="n">
        <x:f>COUNTIFS('日経_B5'!C54:C56,C11)</x:f>
        <x:v>1</x:v>
      </x:c>
      <x:c r="H11" s="20" t="n">
        <x:f>SUMIFS('日経_B5'!D54:D56,'日経_B5'!C54:C56,C11)</x:f>
        <x:v>0</x:v>
      </x:c>
      <x:c r="I11" s="20" t="n">
        <x:f>SUMIFS('日経_B5'!E54:E56,'日経_B5'!C54:C56,C11)</x:f>
        <x:v>45384</x:v>
      </x:c>
      <x:c r="J11" s="20" t="n">
        <x:f>H11-I11</x:f>
        <x:v>-45384</x:v>
      </x:c>
      <x:c r="K11" s="22" t="n">
        <x:f>SUMIFS('日経_B5'!J54:J56,'日経_B5'!C54:C56,C11)</x:f>
        <x:v>1</x:v>
      </x:c>
      <x:c r="L11" s="22" t="n">
        <x:f>COUNTIFS('日経_B5'!F54:F56,"&gt;0",'日経_B5'!C54:C56,C11)</x:f>
        <x:v>0</x:v>
      </x:c>
      <x:c r="M11" s="22" t="n">
        <x:f>COUNTIFS('日経_B5'!F54:F56,"&lt;0",'日経_B5'!C54:C56,C11)</x:f>
        <x:v>1</x:v>
      </x:c>
      <x:c r="N11" s="22" t="n">
        <x:f>COUNTIFS('日経_B5'!J54:J56,"=0",'日経_B5'!C54:C56,C11)</x:f>
        <x:v>0</x:v>
      </x:c>
      <x:c r="O11" s="20" t="n">
        <x:f>IF(M11=0,0,-SUMIFS('日経_B5'!F54:F56,'日経_B5'!F54:F56,"&lt;0",'日経_B5'!C54:C56,C11)/M11)</x:f>
        <x:v>45384</x:v>
      </x:c>
      <x:c r="P11" s="20" t="n">
        <x:f>MAX(0,-_xlfn.MINIFS('日経_B5'!F54:F56,'日経_B5'!C54:C56,C11))</x:f>
        <x:v>45384</x:v>
      </x:c>
      <x:c r="Q11" s="20" t="n">
        <x:f>J11-MAX(0,_xlfn.MAXIFS('日経_B5'!F54:F56,'日経_B5'!C54:C56,C11))-IF(COUNTIFS('日経_B5'!F54:F56,MAX(0,_xlfn.MAXIFS('日経_B5'!F54:F56,'日経_B5'!C54:C56,C11)),'日経_B5'!C54:C56,C11)&gt;=2,MAX(0,_xlfn.MAXIFS('日経_B5'!F54:F56,'日経_B5'!C54:C56,C11)),MAX(0,_xlfn.MAXIFS('日経_B5'!F54:F56,'日経_B5'!C54:C56,C11,'日経_B5'!F54:F56,"&lt;"&amp;MAX(0,_xlfn.MAXIFS('日経_B5'!F54:F56,'日経_B5'!C54:C56,C11)))))-IF(COUNTIFS('日経_B5'!F54:F56,MAX(0,_xlfn.MAXIFS('日経_B5'!F54:F56,'日経_B5'!C54:C56,C11)),'日経_B5'!C54:C56,C11)&gt;=3,MAX(0,_xlfn.MAXIFS('日経_B5'!F54:F56,'日経_B5'!C54:C56,C11)),IF(COUNTIFS('日経_B5'!F54:F56,IF(COUNTIFS('日経_B5'!F54:F56,MAX(0,_xlfn.MAXIFS('日経_B5'!F54:F56,'日経_B5'!C54:C56,C11)),'日経_B5'!C54:C56,C11)&gt;=2,MAX(0,_xlfn.MAXIFS('日経_B5'!F54:F56,'日経_B5'!C54:C56,C11)),MAX(0,_xlfn.MAXIFS('日経_B5'!F54:F56,'日経_B5'!C54:C56,C11,'日経_B5'!F54:F56,"&lt;"&amp;MAX(0,_xlfn.MAXIFS('日経_B5'!F54:F56,'日経_B5'!C54:C56,C11))))),'日経_B5'!C54:C56,C11)+COUNTIFS('日経_B5'!F54:F56,"&gt;"&amp;IF(COUNTIFS('日経_B5'!F54:F56,MAX(0,_xlfn.MAXIFS('日経_B5'!F54:F56,'日経_B5'!C54:C56,C11)),'日経_B5'!C54:C56,C11)&gt;=2,MAX(0,_xlfn.MAXIFS('日経_B5'!F54:F56,'日経_B5'!C54:C56,C11)),MAX(0,_xlfn.MAXIFS('日経_B5'!F54:F56,'日経_B5'!C54:C56,C11,'日経_B5'!F54:F56,"&lt;"&amp;MAX(0,_xlfn.MAXIFS('日経_B5'!F54:F56,'日経_B5'!C54:C56,C11))))),'日経_B5'!C54:C56,C11)&gt;=3,IF(COUNTIFS('日経_B5'!F54:F56,MAX(0,_xlfn.MAXIFS('日経_B5'!F54:F56,'日経_B5'!C54:C56,C11)),'日経_B5'!C54:C56,C11)&gt;=2,MAX(0,_xlfn.MAXIFS('日経_B5'!F54:F56,'日経_B5'!C54:C56,C11)),MAX(0,_xlfn.MAXIFS('日経_B5'!F54:F56,'日経_B5'!C54:C56,C11,'日経_B5'!F54:F56,"&lt;"&amp;MAX(0,_xlfn.MAXIFS('日経_B5'!F54:F56,'日経_B5'!C54:C56,C11))))),MAX(0,_xlfn.MAXIFS('日経_B5'!F54:F56,'日経_B5'!C54:C56,C11,'日経_B5'!F54:F56,"&lt;"&amp;IF(COUNTIFS('日経_B5'!F54:F56,MAX(0,_xlfn.MAXIFS('日経_B5'!F54:F56,'日経_B5'!C54:C56,C11)),'日経_B5'!C54:C56,C11)&gt;=2,MAX(0,_xlfn.MAXIFS('日経_B5'!F54:F56,'日経_B5'!C54:C56,C11)),MAX(0,_xlfn.MAXIFS('日経_B5'!F54:F56,'日経_B5'!C54:C56,C11,'日経_B5'!F54:F56,"&lt;"&amp;MAX(0,_xlfn.MAXIFS('日経_B5'!F54:F56,'日経_B5'!C54:C56,C11)))))))))</x:f>
        <x:v>-45384</x:v>
      </x:c>
    </x:row>
    <x:row r="12" ht="36" customHeight="1">
      <x:c r="A12" s="2" t="str">
        <x:v>日経mini</x:v>
      </x:c>
      <x:c r="B12" s="2" t="str">
        <x:v>B5</x:v>
      </x:c>
      <x:c r="C12" s="2" t="str">
        <x:v>ナイト</x:v>
      </x:c>
      <x:c r="D12" s="2" t="str">
        <x:v>診断3場</x:v>
      </x:c>
      <x:c r="E12" s="2" t="str">
        <x:v>B5（U06）</x:v>
      </x:c>
      <x:c r="F12" s="23" t="str">
        <x:v>従来基準</x:v>
      </x:c>
      <x:c r="G12" s="22" t="n">
        <x:f>COUNTIFS('日経_B5'!C54:C56,C12)</x:f>
        <x:v>2</x:v>
      </x:c>
      <x:c r="H12" s="20" t="n">
        <x:f>SUMIFS('日経_B5'!D54:D56,'日経_B5'!C54:C56,C12)</x:f>
        <x:v>104616</x:v>
      </x:c>
      <x:c r="I12" s="20" t="n">
        <x:f>SUMIFS('日経_B5'!E54:E56,'日経_B5'!C54:C56,C12)</x:f>
        <x:v>110768</x:v>
      </x:c>
      <x:c r="J12" s="20" t="n">
        <x:f>H12-I12</x:f>
        <x:v>-6152</x:v>
      </x:c>
      <x:c r="K12" s="22" t="n">
        <x:f>SUMIFS('日経_B5'!J54:J56,'日経_B5'!C54:C56,C12)</x:f>
        <x:v>3</x:v>
      </x:c>
      <x:c r="L12" s="22" t="n">
        <x:f>COUNTIFS('日経_B5'!F54:F56,"&gt;0",'日経_B5'!C54:C56,C12)</x:f>
        <x:v>1</x:v>
      </x:c>
      <x:c r="M12" s="22" t="n">
        <x:f>COUNTIFS('日経_B5'!F54:F56,"&lt;0",'日経_B5'!C54:C56,C12)</x:f>
        <x:v>1</x:v>
      </x:c>
      <x:c r="N12" s="22" t="n">
        <x:f>COUNTIFS('日経_B5'!J54:J56,"=0",'日経_B5'!C54:C56,C12)</x:f>
        <x:v>0</x:v>
      </x:c>
      <x:c r="O12" s="20" t="n">
        <x:f>IF(M12=0,0,-SUMIFS('日経_B5'!F54:F56,'日経_B5'!F54:F56,"&lt;0",'日経_B5'!C54:C56,C12)/M12)</x:f>
        <x:v>55384</x:v>
      </x:c>
      <x:c r="P12" s="20" t="n">
        <x:f>MAX(0,-_xlfn.MINIFS('日経_B5'!F54:F56,'日経_B5'!C54:C56,C12))</x:f>
        <x:v>55384</x:v>
      </x:c>
      <x:c r="Q12" s="20" t="n">
        <x:f>J12-MAX(0,_xlfn.MAXIFS('日経_B5'!F54:F56,'日経_B5'!C54:C56,C12))-IF(COUNTIFS('日経_B5'!F54:F56,MAX(0,_xlfn.MAXIFS('日経_B5'!F54:F56,'日経_B5'!C54:C56,C12)),'日経_B5'!C54:C56,C12)&gt;=2,MAX(0,_xlfn.MAXIFS('日経_B5'!F54:F56,'日経_B5'!C54:C56,C12)),MAX(0,_xlfn.MAXIFS('日経_B5'!F54:F56,'日経_B5'!C54:C56,C12,'日経_B5'!F54:F56,"&lt;"&amp;MAX(0,_xlfn.MAXIFS('日経_B5'!F54:F56,'日経_B5'!C54:C56,C12)))))-IF(COUNTIFS('日経_B5'!F54:F56,MAX(0,_xlfn.MAXIFS('日経_B5'!F54:F56,'日経_B5'!C54:C56,C12)),'日経_B5'!C54:C56,C12)&gt;=3,MAX(0,_xlfn.MAXIFS('日経_B5'!F54:F56,'日経_B5'!C54:C56,C12)),IF(COUNTIFS('日経_B5'!F54:F56,IF(COUNTIFS('日経_B5'!F54:F56,MAX(0,_xlfn.MAXIFS('日経_B5'!F54:F56,'日経_B5'!C54:C56,C12)),'日経_B5'!C54:C56,C12)&gt;=2,MAX(0,_xlfn.MAXIFS('日経_B5'!F54:F56,'日経_B5'!C54:C56,C12)),MAX(0,_xlfn.MAXIFS('日経_B5'!F54:F56,'日経_B5'!C54:C56,C12,'日経_B5'!F54:F56,"&lt;"&amp;MAX(0,_xlfn.MAXIFS('日経_B5'!F54:F56,'日経_B5'!C54:C56,C12))))),'日経_B5'!C54:C56,C12)+COUNTIFS('日経_B5'!F54:F56,"&gt;"&amp;IF(COUNTIFS('日経_B5'!F54:F56,MAX(0,_xlfn.MAXIFS('日経_B5'!F54:F56,'日経_B5'!C54:C56,C12)),'日経_B5'!C54:C56,C12)&gt;=2,MAX(0,_xlfn.MAXIFS('日経_B5'!F54:F56,'日経_B5'!C54:C56,C12)),MAX(0,_xlfn.MAXIFS('日経_B5'!F54:F56,'日経_B5'!C54:C56,C12,'日経_B5'!F54:F56,"&lt;"&amp;MAX(0,_xlfn.MAXIFS('日経_B5'!F54:F56,'日経_B5'!C54:C56,C12))))),'日経_B5'!C54:C56,C12)&gt;=3,IF(COUNTIFS('日経_B5'!F54:F56,MAX(0,_xlfn.MAXIFS('日経_B5'!F54:F56,'日経_B5'!C54:C56,C12)),'日経_B5'!C54:C56,C12)&gt;=2,MAX(0,_xlfn.MAXIFS('日経_B5'!F54:F56,'日経_B5'!C54:C56,C12)),MAX(0,_xlfn.MAXIFS('日経_B5'!F54:F56,'日経_B5'!C54:C56,C12,'日経_B5'!F54:F56,"&lt;"&amp;MAX(0,_xlfn.MAXIFS('日経_B5'!F54:F56,'日経_B5'!C54:C56,C12))))),MAX(0,_xlfn.MAXIFS('日経_B5'!F54:F56,'日経_B5'!C54:C56,C12,'日経_B5'!F54:F56,"&lt;"&amp;IF(COUNTIFS('日経_B5'!F54:F56,MAX(0,_xlfn.MAXIFS('日経_B5'!F54:F56,'日経_B5'!C54:C56,C12)),'日経_B5'!C54:C56,C12)&gt;=2,MAX(0,_xlfn.MAXIFS('日経_B5'!F54:F56,'日経_B5'!C54:C56,C12)),MAX(0,_xlfn.MAXIFS('日経_B5'!F54:F56,'日経_B5'!C54:C56,C12,'日経_B5'!F54:F56,"&lt;"&amp;MAX(0,_xlfn.MAXIFS('日経_B5'!F54:F56,'日経_B5'!C54:C56,C12)))))))))</x:f>
        <x:v>-55384</x:v>
      </x:c>
    </x:row>
    <x:row r="13" ht="36" customHeight="1">
      <x:c r="A13" s="2" t="str">
        <x:v>日経mini</x:v>
      </x:c>
      <x:c r="B13" s="2" t="str">
        <x:v>S36</x:v>
      </x:c>
      <x:c r="C13" s="2" t="str">
        <x:v>デイ</x:v>
      </x:c>
      <x:c r="D13" s="2" t="str">
        <x:v>全50場</x:v>
      </x:c>
      <x:c r="E13" s="2" t="str">
        <x:v>S36</x:v>
      </x:c>
      <x:c r="F13" s="23" t="str">
        <x:v>前回の追加手法を独立併用</x:v>
      </x:c>
      <x:c r="G13" s="22" t="n">
        <x:f>COUNTIFS('日経_S36'!C7:C56,C13)</x:f>
        <x:v>25</x:v>
      </x:c>
      <x:c r="H13" s="20" t="n">
        <x:f>SUMIFS('日経_S36'!D7:D56,'日経_S36'!C7:C56,C13)</x:f>
        <x:v>4366088</x:v>
      </x:c>
      <x:c r="I13" s="20" t="n">
        <x:f>SUMIFS('日経_S36'!E7:E56,'日経_S36'!C7:C56,C13)</x:f>
        <x:v>2909894</x:v>
      </x:c>
      <x:c r="J13" s="20" t="n">
        <x:f>H13-I13</x:f>
        <x:v>1456194</x:v>
      </x:c>
      <x:c r="K13" s="22" t="n">
        <x:f>SUMIFS('日経_S36'!J7:J56,'日経_S36'!C7:C56,C13)</x:f>
        <x:v>242</x:v>
      </x:c>
      <x:c r="L13" s="22" t="n">
        <x:f>COUNTIFS('日経_S36'!F7:F56,"&gt;0",'日経_S36'!C7:C56,C13)</x:f>
        <x:v>17</x:v>
      </x:c>
      <x:c r="M13" s="22" t="n">
        <x:f>COUNTIFS('日経_S36'!F7:F56,"&lt;0",'日経_S36'!C7:C56,C13)</x:f>
        <x:v>8</x:v>
      </x:c>
      <x:c r="N13" s="22" t="n">
        <x:f>COUNTIFS('日経_S36'!J7:J56,"=0",'日経_S36'!C7:C56,C13)</x:f>
        <x:v>0</x:v>
      </x:c>
      <x:c r="O13" s="20" t="n">
        <x:f>IF(M13=0,0,-SUMIFS('日経_S36'!F7:F56,'日経_S36'!F7:F56,"&lt;0",'日経_S36'!C7:C56,C13)/M13)</x:f>
        <x:v>102639.25</x:v>
      </x:c>
      <x:c r="P13" s="20" t="n">
        <x:f>MAX(0,-_xlfn.MINIFS('日経_S36'!F7:F56,'日経_S36'!C7:C56,C13))</x:f>
        <x:v>185148</x:v>
      </x:c>
      <x:c r="Q13" s="20" t="n">
        <x:f>J13-MAX(0,_xlfn.MAXIFS('日経_S36'!F7:F56,'日経_S36'!C7:C56,C13))-IF(COUNTIFS('日経_S36'!F7:F56,MAX(0,_xlfn.MAXIFS('日経_S36'!F7:F56,'日経_S36'!C7:C56,C13)),'日経_S36'!C7:C56,C13)&gt;=2,MAX(0,_xlfn.MAXIFS('日経_S36'!F7:F56,'日経_S36'!C7:C56,C13)),MAX(0,_xlfn.MAXIFS('日経_S36'!F7:F56,'日経_S36'!C7:C56,C13,'日経_S36'!F7:F56,"&lt;"&amp;MAX(0,_xlfn.MAXIFS('日経_S36'!F7:F56,'日経_S36'!C7:C56,C13)))))-IF(COUNTIFS('日経_S36'!F7:F56,MAX(0,_xlfn.MAXIFS('日経_S36'!F7:F56,'日経_S36'!C7:C56,C13)),'日経_S36'!C7:C56,C13)&gt;=3,MAX(0,_xlfn.MAXIFS('日経_S36'!F7:F56,'日経_S36'!C7:C56,C13)),IF(COUNTIFS('日経_S36'!F7:F56,IF(COUNTIFS('日経_S36'!F7:F56,MAX(0,_xlfn.MAXIFS('日経_S36'!F7:F56,'日経_S36'!C7:C56,C13)),'日経_S36'!C7:C56,C13)&gt;=2,MAX(0,_xlfn.MAXIFS('日経_S36'!F7:F56,'日経_S36'!C7:C56,C13)),MAX(0,_xlfn.MAXIFS('日経_S36'!F7:F56,'日経_S36'!C7:C56,C13,'日経_S36'!F7:F56,"&lt;"&amp;MAX(0,_xlfn.MAXIFS('日経_S36'!F7:F56,'日経_S36'!C7:C56,C13))))),'日経_S36'!C7:C56,C13)+COUNTIFS('日経_S36'!F7:F56,"&gt;"&amp;IF(COUNTIFS('日経_S36'!F7:F56,MAX(0,_xlfn.MAXIFS('日経_S36'!F7:F56,'日経_S36'!C7:C56,C13)),'日経_S36'!C7:C56,C13)&gt;=2,MAX(0,_xlfn.MAXIFS('日経_S36'!F7:F56,'日経_S36'!C7:C56,C13)),MAX(0,_xlfn.MAXIFS('日経_S36'!F7:F56,'日経_S36'!C7:C56,C13,'日経_S36'!F7:F56,"&lt;"&amp;MAX(0,_xlfn.MAXIFS('日経_S36'!F7:F56,'日経_S36'!C7:C56,C13))))),'日経_S36'!C7:C56,C13)&gt;=3,IF(COUNTIFS('日経_S36'!F7:F56,MAX(0,_xlfn.MAXIFS('日経_S36'!F7:F56,'日経_S36'!C7:C56,C13)),'日経_S36'!C7:C56,C13)&gt;=2,MAX(0,_xlfn.MAXIFS('日経_S36'!F7:F56,'日経_S36'!C7:C56,C13)),MAX(0,_xlfn.MAXIFS('日経_S36'!F7:F56,'日経_S36'!C7:C56,C13,'日経_S36'!F7:F56,"&lt;"&amp;MAX(0,_xlfn.MAXIFS('日経_S36'!F7:F56,'日経_S36'!C7:C56,C13))))),MAX(0,_xlfn.MAXIFS('日経_S36'!F7:F56,'日経_S36'!C7:C56,C13,'日経_S36'!F7:F56,"&lt;"&amp;IF(COUNTIFS('日経_S36'!F7:F56,MAX(0,_xlfn.MAXIFS('日経_S36'!F7:F56,'日経_S36'!C7:C56,C13)),'日経_S36'!C7:C56,C13)&gt;=2,MAX(0,_xlfn.MAXIFS('日経_S36'!F7:F56,'日経_S36'!C7:C56,C13)),MAX(0,_xlfn.MAXIFS('日経_S36'!F7:F56,'日経_S36'!C7:C56,C13,'日経_S36'!F7:F56,"&lt;"&amp;MAX(0,_xlfn.MAXIFS('日経_S36'!F7:F56,'日経_S36'!C7:C56,C13)))))))))</x:f>
        <x:v>377414</x:v>
      </x:c>
    </x:row>
    <x:row r="14" ht="36" customHeight="1">
      <x:c r="A14" s="2" t="str">
        <x:v>日経mini</x:v>
      </x:c>
      <x:c r="B14" s="2" t="str">
        <x:v>S36</x:v>
      </x:c>
      <x:c r="C14" s="2" t="str">
        <x:v>ナイト</x:v>
      </x:c>
      <x:c r="D14" s="2" t="str">
        <x:v>全50場</x:v>
      </x:c>
      <x:c r="E14" s="2" t="str">
        <x:v>S36</x:v>
      </x:c>
      <x:c r="F14" s="23" t="str">
        <x:v>前回の追加手法を独立併用</x:v>
      </x:c>
      <x:c r="G14" s="22" t="n">
        <x:f>COUNTIFS('日経_S36'!C7:C56,C14)</x:f>
        <x:v>25</x:v>
      </x:c>
      <x:c r="H14" s="20" t="n">
        <x:f>SUMIFS('日経_S36'!D7:D56,'日経_S36'!C7:C56,C14)</x:f>
        <x:v>2231978</x:v>
      </x:c>
      <x:c r="I14" s="20" t="n">
        <x:f>SUMIFS('日経_S36'!E7:E56,'日経_S36'!C7:C56,C14)</x:f>
        <x:v>1296912</x:v>
      </x:c>
      <x:c r="J14" s="20" t="n">
        <x:f>H14-I14</x:f>
        <x:v>935066</x:v>
      </x:c>
      <x:c r="K14" s="22" t="n">
        <x:f>SUMIFS('日経_S36'!J7:J56,'日経_S36'!C7:C56,C14)</x:f>
        <x:v>131</x:v>
      </x:c>
      <x:c r="L14" s="22" t="n">
        <x:f>COUNTIFS('日経_S36'!F7:F56,"&gt;0",'日経_S36'!C7:C56,C14)</x:f>
        <x:v>14</x:v>
      </x:c>
      <x:c r="M14" s="22" t="n">
        <x:f>COUNTIFS('日経_S36'!F7:F56,"&lt;0",'日経_S36'!C7:C56,C14)</x:f>
        <x:v>11</x:v>
      </x:c>
      <x:c r="N14" s="22" t="n">
        <x:f>COUNTIFS('日経_S36'!J7:J56,"=0",'日経_S36'!C7:C56,C14)</x:f>
        <x:v>0</x:v>
      </x:c>
      <x:c r="O14" s="20" t="n">
        <x:f>IF(M14=0,0,-SUMIFS('日経_S36'!F7:F56,'日経_S36'!F7:F56,"&lt;0",'日経_S36'!C7:C56,C14)/M14)</x:f>
        <x:v>46550.72727272727</x:v>
      </x:c>
      <x:c r="P14" s="20" t="n">
        <x:f>MAX(0,-_xlfn.MINIFS('日経_S36'!F7:F56,'日経_S36'!C7:C56,C14))</x:f>
        <x:v>148462</x:v>
      </x:c>
      <x:c r="Q14" s="20" t="n">
        <x:f>J14-MAX(0,_xlfn.MAXIFS('日経_S36'!F7:F56,'日経_S36'!C7:C56,C14))-IF(COUNTIFS('日経_S36'!F7:F56,MAX(0,_xlfn.MAXIFS('日経_S36'!F7:F56,'日経_S36'!C7:C56,C14)),'日経_S36'!C7:C56,C14)&gt;=2,MAX(0,_xlfn.MAXIFS('日経_S36'!F7:F56,'日経_S36'!C7:C56,C14)),MAX(0,_xlfn.MAXIFS('日経_S36'!F7:F56,'日経_S36'!C7:C56,C14,'日経_S36'!F7:F56,"&lt;"&amp;MAX(0,_xlfn.MAXIFS('日経_S36'!F7:F56,'日経_S36'!C7:C56,C14)))))-IF(COUNTIFS('日経_S36'!F7:F56,MAX(0,_xlfn.MAXIFS('日経_S36'!F7:F56,'日経_S36'!C7:C56,C14)),'日経_S36'!C7:C56,C14)&gt;=3,MAX(0,_xlfn.MAXIFS('日経_S36'!F7:F56,'日経_S36'!C7:C56,C14)),IF(COUNTIFS('日経_S36'!F7:F56,IF(COUNTIFS('日経_S36'!F7:F56,MAX(0,_xlfn.MAXIFS('日経_S36'!F7:F56,'日経_S36'!C7:C56,C14)),'日経_S36'!C7:C56,C14)&gt;=2,MAX(0,_xlfn.MAXIFS('日経_S36'!F7:F56,'日経_S36'!C7:C56,C14)),MAX(0,_xlfn.MAXIFS('日経_S36'!F7:F56,'日経_S36'!C7:C56,C14,'日経_S36'!F7:F56,"&lt;"&amp;MAX(0,_xlfn.MAXIFS('日経_S36'!F7:F56,'日経_S36'!C7:C56,C14))))),'日経_S36'!C7:C56,C14)+COUNTIFS('日経_S36'!F7:F56,"&gt;"&amp;IF(COUNTIFS('日経_S36'!F7:F56,MAX(0,_xlfn.MAXIFS('日経_S36'!F7:F56,'日経_S36'!C7:C56,C14)),'日経_S36'!C7:C56,C14)&gt;=2,MAX(0,_xlfn.MAXIFS('日経_S36'!F7:F56,'日経_S36'!C7:C56,C14)),MAX(0,_xlfn.MAXIFS('日経_S36'!F7:F56,'日経_S36'!C7:C56,C14,'日経_S36'!F7:F56,"&lt;"&amp;MAX(0,_xlfn.MAXIFS('日経_S36'!F7:F56,'日経_S36'!C7:C56,C14))))),'日経_S36'!C7:C56,C14)&gt;=3,IF(COUNTIFS('日経_S36'!F7:F56,MAX(0,_xlfn.MAXIFS('日経_S36'!F7:F56,'日経_S36'!C7:C56,C14)),'日経_S36'!C7:C56,C14)&gt;=2,MAX(0,_xlfn.MAXIFS('日経_S36'!F7:F56,'日経_S36'!C7:C56,C14)),MAX(0,_xlfn.MAXIFS('日経_S36'!F7:F56,'日経_S36'!C7:C56,C14,'日経_S36'!F7:F56,"&lt;"&amp;MAX(0,_xlfn.MAXIFS('日経_S36'!F7:F56,'日経_S36'!C7:C56,C14))))),MAX(0,_xlfn.MAXIFS('日経_S36'!F7:F56,'日経_S36'!C7:C56,C14,'日経_S36'!F7:F56,"&lt;"&amp;IF(COUNTIFS('日経_S36'!F7:F56,MAX(0,_xlfn.MAXIFS('日経_S36'!F7:F56,'日経_S36'!C7:C56,C14)),'日経_S36'!C7:C56,C14)&gt;=2,MAX(0,_xlfn.MAXIFS('日経_S36'!F7:F56,'日経_S36'!C7:C56,C14)),MAX(0,_xlfn.MAXIFS('日経_S36'!F7:F56,'日経_S36'!C7:C56,C14,'日経_S36'!F7:F56,"&lt;"&amp;MAX(0,_xlfn.MAXIFS('日経_S36'!F7:F56,'日経_S36'!C7:C56,C14)))))))))</x:f>
        <x:v>204510</x:v>
      </x:c>
    </x:row>
    <x:row r="15" ht="36" customHeight="1">
      <x:c r="A15" s="2" t="str">
        <x:v>日経mini</x:v>
      </x:c>
      <x:c r="B15" s="2" t="str">
        <x:v>S36</x:v>
      </x:c>
      <x:c r="C15" s="2" t="str">
        <x:v>デイ</x:v>
      </x:c>
      <x:c r="D15" s="2" t="str">
        <x:v>対照47場</x:v>
      </x:c>
      <x:c r="E15" s="2" t="str">
        <x:v>S36</x:v>
      </x:c>
      <x:c r="F15" s="23" t="str">
        <x:v>前回の追加手法を独立併用</x:v>
      </x:c>
      <x:c r="G15" s="22" t="n">
        <x:f>COUNTIFS('日経_S36'!C7:C53,C15)</x:f>
        <x:v>24</x:v>
      </x:c>
      <x:c r="H15" s="20" t="n">
        <x:f>SUMIFS('日経_S36'!D7:D53,'日経_S36'!C7:C53,C15)</x:f>
        <x:v>4289470</x:v>
      </x:c>
      <x:c r="I15" s="20" t="n">
        <x:f>SUMIFS('日経_S36'!E7:E53,'日経_S36'!C7:C53,C15)</x:f>
        <x:v>2791126</x:v>
      </x:c>
      <x:c r="J15" s="20" t="n">
        <x:f>H15-I15</x:f>
        <x:v>1498344</x:v>
      </x:c>
      <x:c r="K15" s="22" t="n">
        <x:f>SUMIFS('日経_S36'!J7:J53,'日経_S36'!C7:C53,C15)</x:f>
        <x:v>234</x:v>
      </x:c>
      <x:c r="L15" s="22" t="n">
        <x:f>COUNTIFS('日経_S36'!F7:F53,"&gt;0",'日経_S36'!C7:C53,C15)</x:f>
        <x:v>17</x:v>
      </x:c>
      <x:c r="M15" s="22" t="n">
        <x:f>COUNTIFS('日経_S36'!F7:F53,"&lt;0",'日経_S36'!C7:C53,C15)</x:f>
        <x:v>7</x:v>
      </x:c>
      <x:c r="N15" s="22" t="n">
        <x:f>COUNTIFS('日経_S36'!J7:J53,"=0",'日経_S36'!C7:C53,C15)</x:f>
        <x:v>0</x:v>
      </x:c>
      <x:c r="O15" s="20" t="n">
        <x:f>IF(M15=0,0,-SUMIFS('日経_S36'!F7:F53,'日経_S36'!F7:F53,"&lt;0",'日経_S36'!C7:C53,C15)/M15)</x:f>
        <x:v>111280.57142857143</x:v>
      </x:c>
      <x:c r="P15" s="20" t="n">
        <x:f>MAX(0,-_xlfn.MINIFS('日経_S36'!F7:F53,'日経_S36'!C7:C53,C15))</x:f>
        <x:v>185148</x:v>
      </x:c>
      <x:c r="Q15" s="20" t="n">
        <x:f>J15-MAX(0,_xlfn.MAXIFS('日経_S36'!F7:F53,'日経_S36'!C7:C53,C15))-IF(COUNTIFS('日経_S36'!F7:F53,MAX(0,_xlfn.MAXIFS('日経_S36'!F7:F53,'日経_S36'!C7:C53,C15)),'日経_S36'!C7:C53,C15)&gt;=2,MAX(0,_xlfn.MAXIFS('日経_S36'!F7:F53,'日経_S36'!C7:C53,C15)),MAX(0,_xlfn.MAXIFS('日経_S36'!F7:F53,'日経_S36'!C7:C53,C15,'日経_S36'!F7:F53,"&lt;"&amp;MAX(0,_xlfn.MAXIFS('日経_S36'!F7:F53,'日経_S36'!C7:C53,C15)))))-IF(COUNTIFS('日経_S36'!F7:F53,MAX(0,_xlfn.MAXIFS('日経_S36'!F7:F53,'日経_S36'!C7:C53,C15)),'日経_S36'!C7:C53,C15)&gt;=3,MAX(0,_xlfn.MAXIFS('日経_S36'!F7:F53,'日経_S36'!C7:C53,C15)),IF(COUNTIFS('日経_S36'!F7:F53,IF(COUNTIFS('日経_S36'!F7:F53,MAX(0,_xlfn.MAXIFS('日経_S36'!F7:F53,'日経_S36'!C7:C53,C15)),'日経_S36'!C7:C53,C15)&gt;=2,MAX(0,_xlfn.MAXIFS('日経_S36'!F7:F53,'日経_S36'!C7:C53,C15)),MAX(0,_xlfn.MAXIFS('日経_S36'!F7:F53,'日経_S36'!C7:C53,C15,'日経_S36'!F7:F53,"&lt;"&amp;MAX(0,_xlfn.MAXIFS('日経_S36'!F7:F53,'日経_S36'!C7:C53,C15))))),'日経_S36'!C7:C53,C15)+COUNTIFS('日経_S36'!F7:F53,"&gt;"&amp;IF(COUNTIFS('日経_S36'!F7:F53,MAX(0,_xlfn.MAXIFS('日経_S36'!F7:F53,'日経_S36'!C7:C53,C15)),'日経_S36'!C7:C53,C15)&gt;=2,MAX(0,_xlfn.MAXIFS('日経_S36'!F7:F53,'日経_S36'!C7:C53,C15)),MAX(0,_xlfn.MAXIFS('日経_S36'!F7:F53,'日経_S36'!C7:C53,C15,'日経_S36'!F7:F53,"&lt;"&amp;MAX(0,_xlfn.MAXIFS('日経_S36'!F7:F53,'日経_S36'!C7:C53,C15))))),'日経_S36'!C7:C53,C15)&gt;=3,IF(COUNTIFS('日経_S36'!F7:F53,MAX(0,_xlfn.MAXIFS('日経_S36'!F7:F53,'日経_S36'!C7:C53,C15)),'日経_S36'!C7:C53,C15)&gt;=2,MAX(0,_xlfn.MAXIFS('日経_S36'!F7:F53,'日経_S36'!C7:C53,C15)),MAX(0,_xlfn.MAXIFS('日経_S36'!F7:F53,'日経_S36'!C7:C53,C15,'日経_S36'!F7:F53,"&lt;"&amp;MAX(0,_xlfn.MAXIFS('日経_S36'!F7:F53,'日経_S36'!C7:C53,C15))))),MAX(0,_xlfn.MAXIFS('日経_S36'!F7:F53,'日経_S36'!C7:C53,C15,'日経_S36'!F7:F53,"&lt;"&amp;IF(COUNTIFS('日経_S36'!F7:F53,MAX(0,_xlfn.MAXIFS('日経_S36'!F7:F53,'日経_S36'!C7:C53,C15)),'日経_S36'!C7:C53,C15)&gt;=2,MAX(0,_xlfn.MAXIFS('日経_S36'!F7:F53,'日経_S36'!C7:C53,C15)),MAX(0,_xlfn.MAXIFS('日経_S36'!F7:F53,'日経_S36'!C7:C53,C15,'日経_S36'!F7:F53,"&lt;"&amp;MAX(0,_xlfn.MAXIFS('日経_S36'!F7:F53,'日経_S36'!C7:C53,C15)))))))))</x:f>
        <x:v>419564</x:v>
      </x:c>
    </x:row>
    <x:row r="16" ht="36" customHeight="1">
      <x:c r="A16" s="2" t="str">
        <x:v>日経mini</x:v>
      </x:c>
      <x:c r="B16" s="2" t="str">
        <x:v>S36</x:v>
      </x:c>
      <x:c r="C16" s="2" t="str">
        <x:v>ナイト</x:v>
      </x:c>
      <x:c r="D16" s="2" t="str">
        <x:v>対照47場</x:v>
      </x:c>
      <x:c r="E16" s="2" t="str">
        <x:v>S36</x:v>
      </x:c>
      <x:c r="F16" s="23" t="str">
        <x:v>前回の追加手法を独立併用</x:v>
      </x:c>
      <x:c r="G16" s="22" t="n">
        <x:f>COUNTIFS('日経_S36'!C7:C53,C16)</x:f>
        <x:v>23</x:v>
      </x:c>
      <x:c r="H16" s="20" t="n">
        <x:f>SUMIFS('日経_S36'!D7:D53,'日経_S36'!C7:C53,C16)</x:f>
        <x:v>2115516</x:v>
      </x:c>
      <x:c r="I16" s="20" t="n">
        <x:f>SUMIFS('日経_S36'!E7:E53,'日経_S36'!C7:C53,C16)</x:f>
        <x:v>1098684</x:v>
      </x:c>
      <x:c r="J16" s="20" t="n">
        <x:f>H16-I16</x:f>
        <x:v>1016832</x:v>
      </x:c>
      <x:c r="K16" s="22" t="n">
        <x:f>SUMIFS('日経_S36'!J7:J53,'日経_S36'!C7:C53,C16)</x:f>
        <x:v>123</x:v>
      </x:c>
      <x:c r="L16" s="22" t="n">
        <x:f>COUNTIFS('日経_S36'!F7:F53,"&gt;0",'日経_S36'!C7:C53,C16)</x:f>
        <x:v>14</x:v>
      </x:c>
      <x:c r="M16" s="22" t="n">
        <x:f>COUNTIFS('日経_S36'!F7:F53,"&lt;0",'日経_S36'!C7:C53,C16)</x:f>
        <x:v>9</x:v>
      </x:c>
      <x:c r="N16" s="22" t="n">
        <x:f>COUNTIFS('日経_S36'!J7:J53,"=0",'日経_S36'!C7:C53,C16)</x:f>
        <x:v>0</x:v>
      </x:c>
      <x:c r="O16" s="20" t="n">
        <x:f>IF(M16=0,0,-SUMIFS('日経_S36'!F7:F53,'日経_S36'!F7:F53,"&lt;0",'日経_S36'!C7:C53,C16)/M16)</x:f>
        <x:v>47810.22222222222</x:v>
      </x:c>
      <x:c r="P16" s="20" t="n">
        <x:f>MAX(0,-_xlfn.MINIFS('日経_S36'!F7:F53,'日経_S36'!C7:C53,C16))</x:f>
        <x:v>148462</x:v>
      </x:c>
      <x:c r="Q16" s="20" t="n">
        <x:f>J16-MAX(0,_xlfn.MAXIFS('日経_S36'!F7:F53,'日経_S36'!C7:C53,C16))-IF(COUNTIFS('日経_S36'!F7:F53,MAX(0,_xlfn.MAXIFS('日経_S36'!F7:F53,'日経_S36'!C7:C53,C16)),'日経_S36'!C7:C53,C16)&gt;=2,MAX(0,_xlfn.MAXIFS('日経_S36'!F7:F53,'日経_S36'!C7:C53,C16)),MAX(0,_xlfn.MAXIFS('日経_S36'!F7:F53,'日経_S36'!C7:C53,C16,'日経_S36'!F7:F53,"&lt;"&amp;MAX(0,_xlfn.MAXIFS('日経_S36'!F7:F53,'日経_S36'!C7:C53,C16)))))-IF(COUNTIFS('日経_S36'!F7:F53,MAX(0,_xlfn.MAXIFS('日経_S36'!F7:F53,'日経_S36'!C7:C53,C16)),'日経_S36'!C7:C53,C16)&gt;=3,MAX(0,_xlfn.MAXIFS('日経_S36'!F7:F53,'日経_S36'!C7:C53,C16)),IF(COUNTIFS('日経_S36'!F7:F53,IF(COUNTIFS('日経_S36'!F7:F53,MAX(0,_xlfn.MAXIFS('日経_S36'!F7:F53,'日経_S36'!C7:C53,C16)),'日経_S36'!C7:C53,C16)&gt;=2,MAX(0,_xlfn.MAXIFS('日経_S36'!F7:F53,'日経_S36'!C7:C53,C16)),MAX(0,_xlfn.MAXIFS('日経_S36'!F7:F53,'日経_S36'!C7:C53,C16,'日経_S36'!F7:F53,"&lt;"&amp;MAX(0,_xlfn.MAXIFS('日経_S36'!F7:F53,'日経_S36'!C7:C53,C16))))),'日経_S36'!C7:C53,C16)+COUNTIFS('日経_S36'!F7:F53,"&gt;"&amp;IF(COUNTIFS('日経_S36'!F7:F53,MAX(0,_xlfn.MAXIFS('日経_S36'!F7:F53,'日経_S36'!C7:C53,C16)),'日経_S36'!C7:C53,C16)&gt;=2,MAX(0,_xlfn.MAXIFS('日経_S36'!F7:F53,'日経_S36'!C7:C53,C16)),MAX(0,_xlfn.MAXIFS('日経_S36'!F7:F53,'日経_S36'!C7:C53,C16,'日経_S36'!F7:F53,"&lt;"&amp;MAX(0,_xlfn.MAXIFS('日経_S36'!F7:F53,'日経_S36'!C7:C53,C16))))),'日経_S36'!C7:C53,C16)&gt;=3,IF(COUNTIFS('日経_S36'!F7:F53,MAX(0,_xlfn.MAXIFS('日経_S36'!F7:F53,'日経_S36'!C7:C53,C16)),'日経_S36'!C7:C53,C16)&gt;=2,MAX(0,_xlfn.MAXIFS('日経_S36'!F7:F53,'日経_S36'!C7:C53,C16)),MAX(0,_xlfn.MAXIFS('日経_S36'!F7:F53,'日経_S36'!C7:C53,C16,'日経_S36'!F7:F53,"&lt;"&amp;MAX(0,_xlfn.MAXIFS('日経_S36'!F7:F53,'日経_S36'!C7:C53,C16))))),MAX(0,_xlfn.MAXIFS('日経_S36'!F7:F53,'日経_S36'!C7:C53,C16,'日経_S36'!F7:F53,"&lt;"&amp;IF(COUNTIFS('日経_S36'!F7:F53,MAX(0,_xlfn.MAXIFS('日経_S36'!F7:F53,'日経_S36'!C7:C53,C16)),'日経_S36'!C7:C53,C16)&gt;=2,MAX(0,_xlfn.MAXIFS('日経_S36'!F7:F53,'日経_S36'!C7:C53,C16)),MAX(0,_xlfn.MAXIFS('日経_S36'!F7:F53,'日経_S36'!C7:C53,C16,'日経_S36'!F7:F53,"&lt;"&amp;MAX(0,_xlfn.MAXIFS('日経_S36'!F7:F53,'日経_S36'!C7:C53,C16)))))))))</x:f>
        <x:v>286276</x:v>
      </x:c>
    </x:row>
    <x:row r="17" ht="36" customHeight="1">
      <x:c r="A17" s="2" t="str">
        <x:v>日経mini</x:v>
      </x:c>
      <x:c r="B17" s="2" t="str">
        <x:v>S36</x:v>
      </x:c>
      <x:c r="C17" s="2" t="str">
        <x:v>デイ</x:v>
      </x:c>
      <x:c r="D17" s="2" t="str">
        <x:v>診断3場</x:v>
      </x:c>
      <x:c r="E17" s="2" t="str">
        <x:v>S36</x:v>
      </x:c>
      <x:c r="F17" s="23" t="str">
        <x:v>前回の追加手法を独立併用</x:v>
      </x:c>
      <x:c r="G17" s="22" t="n">
        <x:f>COUNTIFS('日経_S36'!C54:C56,C17)</x:f>
        <x:v>1</x:v>
      </x:c>
      <x:c r="H17" s="20" t="n">
        <x:f>SUMIFS('日経_S36'!D54:D56,'日経_S36'!C54:C56,C17)</x:f>
        <x:v>76618</x:v>
      </x:c>
      <x:c r="I17" s="20" t="n">
        <x:f>SUMIFS('日経_S36'!E54:E56,'日経_S36'!C54:C56,C17)</x:f>
        <x:v>118768</x:v>
      </x:c>
      <x:c r="J17" s="20" t="n">
        <x:f>H17-I17</x:f>
        <x:v>-42150</x:v>
      </x:c>
      <x:c r="K17" s="22" t="n">
        <x:f>SUMIFS('日経_S36'!J54:J56,'日経_S36'!C54:C56,C17)</x:f>
        <x:v>8</x:v>
      </x:c>
      <x:c r="L17" s="22" t="n">
        <x:f>COUNTIFS('日経_S36'!F54:F56,"&gt;0",'日経_S36'!C54:C56,C17)</x:f>
        <x:v>0</x:v>
      </x:c>
      <x:c r="M17" s="22" t="n">
        <x:f>COUNTIFS('日経_S36'!F54:F56,"&lt;0",'日経_S36'!C54:C56,C17)</x:f>
        <x:v>1</x:v>
      </x:c>
      <x:c r="N17" s="22" t="n">
        <x:f>COUNTIFS('日経_S36'!J54:J56,"=0",'日経_S36'!C54:C56,C17)</x:f>
        <x:v>0</x:v>
      </x:c>
      <x:c r="O17" s="20" t="n">
        <x:f>IF(M17=0,0,-SUMIFS('日経_S36'!F54:F56,'日経_S36'!F54:F56,"&lt;0",'日経_S36'!C54:C56,C17)/M17)</x:f>
        <x:v>42150</x:v>
      </x:c>
      <x:c r="P17" s="20" t="n">
        <x:f>MAX(0,-_xlfn.MINIFS('日経_S36'!F54:F56,'日経_S36'!C54:C56,C17))</x:f>
        <x:v>42150</x:v>
      </x:c>
      <x:c r="Q17" s="20" t="n">
        <x:f>J17-MAX(0,_xlfn.MAXIFS('日経_S36'!F54:F56,'日経_S36'!C54:C56,C17))-IF(COUNTIFS('日経_S36'!F54:F56,MAX(0,_xlfn.MAXIFS('日経_S36'!F54:F56,'日経_S36'!C54:C56,C17)),'日経_S36'!C54:C56,C17)&gt;=2,MAX(0,_xlfn.MAXIFS('日経_S36'!F54:F56,'日経_S36'!C54:C56,C17)),MAX(0,_xlfn.MAXIFS('日経_S36'!F54:F56,'日経_S36'!C54:C56,C17,'日経_S36'!F54:F56,"&lt;"&amp;MAX(0,_xlfn.MAXIFS('日経_S36'!F54:F56,'日経_S36'!C54:C56,C17)))))-IF(COUNTIFS('日経_S36'!F54:F56,MAX(0,_xlfn.MAXIFS('日経_S36'!F54:F56,'日経_S36'!C54:C56,C17)),'日経_S36'!C54:C56,C17)&gt;=3,MAX(0,_xlfn.MAXIFS('日経_S36'!F54:F56,'日経_S36'!C54:C56,C17)),IF(COUNTIFS('日経_S36'!F54:F56,IF(COUNTIFS('日経_S36'!F54:F56,MAX(0,_xlfn.MAXIFS('日経_S36'!F54:F56,'日経_S36'!C54:C56,C17)),'日経_S36'!C54:C56,C17)&gt;=2,MAX(0,_xlfn.MAXIFS('日経_S36'!F54:F56,'日経_S36'!C54:C56,C17)),MAX(0,_xlfn.MAXIFS('日経_S36'!F54:F56,'日経_S36'!C54:C56,C17,'日経_S36'!F54:F56,"&lt;"&amp;MAX(0,_xlfn.MAXIFS('日経_S36'!F54:F56,'日経_S36'!C54:C56,C17))))),'日経_S36'!C54:C56,C17)+COUNTIFS('日経_S36'!F54:F56,"&gt;"&amp;IF(COUNTIFS('日経_S36'!F54:F56,MAX(0,_xlfn.MAXIFS('日経_S36'!F54:F56,'日経_S36'!C54:C56,C17)),'日経_S36'!C54:C56,C17)&gt;=2,MAX(0,_xlfn.MAXIFS('日経_S36'!F54:F56,'日経_S36'!C54:C56,C17)),MAX(0,_xlfn.MAXIFS('日経_S36'!F54:F56,'日経_S36'!C54:C56,C17,'日経_S36'!F54:F56,"&lt;"&amp;MAX(0,_xlfn.MAXIFS('日経_S36'!F54:F56,'日経_S36'!C54:C56,C17))))),'日経_S36'!C54:C56,C17)&gt;=3,IF(COUNTIFS('日経_S36'!F54:F56,MAX(0,_xlfn.MAXIFS('日経_S36'!F54:F56,'日経_S36'!C54:C56,C17)),'日経_S36'!C54:C56,C17)&gt;=2,MAX(0,_xlfn.MAXIFS('日経_S36'!F54:F56,'日経_S36'!C54:C56,C17)),MAX(0,_xlfn.MAXIFS('日経_S36'!F54:F56,'日経_S36'!C54:C56,C17,'日経_S36'!F54:F56,"&lt;"&amp;MAX(0,_xlfn.MAXIFS('日経_S36'!F54:F56,'日経_S36'!C54:C56,C17))))),MAX(0,_xlfn.MAXIFS('日経_S36'!F54:F56,'日経_S36'!C54:C56,C17,'日経_S36'!F54:F56,"&lt;"&amp;IF(COUNTIFS('日経_S36'!F54:F56,MAX(0,_xlfn.MAXIFS('日経_S36'!F54:F56,'日経_S36'!C54:C56,C17)),'日経_S36'!C54:C56,C17)&gt;=2,MAX(0,_xlfn.MAXIFS('日経_S36'!F54:F56,'日経_S36'!C54:C56,C17)),MAX(0,_xlfn.MAXIFS('日経_S36'!F54:F56,'日経_S36'!C54:C56,C17,'日経_S36'!F54:F56,"&lt;"&amp;MAX(0,_xlfn.MAXIFS('日経_S36'!F54:F56,'日経_S36'!C54:C56,C17)))))))))</x:f>
        <x:v>-42150</x:v>
      </x:c>
    </x:row>
    <x:row r="18" ht="36" customHeight="1">
      <x:c r="A18" s="2" t="str">
        <x:v>日経mini</x:v>
      </x:c>
      <x:c r="B18" s="2" t="str">
        <x:v>S36</x:v>
      </x:c>
      <x:c r="C18" s="2" t="str">
        <x:v>ナイト</x:v>
      </x:c>
      <x:c r="D18" s="2" t="str">
        <x:v>診断3場</x:v>
      </x:c>
      <x:c r="E18" s="2" t="str">
        <x:v>S36</x:v>
      </x:c>
      <x:c r="F18" s="23" t="str">
        <x:v>前回の追加手法を独立併用</x:v>
      </x:c>
      <x:c r="G18" s="22" t="n">
        <x:f>COUNTIFS('日経_S36'!C54:C56,C18)</x:f>
        <x:v>2</x:v>
      </x:c>
      <x:c r="H18" s="20" t="n">
        <x:f>SUMIFS('日経_S36'!D54:D56,'日経_S36'!C54:C56,C18)</x:f>
        <x:v>116462</x:v>
      </x:c>
      <x:c r="I18" s="20" t="n">
        <x:f>SUMIFS('日経_S36'!E54:E56,'日経_S36'!C54:C56,C18)</x:f>
        <x:v>198228</x:v>
      </x:c>
      <x:c r="J18" s="20" t="n">
        <x:f>H18-I18</x:f>
        <x:v>-81766</x:v>
      </x:c>
      <x:c r="K18" s="22" t="n">
        <x:f>SUMIFS('日経_S36'!J54:J56,'日経_S36'!C54:C56,C18)</x:f>
        <x:v>8</x:v>
      </x:c>
      <x:c r="L18" s="22" t="n">
        <x:f>COUNTIFS('日経_S36'!F54:F56,"&gt;0",'日経_S36'!C54:C56,C18)</x:f>
        <x:v>0</x:v>
      </x:c>
      <x:c r="M18" s="22" t="n">
        <x:f>COUNTIFS('日経_S36'!F54:F56,"&lt;0",'日経_S36'!C54:C56,C18)</x:f>
        <x:v>2</x:v>
      </x:c>
      <x:c r="N18" s="22" t="n">
        <x:f>COUNTIFS('日経_S36'!J54:J56,"=0",'日経_S36'!C54:C56,C18)</x:f>
        <x:v>0</x:v>
      </x:c>
      <x:c r="O18" s="20" t="n">
        <x:f>IF(M18=0,0,-SUMIFS('日経_S36'!F54:F56,'日経_S36'!F54:F56,"&lt;0",'日経_S36'!C54:C56,C18)/M18)</x:f>
        <x:v>40883</x:v>
      </x:c>
      <x:c r="P18" s="20" t="n">
        <x:f>MAX(0,-_xlfn.MINIFS('日経_S36'!F54:F56,'日経_S36'!C54:C56,C18))</x:f>
        <x:v>43538</x:v>
      </x:c>
      <x:c r="Q18" s="20" t="n">
        <x:f>J18-MAX(0,_xlfn.MAXIFS('日経_S36'!F54:F56,'日経_S36'!C54:C56,C18))-IF(COUNTIFS('日経_S36'!F54:F56,MAX(0,_xlfn.MAXIFS('日経_S36'!F54:F56,'日経_S36'!C54:C56,C18)),'日経_S36'!C54:C56,C18)&gt;=2,MAX(0,_xlfn.MAXIFS('日経_S36'!F54:F56,'日経_S36'!C54:C56,C18)),MAX(0,_xlfn.MAXIFS('日経_S36'!F54:F56,'日経_S36'!C54:C56,C18,'日経_S36'!F54:F56,"&lt;"&amp;MAX(0,_xlfn.MAXIFS('日経_S36'!F54:F56,'日経_S36'!C54:C56,C18)))))-IF(COUNTIFS('日経_S36'!F54:F56,MAX(0,_xlfn.MAXIFS('日経_S36'!F54:F56,'日経_S36'!C54:C56,C18)),'日経_S36'!C54:C56,C18)&gt;=3,MAX(0,_xlfn.MAXIFS('日経_S36'!F54:F56,'日経_S36'!C54:C56,C18)),IF(COUNTIFS('日経_S36'!F54:F56,IF(COUNTIFS('日経_S36'!F54:F56,MAX(0,_xlfn.MAXIFS('日経_S36'!F54:F56,'日経_S36'!C54:C56,C18)),'日経_S36'!C54:C56,C18)&gt;=2,MAX(0,_xlfn.MAXIFS('日経_S36'!F54:F56,'日経_S36'!C54:C56,C18)),MAX(0,_xlfn.MAXIFS('日経_S36'!F54:F56,'日経_S36'!C54:C56,C18,'日経_S36'!F54:F56,"&lt;"&amp;MAX(0,_xlfn.MAXIFS('日経_S36'!F54:F56,'日経_S36'!C54:C56,C18))))),'日経_S36'!C54:C56,C18)+COUNTIFS('日経_S36'!F54:F56,"&gt;"&amp;IF(COUNTIFS('日経_S36'!F54:F56,MAX(0,_xlfn.MAXIFS('日経_S36'!F54:F56,'日経_S36'!C54:C56,C18)),'日経_S36'!C54:C56,C18)&gt;=2,MAX(0,_xlfn.MAXIFS('日経_S36'!F54:F56,'日経_S36'!C54:C56,C18)),MAX(0,_xlfn.MAXIFS('日経_S36'!F54:F56,'日経_S36'!C54:C56,C18,'日経_S36'!F54:F56,"&lt;"&amp;MAX(0,_xlfn.MAXIFS('日経_S36'!F54:F56,'日経_S36'!C54:C56,C18))))),'日経_S36'!C54:C56,C18)&gt;=3,IF(COUNTIFS('日経_S36'!F54:F56,MAX(0,_xlfn.MAXIFS('日経_S36'!F54:F56,'日経_S36'!C54:C56,C18)),'日経_S36'!C54:C56,C18)&gt;=2,MAX(0,_xlfn.MAXIFS('日経_S36'!F54:F56,'日経_S36'!C54:C56,C18)),MAX(0,_xlfn.MAXIFS('日経_S36'!F54:F56,'日経_S36'!C54:C56,C18,'日経_S36'!F54:F56,"&lt;"&amp;MAX(0,_xlfn.MAXIFS('日経_S36'!F54:F56,'日経_S36'!C54:C56,C18))))),MAX(0,_xlfn.MAXIFS('日経_S36'!F54:F56,'日経_S36'!C54:C56,C18,'日経_S36'!F54:F56,"&lt;"&amp;IF(COUNTIFS('日経_S36'!F54:F56,MAX(0,_xlfn.MAXIFS('日経_S36'!F54:F56,'日経_S36'!C54:C56,C18)),'日経_S36'!C54:C56,C18)&gt;=2,MAX(0,_xlfn.MAXIFS('日経_S36'!F54:F56,'日経_S36'!C54:C56,C18)),MAX(0,_xlfn.MAXIFS('日経_S36'!F54:F56,'日経_S36'!C54:C56,C18,'日経_S36'!F54:F56,"&lt;"&amp;MAX(0,_xlfn.MAXIFS('日経_S36'!F54:F56,'日経_S36'!C54:C56,C18)))))))))</x:f>
        <x:v>-81766</x:v>
      </x:c>
    </x:row>
    <x:row r="19" ht="36" customHeight="1">
      <x:c r="A19" s="2" t="str">
        <x:v>日経mini</x:v>
      </x:c>
      <x:c r="B19" s="2" t="str">
        <x:v>M1</x:v>
      </x:c>
      <x:c r="C19" s="2" t="str">
        <x:v>デイ</x:v>
      </x:c>
      <x:c r="D19" s="2" t="str">
        <x:v>全50場</x:v>
      </x:c>
      <x:c r="E19" s="2" t="str">
        <x:v>G02</x:v>
      </x:c>
      <x:c r="F19" s="23" t="str">
        <x:v>今回の損失削減を重視する昼夜別案</x:v>
      </x:c>
      <x:c r="G19" s="22" t="n">
        <x:f>COUNTIFS('日経_M1'!C7:C56,C19)</x:f>
        <x:v>25</x:v>
      </x:c>
      <x:c r="H19" s="20" t="n">
        <x:f>SUMIFS('日経_M1'!D7:D56,'日経_M1'!C7:C56,C19)</x:f>
        <x:v>3960990</x:v>
      </x:c>
      <x:c r="I19" s="20" t="n">
        <x:f>SUMIFS('日経_M1'!E7:E56,'日経_M1'!C7:C56,C19)</x:f>
        <x:v>2240208</x:v>
      </x:c>
      <x:c r="J19" s="20" t="n">
        <x:f>H19-I19</x:f>
        <x:v>1720782</x:v>
      </x:c>
      <x:c r="K19" s="22" t="n">
        <x:f>SUMIFS('日経_M1'!J7:J56,'日経_M1'!C7:C56,C19)</x:f>
        <x:v>182</x:v>
      </x:c>
      <x:c r="L19" s="22" t="n">
        <x:f>COUNTIFS('日経_M1'!F7:F56,"&gt;0",'日経_M1'!C7:C56,C19)</x:f>
        <x:v>16</x:v>
      </x:c>
      <x:c r="M19" s="22" t="n">
        <x:f>COUNTIFS('日経_M1'!F7:F56,"&lt;0",'日経_M1'!C7:C56,C19)</x:f>
        <x:v>9</x:v>
      </x:c>
      <x:c r="N19" s="22" t="n">
        <x:f>COUNTIFS('日経_M1'!J7:J56,"=0",'日経_M1'!C7:C56,C19)</x:f>
        <x:v>0</x:v>
      </x:c>
      <x:c r="O19" s="20" t="n">
        <x:f>IF(M19=0,0,-SUMIFS('日経_M1'!F7:F56,'日経_M1'!F7:F56,"&lt;0",'日経_M1'!C7:C56,C19)/M19)</x:f>
        <x:v>61278</x:v>
      </x:c>
      <x:c r="P19" s="20" t="n">
        <x:f>MAX(0,-_xlfn.MINIFS('日経_M1'!F7:F56,'日経_M1'!C7:C56,C19))</x:f>
        <x:v>106152</x:v>
      </x:c>
      <x:c r="Q19" s="20" t="n">
        <x:f>J19-MAX(0,_xlfn.MAXIFS('日経_M1'!F7:F56,'日経_M1'!C7:C56,C19))-IF(COUNTIFS('日経_M1'!F7:F56,MAX(0,_xlfn.MAXIFS('日経_M1'!F7:F56,'日経_M1'!C7:C56,C19)),'日経_M1'!C7:C56,C19)&gt;=2,MAX(0,_xlfn.MAXIFS('日経_M1'!F7:F56,'日経_M1'!C7:C56,C19)),MAX(0,_xlfn.MAXIFS('日経_M1'!F7:F56,'日経_M1'!C7:C56,C19,'日経_M1'!F7:F56,"&lt;"&amp;MAX(0,_xlfn.MAXIFS('日経_M1'!F7:F56,'日経_M1'!C7:C56,C19)))))-IF(COUNTIFS('日経_M1'!F7:F56,MAX(0,_xlfn.MAXIFS('日経_M1'!F7:F56,'日経_M1'!C7:C56,C19)),'日経_M1'!C7:C56,C19)&gt;=3,MAX(0,_xlfn.MAXIFS('日経_M1'!F7:F56,'日経_M1'!C7:C56,C19)),IF(COUNTIFS('日経_M1'!F7:F56,IF(COUNTIFS('日経_M1'!F7:F56,MAX(0,_xlfn.MAXIFS('日経_M1'!F7:F56,'日経_M1'!C7:C56,C19)),'日経_M1'!C7:C56,C19)&gt;=2,MAX(0,_xlfn.MAXIFS('日経_M1'!F7:F56,'日経_M1'!C7:C56,C19)),MAX(0,_xlfn.MAXIFS('日経_M1'!F7:F56,'日経_M1'!C7:C56,C19,'日経_M1'!F7:F56,"&lt;"&amp;MAX(0,_xlfn.MAXIFS('日経_M1'!F7:F56,'日経_M1'!C7:C56,C19))))),'日経_M1'!C7:C56,C19)+COUNTIFS('日経_M1'!F7:F56,"&gt;"&amp;IF(COUNTIFS('日経_M1'!F7:F56,MAX(0,_xlfn.MAXIFS('日経_M1'!F7:F56,'日経_M1'!C7:C56,C19)),'日経_M1'!C7:C56,C19)&gt;=2,MAX(0,_xlfn.MAXIFS('日経_M1'!F7:F56,'日経_M1'!C7:C56,C19)),MAX(0,_xlfn.MAXIFS('日経_M1'!F7:F56,'日経_M1'!C7:C56,C19,'日経_M1'!F7:F56,"&lt;"&amp;MAX(0,_xlfn.MAXIFS('日経_M1'!F7:F56,'日経_M1'!C7:C56,C19))))),'日経_M1'!C7:C56,C19)&gt;=3,IF(COUNTIFS('日経_M1'!F7:F56,MAX(0,_xlfn.MAXIFS('日経_M1'!F7:F56,'日経_M1'!C7:C56,C19)),'日経_M1'!C7:C56,C19)&gt;=2,MAX(0,_xlfn.MAXIFS('日経_M1'!F7:F56,'日経_M1'!C7:C56,C19)),MAX(0,_xlfn.MAXIFS('日経_M1'!F7:F56,'日経_M1'!C7:C56,C19,'日経_M1'!F7:F56,"&lt;"&amp;MAX(0,_xlfn.MAXIFS('日経_M1'!F7:F56,'日経_M1'!C7:C56,C19))))),MAX(0,_xlfn.MAXIFS('日経_M1'!F7:F56,'日経_M1'!C7:C56,C19,'日経_M1'!F7:F56,"&lt;"&amp;IF(COUNTIFS('日経_M1'!F7:F56,MAX(0,_xlfn.MAXIFS('日経_M1'!F7:F56,'日経_M1'!C7:C56,C19)),'日経_M1'!C7:C56,C19)&gt;=2,MAX(0,_xlfn.MAXIFS('日経_M1'!F7:F56,'日経_M1'!C7:C56,C19)),MAX(0,_xlfn.MAXIFS('日経_M1'!F7:F56,'日経_M1'!C7:C56,C19,'日経_M1'!F7:F56,"&lt;"&amp;MAX(0,_xlfn.MAXIFS('日経_M1'!F7:F56,'日経_M1'!C7:C56,C19)))))))))</x:f>
        <x:v>588464</x:v>
      </x:c>
    </x:row>
    <x:row r="20" ht="36" customHeight="1">
      <x:c r="A20" s="2" t="str">
        <x:v>日経mini</x:v>
      </x:c>
      <x:c r="B20" s="2" t="str">
        <x:v>M1</x:v>
      </x:c>
      <x:c r="C20" s="2" t="str">
        <x:v>ナイト</x:v>
      </x:c>
      <x:c r="D20" s="2" t="str">
        <x:v>全50場</x:v>
      </x:c>
      <x:c r="E20" s="2" t="str">
        <x:v>G10</x:v>
      </x:c>
      <x:c r="F20" s="23" t="str">
        <x:v>今回の損失削減を重視する昼夜別案</x:v>
      </x:c>
      <x:c r="G20" s="22" t="n">
        <x:f>COUNTIFS('日経_M1'!C7:C56,C20)</x:f>
        <x:v>25</x:v>
      </x:c>
      <x:c r="H20" s="20" t="n">
        <x:f>SUMIFS('日経_M1'!D7:D56,'日経_M1'!C7:C56,C20)</x:f>
        <x:v>1931648</x:v>
      </x:c>
      <x:c r="I20" s="20" t="n">
        <x:f>SUMIFS('日経_M1'!E7:E56,'日経_M1'!C7:C56,C20)</x:f>
        <x:v>966912</x:v>
      </x:c>
      <x:c r="J20" s="20" t="n">
        <x:f>H20-I20</x:f>
        <x:v>964736</x:v>
      </x:c>
      <x:c r="K20" s="22" t="n">
        <x:f>SUMIFS('日経_M1'!J7:J56,'日経_M1'!C7:C56,C20)</x:f>
        <x:v>87</x:v>
      </x:c>
      <x:c r="L20" s="22" t="n">
        <x:f>COUNTIFS('日経_M1'!F7:F56,"&gt;0",'日経_M1'!C7:C56,C20)</x:f>
        <x:v>18</x:v>
      </x:c>
      <x:c r="M20" s="22" t="n">
        <x:f>COUNTIFS('日経_M1'!F7:F56,"&lt;0",'日経_M1'!C7:C56,C20)</x:f>
        <x:v>7</x:v>
      </x:c>
      <x:c r="N20" s="22" t="n">
        <x:f>COUNTIFS('日経_M1'!J7:J56,"=0",'日経_M1'!C7:C56,C20)</x:f>
        <x:v>0</x:v>
      </x:c>
      <x:c r="O20" s="20" t="n">
        <x:f>IF(M20=0,0,-SUMIFS('日経_M1'!F7:F56,'日経_M1'!F7:F56,"&lt;0",'日経_M1'!C7:C56,C20)/M20)</x:f>
        <x:v>56636.57142857143</x:v>
      </x:c>
      <x:c r="P20" s="20" t="n">
        <x:f>MAX(0,-_xlfn.MINIFS('日経_M1'!F7:F56,'日経_M1'!C7:C56,C20))</x:f>
        <x:v>116462</x:v>
      </x:c>
      <x:c r="Q20" s="20" t="n">
        <x:f>J20-MAX(0,_xlfn.MAXIFS('日経_M1'!F7:F56,'日経_M1'!C7:C56,C20))-IF(COUNTIFS('日経_M1'!F7:F56,MAX(0,_xlfn.MAXIFS('日経_M1'!F7:F56,'日経_M1'!C7:C56,C20)),'日経_M1'!C7:C56,C20)&gt;=2,MAX(0,_xlfn.MAXIFS('日経_M1'!F7:F56,'日経_M1'!C7:C56,C20)),MAX(0,_xlfn.MAXIFS('日経_M1'!F7:F56,'日経_M1'!C7:C56,C20,'日経_M1'!F7:F56,"&lt;"&amp;MAX(0,_xlfn.MAXIFS('日経_M1'!F7:F56,'日経_M1'!C7:C56,C20)))))-IF(COUNTIFS('日経_M1'!F7:F56,MAX(0,_xlfn.MAXIFS('日経_M1'!F7:F56,'日経_M1'!C7:C56,C20)),'日経_M1'!C7:C56,C20)&gt;=3,MAX(0,_xlfn.MAXIFS('日経_M1'!F7:F56,'日経_M1'!C7:C56,C20)),IF(COUNTIFS('日経_M1'!F7:F56,IF(COUNTIFS('日経_M1'!F7:F56,MAX(0,_xlfn.MAXIFS('日経_M1'!F7:F56,'日経_M1'!C7:C56,C20)),'日経_M1'!C7:C56,C20)&gt;=2,MAX(0,_xlfn.MAXIFS('日経_M1'!F7:F56,'日経_M1'!C7:C56,C20)),MAX(0,_xlfn.MAXIFS('日経_M1'!F7:F56,'日経_M1'!C7:C56,C20,'日経_M1'!F7:F56,"&lt;"&amp;MAX(0,_xlfn.MAXIFS('日経_M1'!F7:F56,'日経_M1'!C7:C56,C20))))),'日経_M1'!C7:C56,C20)+COUNTIFS('日経_M1'!F7:F56,"&gt;"&amp;IF(COUNTIFS('日経_M1'!F7:F56,MAX(0,_xlfn.MAXIFS('日経_M1'!F7:F56,'日経_M1'!C7:C56,C20)),'日経_M1'!C7:C56,C20)&gt;=2,MAX(0,_xlfn.MAXIFS('日経_M1'!F7:F56,'日経_M1'!C7:C56,C20)),MAX(0,_xlfn.MAXIFS('日経_M1'!F7:F56,'日経_M1'!C7:C56,C20,'日経_M1'!F7:F56,"&lt;"&amp;MAX(0,_xlfn.MAXIFS('日経_M1'!F7:F56,'日経_M1'!C7:C56,C20))))),'日経_M1'!C7:C56,C20)&gt;=3,IF(COUNTIFS('日経_M1'!F7:F56,MAX(0,_xlfn.MAXIFS('日経_M1'!F7:F56,'日経_M1'!C7:C56,C20)),'日経_M1'!C7:C56,C20)&gt;=2,MAX(0,_xlfn.MAXIFS('日経_M1'!F7:F56,'日経_M1'!C7:C56,C20)),MAX(0,_xlfn.MAXIFS('日経_M1'!F7:F56,'日経_M1'!C7:C56,C20,'日経_M1'!F7:F56,"&lt;"&amp;MAX(0,_xlfn.MAXIFS('日経_M1'!F7:F56,'日経_M1'!C7:C56,C20))))),MAX(0,_xlfn.MAXIFS('日経_M1'!F7:F56,'日経_M1'!C7:C56,C20,'日経_M1'!F7:F56,"&lt;"&amp;IF(COUNTIFS('日経_M1'!F7:F56,MAX(0,_xlfn.MAXIFS('日経_M1'!F7:F56,'日経_M1'!C7:C56,C20)),'日経_M1'!C7:C56,C20)&gt;=2,MAX(0,_xlfn.MAXIFS('日経_M1'!F7:F56,'日経_M1'!C7:C56,C20)),MAX(0,_xlfn.MAXIFS('日経_M1'!F7:F56,'日経_M1'!C7:C56,C20,'日経_M1'!F7:F56,"&lt;"&amp;MAX(0,_xlfn.MAXIFS('日経_M1'!F7:F56,'日経_M1'!C7:C56,C20)))))))))</x:f>
        <x:v>330958</x:v>
      </x:c>
    </x:row>
    <x:row r="21" ht="36" customHeight="1">
      <x:c r="A21" s="2" t="str">
        <x:v>日経mini</x:v>
      </x:c>
      <x:c r="B21" s="2" t="str">
        <x:v>M1</x:v>
      </x:c>
      <x:c r="C21" s="2" t="str">
        <x:v>デイ</x:v>
      </x:c>
      <x:c r="D21" s="2" t="str">
        <x:v>対照47場</x:v>
      </x:c>
      <x:c r="E21" s="2" t="str">
        <x:v>G02</x:v>
      </x:c>
      <x:c r="F21" s="23" t="str">
        <x:v>今回の損失削減を重視する昼夜別案</x:v>
      </x:c>
      <x:c r="G21" s="22" t="n">
        <x:f>COUNTIFS('日経_M1'!C7:C53,C21)</x:f>
        <x:v>24</x:v>
      </x:c>
      <x:c r="H21" s="20" t="n">
        <x:f>SUMIFS('日経_M1'!D7:D53,'日経_M1'!C7:C53,C21)</x:f>
        <x:v>3884372</x:v>
      </x:c>
      <x:c r="I21" s="20" t="n">
        <x:f>SUMIFS('日経_M1'!E7:E53,'日経_M1'!C7:C53,C21)</x:f>
        <x:v>2140516</x:v>
      </x:c>
      <x:c r="J21" s="20" t="n">
        <x:f>H21-I21</x:f>
        <x:v>1743856</x:v>
      </x:c>
      <x:c r="K21" s="22" t="n">
        <x:f>SUMIFS('日経_M1'!J7:J53,'日経_M1'!C7:C53,C21)</x:f>
        <x:v>175</x:v>
      </x:c>
      <x:c r="L21" s="22" t="n">
        <x:f>COUNTIFS('日経_M1'!F7:F53,"&gt;0",'日経_M1'!C7:C53,C21)</x:f>
        <x:v>16</x:v>
      </x:c>
      <x:c r="M21" s="22" t="n">
        <x:f>COUNTIFS('日経_M1'!F7:F53,"&lt;0",'日経_M1'!C7:C53,C21)</x:f>
        <x:v>8</x:v>
      </x:c>
      <x:c r="N21" s="22" t="n">
        <x:f>COUNTIFS('日経_M1'!J7:J53,"=0",'日経_M1'!C7:C53,C21)</x:f>
        <x:v>0</x:v>
      </x:c>
      <x:c r="O21" s="20" t="n">
        <x:f>IF(M21=0,0,-SUMIFS('日経_M1'!F7:F53,'日経_M1'!F7:F53,"&lt;0",'日経_M1'!C7:C53,C21)/M21)</x:f>
        <x:v>66053.5</x:v>
      </x:c>
      <x:c r="P21" s="20" t="n">
        <x:f>MAX(0,-_xlfn.MINIFS('日経_M1'!F7:F53,'日経_M1'!C7:C53,C21))</x:f>
        <x:v>106152</x:v>
      </x:c>
      <x:c r="Q21" s="20" t="n">
        <x:f>J21-MAX(0,_xlfn.MAXIFS('日経_M1'!F7:F53,'日経_M1'!C7:C53,C21))-IF(COUNTIFS('日経_M1'!F7:F53,MAX(0,_xlfn.MAXIFS('日経_M1'!F7:F53,'日経_M1'!C7:C53,C21)),'日経_M1'!C7:C53,C21)&gt;=2,MAX(0,_xlfn.MAXIFS('日経_M1'!F7:F53,'日経_M1'!C7:C53,C21)),MAX(0,_xlfn.MAXIFS('日経_M1'!F7:F53,'日経_M1'!C7:C53,C21,'日経_M1'!F7:F53,"&lt;"&amp;MAX(0,_xlfn.MAXIFS('日経_M1'!F7:F53,'日経_M1'!C7:C53,C21)))))-IF(COUNTIFS('日経_M1'!F7:F53,MAX(0,_xlfn.MAXIFS('日経_M1'!F7:F53,'日経_M1'!C7:C53,C21)),'日経_M1'!C7:C53,C21)&gt;=3,MAX(0,_xlfn.MAXIFS('日経_M1'!F7:F53,'日経_M1'!C7:C53,C21)),IF(COUNTIFS('日経_M1'!F7:F53,IF(COUNTIFS('日経_M1'!F7:F53,MAX(0,_xlfn.MAXIFS('日経_M1'!F7:F53,'日経_M1'!C7:C53,C21)),'日経_M1'!C7:C53,C21)&gt;=2,MAX(0,_xlfn.MAXIFS('日経_M1'!F7:F53,'日経_M1'!C7:C53,C21)),MAX(0,_xlfn.MAXIFS('日経_M1'!F7:F53,'日経_M1'!C7:C53,C21,'日経_M1'!F7:F53,"&lt;"&amp;MAX(0,_xlfn.MAXIFS('日経_M1'!F7:F53,'日経_M1'!C7:C53,C21))))),'日経_M1'!C7:C53,C21)+COUNTIFS('日経_M1'!F7:F53,"&gt;"&amp;IF(COUNTIFS('日経_M1'!F7:F53,MAX(0,_xlfn.MAXIFS('日経_M1'!F7:F53,'日経_M1'!C7:C53,C21)),'日経_M1'!C7:C53,C21)&gt;=2,MAX(0,_xlfn.MAXIFS('日経_M1'!F7:F53,'日経_M1'!C7:C53,C21)),MAX(0,_xlfn.MAXIFS('日経_M1'!F7:F53,'日経_M1'!C7:C53,C21,'日経_M1'!F7:F53,"&lt;"&amp;MAX(0,_xlfn.MAXIFS('日経_M1'!F7:F53,'日経_M1'!C7:C53,C21))))),'日経_M1'!C7:C53,C21)&gt;=3,IF(COUNTIFS('日経_M1'!F7:F53,MAX(0,_xlfn.MAXIFS('日経_M1'!F7:F53,'日経_M1'!C7:C53,C21)),'日経_M1'!C7:C53,C21)&gt;=2,MAX(0,_xlfn.MAXIFS('日経_M1'!F7:F53,'日経_M1'!C7:C53,C21)),MAX(0,_xlfn.MAXIFS('日経_M1'!F7:F53,'日経_M1'!C7:C53,C21,'日経_M1'!F7:F53,"&lt;"&amp;MAX(0,_xlfn.MAXIFS('日経_M1'!F7:F53,'日経_M1'!C7:C53,C21))))),MAX(0,_xlfn.MAXIFS('日経_M1'!F7:F53,'日経_M1'!C7:C53,C21,'日経_M1'!F7:F53,"&lt;"&amp;IF(COUNTIFS('日経_M1'!F7:F53,MAX(0,_xlfn.MAXIFS('日経_M1'!F7:F53,'日経_M1'!C7:C53,C21)),'日経_M1'!C7:C53,C21)&gt;=2,MAX(0,_xlfn.MAXIFS('日経_M1'!F7:F53,'日経_M1'!C7:C53,C21)),MAX(0,_xlfn.MAXIFS('日経_M1'!F7:F53,'日経_M1'!C7:C53,C21,'日経_M1'!F7:F53,"&lt;"&amp;MAX(0,_xlfn.MAXIFS('日経_M1'!F7:F53,'日経_M1'!C7:C53,C21)))))))))</x:f>
        <x:v>611538</x:v>
      </x:c>
    </x:row>
    <x:row r="22" ht="36" customHeight="1">
      <x:c r="A22" s="2" t="str">
        <x:v>日経mini</x:v>
      </x:c>
      <x:c r="B22" s="2" t="str">
        <x:v>M1</x:v>
      </x:c>
      <x:c r="C22" s="2" t="str">
        <x:v>ナイト</x:v>
      </x:c>
      <x:c r="D22" s="2" t="str">
        <x:v>対照47場</x:v>
      </x:c>
      <x:c r="E22" s="2" t="str">
        <x:v>G10</x:v>
      </x:c>
      <x:c r="F22" s="23" t="str">
        <x:v>今回の損失削減を重視する昼夜別案</x:v>
      </x:c>
      <x:c r="G22" s="22" t="n">
        <x:f>COUNTIFS('日経_M1'!C7:C53,C22)</x:f>
        <x:v>23</x:v>
      </x:c>
      <x:c r="H22" s="20" t="n">
        <x:f>SUMIFS('日経_M1'!D7:D53,'日経_M1'!C7:C53,C22)</x:f>
        <x:v>1825186</x:v>
      </x:c>
      <x:c r="I22" s="20" t="n">
        <x:f>SUMIFS('日経_M1'!E7:E53,'日経_M1'!C7:C53,C22)</x:f>
        <x:v>849990</x:v>
      </x:c>
      <x:c r="J22" s="20" t="n">
        <x:f>H22-I22</x:f>
        <x:v>975196</x:v>
      </x:c>
      <x:c r="K22" s="22" t="n">
        <x:f>SUMIFS('日経_M1'!J7:J53,'日経_M1'!C7:C53,C22)</x:f>
        <x:v>82</x:v>
      </x:c>
      <x:c r="L22" s="22" t="n">
        <x:f>COUNTIFS('日経_M1'!F7:F53,"&gt;0",'日経_M1'!C7:C53,C22)</x:f>
        <x:v>17</x:v>
      </x:c>
      <x:c r="M22" s="22" t="n">
        <x:f>COUNTIFS('日経_M1'!F7:F53,"&lt;0",'日経_M1'!C7:C53,C22)</x:f>
        <x:v>6</x:v>
      </x:c>
      <x:c r="N22" s="22" t="n">
        <x:f>COUNTIFS('日経_M1'!J7:J53,"=0",'日経_M1'!C7:C53,C22)</x:f>
        <x:v>0</x:v>
      </x:c>
      <x:c r="O22" s="20" t="n">
        <x:f>IF(M22=0,0,-SUMIFS('日経_M1'!F7:F53,'日経_M1'!F7:F53,"&lt;0",'日経_M1'!C7:C53,C22)/M22)</x:f>
        <x:v>55819.666666666664</x:v>
      </x:c>
      <x:c r="P22" s="20" t="n">
        <x:f>MAX(0,-_xlfn.MINIFS('日経_M1'!F7:F53,'日経_M1'!C7:C53,C22))</x:f>
        <x:v>116462</x:v>
      </x:c>
      <x:c r="Q22" s="20" t="n">
        <x:f>J22-MAX(0,_xlfn.MAXIFS('日経_M1'!F7:F53,'日経_M1'!C7:C53,C22))-IF(COUNTIFS('日経_M1'!F7:F53,MAX(0,_xlfn.MAXIFS('日経_M1'!F7:F53,'日経_M1'!C7:C53,C22)),'日経_M1'!C7:C53,C22)&gt;=2,MAX(0,_xlfn.MAXIFS('日経_M1'!F7:F53,'日経_M1'!C7:C53,C22)),MAX(0,_xlfn.MAXIFS('日経_M1'!F7:F53,'日経_M1'!C7:C53,C22,'日経_M1'!F7:F53,"&lt;"&amp;MAX(0,_xlfn.MAXIFS('日経_M1'!F7:F53,'日経_M1'!C7:C53,C22)))))-IF(COUNTIFS('日経_M1'!F7:F53,MAX(0,_xlfn.MAXIFS('日経_M1'!F7:F53,'日経_M1'!C7:C53,C22)),'日経_M1'!C7:C53,C22)&gt;=3,MAX(0,_xlfn.MAXIFS('日経_M1'!F7:F53,'日経_M1'!C7:C53,C22)),IF(COUNTIFS('日経_M1'!F7:F53,IF(COUNTIFS('日経_M1'!F7:F53,MAX(0,_xlfn.MAXIFS('日経_M1'!F7:F53,'日経_M1'!C7:C53,C22)),'日経_M1'!C7:C53,C22)&gt;=2,MAX(0,_xlfn.MAXIFS('日経_M1'!F7:F53,'日経_M1'!C7:C53,C22)),MAX(0,_xlfn.MAXIFS('日経_M1'!F7:F53,'日経_M1'!C7:C53,C22,'日経_M1'!F7:F53,"&lt;"&amp;MAX(0,_xlfn.MAXIFS('日経_M1'!F7:F53,'日経_M1'!C7:C53,C22))))),'日経_M1'!C7:C53,C22)+COUNTIFS('日経_M1'!F7:F53,"&gt;"&amp;IF(COUNTIFS('日経_M1'!F7:F53,MAX(0,_xlfn.MAXIFS('日経_M1'!F7:F53,'日経_M1'!C7:C53,C22)),'日経_M1'!C7:C53,C22)&gt;=2,MAX(0,_xlfn.MAXIFS('日経_M1'!F7:F53,'日経_M1'!C7:C53,C22)),MAX(0,_xlfn.MAXIFS('日経_M1'!F7:F53,'日経_M1'!C7:C53,C22,'日経_M1'!F7:F53,"&lt;"&amp;MAX(0,_xlfn.MAXIFS('日経_M1'!F7:F53,'日経_M1'!C7:C53,C22))))),'日経_M1'!C7:C53,C22)&gt;=3,IF(COUNTIFS('日経_M1'!F7:F53,MAX(0,_xlfn.MAXIFS('日経_M1'!F7:F53,'日経_M1'!C7:C53,C22)),'日経_M1'!C7:C53,C22)&gt;=2,MAX(0,_xlfn.MAXIFS('日経_M1'!F7:F53,'日経_M1'!C7:C53,C22)),MAX(0,_xlfn.MAXIFS('日経_M1'!F7:F53,'日経_M1'!C7:C53,C22,'日経_M1'!F7:F53,"&lt;"&amp;MAX(0,_xlfn.MAXIFS('日経_M1'!F7:F53,'日経_M1'!C7:C53,C22))))),MAX(0,_xlfn.MAXIFS('日経_M1'!F7:F53,'日経_M1'!C7:C53,C22,'日経_M1'!F7:F53,"&lt;"&amp;IF(COUNTIFS('日経_M1'!F7:F53,MAX(0,_xlfn.MAXIFS('日経_M1'!F7:F53,'日経_M1'!C7:C53,C22)),'日経_M1'!C7:C53,C22)&gt;=2,MAX(0,_xlfn.MAXIFS('日経_M1'!F7:F53,'日経_M1'!C7:C53,C22)),MAX(0,_xlfn.MAXIFS('日経_M1'!F7:F53,'日経_M1'!C7:C53,C22,'日経_M1'!F7:F53,"&lt;"&amp;MAX(0,_xlfn.MAXIFS('日経_M1'!F7:F53,'日経_M1'!C7:C53,C22)))))))))</x:f>
        <x:v>341418</x:v>
      </x:c>
    </x:row>
    <x:row r="23" ht="36" customHeight="1">
      <x:c r="A23" s="2" t="str">
        <x:v>日経mini</x:v>
      </x:c>
      <x:c r="B23" s="2" t="str">
        <x:v>M1</x:v>
      </x:c>
      <x:c r="C23" s="2" t="str">
        <x:v>デイ</x:v>
      </x:c>
      <x:c r="D23" s="2" t="str">
        <x:v>診断3場</x:v>
      </x:c>
      <x:c r="E23" s="2" t="str">
        <x:v>G02</x:v>
      </x:c>
      <x:c r="F23" s="23" t="str">
        <x:v>今回の損失削減を重視する昼夜別案</x:v>
      </x:c>
      <x:c r="G23" s="22" t="n">
        <x:f>COUNTIFS('日経_M1'!C54:C56,C23)</x:f>
        <x:v>1</x:v>
      </x:c>
      <x:c r="H23" s="20" t="n">
        <x:f>SUMIFS('日経_M1'!D54:D56,'日経_M1'!C54:C56,C23)</x:f>
        <x:v>76618</x:v>
      </x:c>
      <x:c r="I23" s="20" t="n">
        <x:f>SUMIFS('日経_M1'!E54:E56,'日経_M1'!C54:C56,C23)</x:f>
        <x:v>99692</x:v>
      </x:c>
      <x:c r="J23" s="20" t="n">
        <x:f>H23-I23</x:f>
        <x:v>-23074</x:v>
      </x:c>
      <x:c r="K23" s="22" t="n">
        <x:f>SUMIFS('日経_M1'!J54:J56,'日経_M1'!C54:C56,C23)</x:f>
        <x:v>7</x:v>
      </x:c>
      <x:c r="L23" s="22" t="n">
        <x:f>COUNTIFS('日経_M1'!F54:F56,"&gt;0",'日経_M1'!C54:C56,C23)</x:f>
        <x:v>0</x:v>
      </x:c>
      <x:c r="M23" s="22" t="n">
        <x:f>COUNTIFS('日経_M1'!F54:F56,"&lt;0",'日経_M1'!C54:C56,C23)</x:f>
        <x:v>1</x:v>
      </x:c>
      <x:c r="N23" s="22" t="n">
        <x:f>COUNTIFS('日経_M1'!J54:J56,"=0",'日経_M1'!C54:C56,C23)</x:f>
        <x:v>0</x:v>
      </x:c>
      <x:c r="O23" s="20" t="n">
        <x:f>IF(M23=0,0,-SUMIFS('日経_M1'!F54:F56,'日経_M1'!F54:F56,"&lt;0",'日経_M1'!C54:C56,C23)/M23)</x:f>
        <x:v>23074</x:v>
      </x:c>
      <x:c r="P23" s="20" t="n">
        <x:f>MAX(0,-_xlfn.MINIFS('日経_M1'!F54:F56,'日経_M1'!C54:C56,C23))</x:f>
        <x:v>23074</x:v>
      </x:c>
      <x:c r="Q23" s="20" t="n">
        <x:f>J23-MAX(0,_xlfn.MAXIFS('日経_M1'!F54:F56,'日経_M1'!C54:C56,C23))-IF(COUNTIFS('日経_M1'!F54:F56,MAX(0,_xlfn.MAXIFS('日経_M1'!F54:F56,'日経_M1'!C54:C56,C23)),'日経_M1'!C54:C56,C23)&gt;=2,MAX(0,_xlfn.MAXIFS('日経_M1'!F54:F56,'日経_M1'!C54:C56,C23)),MAX(0,_xlfn.MAXIFS('日経_M1'!F54:F56,'日経_M1'!C54:C56,C23,'日経_M1'!F54:F56,"&lt;"&amp;MAX(0,_xlfn.MAXIFS('日経_M1'!F54:F56,'日経_M1'!C54:C56,C23)))))-IF(COUNTIFS('日経_M1'!F54:F56,MAX(0,_xlfn.MAXIFS('日経_M1'!F54:F56,'日経_M1'!C54:C56,C23)),'日経_M1'!C54:C56,C23)&gt;=3,MAX(0,_xlfn.MAXIFS('日経_M1'!F54:F56,'日経_M1'!C54:C56,C23)),IF(COUNTIFS('日経_M1'!F54:F56,IF(COUNTIFS('日経_M1'!F54:F56,MAX(0,_xlfn.MAXIFS('日経_M1'!F54:F56,'日経_M1'!C54:C56,C23)),'日経_M1'!C54:C56,C23)&gt;=2,MAX(0,_xlfn.MAXIFS('日経_M1'!F54:F56,'日経_M1'!C54:C56,C23)),MAX(0,_xlfn.MAXIFS('日経_M1'!F54:F56,'日経_M1'!C54:C56,C23,'日経_M1'!F54:F56,"&lt;"&amp;MAX(0,_xlfn.MAXIFS('日経_M1'!F54:F56,'日経_M1'!C54:C56,C23))))),'日経_M1'!C54:C56,C23)+COUNTIFS('日経_M1'!F54:F56,"&gt;"&amp;IF(COUNTIFS('日経_M1'!F54:F56,MAX(0,_xlfn.MAXIFS('日経_M1'!F54:F56,'日経_M1'!C54:C56,C23)),'日経_M1'!C54:C56,C23)&gt;=2,MAX(0,_xlfn.MAXIFS('日経_M1'!F54:F56,'日経_M1'!C54:C56,C23)),MAX(0,_xlfn.MAXIFS('日経_M1'!F54:F56,'日経_M1'!C54:C56,C23,'日経_M1'!F54:F56,"&lt;"&amp;MAX(0,_xlfn.MAXIFS('日経_M1'!F54:F56,'日経_M1'!C54:C56,C23))))),'日経_M1'!C54:C56,C23)&gt;=3,IF(COUNTIFS('日経_M1'!F54:F56,MAX(0,_xlfn.MAXIFS('日経_M1'!F54:F56,'日経_M1'!C54:C56,C23)),'日経_M1'!C54:C56,C23)&gt;=2,MAX(0,_xlfn.MAXIFS('日経_M1'!F54:F56,'日経_M1'!C54:C56,C23)),MAX(0,_xlfn.MAXIFS('日経_M1'!F54:F56,'日経_M1'!C54:C56,C23,'日経_M1'!F54:F56,"&lt;"&amp;MAX(0,_xlfn.MAXIFS('日経_M1'!F54:F56,'日経_M1'!C54:C56,C23))))),MAX(0,_xlfn.MAXIFS('日経_M1'!F54:F56,'日経_M1'!C54:C56,C23,'日経_M1'!F54:F56,"&lt;"&amp;IF(COUNTIFS('日経_M1'!F54:F56,MAX(0,_xlfn.MAXIFS('日経_M1'!F54:F56,'日経_M1'!C54:C56,C23)),'日経_M1'!C54:C56,C23)&gt;=2,MAX(0,_xlfn.MAXIFS('日経_M1'!F54:F56,'日経_M1'!C54:C56,C23)),MAX(0,_xlfn.MAXIFS('日経_M1'!F54:F56,'日経_M1'!C54:C56,C23,'日経_M1'!F54:F56,"&lt;"&amp;MAX(0,_xlfn.MAXIFS('日経_M1'!F54:F56,'日経_M1'!C54:C56,C23)))))))))</x:f>
        <x:v>-23074</x:v>
      </x:c>
    </x:row>
    <x:row r="24" ht="36" customHeight="1">
      <x:c r="A24" s="2" t="str">
        <x:v>日経mini</x:v>
      </x:c>
      <x:c r="B24" s="2" t="str">
        <x:v>M1</x:v>
      </x:c>
      <x:c r="C24" s="2" t="str">
        <x:v>ナイト</x:v>
      </x:c>
      <x:c r="D24" s="2" t="str">
        <x:v>診断3場</x:v>
      </x:c>
      <x:c r="E24" s="2" t="str">
        <x:v>G10</x:v>
      </x:c>
      <x:c r="F24" s="23" t="str">
        <x:v>今回の損失削減を重視する昼夜別案</x:v>
      </x:c>
      <x:c r="G24" s="22" t="n">
        <x:f>COUNTIFS('日経_M1'!C54:C56,C24)</x:f>
        <x:v>2</x:v>
      </x:c>
      <x:c r="H24" s="20" t="n">
        <x:f>SUMIFS('日経_M1'!D54:D56,'日経_M1'!C54:C56,C24)</x:f>
        <x:v>106462</x:v>
      </x:c>
      <x:c r="I24" s="20" t="n">
        <x:f>SUMIFS('日経_M1'!E54:E56,'日経_M1'!C54:C56,C24)</x:f>
        <x:v>116922</x:v>
      </x:c>
      <x:c r="J24" s="20" t="n">
        <x:f>H24-I24</x:f>
        <x:v>-10460</x:v>
      </x:c>
      <x:c r="K24" s="22" t="n">
        <x:f>SUMIFS('日経_M1'!J54:J56,'日経_M1'!C54:C56,C24)</x:f>
        <x:v>5</x:v>
      </x:c>
      <x:c r="L24" s="22" t="n">
        <x:f>COUNTIFS('日経_M1'!F54:F56,"&gt;0",'日経_M1'!C54:C56,C24)</x:f>
        <x:v>1</x:v>
      </x:c>
      <x:c r="M24" s="22" t="n">
        <x:f>COUNTIFS('日経_M1'!F54:F56,"&lt;0",'日経_M1'!C54:C56,C24)</x:f>
        <x:v>1</x:v>
      </x:c>
      <x:c r="N24" s="22" t="n">
        <x:f>COUNTIFS('日経_M1'!J54:J56,"=0",'日経_M1'!C54:C56,C24)</x:f>
        <x:v>0</x:v>
      </x:c>
      <x:c r="O24" s="20" t="n">
        <x:f>IF(M24=0,0,-SUMIFS('日経_M1'!F54:F56,'日経_M1'!F54:F56,"&lt;0",'日経_M1'!C54:C56,C24)/M24)</x:f>
        <x:v>61538</x:v>
      </x:c>
      <x:c r="P24" s="20" t="n">
        <x:f>MAX(0,-_xlfn.MINIFS('日経_M1'!F54:F56,'日経_M1'!C54:C56,C24))</x:f>
        <x:v>61538</x:v>
      </x:c>
      <x:c r="Q24" s="20" t="n">
        <x:f>J24-MAX(0,_xlfn.MAXIFS('日経_M1'!F54:F56,'日経_M1'!C54:C56,C24))-IF(COUNTIFS('日経_M1'!F54:F56,MAX(0,_xlfn.MAXIFS('日経_M1'!F54:F56,'日経_M1'!C54:C56,C24)),'日経_M1'!C54:C56,C24)&gt;=2,MAX(0,_xlfn.MAXIFS('日経_M1'!F54:F56,'日経_M1'!C54:C56,C24)),MAX(0,_xlfn.MAXIFS('日経_M1'!F54:F56,'日経_M1'!C54:C56,C24,'日経_M1'!F54:F56,"&lt;"&amp;MAX(0,_xlfn.MAXIFS('日経_M1'!F54:F56,'日経_M1'!C54:C56,C24)))))-IF(COUNTIFS('日経_M1'!F54:F56,MAX(0,_xlfn.MAXIFS('日経_M1'!F54:F56,'日経_M1'!C54:C56,C24)),'日経_M1'!C54:C56,C24)&gt;=3,MAX(0,_xlfn.MAXIFS('日経_M1'!F54:F56,'日経_M1'!C54:C56,C24)),IF(COUNTIFS('日経_M1'!F54:F56,IF(COUNTIFS('日経_M1'!F54:F56,MAX(0,_xlfn.MAXIFS('日経_M1'!F54:F56,'日経_M1'!C54:C56,C24)),'日経_M1'!C54:C56,C24)&gt;=2,MAX(0,_xlfn.MAXIFS('日経_M1'!F54:F56,'日経_M1'!C54:C56,C24)),MAX(0,_xlfn.MAXIFS('日経_M1'!F54:F56,'日経_M1'!C54:C56,C24,'日経_M1'!F54:F56,"&lt;"&amp;MAX(0,_xlfn.MAXIFS('日経_M1'!F54:F56,'日経_M1'!C54:C56,C24))))),'日経_M1'!C54:C56,C24)+COUNTIFS('日経_M1'!F54:F56,"&gt;"&amp;IF(COUNTIFS('日経_M1'!F54:F56,MAX(0,_xlfn.MAXIFS('日経_M1'!F54:F56,'日経_M1'!C54:C56,C24)),'日経_M1'!C54:C56,C24)&gt;=2,MAX(0,_xlfn.MAXIFS('日経_M1'!F54:F56,'日経_M1'!C54:C56,C24)),MAX(0,_xlfn.MAXIFS('日経_M1'!F54:F56,'日経_M1'!C54:C56,C24,'日経_M1'!F54:F56,"&lt;"&amp;MAX(0,_xlfn.MAXIFS('日経_M1'!F54:F56,'日経_M1'!C54:C56,C24))))),'日経_M1'!C54:C56,C24)&gt;=3,IF(COUNTIFS('日経_M1'!F54:F56,MAX(0,_xlfn.MAXIFS('日経_M1'!F54:F56,'日経_M1'!C54:C56,C24)),'日経_M1'!C54:C56,C24)&gt;=2,MAX(0,_xlfn.MAXIFS('日経_M1'!F54:F56,'日経_M1'!C54:C56,C24)),MAX(0,_xlfn.MAXIFS('日経_M1'!F54:F56,'日経_M1'!C54:C56,C24,'日経_M1'!F54:F56,"&lt;"&amp;MAX(0,_xlfn.MAXIFS('日経_M1'!F54:F56,'日経_M1'!C54:C56,C24))))),MAX(0,_xlfn.MAXIFS('日経_M1'!F54:F56,'日経_M1'!C54:C56,C24,'日経_M1'!F54:F56,"&lt;"&amp;IF(COUNTIFS('日経_M1'!F54:F56,MAX(0,_xlfn.MAXIFS('日経_M1'!F54:F56,'日経_M1'!C54:C56,C24)),'日経_M1'!C54:C56,C24)&gt;=2,MAX(0,_xlfn.MAXIFS('日経_M1'!F54:F56,'日経_M1'!C54:C56,C24)),MAX(0,_xlfn.MAXIFS('日経_M1'!F54:F56,'日経_M1'!C54:C56,C24,'日経_M1'!F54:F56,"&lt;"&amp;MAX(0,_xlfn.MAXIFS('日経_M1'!F54:F56,'日経_M1'!C54:C56,C24)))))))))</x:f>
        <x:v>-61538</x:v>
      </x:c>
    </x:row>
    <x:row r="25" ht="36" customHeight="1">
      <x:c r="A25" s="2" t="str">
        <x:v>日経mini</x:v>
      </x:c>
      <x:c r="B25" s="2" t="str">
        <x:v>M2</x:v>
      </x:c>
      <x:c r="C25" s="2" t="str">
        <x:v>デイ</x:v>
      </x:c>
      <x:c r="D25" s="2" t="str">
        <x:v>全50場</x:v>
      </x:c>
      <x:c r="E25" s="2" t="str">
        <x:v>G02</x:v>
      </x:c>
      <x:c r="F25" s="23" t="str">
        <x:v>異なる優先順位の昼夜別案</x:v>
      </x:c>
      <x:c r="G25" s="22" t="n">
        <x:f>COUNTIFS('日経_M2'!C7:C56,C25)</x:f>
        <x:v>25</x:v>
      </x:c>
      <x:c r="H25" s="20" t="n">
        <x:f>SUMIFS('日経_M2'!D7:D56,'日経_M2'!C7:C56,C25)</x:f>
        <x:v>3960990</x:v>
      </x:c>
      <x:c r="I25" s="20" t="n">
        <x:f>SUMIFS('日経_M2'!E7:E56,'日経_M2'!C7:C56,C25)</x:f>
        <x:v>2240208</x:v>
      </x:c>
      <x:c r="J25" s="20" t="n">
        <x:f>H25-I25</x:f>
        <x:v>1720782</x:v>
      </x:c>
      <x:c r="K25" s="22" t="n">
        <x:f>SUMIFS('日経_M2'!J7:J56,'日経_M2'!C7:C56,C25)</x:f>
        <x:v>182</x:v>
      </x:c>
      <x:c r="L25" s="22" t="n">
        <x:f>COUNTIFS('日経_M2'!F7:F56,"&gt;0",'日経_M2'!C7:C56,C25)</x:f>
        <x:v>16</x:v>
      </x:c>
      <x:c r="M25" s="22" t="n">
        <x:f>COUNTIFS('日経_M2'!F7:F56,"&lt;0",'日経_M2'!C7:C56,C25)</x:f>
        <x:v>9</x:v>
      </x:c>
      <x:c r="N25" s="22" t="n">
        <x:f>COUNTIFS('日経_M2'!J7:J56,"=0",'日経_M2'!C7:C56,C25)</x:f>
        <x:v>0</x:v>
      </x:c>
      <x:c r="O25" s="20" t="n">
        <x:f>IF(M25=0,0,-SUMIFS('日経_M2'!F7:F56,'日経_M2'!F7:F56,"&lt;0",'日経_M2'!C7:C56,C25)/M25)</x:f>
        <x:v>61278</x:v>
      </x:c>
      <x:c r="P25" s="20" t="n">
        <x:f>MAX(0,-_xlfn.MINIFS('日経_M2'!F7:F56,'日経_M2'!C7:C56,C25))</x:f>
        <x:v>106152</x:v>
      </x:c>
      <x:c r="Q25" s="20" t="n">
        <x:f>J25-MAX(0,_xlfn.MAXIFS('日経_M2'!F7:F56,'日経_M2'!C7:C56,C25))-IF(COUNTIFS('日経_M2'!F7:F56,MAX(0,_xlfn.MAXIFS('日経_M2'!F7:F56,'日経_M2'!C7:C56,C25)),'日経_M2'!C7:C56,C25)&gt;=2,MAX(0,_xlfn.MAXIFS('日経_M2'!F7:F56,'日経_M2'!C7:C56,C25)),MAX(0,_xlfn.MAXIFS('日経_M2'!F7:F56,'日経_M2'!C7:C56,C25,'日経_M2'!F7:F56,"&lt;"&amp;MAX(0,_xlfn.MAXIFS('日経_M2'!F7:F56,'日経_M2'!C7:C56,C25)))))-IF(COUNTIFS('日経_M2'!F7:F56,MAX(0,_xlfn.MAXIFS('日経_M2'!F7:F56,'日経_M2'!C7:C56,C25)),'日経_M2'!C7:C56,C25)&gt;=3,MAX(0,_xlfn.MAXIFS('日経_M2'!F7:F56,'日経_M2'!C7:C56,C25)),IF(COUNTIFS('日経_M2'!F7:F56,IF(COUNTIFS('日経_M2'!F7:F56,MAX(0,_xlfn.MAXIFS('日経_M2'!F7:F56,'日経_M2'!C7:C56,C25)),'日経_M2'!C7:C56,C25)&gt;=2,MAX(0,_xlfn.MAXIFS('日経_M2'!F7:F56,'日経_M2'!C7:C56,C25)),MAX(0,_xlfn.MAXIFS('日経_M2'!F7:F56,'日経_M2'!C7:C56,C25,'日経_M2'!F7:F56,"&lt;"&amp;MAX(0,_xlfn.MAXIFS('日経_M2'!F7:F56,'日経_M2'!C7:C56,C25))))),'日経_M2'!C7:C56,C25)+COUNTIFS('日経_M2'!F7:F56,"&gt;"&amp;IF(COUNTIFS('日経_M2'!F7:F56,MAX(0,_xlfn.MAXIFS('日経_M2'!F7:F56,'日経_M2'!C7:C56,C25)),'日経_M2'!C7:C56,C25)&gt;=2,MAX(0,_xlfn.MAXIFS('日経_M2'!F7:F56,'日経_M2'!C7:C56,C25)),MAX(0,_xlfn.MAXIFS('日経_M2'!F7:F56,'日経_M2'!C7:C56,C25,'日経_M2'!F7:F56,"&lt;"&amp;MAX(0,_xlfn.MAXIFS('日経_M2'!F7:F56,'日経_M2'!C7:C56,C25))))),'日経_M2'!C7:C56,C25)&gt;=3,IF(COUNTIFS('日経_M2'!F7:F56,MAX(0,_xlfn.MAXIFS('日経_M2'!F7:F56,'日経_M2'!C7:C56,C25)),'日経_M2'!C7:C56,C25)&gt;=2,MAX(0,_xlfn.MAXIFS('日経_M2'!F7:F56,'日経_M2'!C7:C56,C25)),MAX(0,_xlfn.MAXIFS('日経_M2'!F7:F56,'日経_M2'!C7:C56,C25,'日経_M2'!F7:F56,"&lt;"&amp;MAX(0,_xlfn.MAXIFS('日経_M2'!F7:F56,'日経_M2'!C7:C56,C25))))),MAX(0,_xlfn.MAXIFS('日経_M2'!F7:F56,'日経_M2'!C7:C56,C25,'日経_M2'!F7:F56,"&lt;"&amp;IF(COUNTIFS('日経_M2'!F7:F56,MAX(0,_xlfn.MAXIFS('日経_M2'!F7:F56,'日経_M2'!C7:C56,C25)),'日経_M2'!C7:C56,C25)&gt;=2,MAX(0,_xlfn.MAXIFS('日経_M2'!F7:F56,'日経_M2'!C7:C56,C25)),MAX(0,_xlfn.MAXIFS('日経_M2'!F7:F56,'日経_M2'!C7:C56,C25,'日経_M2'!F7:F56,"&lt;"&amp;MAX(0,_xlfn.MAXIFS('日経_M2'!F7:F56,'日経_M2'!C7:C56,C25)))))))))</x:f>
        <x:v>588464</x:v>
      </x:c>
    </x:row>
    <x:row r="26" ht="36" customHeight="1">
      <x:c r="A26" s="2" t="str">
        <x:v>日経mini</x:v>
      </x:c>
      <x:c r="B26" s="2" t="str">
        <x:v>M2</x:v>
      </x:c>
      <x:c r="C26" s="2" t="str">
        <x:v>ナイト</x:v>
      </x:c>
      <x:c r="D26" s="2" t="str">
        <x:v>全50場</x:v>
      </x:c>
      <x:c r="E26" s="2" t="str">
        <x:v>G01</x:v>
      </x:c>
      <x:c r="F26" s="23" t="str">
        <x:v>異なる優先順位の昼夜別案</x:v>
      </x:c>
      <x:c r="G26" s="22" t="n">
        <x:f>COUNTIFS('日経_M2'!C7:C56,C26)</x:f>
        <x:v>25</x:v>
      </x:c>
      <x:c r="H26" s="20" t="n">
        <x:f>SUMIFS('日経_M2'!D7:D56,'日経_M2'!C7:C56,C26)</x:f>
        <x:v>1709254</x:v>
      </x:c>
      <x:c r="I26" s="20" t="n">
        <x:f>SUMIFS('日経_M2'!E7:E56,'日経_M2'!C7:C56,C26)</x:f>
        <x:v>944068</x:v>
      </x:c>
      <x:c r="J26" s="20" t="n">
        <x:f>H26-I26</x:f>
        <x:v>765186</x:v>
      </x:c>
      <x:c r="K26" s="22" t="n">
        <x:f>SUMIFS('日経_M2'!J7:J56,'日経_M2'!C7:C56,C26)</x:f>
        <x:v>64</x:v>
      </x:c>
      <x:c r="L26" s="22" t="n">
        <x:f>COUNTIFS('日経_M2'!F7:F56,"&gt;0",'日経_M2'!C7:C56,C26)</x:f>
        <x:v>17</x:v>
      </x:c>
      <x:c r="M26" s="22" t="n">
        <x:f>COUNTIFS('日経_M2'!F7:F56,"&lt;0",'日経_M2'!C7:C56,C26)</x:f>
        <x:v>8</x:v>
      </x:c>
      <x:c r="N26" s="22" t="n">
        <x:f>COUNTIFS('日経_M2'!J7:J56,"=0",'日経_M2'!C7:C56,C26)</x:f>
        <x:v>0</x:v>
      </x:c>
      <x:c r="O26" s="20" t="n">
        <x:f>IF(M26=0,0,-SUMIFS('日経_M2'!F7:F56,'日経_M2'!F7:F56,"&lt;0",'日経_M2'!C7:C56,C26)/M26)</x:f>
        <x:v>48624</x:v>
      </x:c>
      <x:c r="P26" s="20" t="n">
        <x:f>MAX(0,-_xlfn.MINIFS('日経_M2'!F7:F56,'日経_M2'!C7:C56,C26))</x:f>
        <x:v>80768</x:v>
      </x:c>
      <x:c r="Q26" s="20" t="n">
        <x:f>J26-MAX(0,_xlfn.MAXIFS('日経_M2'!F7:F56,'日経_M2'!C7:C56,C26))-IF(COUNTIFS('日経_M2'!F7:F56,MAX(0,_xlfn.MAXIFS('日経_M2'!F7:F56,'日経_M2'!C7:C56,C26)),'日経_M2'!C7:C56,C26)&gt;=2,MAX(0,_xlfn.MAXIFS('日経_M2'!F7:F56,'日経_M2'!C7:C56,C26)),MAX(0,_xlfn.MAXIFS('日経_M2'!F7:F56,'日経_M2'!C7:C56,C26,'日経_M2'!F7:F56,"&lt;"&amp;MAX(0,_xlfn.MAXIFS('日経_M2'!F7:F56,'日経_M2'!C7:C56,C26)))))-IF(COUNTIFS('日経_M2'!F7:F56,MAX(0,_xlfn.MAXIFS('日経_M2'!F7:F56,'日経_M2'!C7:C56,C26)),'日経_M2'!C7:C56,C26)&gt;=3,MAX(0,_xlfn.MAXIFS('日経_M2'!F7:F56,'日経_M2'!C7:C56,C26)),IF(COUNTIFS('日経_M2'!F7:F56,IF(COUNTIFS('日経_M2'!F7:F56,MAX(0,_xlfn.MAXIFS('日経_M2'!F7:F56,'日経_M2'!C7:C56,C26)),'日経_M2'!C7:C56,C26)&gt;=2,MAX(0,_xlfn.MAXIFS('日経_M2'!F7:F56,'日経_M2'!C7:C56,C26)),MAX(0,_xlfn.MAXIFS('日経_M2'!F7:F56,'日経_M2'!C7:C56,C26,'日経_M2'!F7:F56,"&lt;"&amp;MAX(0,_xlfn.MAXIFS('日経_M2'!F7:F56,'日経_M2'!C7:C56,C26))))),'日経_M2'!C7:C56,C26)+COUNTIFS('日経_M2'!F7:F56,"&gt;"&amp;IF(COUNTIFS('日経_M2'!F7:F56,MAX(0,_xlfn.MAXIFS('日経_M2'!F7:F56,'日経_M2'!C7:C56,C26)),'日経_M2'!C7:C56,C26)&gt;=2,MAX(0,_xlfn.MAXIFS('日経_M2'!F7:F56,'日経_M2'!C7:C56,C26)),MAX(0,_xlfn.MAXIFS('日経_M2'!F7:F56,'日経_M2'!C7:C56,C26,'日経_M2'!F7:F56,"&lt;"&amp;MAX(0,_xlfn.MAXIFS('日経_M2'!F7:F56,'日経_M2'!C7:C56,C26))))),'日経_M2'!C7:C56,C26)&gt;=3,IF(COUNTIFS('日経_M2'!F7:F56,MAX(0,_xlfn.MAXIFS('日経_M2'!F7:F56,'日経_M2'!C7:C56,C26)),'日経_M2'!C7:C56,C26)&gt;=2,MAX(0,_xlfn.MAXIFS('日経_M2'!F7:F56,'日経_M2'!C7:C56,C26)),MAX(0,_xlfn.MAXIFS('日経_M2'!F7:F56,'日経_M2'!C7:C56,C26,'日経_M2'!F7:F56,"&lt;"&amp;MAX(0,_xlfn.MAXIFS('日経_M2'!F7:F56,'日経_M2'!C7:C56,C26))))),MAX(0,_xlfn.MAXIFS('日経_M2'!F7:F56,'日経_M2'!C7:C56,C26,'日経_M2'!F7:F56,"&lt;"&amp;IF(COUNTIFS('日経_M2'!F7:F56,MAX(0,_xlfn.MAXIFS('日経_M2'!F7:F56,'日経_M2'!C7:C56,C26)),'日経_M2'!C7:C56,C26)&gt;=2,MAX(0,_xlfn.MAXIFS('日経_M2'!F7:F56,'日経_M2'!C7:C56,C26)),MAX(0,_xlfn.MAXIFS('日経_M2'!F7:F56,'日経_M2'!C7:C56,C26,'日経_M2'!F7:F56,"&lt;"&amp;MAX(0,_xlfn.MAXIFS('日経_M2'!F7:F56,'日経_M2'!C7:C56,C26)))))))))</x:f>
        <x:v>182872</x:v>
      </x:c>
    </x:row>
    <x:row r="27" ht="36" customHeight="1">
      <x:c r="A27" s="2" t="str">
        <x:v>日経mini</x:v>
      </x:c>
      <x:c r="B27" s="2" t="str">
        <x:v>M2</x:v>
      </x:c>
      <x:c r="C27" s="2" t="str">
        <x:v>デイ</x:v>
      </x:c>
      <x:c r="D27" s="2" t="str">
        <x:v>対照47場</x:v>
      </x:c>
      <x:c r="E27" s="2" t="str">
        <x:v>G02</x:v>
      </x:c>
      <x:c r="F27" s="23" t="str">
        <x:v>異なる優先順位の昼夜別案</x:v>
      </x:c>
      <x:c r="G27" s="22" t="n">
        <x:f>COUNTIFS('日経_M2'!C7:C53,C27)</x:f>
        <x:v>24</x:v>
      </x:c>
      <x:c r="H27" s="20" t="n">
        <x:f>SUMIFS('日経_M2'!D7:D53,'日経_M2'!C7:C53,C27)</x:f>
        <x:v>3884372</x:v>
      </x:c>
      <x:c r="I27" s="20" t="n">
        <x:f>SUMIFS('日経_M2'!E7:E53,'日経_M2'!C7:C53,C27)</x:f>
        <x:v>2140516</x:v>
      </x:c>
      <x:c r="J27" s="20" t="n">
        <x:f>H27-I27</x:f>
        <x:v>1743856</x:v>
      </x:c>
      <x:c r="K27" s="22" t="n">
        <x:f>SUMIFS('日経_M2'!J7:J53,'日経_M2'!C7:C53,C27)</x:f>
        <x:v>175</x:v>
      </x:c>
      <x:c r="L27" s="22" t="n">
        <x:f>COUNTIFS('日経_M2'!F7:F53,"&gt;0",'日経_M2'!C7:C53,C27)</x:f>
        <x:v>16</x:v>
      </x:c>
      <x:c r="M27" s="22" t="n">
        <x:f>COUNTIFS('日経_M2'!F7:F53,"&lt;0",'日経_M2'!C7:C53,C27)</x:f>
        <x:v>8</x:v>
      </x:c>
      <x:c r="N27" s="22" t="n">
        <x:f>COUNTIFS('日経_M2'!J7:J53,"=0",'日経_M2'!C7:C53,C27)</x:f>
        <x:v>0</x:v>
      </x:c>
      <x:c r="O27" s="20" t="n">
        <x:f>IF(M27=0,0,-SUMIFS('日経_M2'!F7:F53,'日経_M2'!F7:F53,"&lt;0",'日経_M2'!C7:C53,C27)/M27)</x:f>
        <x:v>66053.5</x:v>
      </x:c>
      <x:c r="P27" s="20" t="n">
        <x:f>MAX(0,-_xlfn.MINIFS('日経_M2'!F7:F53,'日経_M2'!C7:C53,C27))</x:f>
        <x:v>106152</x:v>
      </x:c>
      <x:c r="Q27" s="20" t="n">
        <x:f>J27-MAX(0,_xlfn.MAXIFS('日経_M2'!F7:F53,'日経_M2'!C7:C53,C27))-IF(COUNTIFS('日経_M2'!F7:F53,MAX(0,_xlfn.MAXIFS('日経_M2'!F7:F53,'日経_M2'!C7:C53,C27)),'日経_M2'!C7:C53,C27)&gt;=2,MAX(0,_xlfn.MAXIFS('日経_M2'!F7:F53,'日経_M2'!C7:C53,C27)),MAX(0,_xlfn.MAXIFS('日経_M2'!F7:F53,'日経_M2'!C7:C53,C27,'日経_M2'!F7:F53,"&lt;"&amp;MAX(0,_xlfn.MAXIFS('日経_M2'!F7:F53,'日経_M2'!C7:C53,C27)))))-IF(COUNTIFS('日経_M2'!F7:F53,MAX(0,_xlfn.MAXIFS('日経_M2'!F7:F53,'日経_M2'!C7:C53,C27)),'日経_M2'!C7:C53,C27)&gt;=3,MAX(0,_xlfn.MAXIFS('日経_M2'!F7:F53,'日経_M2'!C7:C53,C27)),IF(COUNTIFS('日経_M2'!F7:F53,IF(COUNTIFS('日経_M2'!F7:F53,MAX(0,_xlfn.MAXIFS('日経_M2'!F7:F53,'日経_M2'!C7:C53,C27)),'日経_M2'!C7:C53,C27)&gt;=2,MAX(0,_xlfn.MAXIFS('日経_M2'!F7:F53,'日経_M2'!C7:C53,C27)),MAX(0,_xlfn.MAXIFS('日経_M2'!F7:F53,'日経_M2'!C7:C53,C27,'日経_M2'!F7:F53,"&lt;"&amp;MAX(0,_xlfn.MAXIFS('日経_M2'!F7:F53,'日経_M2'!C7:C53,C27))))),'日経_M2'!C7:C53,C27)+COUNTIFS('日経_M2'!F7:F53,"&gt;"&amp;IF(COUNTIFS('日経_M2'!F7:F53,MAX(0,_xlfn.MAXIFS('日経_M2'!F7:F53,'日経_M2'!C7:C53,C27)),'日経_M2'!C7:C53,C27)&gt;=2,MAX(0,_xlfn.MAXIFS('日経_M2'!F7:F53,'日経_M2'!C7:C53,C27)),MAX(0,_xlfn.MAXIFS('日経_M2'!F7:F53,'日経_M2'!C7:C53,C27,'日経_M2'!F7:F53,"&lt;"&amp;MAX(0,_xlfn.MAXIFS('日経_M2'!F7:F53,'日経_M2'!C7:C53,C27))))),'日経_M2'!C7:C53,C27)&gt;=3,IF(COUNTIFS('日経_M2'!F7:F53,MAX(0,_xlfn.MAXIFS('日経_M2'!F7:F53,'日経_M2'!C7:C53,C27)),'日経_M2'!C7:C53,C27)&gt;=2,MAX(0,_xlfn.MAXIFS('日経_M2'!F7:F53,'日経_M2'!C7:C53,C27)),MAX(0,_xlfn.MAXIFS('日経_M2'!F7:F53,'日経_M2'!C7:C53,C27,'日経_M2'!F7:F53,"&lt;"&amp;MAX(0,_xlfn.MAXIFS('日経_M2'!F7:F53,'日経_M2'!C7:C53,C27))))),MAX(0,_xlfn.MAXIFS('日経_M2'!F7:F53,'日経_M2'!C7:C53,C27,'日経_M2'!F7:F53,"&lt;"&amp;IF(COUNTIFS('日経_M2'!F7:F53,MAX(0,_xlfn.MAXIFS('日経_M2'!F7:F53,'日経_M2'!C7:C53,C27)),'日経_M2'!C7:C53,C27)&gt;=2,MAX(0,_xlfn.MAXIFS('日経_M2'!F7:F53,'日経_M2'!C7:C53,C27)),MAX(0,_xlfn.MAXIFS('日経_M2'!F7:F53,'日経_M2'!C7:C53,C27,'日経_M2'!F7:F53,"&lt;"&amp;MAX(0,_xlfn.MAXIFS('日経_M2'!F7:F53,'日経_M2'!C7:C53,C27)))))))))</x:f>
        <x:v>611538</x:v>
      </x:c>
    </x:row>
    <x:row r="28" ht="36" customHeight="1">
      <x:c r="A28" s="2" t="str">
        <x:v>日経mini</x:v>
      </x:c>
      <x:c r="B28" s="2" t="str">
        <x:v>M2</x:v>
      </x:c>
      <x:c r="C28" s="2" t="str">
        <x:v>ナイト</x:v>
      </x:c>
      <x:c r="D28" s="2" t="str">
        <x:v>対照47場</x:v>
      </x:c>
      <x:c r="E28" s="2" t="str">
        <x:v>G01</x:v>
      </x:c>
      <x:c r="F28" s="23" t="str">
        <x:v>異なる優先順位の昼夜別案</x:v>
      </x:c>
      <x:c r="G28" s="22" t="n">
        <x:f>COUNTIFS('日経_M2'!C7:C53,C28)</x:f>
        <x:v>23</x:v>
      </x:c>
      <x:c r="H28" s="20" t="n">
        <x:f>SUMIFS('日経_M2'!D7:D53,'日経_M2'!C7:C53,C28)</x:f>
        <x:v>1604638</x:v>
      </x:c>
      <x:c r="I28" s="20" t="n">
        <x:f>SUMIFS('日経_M2'!E7:E53,'日経_M2'!C7:C53,C28)</x:f>
        <x:v>811146</x:v>
      </x:c>
      <x:c r="J28" s="20" t="n">
        <x:f>H28-I28</x:f>
        <x:v>793492</x:v>
      </x:c>
      <x:c r="K28" s="22" t="n">
        <x:f>SUMIFS('日経_M2'!J7:J53,'日経_M2'!C7:C53,C28)</x:f>
        <x:v>60</x:v>
      </x:c>
      <x:c r="L28" s="22" t="n">
        <x:f>COUNTIFS('日経_M2'!F7:F53,"&gt;0",'日経_M2'!C7:C53,C28)</x:f>
        <x:v>16</x:v>
      </x:c>
      <x:c r="M28" s="22" t="n">
        <x:f>COUNTIFS('日経_M2'!F7:F53,"&lt;0",'日経_M2'!C7:C53,C28)</x:f>
        <x:v>7</x:v>
      </x:c>
      <x:c r="N28" s="22" t="n">
        <x:f>COUNTIFS('日経_M2'!J7:J53,"=0",'日経_M2'!C7:C53,C28)</x:f>
        <x:v>0</x:v>
      </x:c>
      <x:c r="O28" s="20" t="n">
        <x:f>IF(M28=0,0,-SUMIFS('日経_M2'!F7:F53,'日経_M2'!F7:F53,"&lt;0",'日経_M2'!C7:C53,C28)/M28)</x:f>
        <x:v>47658.28571428572</x:v>
      </x:c>
      <x:c r="P28" s="20" t="n">
        <x:f>MAX(0,-_xlfn.MINIFS('日経_M2'!F7:F53,'日経_M2'!C7:C53,C28))</x:f>
        <x:v>80768</x:v>
      </x:c>
      <x:c r="Q28" s="20" t="n">
        <x:f>J28-MAX(0,_xlfn.MAXIFS('日経_M2'!F7:F53,'日経_M2'!C7:C53,C28))-IF(COUNTIFS('日経_M2'!F7:F53,MAX(0,_xlfn.MAXIFS('日経_M2'!F7:F53,'日経_M2'!C7:C53,C28)),'日経_M2'!C7:C53,C28)&gt;=2,MAX(0,_xlfn.MAXIFS('日経_M2'!F7:F53,'日経_M2'!C7:C53,C28)),MAX(0,_xlfn.MAXIFS('日経_M2'!F7:F53,'日経_M2'!C7:C53,C28,'日経_M2'!F7:F53,"&lt;"&amp;MAX(0,_xlfn.MAXIFS('日経_M2'!F7:F53,'日経_M2'!C7:C53,C28)))))-IF(COUNTIFS('日経_M2'!F7:F53,MAX(0,_xlfn.MAXIFS('日経_M2'!F7:F53,'日経_M2'!C7:C53,C28)),'日経_M2'!C7:C53,C28)&gt;=3,MAX(0,_xlfn.MAXIFS('日経_M2'!F7:F53,'日経_M2'!C7:C53,C28)),IF(COUNTIFS('日経_M2'!F7:F53,IF(COUNTIFS('日経_M2'!F7:F53,MAX(0,_xlfn.MAXIFS('日経_M2'!F7:F53,'日経_M2'!C7:C53,C28)),'日経_M2'!C7:C53,C28)&gt;=2,MAX(0,_xlfn.MAXIFS('日経_M2'!F7:F53,'日経_M2'!C7:C53,C28)),MAX(0,_xlfn.MAXIFS('日経_M2'!F7:F53,'日経_M2'!C7:C53,C28,'日経_M2'!F7:F53,"&lt;"&amp;MAX(0,_xlfn.MAXIFS('日経_M2'!F7:F53,'日経_M2'!C7:C53,C28))))),'日経_M2'!C7:C53,C28)+COUNTIFS('日経_M2'!F7:F53,"&gt;"&amp;IF(COUNTIFS('日経_M2'!F7:F53,MAX(0,_xlfn.MAXIFS('日経_M2'!F7:F53,'日経_M2'!C7:C53,C28)),'日経_M2'!C7:C53,C28)&gt;=2,MAX(0,_xlfn.MAXIFS('日経_M2'!F7:F53,'日経_M2'!C7:C53,C28)),MAX(0,_xlfn.MAXIFS('日経_M2'!F7:F53,'日経_M2'!C7:C53,C28,'日経_M2'!F7:F53,"&lt;"&amp;MAX(0,_xlfn.MAXIFS('日経_M2'!F7:F53,'日経_M2'!C7:C53,C28))))),'日経_M2'!C7:C53,C28)&gt;=3,IF(COUNTIFS('日経_M2'!F7:F53,MAX(0,_xlfn.MAXIFS('日経_M2'!F7:F53,'日経_M2'!C7:C53,C28)),'日経_M2'!C7:C53,C28)&gt;=2,MAX(0,_xlfn.MAXIFS('日経_M2'!F7:F53,'日経_M2'!C7:C53,C28)),MAX(0,_xlfn.MAXIFS('日経_M2'!F7:F53,'日経_M2'!C7:C53,C28,'日経_M2'!F7:F53,"&lt;"&amp;MAX(0,_xlfn.MAXIFS('日経_M2'!F7:F53,'日経_M2'!C7:C53,C28))))),MAX(0,_xlfn.MAXIFS('日経_M2'!F7:F53,'日経_M2'!C7:C53,C28,'日経_M2'!F7:F53,"&lt;"&amp;IF(COUNTIFS('日経_M2'!F7:F53,MAX(0,_xlfn.MAXIFS('日経_M2'!F7:F53,'日経_M2'!C7:C53,C28)),'日経_M2'!C7:C53,C28)&gt;=2,MAX(0,_xlfn.MAXIFS('日経_M2'!F7:F53,'日経_M2'!C7:C53,C28)),MAX(0,_xlfn.MAXIFS('日経_M2'!F7:F53,'日経_M2'!C7:C53,C28,'日経_M2'!F7:F53,"&lt;"&amp;MAX(0,_xlfn.MAXIFS('日経_M2'!F7:F53,'日経_M2'!C7:C53,C28)))))))))</x:f>
        <x:v>211178</x:v>
      </x:c>
    </x:row>
    <x:row r="29" ht="36" customHeight="1">
      <x:c r="A29" s="2" t="str">
        <x:v>日経mini</x:v>
      </x:c>
      <x:c r="B29" s="2" t="str">
        <x:v>M2</x:v>
      </x:c>
      <x:c r="C29" s="2" t="str">
        <x:v>デイ</x:v>
      </x:c>
      <x:c r="D29" s="2" t="str">
        <x:v>診断3場</x:v>
      </x:c>
      <x:c r="E29" s="2" t="str">
        <x:v>G02</x:v>
      </x:c>
      <x:c r="F29" s="23" t="str">
        <x:v>異なる優先順位の昼夜別案</x:v>
      </x:c>
      <x:c r="G29" s="22" t="n">
        <x:f>COUNTIFS('日経_M2'!C54:C56,C29)</x:f>
        <x:v>1</x:v>
      </x:c>
      <x:c r="H29" s="20" t="n">
        <x:f>SUMIFS('日経_M2'!D54:D56,'日経_M2'!C54:C56,C29)</x:f>
        <x:v>76618</x:v>
      </x:c>
      <x:c r="I29" s="20" t="n">
        <x:f>SUMIFS('日経_M2'!E54:E56,'日経_M2'!C54:C56,C29)</x:f>
        <x:v>99692</x:v>
      </x:c>
      <x:c r="J29" s="20" t="n">
        <x:f>H29-I29</x:f>
        <x:v>-23074</x:v>
      </x:c>
      <x:c r="K29" s="22" t="n">
        <x:f>SUMIFS('日経_M2'!J54:J56,'日経_M2'!C54:C56,C29)</x:f>
        <x:v>7</x:v>
      </x:c>
      <x:c r="L29" s="22" t="n">
        <x:f>COUNTIFS('日経_M2'!F54:F56,"&gt;0",'日経_M2'!C54:C56,C29)</x:f>
        <x:v>0</x:v>
      </x:c>
      <x:c r="M29" s="22" t="n">
        <x:f>COUNTIFS('日経_M2'!F54:F56,"&lt;0",'日経_M2'!C54:C56,C29)</x:f>
        <x:v>1</x:v>
      </x:c>
      <x:c r="N29" s="22" t="n">
        <x:f>COUNTIFS('日経_M2'!J54:J56,"=0",'日経_M2'!C54:C56,C29)</x:f>
        <x:v>0</x:v>
      </x:c>
      <x:c r="O29" s="20" t="n">
        <x:f>IF(M29=0,0,-SUMIFS('日経_M2'!F54:F56,'日経_M2'!F54:F56,"&lt;0",'日経_M2'!C54:C56,C29)/M29)</x:f>
        <x:v>23074</x:v>
      </x:c>
      <x:c r="P29" s="20" t="n">
        <x:f>MAX(0,-_xlfn.MINIFS('日経_M2'!F54:F56,'日経_M2'!C54:C56,C29))</x:f>
        <x:v>23074</x:v>
      </x:c>
      <x:c r="Q29" s="20" t="n">
        <x:f>J29-MAX(0,_xlfn.MAXIFS('日経_M2'!F54:F56,'日経_M2'!C54:C56,C29))-IF(COUNTIFS('日経_M2'!F54:F56,MAX(0,_xlfn.MAXIFS('日経_M2'!F54:F56,'日経_M2'!C54:C56,C29)),'日経_M2'!C54:C56,C29)&gt;=2,MAX(0,_xlfn.MAXIFS('日経_M2'!F54:F56,'日経_M2'!C54:C56,C29)),MAX(0,_xlfn.MAXIFS('日経_M2'!F54:F56,'日経_M2'!C54:C56,C29,'日経_M2'!F54:F56,"&lt;"&amp;MAX(0,_xlfn.MAXIFS('日経_M2'!F54:F56,'日経_M2'!C54:C56,C29)))))-IF(COUNTIFS('日経_M2'!F54:F56,MAX(0,_xlfn.MAXIFS('日経_M2'!F54:F56,'日経_M2'!C54:C56,C29)),'日経_M2'!C54:C56,C29)&gt;=3,MAX(0,_xlfn.MAXIFS('日経_M2'!F54:F56,'日経_M2'!C54:C56,C29)),IF(COUNTIFS('日経_M2'!F54:F56,IF(COUNTIFS('日経_M2'!F54:F56,MAX(0,_xlfn.MAXIFS('日経_M2'!F54:F56,'日経_M2'!C54:C56,C29)),'日経_M2'!C54:C56,C29)&gt;=2,MAX(0,_xlfn.MAXIFS('日経_M2'!F54:F56,'日経_M2'!C54:C56,C29)),MAX(0,_xlfn.MAXIFS('日経_M2'!F54:F56,'日経_M2'!C54:C56,C29,'日経_M2'!F54:F56,"&lt;"&amp;MAX(0,_xlfn.MAXIFS('日経_M2'!F54:F56,'日経_M2'!C54:C56,C29))))),'日経_M2'!C54:C56,C29)+COUNTIFS('日経_M2'!F54:F56,"&gt;"&amp;IF(COUNTIFS('日経_M2'!F54:F56,MAX(0,_xlfn.MAXIFS('日経_M2'!F54:F56,'日経_M2'!C54:C56,C29)),'日経_M2'!C54:C56,C29)&gt;=2,MAX(0,_xlfn.MAXIFS('日経_M2'!F54:F56,'日経_M2'!C54:C56,C29)),MAX(0,_xlfn.MAXIFS('日経_M2'!F54:F56,'日経_M2'!C54:C56,C29,'日経_M2'!F54:F56,"&lt;"&amp;MAX(0,_xlfn.MAXIFS('日経_M2'!F54:F56,'日経_M2'!C54:C56,C29))))),'日経_M2'!C54:C56,C29)&gt;=3,IF(COUNTIFS('日経_M2'!F54:F56,MAX(0,_xlfn.MAXIFS('日経_M2'!F54:F56,'日経_M2'!C54:C56,C29)),'日経_M2'!C54:C56,C29)&gt;=2,MAX(0,_xlfn.MAXIFS('日経_M2'!F54:F56,'日経_M2'!C54:C56,C29)),MAX(0,_xlfn.MAXIFS('日経_M2'!F54:F56,'日経_M2'!C54:C56,C29,'日経_M2'!F54:F56,"&lt;"&amp;MAX(0,_xlfn.MAXIFS('日経_M2'!F54:F56,'日経_M2'!C54:C56,C29))))),MAX(0,_xlfn.MAXIFS('日経_M2'!F54:F56,'日経_M2'!C54:C56,C29,'日経_M2'!F54:F56,"&lt;"&amp;IF(COUNTIFS('日経_M2'!F54:F56,MAX(0,_xlfn.MAXIFS('日経_M2'!F54:F56,'日経_M2'!C54:C56,C29)),'日経_M2'!C54:C56,C29)&gt;=2,MAX(0,_xlfn.MAXIFS('日経_M2'!F54:F56,'日経_M2'!C54:C56,C29)),MAX(0,_xlfn.MAXIFS('日経_M2'!F54:F56,'日経_M2'!C54:C56,C29,'日経_M2'!F54:F56,"&lt;"&amp;MAX(0,_xlfn.MAXIFS('日経_M2'!F54:F56,'日経_M2'!C54:C56,C29)))))))))</x:f>
        <x:v>-23074</x:v>
      </x:c>
    </x:row>
    <x:row r="30" ht="36" customHeight="1">
      <x:c r="A30" s="2" t="str">
        <x:v>日経mini</x:v>
      </x:c>
      <x:c r="B30" s="2" t="str">
        <x:v>M2</x:v>
      </x:c>
      <x:c r="C30" s="2" t="str">
        <x:v>ナイト</x:v>
      </x:c>
      <x:c r="D30" s="2" t="str">
        <x:v>診断3場</x:v>
      </x:c>
      <x:c r="E30" s="2" t="str">
        <x:v>G01</x:v>
      </x:c>
      <x:c r="F30" s="23" t="str">
        <x:v>異なる優先順位の昼夜別案</x:v>
      </x:c>
      <x:c r="G30" s="22" t="n">
        <x:f>COUNTIFS('日経_M2'!C54:C56,C30)</x:f>
        <x:v>2</x:v>
      </x:c>
      <x:c r="H30" s="20" t="n">
        <x:f>SUMIFS('日経_M2'!D54:D56,'日経_M2'!C54:C56,C30)</x:f>
        <x:v>104616</x:v>
      </x:c>
      <x:c r="I30" s="20" t="n">
        <x:f>SUMIFS('日経_M2'!E54:E56,'日経_M2'!C54:C56,C30)</x:f>
        <x:v>132922</x:v>
      </x:c>
      <x:c r="J30" s="20" t="n">
        <x:f>H30-I30</x:f>
        <x:v>-28306</x:v>
      </x:c>
      <x:c r="K30" s="22" t="n">
        <x:f>SUMIFS('日経_M2'!J54:J56,'日経_M2'!C54:C56,C30)</x:f>
        <x:v>4</x:v>
      </x:c>
      <x:c r="L30" s="22" t="n">
        <x:f>COUNTIFS('日経_M2'!F54:F56,"&gt;0",'日経_M2'!C54:C56,C30)</x:f>
        <x:v>1</x:v>
      </x:c>
      <x:c r="M30" s="22" t="n">
        <x:f>COUNTIFS('日経_M2'!F54:F56,"&lt;0",'日経_M2'!C54:C56,C30)</x:f>
        <x:v>1</x:v>
      </x:c>
      <x:c r="N30" s="22" t="n">
        <x:f>COUNTIFS('日経_M2'!J54:J56,"=0",'日経_M2'!C54:C56,C30)</x:f>
        <x:v>0</x:v>
      </x:c>
      <x:c r="O30" s="20" t="n">
        <x:f>IF(M30=0,0,-SUMIFS('日経_M2'!F54:F56,'日経_M2'!F54:F56,"&lt;0",'日経_M2'!C54:C56,C30)/M30)</x:f>
        <x:v>55384</x:v>
      </x:c>
      <x:c r="P30" s="20" t="n">
        <x:f>MAX(0,-_xlfn.MINIFS('日経_M2'!F54:F56,'日経_M2'!C54:C56,C30))</x:f>
        <x:v>55384</x:v>
      </x:c>
      <x:c r="Q30" s="20" t="n">
        <x:f>J30-MAX(0,_xlfn.MAXIFS('日経_M2'!F54:F56,'日経_M2'!C54:C56,C30))-IF(COUNTIFS('日経_M2'!F54:F56,MAX(0,_xlfn.MAXIFS('日経_M2'!F54:F56,'日経_M2'!C54:C56,C30)),'日経_M2'!C54:C56,C30)&gt;=2,MAX(0,_xlfn.MAXIFS('日経_M2'!F54:F56,'日経_M2'!C54:C56,C30)),MAX(0,_xlfn.MAXIFS('日経_M2'!F54:F56,'日経_M2'!C54:C56,C30,'日経_M2'!F54:F56,"&lt;"&amp;MAX(0,_xlfn.MAXIFS('日経_M2'!F54:F56,'日経_M2'!C54:C56,C30)))))-IF(COUNTIFS('日経_M2'!F54:F56,MAX(0,_xlfn.MAXIFS('日経_M2'!F54:F56,'日経_M2'!C54:C56,C30)),'日経_M2'!C54:C56,C30)&gt;=3,MAX(0,_xlfn.MAXIFS('日経_M2'!F54:F56,'日経_M2'!C54:C56,C30)),IF(COUNTIFS('日経_M2'!F54:F56,IF(COUNTIFS('日経_M2'!F54:F56,MAX(0,_xlfn.MAXIFS('日経_M2'!F54:F56,'日経_M2'!C54:C56,C30)),'日経_M2'!C54:C56,C30)&gt;=2,MAX(0,_xlfn.MAXIFS('日経_M2'!F54:F56,'日経_M2'!C54:C56,C30)),MAX(0,_xlfn.MAXIFS('日経_M2'!F54:F56,'日経_M2'!C54:C56,C30,'日経_M2'!F54:F56,"&lt;"&amp;MAX(0,_xlfn.MAXIFS('日経_M2'!F54:F56,'日経_M2'!C54:C56,C30))))),'日経_M2'!C54:C56,C30)+COUNTIFS('日経_M2'!F54:F56,"&gt;"&amp;IF(COUNTIFS('日経_M2'!F54:F56,MAX(0,_xlfn.MAXIFS('日経_M2'!F54:F56,'日経_M2'!C54:C56,C30)),'日経_M2'!C54:C56,C30)&gt;=2,MAX(0,_xlfn.MAXIFS('日経_M2'!F54:F56,'日経_M2'!C54:C56,C30)),MAX(0,_xlfn.MAXIFS('日経_M2'!F54:F56,'日経_M2'!C54:C56,C30,'日経_M2'!F54:F56,"&lt;"&amp;MAX(0,_xlfn.MAXIFS('日経_M2'!F54:F56,'日経_M2'!C54:C56,C30))))),'日経_M2'!C54:C56,C30)&gt;=3,IF(COUNTIFS('日経_M2'!F54:F56,MAX(0,_xlfn.MAXIFS('日経_M2'!F54:F56,'日経_M2'!C54:C56,C30)),'日経_M2'!C54:C56,C30)&gt;=2,MAX(0,_xlfn.MAXIFS('日経_M2'!F54:F56,'日経_M2'!C54:C56,C30)),MAX(0,_xlfn.MAXIFS('日経_M2'!F54:F56,'日経_M2'!C54:C56,C30,'日経_M2'!F54:F56,"&lt;"&amp;MAX(0,_xlfn.MAXIFS('日経_M2'!F54:F56,'日経_M2'!C54:C56,C30))))),MAX(0,_xlfn.MAXIFS('日経_M2'!F54:F56,'日経_M2'!C54:C56,C30,'日経_M2'!F54:F56,"&lt;"&amp;IF(COUNTIFS('日経_M2'!F54:F56,MAX(0,_xlfn.MAXIFS('日経_M2'!F54:F56,'日経_M2'!C54:C56,C30)),'日経_M2'!C54:C56,C30)&gt;=2,MAX(0,_xlfn.MAXIFS('日経_M2'!F54:F56,'日経_M2'!C54:C56,C30)),MAX(0,_xlfn.MAXIFS('日経_M2'!F54:F56,'日経_M2'!C54:C56,C30,'日経_M2'!F54:F56,"&lt;"&amp;MAX(0,_xlfn.MAXIFS('日経_M2'!F54:F56,'日経_M2'!C54:C56,C30)))))))))</x:f>
        <x:v>-55384</x:v>
      </x:c>
    </x:row>
    <x:row r="31" ht="36" customHeight="1">
      <x:c r="A31" s="2" t="str">
        <x:v>TOPIXmini</x:v>
      </x:c>
      <x:c r="B31" s="2" t="str">
        <x:v>B5</x:v>
      </x:c>
      <x:c r="C31" s="2" t="str">
        <x:v>デイ</x:v>
      </x:c>
      <x:c r="D31" s="2" t="str">
        <x:v>全50場</x:v>
      </x:c>
      <x:c r="E31" s="2" t="str">
        <x:v>B5（T06）</x:v>
      </x:c>
      <x:c r="F31" s="23" t="str">
        <x:v>従来基準</x:v>
      </x:c>
      <x:c r="G31" s="22" t="n">
        <x:f>COUNTIFS('TOPIX_B5'!C7:C56,C31)</x:f>
        <x:v>25</x:v>
      </x:c>
      <x:c r="H31" s="20" t="n">
        <x:f>SUMIFS('TOPIX_B5'!D7:D56,'TOPIX_B5'!C7:C56,C31)</x:f>
        <x:v>1283248</x:v>
      </x:c>
      <x:c r="I31" s="20" t="n">
        <x:f>SUMIFS('TOPIX_B5'!E7:E56,'TOPIX_B5'!C7:C56,C31)</x:f>
        <x:v>888711</x:v>
      </x:c>
      <x:c r="J31" s="20" t="n">
        <x:f>H31-I31</x:f>
        <x:v>394537</x:v>
      </x:c>
      <x:c r="K31" s="22" t="n">
        <x:f>SUMIFS('TOPIX_B5'!J7:J56,'TOPIX_B5'!C7:C56,C31)</x:f>
        <x:v>55</x:v>
      </x:c>
      <x:c r="L31" s="22" t="n">
        <x:f>COUNTIFS('TOPIX_B5'!F7:F56,"&gt;0",'TOPIX_B5'!C7:C56,C31)</x:f>
        <x:v>16</x:v>
      </x:c>
      <x:c r="M31" s="22" t="n">
        <x:f>COUNTIFS('TOPIX_B5'!F7:F56,"&lt;0",'TOPIX_B5'!C7:C56,C31)</x:f>
        <x:v>9</x:v>
      </x:c>
      <x:c r="N31" s="22" t="n">
        <x:f>COUNTIFS('TOPIX_B5'!J7:J56,"=0",'TOPIX_B5'!C7:C56,C31)</x:f>
        <x:v>0</x:v>
      </x:c>
      <x:c r="O31" s="20" t="n">
        <x:f>IF(M31=0,0,-SUMIFS('TOPIX_B5'!F7:F56,'TOPIX_B5'!F7:F56,"&lt;0",'TOPIX_B5'!C7:C56,C31)/M31)</x:f>
        <x:v>48040.333333333336</x:v>
      </x:c>
      <x:c r="P31" s="20" t="n">
        <x:f>MAX(0,-_xlfn.MINIFS('TOPIX_B5'!F7:F56,'TOPIX_B5'!C7:C56,C31))</x:f>
        <x:v>131254</x:v>
      </x:c>
      <x:c r="Q31" s="20" t="n">
        <x:f>J31-MAX(0,_xlfn.MAXIFS('TOPIX_B5'!F7:F56,'TOPIX_B5'!C7:C56,C31))-IF(COUNTIFS('TOPIX_B5'!F7:F56,MAX(0,_xlfn.MAXIFS('TOPIX_B5'!F7:F56,'TOPIX_B5'!C7:C56,C31)),'TOPIX_B5'!C7:C56,C31)&gt;=2,MAX(0,_xlfn.MAXIFS('TOPIX_B5'!F7:F56,'TOPIX_B5'!C7:C56,C31)),MAX(0,_xlfn.MAXIFS('TOPIX_B5'!F7:F56,'TOPIX_B5'!C7:C56,C31,'TOPIX_B5'!F7:F56,"&lt;"&amp;MAX(0,_xlfn.MAXIFS('TOPIX_B5'!F7:F56,'TOPIX_B5'!C7:C56,C31)))))-IF(COUNTIFS('TOPIX_B5'!F7:F56,MAX(0,_xlfn.MAXIFS('TOPIX_B5'!F7:F56,'TOPIX_B5'!C7:C56,C31)),'TOPIX_B5'!C7:C56,C31)&gt;=3,MAX(0,_xlfn.MAXIFS('TOPIX_B5'!F7:F56,'TOPIX_B5'!C7:C56,C31)),IF(COUNTIFS('TOPIX_B5'!F7:F56,IF(COUNTIFS('TOPIX_B5'!F7:F56,MAX(0,_xlfn.MAXIFS('TOPIX_B5'!F7:F56,'TOPIX_B5'!C7:C56,C31)),'TOPIX_B5'!C7:C56,C31)&gt;=2,MAX(0,_xlfn.MAXIFS('TOPIX_B5'!F7:F56,'TOPIX_B5'!C7:C56,C31)),MAX(0,_xlfn.MAXIFS('TOPIX_B5'!F7:F56,'TOPIX_B5'!C7:C56,C31,'TOPIX_B5'!F7:F56,"&lt;"&amp;MAX(0,_xlfn.MAXIFS('TOPIX_B5'!F7:F56,'TOPIX_B5'!C7:C56,C31))))),'TOPIX_B5'!C7:C56,C31)+COUNTIFS('TOPIX_B5'!F7:F56,"&gt;"&amp;IF(COUNTIFS('TOPIX_B5'!F7:F56,MAX(0,_xlfn.MAXIFS('TOPIX_B5'!F7:F56,'TOPIX_B5'!C7:C56,C31)),'TOPIX_B5'!C7:C56,C31)&gt;=2,MAX(0,_xlfn.MAXIFS('TOPIX_B5'!F7:F56,'TOPIX_B5'!C7:C56,C31)),MAX(0,_xlfn.MAXIFS('TOPIX_B5'!F7:F56,'TOPIX_B5'!C7:C56,C31,'TOPIX_B5'!F7:F56,"&lt;"&amp;MAX(0,_xlfn.MAXIFS('TOPIX_B5'!F7:F56,'TOPIX_B5'!C7:C56,C31))))),'TOPIX_B5'!C7:C56,C31)&gt;=3,IF(COUNTIFS('TOPIX_B5'!F7:F56,MAX(0,_xlfn.MAXIFS('TOPIX_B5'!F7:F56,'TOPIX_B5'!C7:C56,C31)),'TOPIX_B5'!C7:C56,C31)&gt;=2,MAX(0,_xlfn.MAXIFS('TOPIX_B5'!F7:F56,'TOPIX_B5'!C7:C56,C31)),MAX(0,_xlfn.MAXIFS('TOPIX_B5'!F7:F56,'TOPIX_B5'!C7:C56,C31,'TOPIX_B5'!F7:F56,"&lt;"&amp;MAX(0,_xlfn.MAXIFS('TOPIX_B5'!F7:F56,'TOPIX_B5'!C7:C56,C31))))),MAX(0,_xlfn.MAXIFS('TOPIX_B5'!F7:F56,'TOPIX_B5'!C7:C56,C31,'TOPIX_B5'!F7:F56,"&lt;"&amp;IF(COUNTIFS('TOPIX_B5'!F7:F56,MAX(0,_xlfn.MAXIFS('TOPIX_B5'!F7:F56,'TOPIX_B5'!C7:C56,C31)),'TOPIX_B5'!C7:C56,C31)&gt;=2,MAX(0,_xlfn.MAXIFS('TOPIX_B5'!F7:F56,'TOPIX_B5'!C7:C56,C31)),MAX(0,_xlfn.MAXIFS('TOPIX_B5'!F7:F56,'TOPIX_B5'!C7:C56,C31,'TOPIX_B5'!F7:F56,"&lt;"&amp;MAX(0,_xlfn.MAXIFS('TOPIX_B5'!F7:F56,'TOPIX_B5'!C7:C56,C31)))))))))</x:f>
        <x:v>118041</x:v>
      </x:c>
    </x:row>
    <x:row r="32" ht="36" customHeight="1">
      <x:c r="A32" s="2" t="str">
        <x:v>TOPIXmini</x:v>
      </x:c>
      <x:c r="B32" s="2" t="str">
        <x:v>B5</x:v>
      </x:c>
      <x:c r="C32" s="2" t="str">
        <x:v>ナイト</x:v>
      </x:c>
      <x:c r="D32" s="2" t="str">
        <x:v>全50場</x:v>
      </x:c>
      <x:c r="E32" s="2" t="str">
        <x:v>B5（T04）</x:v>
      </x:c>
      <x:c r="F32" s="23" t="str">
        <x:v>従来基準</x:v>
      </x:c>
      <x:c r="G32" s="22" t="n">
        <x:f>COUNTIFS('TOPIX_B5'!C7:C56,C32)</x:f>
        <x:v>25</x:v>
      </x:c>
      <x:c r="H32" s="20" t="n">
        <x:f>SUMIFS('TOPIX_B5'!D7:D56,'TOPIX_B5'!C7:C56,C32)</x:f>
        <x:v>938288</x:v>
      </x:c>
      <x:c r="I32" s="20" t="n">
        <x:f>SUMIFS('TOPIX_B5'!E7:E56,'TOPIX_B5'!C7:C56,C32)</x:f>
        <x:v>577540</x:v>
      </x:c>
      <x:c r="J32" s="20" t="n">
        <x:f>H32-I32</x:f>
        <x:v>360748</x:v>
      </x:c>
      <x:c r="K32" s="22" t="n">
        <x:f>SUMIFS('TOPIX_B5'!J7:J56,'TOPIX_B5'!C7:C56,C32)</x:f>
        <x:v>64</x:v>
      </x:c>
      <x:c r="L32" s="22" t="n">
        <x:f>COUNTIFS('TOPIX_B5'!F7:F56,"&gt;0",'TOPIX_B5'!C7:C56,C32)</x:f>
        <x:v>22</x:v>
      </x:c>
      <x:c r="M32" s="22" t="n">
        <x:f>COUNTIFS('TOPIX_B5'!F7:F56,"&lt;0",'TOPIX_B5'!C7:C56,C32)</x:f>
        <x:v>3</x:v>
      </x:c>
      <x:c r="N32" s="22" t="n">
        <x:f>COUNTIFS('TOPIX_B5'!J7:J56,"=0",'TOPIX_B5'!C7:C56,C32)</x:f>
        <x:v>0</x:v>
      </x:c>
      <x:c r="O32" s="20" t="n">
        <x:f>IF(M32=0,0,-SUMIFS('TOPIX_B5'!F7:F56,'TOPIX_B5'!F7:F56,"&lt;0",'TOPIX_B5'!C7:C56,C32)/M32)</x:f>
        <x:v>49448</x:v>
      </x:c>
      <x:c r="P32" s="20" t="n">
        <x:f>MAX(0,-_xlfn.MINIFS('TOPIX_B5'!F7:F56,'TOPIX_B5'!C7:C56,C32))</x:f>
        <x:v>53754</x:v>
      </x:c>
      <x:c r="Q32" s="20" t="n">
        <x:f>J32-MAX(0,_xlfn.MAXIFS('TOPIX_B5'!F7:F56,'TOPIX_B5'!C7:C56,C32))-IF(COUNTIFS('TOPIX_B5'!F7:F56,MAX(0,_xlfn.MAXIFS('TOPIX_B5'!F7:F56,'TOPIX_B5'!C7:C56,C32)),'TOPIX_B5'!C7:C56,C32)&gt;=2,MAX(0,_xlfn.MAXIFS('TOPIX_B5'!F7:F56,'TOPIX_B5'!C7:C56,C32)),MAX(0,_xlfn.MAXIFS('TOPIX_B5'!F7:F56,'TOPIX_B5'!C7:C56,C32,'TOPIX_B5'!F7:F56,"&lt;"&amp;MAX(0,_xlfn.MAXIFS('TOPIX_B5'!F7:F56,'TOPIX_B5'!C7:C56,C32)))))-IF(COUNTIFS('TOPIX_B5'!F7:F56,MAX(0,_xlfn.MAXIFS('TOPIX_B5'!F7:F56,'TOPIX_B5'!C7:C56,C32)),'TOPIX_B5'!C7:C56,C32)&gt;=3,MAX(0,_xlfn.MAXIFS('TOPIX_B5'!F7:F56,'TOPIX_B5'!C7:C56,C32)),IF(COUNTIFS('TOPIX_B5'!F7:F56,IF(COUNTIFS('TOPIX_B5'!F7:F56,MAX(0,_xlfn.MAXIFS('TOPIX_B5'!F7:F56,'TOPIX_B5'!C7:C56,C32)),'TOPIX_B5'!C7:C56,C32)&gt;=2,MAX(0,_xlfn.MAXIFS('TOPIX_B5'!F7:F56,'TOPIX_B5'!C7:C56,C32)),MAX(0,_xlfn.MAXIFS('TOPIX_B5'!F7:F56,'TOPIX_B5'!C7:C56,C32,'TOPIX_B5'!F7:F56,"&lt;"&amp;MAX(0,_xlfn.MAXIFS('TOPIX_B5'!F7:F56,'TOPIX_B5'!C7:C56,C32))))),'TOPIX_B5'!C7:C56,C32)+COUNTIFS('TOPIX_B5'!F7:F56,"&gt;"&amp;IF(COUNTIFS('TOPIX_B5'!F7:F56,MAX(0,_xlfn.MAXIFS('TOPIX_B5'!F7:F56,'TOPIX_B5'!C7:C56,C32)),'TOPIX_B5'!C7:C56,C32)&gt;=2,MAX(0,_xlfn.MAXIFS('TOPIX_B5'!F7:F56,'TOPIX_B5'!C7:C56,C32)),MAX(0,_xlfn.MAXIFS('TOPIX_B5'!F7:F56,'TOPIX_B5'!C7:C56,C32,'TOPIX_B5'!F7:F56,"&lt;"&amp;MAX(0,_xlfn.MAXIFS('TOPIX_B5'!F7:F56,'TOPIX_B5'!C7:C56,C32))))),'TOPIX_B5'!C7:C56,C32)&gt;=3,IF(COUNTIFS('TOPIX_B5'!F7:F56,MAX(0,_xlfn.MAXIFS('TOPIX_B5'!F7:F56,'TOPIX_B5'!C7:C56,C32)),'TOPIX_B5'!C7:C56,C32)&gt;=2,MAX(0,_xlfn.MAXIFS('TOPIX_B5'!F7:F56,'TOPIX_B5'!C7:C56,C32)),MAX(0,_xlfn.MAXIFS('TOPIX_B5'!F7:F56,'TOPIX_B5'!C7:C56,C32,'TOPIX_B5'!F7:F56,"&lt;"&amp;MAX(0,_xlfn.MAXIFS('TOPIX_B5'!F7:F56,'TOPIX_B5'!C7:C56,C32))))),MAX(0,_xlfn.MAXIFS('TOPIX_B5'!F7:F56,'TOPIX_B5'!C7:C56,C32,'TOPIX_B5'!F7:F56,"&lt;"&amp;IF(COUNTIFS('TOPIX_B5'!F7:F56,MAX(0,_xlfn.MAXIFS('TOPIX_B5'!F7:F56,'TOPIX_B5'!C7:C56,C32)),'TOPIX_B5'!C7:C56,C32)&gt;=2,MAX(0,_xlfn.MAXIFS('TOPIX_B5'!F7:F56,'TOPIX_B5'!C7:C56,C32)),MAX(0,_xlfn.MAXIFS('TOPIX_B5'!F7:F56,'TOPIX_B5'!C7:C56,C32,'TOPIX_B5'!F7:F56,"&lt;"&amp;MAX(0,_xlfn.MAXIFS('TOPIX_B5'!F7:F56,'TOPIX_B5'!C7:C56,C32)))))))))</x:f>
        <x:v>152428</x:v>
      </x:c>
    </x:row>
    <x:row r="33" ht="36" customHeight="1">
      <x:c r="A33" s="2" t="str">
        <x:v>TOPIXmini</x:v>
      </x:c>
      <x:c r="B33" s="2" t="str">
        <x:v>B5</x:v>
      </x:c>
      <x:c r="C33" s="2" t="str">
        <x:v>デイ</x:v>
      </x:c>
      <x:c r="D33" s="2" t="str">
        <x:v>対照47場</x:v>
      </x:c>
      <x:c r="E33" s="2" t="str">
        <x:v>B5（T06）</x:v>
      </x:c>
      <x:c r="F33" s="23" t="str">
        <x:v>従来基準</x:v>
      </x:c>
      <x:c r="G33" s="22" t="n">
        <x:f>COUNTIFS('TOPIX_B5'!C7:C53,C33)</x:f>
        <x:v>24</x:v>
      </x:c>
      <x:c r="H33" s="20" t="n">
        <x:f>SUMIFS('TOPIX_B5'!D7:D53,'TOPIX_B5'!C7:C53,C33)</x:f>
        <x:v>1283248</x:v>
      </x:c>
      <x:c r="I33" s="20" t="n">
        <x:f>SUMIFS('TOPIX_B5'!E7:E53,'TOPIX_B5'!C7:C53,C33)</x:f>
        <x:v>757457</x:v>
      </x:c>
      <x:c r="J33" s="20" t="n">
        <x:f>H33-I33</x:f>
        <x:v>525791</x:v>
      </x:c>
      <x:c r="K33" s="22" t="n">
        <x:f>SUMIFS('TOPIX_B5'!J7:J53,'TOPIX_B5'!C7:C53,C33)</x:f>
        <x:v>52</x:v>
      </x:c>
      <x:c r="L33" s="22" t="n">
        <x:f>COUNTIFS('TOPIX_B5'!F7:F53,"&gt;0",'TOPIX_B5'!C7:C53,C33)</x:f>
        <x:v>16</x:v>
      </x:c>
      <x:c r="M33" s="22" t="n">
        <x:f>COUNTIFS('TOPIX_B5'!F7:F53,"&lt;0",'TOPIX_B5'!C7:C53,C33)</x:f>
        <x:v>8</x:v>
      </x:c>
      <x:c r="N33" s="22" t="n">
        <x:f>COUNTIFS('TOPIX_B5'!J7:J53,"=0",'TOPIX_B5'!C7:C53,C33)</x:f>
        <x:v>0</x:v>
      </x:c>
      <x:c r="O33" s="20" t="n">
        <x:f>IF(M33=0,0,-SUMIFS('TOPIX_B5'!F7:F53,'TOPIX_B5'!F7:F53,"&lt;0",'TOPIX_B5'!C7:C53,C33)/M33)</x:f>
        <x:v>37638.625</x:v>
      </x:c>
      <x:c r="P33" s="20" t="n">
        <x:f>MAX(0,-_xlfn.MINIFS('TOPIX_B5'!F7:F53,'TOPIX_B5'!C7:C53,C33))</x:f>
        <x:v>79172</x:v>
      </x:c>
      <x:c r="Q33" s="20" t="n">
        <x:f>J33-MAX(0,_xlfn.MAXIFS('TOPIX_B5'!F7:F53,'TOPIX_B5'!C7:C53,C33))-IF(COUNTIFS('TOPIX_B5'!F7:F53,MAX(0,_xlfn.MAXIFS('TOPIX_B5'!F7:F53,'TOPIX_B5'!C7:C53,C33)),'TOPIX_B5'!C7:C53,C33)&gt;=2,MAX(0,_xlfn.MAXIFS('TOPIX_B5'!F7:F53,'TOPIX_B5'!C7:C53,C33)),MAX(0,_xlfn.MAXIFS('TOPIX_B5'!F7:F53,'TOPIX_B5'!C7:C53,C33,'TOPIX_B5'!F7:F53,"&lt;"&amp;MAX(0,_xlfn.MAXIFS('TOPIX_B5'!F7:F53,'TOPIX_B5'!C7:C53,C33)))))-IF(COUNTIFS('TOPIX_B5'!F7:F53,MAX(0,_xlfn.MAXIFS('TOPIX_B5'!F7:F53,'TOPIX_B5'!C7:C53,C33)),'TOPIX_B5'!C7:C53,C33)&gt;=3,MAX(0,_xlfn.MAXIFS('TOPIX_B5'!F7:F53,'TOPIX_B5'!C7:C53,C33)),IF(COUNTIFS('TOPIX_B5'!F7:F53,IF(COUNTIFS('TOPIX_B5'!F7:F53,MAX(0,_xlfn.MAXIFS('TOPIX_B5'!F7:F53,'TOPIX_B5'!C7:C53,C33)),'TOPIX_B5'!C7:C53,C33)&gt;=2,MAX(0,_xlfn.MAXIFS('TOPIX_B5'!F7:F53,'TOPIX_B5'!C7:C53,C33)),MAX(0,_xlfn.MAXIFS('TOPIX_B5'!F7:F53,'TOPIX_B5'!C7:C53,C33,'TOPIX_B5'!F7:F53,"&lt;"&amp;MAX(0,_xlfn.MAXIFS('TOPIX_B5'!F7:F53,'TOPIX_B5'!C7:C53,C33))))),'TOPIX_B5'!C7:C53,C33)+COUNTIFS('TOPIX_B5'!F7:F53,"&gt;"&amp;IF(COUNTIFS('TOPIX_B5'!F7:F53,MAX(0,_xlfn.MAXIFS('TOPIX_B5'!F7:F53,'TOPIX_B5'!C7:C53,C33)),'TOPIX_B5'!C7:C53,C33)&gt;=2,MAX(0,_xlfn.MAXIFS('TOPIX_B5'!F7:F53,'TOPIX_B5'!C7:C53,C33)),MAX(0,_xlfn.MAXIFS('TOPIX_B5'!F7:F53,'TOPIX_B5'!C7:C53,C33,'TOPIX_B5'!F7:F53,"&lt;"&amp;MAX(0,_xlfn.MAXIFS('TOPIX_B5'!F7:F53,'TOPIX_B5'!C7:C53,C33))))),'TOPIX_B5'!C7:C53,C33)&gt;=3,IF(COUNTIFS('TOPIX_B5'!F7:F53,MAX(0,_xlfn.MAXIFS('TOPIX_B5'!F7:F53,'TOPIX_B5'!C7:C53,C33)),'TOPIX_B5'!C7:C53,C33)&gt;=2,MAX(0,_xlfn.MAXIFS('TOPIX_B5'!F7:F53,'TOPIX_B5'!C7:C53,C33)),MAX(0,_xlfn.MAXIFS('TOPIX_B5'!F7:F53,'TOPIX_B5'!C7:C53,C33,'TOPIX_B5'!F7:F53,"&lt;"&amp;MAX(0,_xlfn.MAXIFS('TOPIX_B5'!F7:F53,'TOPIX_B5'!C7:C53,C33))))),MAX(0,_xlfn.MAXIFS('TOPIX_B5'!F7:F53,'TOPIX_B5'!C7:C53,C33,'TOPIX_B5'!F7:F53,"&lt;"&amp;IF(COUNTIFS('TOPIX_B5'!F7:F53,MAX(0,_xlfn.MAXIFS('TOPIX_B5'!F7:F53,'TOPIX_B5'!C7:C53,C33)),'TOPIX_B5'!C7:C53,C33)&gt;=2,MAX(0,_xlfn.MAXIFS('TOPIX_B5'!F7:F53,'TOPIX_B5'!C7:C53,C33)),MAX(0,_xlfn.MAXIFS('TOPIX_B5'!F7:F53,'TOPIX_B5'!C7:C53,C33,'TOPIX_B5'!F7:F53,"&lt;"&amp;MAX(0,_xlfn.MAXIFS('TOPIX_B5'!F7:F53,'TOPIX_B5'!C7:C53,C33)))))))))</x:f>
        <x:v>249295</x:v>
      </x:c>
    </x:row>
    <x:row r="34" ht="36" customHeight="1">
      <x:c r="A34" s="2" t="str">
        <x:v>TOPIXmini</x:v>
      </x:c>
      <x:c r="B34" s="2" t="str">
        <x:v>B5</x:v>
      </x:c>
      <x:c r="C34" s="2" t="str">
        <x:v>ナイト</x:v>
      </x:c>
      <x:c r="D34" s="2" t="str">
        <x:v>対照47場</x:v>
      </x:c>
      <x:c r="E34" s="2" t="str">
        <x:v>B5（T04）</x:v>
      </x:c>
      <x:c r="F34" s="23" t="str">
        <x:v>従来基準</x:v>
      </x:c>
      <x:c r="G34" s="22" t="n">
        <x:f>COUNTIFS('TOPIX_B5'!C7:C53,C34)</x:f>
        <x:v>23</x:v>
      </x:c>
      <x:c r="H34" s="20" t="n">
        <x:f>SUMIFS('TOPIX_B5'!D7:D53,'TOPIX_B5'!C7:C53,C34)</x:f>
        <x:v>839960</x:v>
      </x:c>
      <x:c r="I34" s="20" t="n">
        <x:f>SUMIFS('TOPIX_B5'!E7:E53,'TOPIX_B5'!C7:C53,C34)</x:f>
        <x:v>541704</x:v>
      </x:c>
      <x:c r="J34" s="20" t="n">
        <x:f>H34-I34</x:f>
        <x:v>298256</x:v>
      </x:c>
      <x:c r="K34" s="22" t="n">
        <x:f>SUMIFS('TOPIX_B5'!J7:J53,'TOPIX_B5'!C7:C53,C34)</x:f>
        <x:v>58</x:v>
      </x:c>
      <x:c r="L34" s="22" t="n">
        <x:f>COUNTIFS('TOPIX_B5'!F7:F53,"&gt;0",'TOPIX_B5'!C7:C53,C34)</x:f>
        <x:v>20</x:v>
      </x:c>
      <x:c r="M34" s="22" t="n">
        <x:f>COUNTIFS('TOPIX_B5'!F7:F53,"&lt;0",'TOPIX_B5'!C7:C53,C34)</x:f>
        <x:v>3</x:v>
      </x:c>
      <x:c r="N34" s="22" t="n">
        <x:f>COUNTIFS('TOPIX_B5'!J7:J53,"=0",'TOPIX_B5'!C7:C53,C34)</x:f>
        <x:v>0</x:v>
      </x:c>
      <x:c r="O34" s="20" t="n">
        <x:f>IF(M34=0,0,-SUMIFS('TOPIX_B5'!F7:F53,'TOPIX_B5'!F7:F53,"&lt;0",'TOPIX_B5'!C7:C53,C34)/M34)</x:f>
        <x:v>49448</x:v>
      </x:c>
      <x:c r="P34" s="20" t="n">
        <x:f>MAX(0,-_xlfn.MINIFS('TOPIX_B5'!F7:F53,'TOPIX_B5'!C7:C53,C34))</x:f>
        <x:v>53754</x:v>
      </x:c>
      <x:c r="Q34" s="20" t="n">
        <x:f>J34-MAX(0,_xlfn.MAXIFS('TOPIX_B5'!F7:F53,'TOPIX_B5'!C7:C53,C34))-IF(COUNTIFS('TOPIX_B5'!F7:F53,MAX(0,_xlfn.MAXIFS('TOPIX_B5'!F7:F53,'TOPIX_B5'!C7:C53,C34)),'TOPIX_B5'!C7:C53,C34)&gt;=2,MAX(0,_xlfn.MAXIFS('TOPIX_B5'!F7:F53,'TOPIX_B5'!C7:C53,C34)),MAX(0,_xlfn.MAXIFS('TOPIX_B5'!F7:F53,'TOPIX_B5'!C7:C53,C34,'TOPIX_B5'!F7:F53,"&lt;"&amp;MAX(0,_xlfn.MAXIFS('TOPIX_B5'!F7:F53,'TOPIX_B5'!C7:C53,C34)))))-IF(COUNTIFS('TOPIX_B5'!F7:F53,MAX(0,_xlfn.MAXIFS('TOPIX_B5'!F7:F53,'TOPIX_B5'!C7:C53,C34)),'TOPIX_B5'!C7:C53,C34)&gt;=3,MAX(0,_xlfn.MAXIFS('TOPIX_B5'!F7:F53,'TOPIX_B5'!C7:C53,C34)),IF(COUNTIFS('TOPIX_B5'!F7:F53,IF(COUNTIFS('TOPIX_B5'!F7:F53,MAX(0,_xlfn.MAXIFS('TOPIX_B5'!F7:F53,'TOPIX_B5'!C7:C53,C34)),'TOPIX_B5'!C7:C53,C34)&gt;=2,MAX(0,_xlfn.MAXIFS('TOPIX_B5'!F7:F53,'TOPIX_B5'!C7:C53,C34)),MAX(0,_xlfn.MAXIFS('TOPIX_B5'!F7:F53,'TOPIX_B5'!C7:C53,C34,'TOPIX_B5'!F7:F53,"&lt;"&amp;MAX(0,_xlfn.MAXIFS('TOPIX_B5'!F7:F53,'TOPIX_B5'!C7:C53,C34))))),'TOPIX_B5'!C7:C53,C34)+COUNTIFS('TOPIX_B5'!F7:F53,"&gt;"&amp;IF(COUNTIFS('TOPIX_B5'!F7:F53,MAX(0,_xlfn.MAXIFS('TOPIX_B5'!F7:F53,'TOPIX_B5'!C7:C53,C34)),'TOPIX_B5'!C7:C53,C34)&gt;=2,MAX(0,_xlfn.MAXIFS('TOPIX_B5'!F7:F53,'TOPIX_B5'!C7:C53,C34)),MAX(0,_xlfn.MAXIFS('TOPIX_B5'!F7:F53,'TOPIX_B5'!C7:C53,C34,'TOPIX_B5'!F7:F53,"&lt;"&amp;MAX(0,_xlfn.MAXIFS('TOPIX_B5'!F7:F53,'TOPIX_B5'!C7:C53,C34))))),'TOPIX_B5'!C7:C53,C34)&gt;=3,IF(COUNTIFS('TOPIX_B5'!F7:F53,MAX(0,_xlfn.MAXIFS('TOPIX_B5'!F7:F53,'TOPIX_B5'!C7:C53,C34)),'TOPIX_B5'!C7:C53,C34)&gt;=2,MAX(0,_xlfn.MAXIFS('TOPIX_B5'!F7:F53,'TOPIX_B5'!C7:C53,C34)),MAX(0,_xlfn.MAXIFS('TOPIX_B5'!F7:F53,'TOPIX_B5'!C7:C53,C34,'TOPIX_B5'!F7:F53,"&lt;"&amp;MAX(0,_xlfn.MAXIFS('TOPIX_B5'!F7:F53,'TOPIX_B5'!C7:C53,C34))))),MAX(0,_xlfn.MAXIFS('TOPIX_B5'!F7:F53,'TOPIX_B5'!C7:C53,C34,'TOPIX_B5'!F7:F53,"&lt;"&amp;IF(COUNTIFS('TOPIX_B5'!F7:F53,MAX(0,_xlfn.MAXIFS('TOPIX_B5'!F7:F53,'TOPIX_B5'!C7:C53,C34)),'TOPIX_B5'!C7:C53,C34)&gt;=2,MAX(0,_xlfn.MAXIFS('TOPIX_B5'!F7:F53,'TOPIX_B5'!C7:C53,C34)),MAX(0,_xlfn.MAXIFS('TOPIX_B5'!F7:F53,'TOPIX_B5'!C7:C53,C34,'TOPIX_B5'!F7:F53,"&lt;"&amp;MAX(0,_xlfn.MAXIFS('TOPIX_B5'!F7:F53,'TOPIX_B5'!C7:C53,C34)))))))))</x:f>
        <x:v>89936</x:v>
      </x:c>
    </x:row>
    <x:row r="35" ht="36" customHeight="1">
      <x:c r="A35" s="2" t="str">
        <x:v>TOPIXmini</x:v>
      </x:c>
      <x:c r="B35" s="2" t="str">
        <x:v>B5</x:v>
      </x:c>
      <x:c r="C35" s="2" t="str">
        <x:v>デイ</x:v>
      </x:c>
      <x:c r="D35" s="2" t="str">
        <x:v>診断3場</x:v>
      </x:c>
      <x:c r="E35" s="2" t="str">
        <x:v>B5（T06）</x:v>
      </x:c>
      <x:c r="F35" s="23" t="str">
        <x:v>従来基準</x:v>
      </x:c>
      <x:c r="G35" s="22" t="n">
        <x:f>COUNTIFS('TOPIX_B5'!C54:C56,C35)</x:f>
        <x:v>1</x:v>
      </x:c>
      <x:c r="H35" s="20" t="n">
        <x:f>SUMIFS('TOPIX_B5'!D54:D56,'TOPIX_B5'!C54:C56,C35)</x:f>
        <x:v>0</x:v>
      </x:c>
      <x:c r="I35" s="20" t="n">
        <x:f>SUMIFS('TOPIX_B5'!E54:E56,'TOPIX_B5'!C54:C56,C35)</x:f>
        <x:v>131254</x:v>
      </x:c>
      <x:c r="J35" s="20" t="n">
        <x:f>H35-I35</x:f>
        <x:v>-131254</x:v>
      </x:c>
      <x:c r="K35" s="22" t="n">
        <x:f>SUMIFS('TOPIX_B5'!J54:J56,'TOPIX_B5'!C54:C56,C35)</x:f>
        <x:v>3</x:v>
      </x:c>
      <x:c r="L35" s="22" t="n">
        <x:f>COUNTIFS('TOPIX_B5'!F54:F56,"&gt;0",'TOPIX_B5'!C54:C56,C35)</x:f>
        <x:v>0</x:v>
      </x:c>
      <x:c r="M35" s="22" t="n">
        <x:f>COUNTIFS('TOPIX_B5'!F54:F56,"&lt;0",'TOPIX_B5'!C54:C56,C35)</x:f>
        <x:v>1</x:v>
      </x:c>
      <x:c r="N35" s="22" t="n">
        <x:f>COUNTIFS('TOPIX_B5'!J54:J56,"=0",'TOPIX_B5'!C54:C56,C35)</x:f>
        <x:v>0</x:v>
      </x:c>
      <x:c r="O35" s="20" t="n">
        <x:f>IF(M35=0,0,-SUMIFS('TOPIX_B5'!F54:F56,'TOPIX_B5'!F54:F56,"&lt;0",'TOPIX_B5'!C54:C56,C35)/M35)</x:f>
        <x:v>131254</x:v>
      </x:c>
      <x:c r="P35" s="20" t="n">
        <x:f>MAX(0,-_xlfn.MINIFS('TOPIX_B5'!F54:F56,'TOPIX_B5'!C54:C56,C35))</x:f>
        <x:v>131254</x:v>
      </x:c>
      <x:c r="Q35" s="20" t="n">
        <x:f>J35-MAX(0,_xlfn.MAXIFS('TOPIX_B5'!F54:F56,'TOPIX_B5'!C54:C56,C35))-IF(COUNTIFS('TOPIX_B5'!F54:F56,MAX(0,_xlfn.MAXIFS('TOPIX_B5'!F54:F56,'TOPIX_B5'!C54:C56,C35)),'TOPIX_B5'!C54:C56,C35)&gt;=2,MAX(0,_xlfn.MAXIFS('TOPIX_B5'!F54:F56,'TOPIX_B5'!C54:C56,C35)),MAX(0,_xlfn.MAXIFS('TOPIX_B5'!F54:F56,'TOPIX_B5'!C54:C56,C35,'TOPIX_B5'!F54:F56,"&lt;"&amp;MAX(0,_xlfn.MAXIFS('TOPIX_B5'!F54:F56,'TOPIX_B5'!C54:C56,C35)))))-IF(COUNTIFS('TOPIX_B5'!F54:F56,MAX(0,_xlfn.MAXIFS('TOPIX_B5'!F54:F56,'TOPIX_B5'!C54:C56,C35)),'TOPIX_B5'!C54:C56,C35)&gt;=3,MAX(0,_xlfn.MAXIFS('TOPIX_B5'!F54:F56,'TOPIX_B5'!C54:C56,C35)),IF(COUNTIFS('TOPIX_B5'!F54:F56,IF(COUNTIFS('TOPIX_B5'!F54:F56,MAX(0,_xlfn.MAXIFS('TOPIX_B5'!F54:F56,'TOPIX_B5'!C54:C56,C35)),'TOPIX_B5'!C54:C56,C35)&gt;=2,MAX(0,_xlfn.MAXIFS('TOPIX_B5'!F54:F56,'TOPIX_B5'!C54:C56,C35)),MAX(0,_xlfn.MAXIFS('TOPIX_B5'!F54:F56,'TOPIX_B5'!C54:C56,C35,'TOPIX_B5'!F54:F56,"&lt;"&amp;MAX(0,_xlfn.MAXIFS('TOPIX_B5'!F54:F56,'TOPIX_B5'!C54:C56,C35))))),'TOPIX_B5'!C54:C56,C35)+COUNTIFS('TOPIX_B5'!F54:F56,"&gt;"&amp;IF(COUNTIFS('TOPIX_B5'!F54:F56,MAX(0,_xlfn.MAXIFS('TOPIX_B5'!F54:F56,'TOPIX_B5'!C54:C56,C35)),'TOPIX_B5'!C54:C56,C35)&gt;=2,MAX(0,_xlfn.MAXIFS('TOPIX_B5'!F54:F56,'TOPIX_B5'!C54:C56,C35)),MAX(0,_xlfn.MAXIFS('TOPIX_B5'!F54:F56,'TOPIX_B5'!C54:C56,C35,'TOPIX_B5'!F54:F56,"&lt;"&amp;MAX(0,_xlfn.MAXIFS('TOPIX_B5'!F54:F56,'TOPIX_B5'!C54:C56,C35))))),'TOPIX_B5'!C54:C56,C35)&gt;=3,IF(COUNTIFS('TOPIX_B5'!F54:F56,MAX(0,_xlfn.MAXIFS('TOPIX_B5'!F54:F56,'TOPIX_B5'!C54:C56,C35)),'TOPIX_B5'!C54:C56,C35)&gt;=2,MAX(0,_xlfn.MAXIFS('TOPIX_B5'!F54:F56,'TOPIX_B5'!C54:C56,C35)),MAX(0,_xlfn.MAXIFS('TOPIX_B5'!F54:F56,'TOPIX_B5'!C54:C56,C35,'TOPIX_B5'!F54:F56,"&lt;"&amp;MAX(0,_xlfn.MAXIFS('TOPIX_B5'!F54:F56,'TOPIX_B5'!C54:C56,C35))))),MAX(0,_xlfn.MAXIFS('TOPIX_B5'!F54:F56,'TOPIX_B5'!C54:C56,C35,'TOPIX_B5'!F54:F56,"&lt;"&amp;IF(COUNTIFS('TOPIX_B5'!F54:F56,MAX(0,_xlfn.MAXIFS('TOPIX_B5'!F54:F56,'TOPIX_B5'!C54:C56,C35)),'TOPIX_B5'!C54:C56,C35)&gt;=2,MAX(0,_xlfn.MAXIFS('TOPIX_B5'!F54:F56,'TOPIX_B5'!C54:C56,C35)),MAX(0,_xlfn.MAXIFS('TOPIX_B5'!F54:F56,'TOPIX_B5'!C54:C56,C35,'TOPIX_B5'!F54:F56,"&lt;"&amp;MAX(0,_xlfn.MAXIFS('TOPIX_B5'!F54:F56,'TOPIX_B5'!C54:C56,C35)))))))))</x:f>
        <x:v>-131254</x:v>
      </x:c>
    </x:row>
    <x:row r="36" ht="36" customHeight="1">
      <x:c r="A36" s="2" t="str">
        <x:v>TOPIXmini</x:v>
      </x:c>
      <x:c r="B36" s="2" t="str">
        <x:v>B5</x:v>
      </x:c>
      <x:c r="C36" s="2" t="str">
        <x:v>ナイト</x:v>
      </x:c>
      <x:c r="D36" s="2" t="str">
        <x:v>診断3場</x:v>
      </x:c>
      <x:c r="E36" s="2" t="str">
        <x:v>B5（T04）</x:v>
      </x:c>
      <x:c r="F36" s="23" t="str">
        <x:v>従来基準</x:v>
      </x:c>
      <x:c r="G36" s="22" t="n">
        <x:f>COUNTIFS('TOPIX_B5'!C54:C56,C36)</x:f>
        <x:v>2</x:v>
      </x:c>
      <x:c r="H36" s="20" t="n">
        <x:f>SUMIFS('TOPIX_B5'!D54:D56,'TOPIX_B5'!C54:C56,C36)</x:f>
        <x:v>98328</x:v>
      </x:c>
      <x:c r="I36" s="20" t="n">
        <x:f>SUMIFS('TOPIX_B5'!E54:E56,'TOPIX_B5'!C54:C56,C36)</x:f>
        <x:v>35836</x:v>
      </x:c>
      <x:c r="J36" s="20" t="n">
        <x:f>H36-I36</x:f>
        <x:v>62492</x:v>
      </x:c>
      <x:c r="K36" s="22" t="n">
        <x:f>SUMIFS('TOPIX_B5'!J54:J56,'TOPIX_B5'!C54:C56,C36)</x:f>
        <x:v>6</x:v>
      </x:c>
      <x:c r="L36" s="22" t="n">
        <x:f>COUNTIFS('TOPIX_B5'!F54:F56,"&gt;0",'TOPIX_B5'!C54:C56,C36)</x:f>
        <x:v>2</x:v>
      </x:c>
      <x:c r="M36" s="22" t="n">
        <x:f>COUNTIFS('TOPIX_B5'!F54:F56,"&lt;0",'TOPIX_B5'!C54:C56,C36)</x:f>
        <x:v>0</x:v>
      </x:c>
      <x:c r="N36" s="22" t="n">
        <x:f>COUNTIFS('TOPIX_B5'!J54:J56,"=0",'TOPIX_B5'!C54:C56,C36)</x:f>
        <x:v>0</x:v>
      </x:c>
      <x:c r="O36" s="20" t="n">
        <x:f>IF(M36=0,0,-SUMIFS('TOPIX_B5'!F54:F56,'TOPIX_B5'!F54:F56,"&lt;0",'TOPIX_B5'!C54:C56,C36)/M36)</x:f>
        <x:v>0</x:v>
      </x:c>
      <x:c r="P36" s="20" t="n">
        <x:f>MAX(0,-_xlfn.MINIFS('TOPIX_B5'!F54:F56,'TOPIX_B5'!C54:C56,C36))</x:f>
        <x:v>0</x:v>
      </x:c>
      <x:c r="Q36" s="20" t="n">
        <x:f>J36-MAX(0,_xlfn.MAXIFS('TOPIX_B5'!F54:F56,'TOPIX_B5'!C54:C56,C36))-IF(COUNTIFS('TOPIX_B5'!F54:F56,MAX(0,_xlfn.MAXIFS('TOPIX_B5'!F54:F56,'TOPIX_B5'!C54:C56,C36)),'TOPIX_B5'!C54:C56,C36)&gt;=2,MAX(0,_xlfn.MAXIFS('TOPIX_B5'!F54:F56,'TOPIX_B5'!C54:C56,C36)),MAX(0,_xlfn.MAXIFS('TOPIX_B5'!F54:F56,'TOPIX_B5'!C54:C56,C36,'TOPIX_B5'!F54:F56,"&lt;"&amp;MAX(0,_xlfn.MAXIFS('TOPIX_B5'!F54:F56,'TOPIX_B5'!C54:C56,C36)))))-IF(COUNTIFS('TOPIX_B5'!F54:F56,MAX(0,_xlfn.MAXIFS('TOPIX_B5'!F54:F56,'TOPIX_B5'!C54:C56,C36)),'TOPIX_B5'!C54:C56,C36)&gt;=3,MAX(0,_xlfn.MAXIFS('TOPIX_B5'!F54:F56,'TOPIX_B5'!C54:C56,C36)),IF(COUNTIFS('TOPIX_B5'!F54:F56,IF(COUNTIFS('TOPIX_B5'!F54:F56,MAX(0,_xlfn.MAXIFS('TOPIX_B5'!F54:F56,'TOPIX_B5'!C54:C56,C36)),'TOPIX_B5'!C54:C56,C36)&gt;=2,MAX(0,_xlfn.MAXIFS('TOPIX_B5'!F54:F56,'TOPIX_B5'!C54:C56,C36)),MAX(0,_xlfn.MAXIFS('TOPIX_B5'!F54:F56,'TOPIX_B5'!C54:C56,C36,'TOPIX_B5'!F54:F56,"&lt;"&amp;MAX(0,_xlfn.MAXIFS('TOPIX_B5'!F54:F56,'TOPIX_B5'!C54:C56,C36))))),'TOPIX_B5'!C54:C56,C36)+COUNTIFS('TOPIX_B5'!F54:F56,"&gt;"&amp;IF(COUNTIFS('TOPIX_B5'!F54:F56,MAX(0,_xlfn.MAXIFS('TOPIX_B5'!F54:F56,'TOPIX_B5'!C54:C56,C36)),'TOPIX_B5'!C54:C56,C36)&gt;=2,MAX(0,_xlfn.MAXIFS('TOPIX_B5'!F54:F56,'TOPIX_B5'!C54:C56,C36)),MAX(0,_xlfn.MAXIFS('TOPIX_B5'!F54:F56,'TOPIX_B5'!C54:C56,C36,'TOPIX_B5'!F54:F56,"&lt;"&amp;MAX(0,_xlfn.MAXIFS('TOPIX_B5'!F54:F56,'TOPIX_B5'!C54:C56,C36))))),'TOPIX_B5'!C54:C56,C36)&gt;=3,IF(COUNTIFS('TOPIX_B5'!F54:F56,MAX(0,_xlfn.MAXIFS('TOPIX_B5'!F54:F56,'TOPIX_B5'!C54:C56,C36)),'TOPIX_B5'!C54:C56,C36)&gt;=2,MAX(0,_xlfn.MAXIFS('TOPIX_B5'!F54:F56,'TOPIX_B5'!C54:C56,C36)),MAX(0,_xlfn.MAXIFS('TOPIX_B5'!F54:F56,'TOPIX_B5'!C54:C56,C36,'TOPIX_B5'!F54:F56,"&lt;"&amp;MAX(0,_xlfn.MAXIFS('TOPIX_B5'!F54:F56,'TOPIX_B5'!C54:C56,C36))))),MAX(0,_xlfn.MAXIFS('TOPIX_B5'!F54:F56,'TOPIX_B5'!C54:C56,C36,'TOPIX_B5'!F54:F56,"&lt;"&amp;IF(COUNTIFS('TOPIX_B5'!F54:F56,MAX(0,_xlfn.MAXIFS('TOPIX_B5'!F54:F56,'TOPIX_B5'!C54:C56,C36)),'TOPIX_B5'!C54:C56,C36)&gt;=2,MAX(0,_xlfn.MAXIFS('TOPIX_B5'!F54:F56,'TOPIX_B5'!C54:C56,C36)),MAX(0,_xlfn.MAXIFS('TOPIX_B5'!F54:F56,'TOPIX_B5'!C54:C56,C36,'TOPIX_B5'!F54:F56,"&lt;"&amp;MAX(0,_xlfn.MAXIFS('TOPIX_B5'!F54:F56,'TOPIX_B5'!C54:C56,C36)))))))))</x:f>
        <x:v>0</x:v>
      </x:c>
    </x:row>
    <x:row r="37" ht="36" customHeight="1">
      <x:c r="A37" s="2" t="str">
        <x:v>TOPIXmini</x:v>
      </x:c>
      <x:c r="B37" s="2" t="str">
        <x:v>C33</x:v>
      </x:c>
      <x:c r="C37" s="2" t="str">
        <x:v>デイ</x:v>
      </x:c>
      <x:c r="D37" s="2" t="str">
        <x:v>全50場</x:v>
      </x:c>
      <x:c r="E37" s="2" t="str">
        <x:v>C33</x:v>
      </x:c>
      <x:c r="F37" s="23" t="str">
        <x:v>前回の反転を先着併用</x:v>
      </x:c>
      <x:c r="G37" s="22" t="n">
        <x:f>COUNTIFS('TOPIX_C33'!C7:C56,C37)</x:f>
        <x:v>25</x:v>
      </x:c>
      <x:c r="H37" s="20" t="n">
        <x:f>SUMIFS('TOPIX_C33'!D7:D56,'TOPIX_C33'!C7:C56,C37)</x:f>
        <x:v>1433438</x:v>
      </x:c>
      <x:c r="I37" s="20" t="n">
        <x:f>SUMIFS('TOPIX_C33'!E7:E56,'TOPIX_C33'!C7:C56,C37)</x:f>
        <x:v>813928</x:v>
      </x:c>
      <x:c r="J37" s="20" t="n">
        <x:f>H37-I37</x:f>
        <x:v>619510</x:v>
      </x:c>
      <x:c r="K37" s="22" t="n">
        <x:f>SUMIFS('TOPIX_C33'!J7:J56,'TOPIX_C33'!C7:C56,C37)</x:f>
        <x:v>95</x:v>
      </x:c>
      <x:c r="L37" s="22" t="n">
        <x:f>COUNTIFS('TOPIX_C33'!F7:F56,"&gt;0",'TOPIX_C33'!C7:C56,C37)</x:f>
        <x:v>18</x:v>
      </x:c>
      <x:c r="M37" s="22" t="n">
        <x:f>COUNTIFS('TOPIX_C33'!F7:F56,"&lt;0",'TOPIX_C33'!C7:C56,C37)</x:f>
        <x:v>7</x:v>
      </x:c>
      <x:c r="N37" s="22" t="n">
        <x:f>COUNTIFS('TOPIX_C33'!J7:J56,"=0",'TOPIX_C33'!C7:C56,C37)</x:f>
        <x:v>0</x:v>
      </x:c>
      <x:c r="O37" s="20" t="n">
        <x:f>IF(M37=0,0,-SUMIFS('TOPIX_C33'!F7:F56,'TOPIX_C33'!F7:F56,"&lt;0",'TOPIX_C33'!C7:C56,C37)/M37)</x:f>
        <x:v>29951.285714285714</x:v>
      </x:c>
      <x:c r="P37" s="20" t="n">
        <x:f>MAX(0,-_xlfn.MINIFS('TOPIX_C33'!F7:F56,'TOPIX_C33'!C7:C56,C37))</x:f>
        <x:v>68328</x:v>
      </x:c>
      <x:c r="Q37" s="20" t="n">
        <x:f>J37-MAX(0,_xlfn.MAXIFS('TOPIX_C33'!F7:F56,'TOPIX_C33'!C7:C56,C37))-IF(COUNTIFS('TOPIX_C33'!F7:F56,MAX(0,_xlfn.MAXIFS('TOPIX_C33'!F7:F56,'TOPIX_C33'!C7:C56,C37)),'TOPIX_C33'!C7:C56,C37)&gt;=2,MAX(0,_xlfn.MAXIFS('TOPIX_C33'!F7:F56,'TOPIX_C33'!C7:C56,C37)),MAX(0,_xlfn.MAXIFS('TOPIX_C33'!F7:F56,'TOPIX_C33'!C7:C56,C37,'TOPIX_C33'!F7:F56,"&lt;"&amp;MAX(0,_xlfn.MAXIFS('TOPIX_C33'!F7:F56,'TOPIX_C33'!C7:C56,C37)))))-IF(COUNTIFS('TOPIX_C33'!F7:F56,MAX(0,_xlfn.MAXIFS('TOPIX_C33'!F7:F56,'TOPIX_C33'!C7:C56,C37)),'TOPIX_C33'!C7:C56,C37)&gt;=3,MAX(0,_xlfn.MAXIFS('TOPIX_C33'!F7:F56,'TOPIX_C33'!C7:C56,C37)),IF(COUNTIFS('TOPIX_C33'!F7:F56,IF(COUNTIFS('TOPIX_C33'!F7:F56,MAX(0,_xlfn.MAXIFS('TOPIX_C33'!F7:F56,'TOPIX_C33'!C7:C56,C37)),'TOPIX_C33'!C7:C56,C37)&gt;=2,MAX(0,_xlfn.MAXIFS('TOPIX_C33'!F7:F56,'TOPIX_C33'!C7:C56,C37)),MAX(0,_xlfn.MAXIFS('TOPIX_C33'!F7:F56,'TOPIX_C33'!C7:C56,C37,'TOPIX_C33'!F7:F56,"&lt;"&amp;MAX(0,_xlfn.MAXIFS('TOPIX_C33'!F7:F56,'TOPIX_C33'!C7:C56,C37))))),'TOPIX_C33'!C7:C56,C37)+COUNTIFS('TOPIX_C33'!F7:F56,"&gt;"&amp;IF(COUNTIFS('TOPIX_C33'!F7:F56,MAX(0,_xlfn.MAXIFS('TOPIX_C33'!F7:F56,'TOPIX_C33'!C7:C56,C37)),'TOPIX_C33'!C7:C56,C37)&gt;=2,MAX(0,_xlfn.MAXIFS('TOPIX_C33'!F7:F56,'TOPIX_C33'!C7:C56,C37)),MAX(0,_xlfn.MAXIFS('TOPIX_C33'!F7:F56,'TOPIX_C33'!C7:C56,C37,'TOPIX_C33'!F7:F56,"&lt;"&amp;MAX(0,_xlfn.MAXIFS('TOPIX_C33'!F7:F56,'TOPIX_C33'!C7:C56,C37))))),'TOPIX_C33'!C7:C56,C37)&gt;=3,IF(COUNTIFS('TOPIX_C33'!F7:F56,MAX(0,_xlfn.MAXIFS('TOPIX_C33'!F7:F56,'TOPIX_C33'!C7:C56,C37)),'TOPIX_C33'!C7:C56,C37)&gt;=2,MAX(0,_xlfn.MAXIFS('TOPIX_C33'!F7:F56,'TOPIX_C33'!C7:C56,C37)),MAX(0,_xlfn.MAXIFS('TOPIX_C33'!F7:F56,'TOPIX_C33'!C7:C56,C37,'TOPIX_C33'!F7:F56,"&lt;"&amp;MAX(0,_xlfn.MAXIFS('TOPIX_C33'!F7:F56,'TOPIX_C33'!C7:C56,C37))))),MAX(0,_xlfn.MAXIFS('TOPIX_C33'!F7:F56,'TOPIX_C33'!C7:C56,C37,'TOPIX_C33'!F7:F56,"&lt;"&amp;IF(COUNTIFS('TOPIX_C33'!F7:F56,MAX(0,_xlfn.MAXIFS('TOPIX_C33'!F7:F56,'TOPIX_C33'!C7:C56,C37)),'TOPIX_C33'!C7:C56,C37)&gt;=2,MAX(0,_xlfn.MAXIFS('TOPIX_C33'!F7:F56,'TOPIX_C33'!C7:C56,C37)),MAX(0,_xlfn.MAXIFS('TOPIX_C33'!F7:F56,'TOPIX_C33'!C7:C56,C37,'TOPIX_C33'!F7:F56,"&lt;"&amp;MAX(0,_xlfn.MAXIFS('TOPIX_C33'!F7:F56,'TOPIX_C33'!C7:C56,C37)))))))))</x:f>
        <x:v>307260</x:v>
      </x:c>
    </x:row>
    <x:row r="38" ht="36" customHeight="1">
      <x:c r="A38" s="2" t="str">
        <x:v>TOPIXmini</x:v>
      </x:c>
      <x:c r="B38" s="2" t="str">
        <x:v>C33</x:v>
      </x:c>
      <x:c r="C38" s="2" t="str">
        <x:v>ナイト</x:v>
      </x:c>
      <x:c r="D38" s="2" t="str">
        <x:v>全50場</x:v>
      </x:c>
      <x:c r="E38" s="2" t="str">
        <x:v>C33</x:v>
      </x:c>
      <x:c r="F38" s="23" t="str">
        <x:v>前回の反転を先着併用</x:v>
      </x:c>
      <x:c r="G38" s="22" t="n">
        <x:f>COUNTIFS('TOPIX_C33'!C7:C56,C38)</x:f>
        <x:v>25</x:v>
      </x:c>
      <x:c r="H38" s="20" t="n">
        <x:f>SUMIFS('TOPIX_C33'!D7:D56,'TOPIX_C33'!C7:C56,C38)</x:f>
        <x:v>1074308</x:v>
      </x:c>
      <x:c r="I38" s="20" t="n">
        <x:f>SUMIFS('TOPIX_C33'!E7:E56,'TOPIX_C33'!C7:C56,C38)</x:f>
        <x:v>708114</x:v>
      </x:c>
      <x:c r="J38" s="20" t="n">
        <x:f>H38-I38</x:f>
        <x:v>366194</x:v>
      </x:c>
      <x:c r="K38" s="22" t="n">
        <x:f>SUMIFS('TOPIX_C33'!J7:J56,'TOPIX_C33'!C7:C56,C38)</x:f>
        <x:v>99</x:v>
      </x:c>
      <x:c r="L38" s="22" t="n">
        <x:f>COUNTIFS('TOPIX_C33'!F7:F56,"&gt;0",'TOPIX_C33'!C7:C56,C38)</x:f>
        <x:v>21</x:v>
      </x:c>
      <x:c r="M38" s="22" t="n">
        <x:f>COUNTIFS('TOPIX_C33'!F7:F56,"&lt;0",'TOPIX_C33'!C7:C56,C38)</x:f>
        <x:v>4</x:v>
      </x:c>
      <x:c r="N38" s="22" t="n">
        <x:f>COUNTIFS('TOPIX_C33'!J7:J56,"=0",'TOPIX_C33'!C7:C56,C38)</x:f>
        <x:v>0</x:v>
      </x:c>
      <x:c r="O38" s="20" t="n">
        <x:f>IF(M38=0,0,-SUMIFS('TOPIX_C33'!F7:F56,'TOPIX_C33'!F7:F56,"&lt;0",'TOPIX_C33'!C7:C56,C38)/M38)</x:f>
        <x:v>30753</x:v>
      </x:c>
      <x:c r="P38" s="20" t="n">
        <x:f>MAX(0,-_xlfn.MINIFS('TOPIX_C33'!F7:F56,'TOPIX_C33'!C7:C56,C38))</x:f>
        <x:v>44086</x:v>
      </x:c>
      <x:c r="Q38" s="20" t="n">
        <x:f>J38-MAX(0,_xlfn.MAXIFS('TOPIX_C33'!F7:F56,'TOPIX_C33'!C7:C56,C38))-IF(COUNTIFS('TOPIX_C33'!F7:F56,MAX(0,_xlfn.MAXIFS('TOPIX_C33'!F7:F56,'TOPIX_C33'!C7:C56,C38)),'TOPIX_C33'!C7:C56,C38)&gt;=2,MAX(0,_xlfn.MAXIFS('TOPIX_C33'!F7:F56,'TOPIX_C33'!C7:C56,C38)),MAX(0,_xlfn.MAXIFS('TOPIX_C33'!F7:F56,'TOPIX_C33'!C7:C56,C38,'TOPIX_C33'!F7:F56,"&lt;"&amp;MAX(0,_xlfn.MAXIFS('TOPIX_C33'!F7:F56,'TOPIX_C33'!C7:C56,C38)))))-IF(COUNTIFS('TOPIX_C33'!F7:F56,MAX(0,_xlfn.MAXIFS('TOPIX_C33'!F7:F56,'TOPIX_C33'!C7:C56,C38)),'TOPIX_C33'!C7:C56,C38)&gt;=3,MAX(0,_xlfn.MAXIFS('TOPIX_C33'!F7:F56,'TOPIX_C33'!C7:C56,C38)),IF(COUNTIFS('TOPIX_C33'!F7:F56,IF(COUNTIFS('TOPIX_C33'!F7:F56,MAX(0,_xlfn.MAXIFS('TOPIX_C33'!F7:F56,'TOPIX_C33'!C7:C56,C38)),'TOPIX_C33'!C7:C56,C38)&gt;=2,MAX(0,_xlfn.MAXIFS('TOPIX_C33'!F7:F56,'TOPIX_C33'!C7:C56,C38)),MAX(0,_xlfn.MAXIFS('TOPIX_C33'!F7:F56,'TOPIX_C33'!C7:C56,C38,'TOPIX_C33'!F7:F56,"&lt;"&amp;MAX(0,_xlfn.MAXIFS('TOPIX_C33'!F7:F56,'TOPIX_C33'!C7:C56,C38))))),'TOPIX_C33'!C7:C56,C38)+COUNTIFS('TOPIX_C33'!F7:F56,"&gt;"&amp;IF(COUNTIFS('TOPIX_C33'!F7:F56,MAX(0,_xlfn.MAXIFS('TOPIX_C33'!F7:F56,'TOPIX_C33'!C7:C56,C38)),'TOPIX_C33'!C7:C56,C38)&gt;=2,MAX(0,_xlfn.MAXIFS('TOPIX_C33'!F7:F56,'TOPIX_C33'!C7:C56,C38)),MAX(0,_xlfn.MAXIFS('TOPIX_C33'!F7:F56,'TOPIX_C33'!C7:C56,C38,'TOPIX_C33'!F7:F56,"&lt;"&amp;MAX(0,_xlfn.MAXIFS('TOPIX_C33'!F7:F56,'TOPIX_C33'!C7:C56,C38))))),'TOPIX_C33'!C7:C56,C38)&gt;=3,IF(COUNTIFS('TOPIX_C33'!F7:F56,MAX(0,_xlfn.MAXIFS('TOPIX_C33'!F7:F56,'TOPIX_C33'!C7:C56,C38)),'TOPIX_C33'!C7:C56,C38)&gt;=2,MAX(0,_xlfn.MAXIFS('TOPIX_C33'!F7:F56,'TOPIX_C33'!C7:C56,C38)),MAX(0,_xlfn.MAXIFS('TOPIX_C33'!F7:F56,'TOPIX_C33'!C7:C56,C38,'TOPIX_C33'!F7:F56,"&lt;"&amp;MAX(0,_xlfn.MAXIFS('TOPIX_C33'!F7:F56,'TOPIX_C33'!C7:C56,C38))))),MAX(0,_xlfn.MAXIFS('TOPIX_C33'!F7:F56,'TOPIX_C33'!C7:C56,C38,'TOPIX_C33'!F7:F56,"&lt;"&amp;IF(COUNTIFS('TOPIX_C33'!F7:F56,MAX(0,_xlfn.MAXIFS('TOPIX_C33'!F7:F56,'TOPIX_C33'!C7:C56,C38)),'TOPIX_C33'!C7:C56,C38)&gt;=2,MAX(0,_xlfn.MAXIFS('TOPIX_C33'!F7:F56,'TOPIX_C33'!C7:C56,C38)),MAX(0,_xlfn.MAXIFS('TOPIX_C33'!F7:F56,'TOPIX_C33'!C7:C56,C38,'TOPIX_C33'!F7:F56,"&lt;"&amp;MAX(0,_xlfn.MAXIFS('TOPIX_C33'!F7:F56,'TOPIX_C33'!C7:C56,C38)))))))))</x:f>
        <x:v>124284</x:v>
      </x:c>
    </x:row>
    <x:row r="39" ht="36" customHeight="1">
      <x:c r="A39" s="2" t="str">
        <x:v>TOPIXmini</x:v>
      </x:c>
      <x:c r="B39" s="2" t="str">
        <x:v>C33</x:v>
      </x:c>
      <x:c r="C39" s="2" t="str">
        <x:v>デイ</x:v>
      </x:c>
      <x:c r="D39" s="2" t="str">
        <x:v>対照47場</x:v>
      </x:c>
      <x:c r="E39" s="2" t="str">
        <x:v>C33</x:v>
      </x:c>
      <x:c r="F39" s="23" t="str">
        <x:v>前回の反転を先着併用</x:v>
      </x:c>
      <x:c r="G39" s="22" t="n">
        <x:f>COUNTIFS('TOPIX_C33'!C7:C53,C39)</x:f>
        <x:v>24</x:v>
      </x:c>
      <x:c r="H39" s="20" t="n">
        <x:f>SUMIFS('TOPIX_C33'!D7:D53,'TOPIX_C33'!C7:C53,C39)</x:f>
        <x:v>1374102</x:v>
      </x:c>
      <x:c r="I39" s="20" t="n">
        <x:f>SUMIFS('TOPIX_C33'!E7:E53,'TOPIX_C33'!C7:C53,C39)</x:f>
        <x:v>686264</x:v>
      </x:c>
      <x:c r="J39" s="20" t="n">
        <x:f>H39-I39</x:f>
        <x:v>687838</x:v>
      </x:c>
      <x:c r="K39" s="22" t="n">
        <x:f>SUMIFS('TOPIX_C33'!J7:J53,'TOPIX_C33'!C7:C53,C39)</x:f>
        <x:v>85</x:v>
      </x:c>
      <x:c r="L39" s="22" t="n">
        <x:f>COUNTIFS('TOPIX_C33'!F7:F53,"&gt;0",'TOPIX_C33'!C7:C53,C39)</x:f>
        <x:v>18</x:v>
      </x:c>
      <x:c r="M39" s="22" t="n">
        <x:f>COUNTIFS('TOPIX_C33'!F7:F53,"&lt;0",'TOPIX_C33'!C7:C53,C39)</x:f>
        <x:v>6</x:v>
      </x:c>
      <x:c r="N39" s="22" t="n">
        <x:f>COUNTIFS('TOPIX_C33'!J7:J53,"=0",'TOPIX_C33'!C7:C53,C39)</x:f>
        <x:v>0</x:v>
      </x:c>
      <x:c r="O39" s="20" t="n">
        <x:f>IF(M39=0,0,-SUMIFS('TOPIX_C33'!F7:F53,'TOPIX_C33'!F7:F53,"&lt;0",'TOPIX_C33'!C7:C53,C39)/M39)</x:f>
        <x:v>23555.166666666668</x:v>
      </x:c>
      <x:c r="P39" s="20" t="n">
        <x:f>MAX(0,-_xlfn.MINIFS('TOPIX_C33'!F7:F53,'TOPIX_C33'!C7:C53,C39))</x:f>
        <x:v>41080</x:v>
      </x:c>
      <x:c r="Q39" s="20" t="n">
        <x:f>J39-MAX(0,_xlfn.MAXIFS('TOPIX_C33'!F7:F53,'TOPIX_C33'!C7:C53,C39))-IF(COUNTIFS('TOPIX_C33'!F7:F53,MAX(0,_xlfn.MAXIFS('TOPIX_C33'!F7:F53,'TOPIX_C33'!C7:C53,C39)),'TOPIX_C33'!C7:C53,C39)&gt;=2,MAX(0,_xlfn.MAXIFS('TOPIX_C33'!F7:F53,'TOPIX_C33'!C7:C53,C39)),MAX(0,_xlfn.MAXIFS('TOPIX_C33'!F7:F53,'TOPIX_C33'!C7:C53,C39,'TOPIX_C33'!F7:F53,"&lt;"&amp;MAX(0,_xlfn.MAXIFS('TOPIX_C33'!F7:F53,'TOPIX_C33'!C7:C53,C39)))))-IF(COUNTIFS('TOPIX_C33'!F7:F53,MAX(0,_xlfn.MAXIFS('TOPIX_C33'!F7:F53,'TOPIX_C33'!C7:C53,C39)),'TOPIX_C33'!C7:C53,C39)&gt;=3,MAX(0,_xlfn.MAXIFS('TOPIX_C33'!F7:F53,'TOPIX_C33'!C7:C53,C39)),IF(COUNTIFS('TOPIX_C33'!F7:F53,IF(COUNTIFS('TOPIX_C33'!F7:F53,MAX(0,_xlfn.MAXIFS('TOPIX_C33'!F7:F53,'TOPIX_C33'!C7:C53,C39)),'TOPIX_C33'!C7:C53,C39)&gt;=2,MAX(0,_xlfn.MAXIFS('TOPIX_C33'!F7:F53,'TOPIX_C33'!C7:C53,C39)),MAX(0,_xlfn.MAXIFS('TOPIX_C33'!F7:F53,'TOPIX_C33'!C7:C53,C39,'TOPIX_C33'!F7:F53,"&lt;"&amp;MAX(0,_xlfn.MAXIFS('TOPIX_C33'!F7:F53,'TOPIX_C33'!C7:C53,C39))))),'TOPIX_C33'!C7:C53,C39)+COUNTIFS('TOPIX_C33'!F7:F53,"&gt;"&amp;IF(COUNTIFS('TOPIX_C33'!F7:F53,MAX(0,_xlfn.MAXIFS('TOPIX_C33'!F7:F53,'TOPIX_C33'!C7:C53,C39)),'TOPIX_C33'!C7:C53,C39)&gt;=2,MAX(0,_xlfn.MAXIFS('TOPIX_C33'!F7:F53,'TOPIX_C33'!C7:C53,C39)),MAX(0,_xlfn.MAXIFS('TOPIX_C33'!F7:F53,'TOPIX_C33'!C7:C53,C39,'TOPIX_C33'!F7:F53,"&lt;"&amp;MAX(0,_xlfn.MAXIFS('TOPIX_C33'!F7:F53,'TOPIX_C33'!C7:C53,C39))))),'TOPIX_C33'!C7:C53,C39)&gt;=3,IF(COUNTIFS('TOPIX_C33'!F7:F53,MAX(0,_xlfn.MAXIFS('TOPIX_C33'!F7:F53,'TOPIX_C33'!C7:C53,C39)),'TOPIX_C33'!C7:C53,C39)&gt;=2,MAX(0,_xlfn.MAXIFS('TOPIX_C33'!F7:F53,'TOPIX_C33'!C7:C53,C39)),MAX(0,_xlfn.MAXIFS('TOPIX_C33'!F7:F53,'TOPIX_C33'!C7:C53,C39,'TOPIX_C33'!F7:F53,"&lt;"&amp;MAX(0,_xlfn.MAXIFS('TOPIX_C33'!F7:F53,'TOPIX_C33'!C7:C53,C39))))),MAX(0,_xlfn.MAXIFS('TOPIX_C33'!F7:F53,'TOPIX_C33'!C7:C53,C39,'TOPIX_C33'!F7:F53,"&lt;"&amp;IF(COUNTIFS('TOPIX_C33'!F7:F53,MAX(0,_xlfn.MAXIFS('TOPIX_C33'!F7:F53,'TOPIX_C33'!C7:C53,C39)),'TOPIX_C33'!C7:C53,C39)&gt;=2,MAX(0,_xlfn.MAXIFS('TOPIX_C33'!F7:F53,'TOPIX_C33'!C7:C53,C39)),MAX(0,_xlfn.MAXIFS('TOPIX_C33'!F7:F53,'TOPIX_C33'!C7:C53,C39,'TOPIX_C33'!F7:F53,"&lt;"&amp;MAX(0,_xlfn.MAXIFS('TOPIX_C33'!F7:F53,'TOPIX_C33'!C7:C53,C39)))))))))</x:f>
        <x:v>375588</x:v>
      </x:c>
    </x:row>
    <x:row r="40" ht="36" customHeight="1">
      <x:c r="A40" s="2" t="str">
        <x:v>TOPIXmini</x:v>
      </x:c>
      <x:c r="B40" s="2" t="str">
        <x:v>C33</x:v>
      </x:c>
      <x:c r="C40" s="2" t="str">
        <x:v>ナイト</x:v>
      </x:c>
      <x:c r="D40" s="2" t="str">
        <x:v>対照47場</x:v>
      </x:c>
      <x:c r="E40" s="2" t="str">
        <x:v>C33</x:v>
      </x:c>
      <x:c r="F40" s="23" t="str">
        <x:v>前回の反転を先着併用</x:v>
      </x:c>
      <x:c r="G40" s="22" t="n">
        <x:f>COUNTIFS('TOPIX_C33'!C7:C53,C40)</x:f>
        <x:v>23</x:v>
      </x:c>
      <x:c r="H40" s="20" t="n">
        <x:f>SUMIFS('TOPIX_C33'!D7:D53,'TOPIX_C33'!C7:C53,C40)</x:f>
        <x:v>944810</x:v>
      </x:c>
      <x:c r="I40" s="20" t="n">
        <x:f>SUMIFS('TOPIX_C33'!E7:E53,'TOPIX_C33'!C7:C53,C40)</x:f>
        <x:v>654112</x:v>
      </x:c>
      <x:c r="J40" s="20" t="n">
        <x:f>H40-I40</x:f>
        <x:v>290698</x:v>
      </x:c>
      <x:c r="K40" s="22" t="n">
        <x:f>SUMIFS('TOPIX_C33'!J7:J53,'TOPIX_C33'!C7:C53,C40)</x:f>
        <x:v>87</x:v>
      </x:c>
      <x:c r="L40" s="22" t="n">
        <x:f>COUNTIFS('TOPIX_C33'!F7:F53,"&gt;0",'TOPIX_C33'!C7:C53,C40)</x:f>
        <x:v>19</x:v>
      </x:c>
      <x:c r="M40" s="22" t="n">
        <x:f>COUNTIFS('TOPIX_C33'!F7:F53,"&lt;0",'TOPIX_C33'!C7:C53,C40)</x:f>
        <x:v>4</x:v>
      </x:c>
      <x:c r="N40" s="22" t="n">
        <x:f>COUNTIFS('TOPIX_C33'!J7:J53,"=0",'TOPIX_C33'!C7:C53,C40)</x:f>
        <x:v>0</x:v>
      </x:c>
      <x:c r="O40" s="20" t="n">
        <x:f>IF(M40=0,0,-SUMIFS('TOPIX_C33'!F7:F53,'TOPIX_C33'!F7:F53,"&lt;0",'TOPIX_C33'!C7:C53,C40)/M40)</x:f>
        <x:v>30753</x:v>
      </x:c>
      <x:c r="P40" s="20" t="n">
        <x:f>MAX(0,-_xlfn.MINIFS('TOPIX_C33'!F7:F53,'TOPIX_C33'!C7:C53,C40))</x:f>
        <x:v>44086</x:v>
      </x:c>
      <x:c r="Q40" s="20" t="n">
        <x:f>J40-MAX(0,_xlfn.MAXIFS('TOPIX_C33'!F7:F53,'TOPIX_C33'!C7:C53,C40))-IF(COUNTIFS('TOPIX_C33'!F7:F53,MAX(0,_xlfn.MAXIFS('TOPIX_C33'!F7:F53,'TOPIX_C33'!C7:C53,C40)),'TOPIX_C33'!C7:C53,C40)&gt;=2,MAX(0,_xlfn.MAXIFS('TOPIX_C33'!F7:F53,'TOPIX_C33'!C7:C53,C40)),MAX(0,_xlfn.MAXIFS('TOPIX_C33'!F7:F53,'TOPIX_C33'!C7:C53,C40,'TOPIX_C33'!F7:F53,"&lt;"&amp;MAX(0,_xlfn.MAXIFS('TOPIX_C33'!F7:F53,'TOPIX_C33'!C7:C53,C40)))))-IF(COUNTIFS('TOPIX_C33'!F7:F53,MAX(0,_xlfn.MAXIFS('TOPIX_C33'!F7:F53,'TOPIX_C33'!C7:C53,C40)),'TOPIX_C33'!C7:C53,C40)&gt;=3,MAX(0,_xlfn.MAXIFS('TOPIX_C33'!F7:F53,'TOPIX_C33'!C7:C53,C40)),IF(COUNTIFS('TOPIX_C33'!F7:F53,IF(COUNTIFS('TOPIX_C33'!F7:F53,MAX(0,_xlfn.MAXIFS('TOPIX_C33'!F7:F53,'TOPIX_C33'!C7:C53,C40)),'TOPIX_C33'!C7:C53,C40)&gt;=2,MAX(0,_xlfn.MAXIFS('TOPIX_C33'!F7:F53,'TOPIX_C33'!C7:C53,C40)),MAX(0,_xlfn.MAXIFS('TOPIX_C33'!F7:F53,'TOPIX_C33'!C7:C53,C40,'TOPIX_C33'!F7:F53,"&lt;"&amp;MAX(0,_xlfn.MAXIFS('TOPIX_C33'!F7:F53,'TOPIX_C33'!C7:C53,C40))))),'TOPIX_C33'!C7:C53,C40)+COUNTIFS('TOPIX_C33'!F7:F53,"&gt;"&amp;IF(COUNTIFS('TOPIX_C33'!F7:F53,MAX(0,_xlfn.MAXIFS('TOPIX_C33'!F7:F53,'TOPIX_C33'!C7:C53,C40)),'TOPIX_C33'!C7:C53,C40)&gt;=2,MAX(0,_xlfn.MAXIFS('TOPIX_C33'!F7:F53,'TOPIX_C33'!C7:C53,C40)),MAX(0,_xlfn.MAXIFS('TOPIX_C33'!F7:F53,'TOPIX_C33'!C7:C53,C40,'TOPIX_C33'!F7:F53,"&lt;"&amp;MAX(0,_xlfn.MAXIFS('TOPIX_C33'!F7:F53,'TOPIX_C33'!C7:C53,C40))))),'TOPIX_C33'!C7:C53,C40)&gt;=3,IF(COUNTIFS('TOPIX_C33'!F7:F53,MAX(0,_xlfn.MAXIFS('TOPIX_C33'!F7:F53,'TOPIX_C33'!C7:C53,C40)),'TOPIX_C33'!C7:C53,C40)&gt;=2,MAX(0,_xlfn.MAXIFS('TOPIX_C33'!F7:F53,'TOPIX_C33'!C7:C53,C40)),MAX(0,_xlfn.MAXIFS('TOPIX_C33'!F7:F53,'TOPIX_C33'!C7:C53,C40,'TOPIX_C33'!F7:F53,"&lt;"&amp;MAX(0,_xlfn.MAXIFS('TOPIX_C33'!F7:F53,'TOPIX_C33'!C7:C53,C40))))),MAX(0,_xlfn.MAXIFS('TOPIX_C33'!F7:F53,'TOPIX_C33'!C7:C53,C40,'TOPIX_C33'!F7:F53,"&lt;"&amp;IF(COUNTIFS('TOPIX_C33'!F7:F53,MAX(0,_xlfn.MAXIFS('TOPIX_C33'!F7:F53,'TOPIX_C33'!C7:C53,C40)),'TOPIX_C33'!C7:C53,C40)&gt;=2,MAX(0,_xlfn.MAXIFS('TOPIX_C33'!F7:F53,'TOPIX_C33'!C7:C53,C40)),MAX(0,_xlfn.MAXIFS('TOPIX_C33'!F7:F53,'TOPIX_C33'!C7:C53,C40,'TOPIX_C33'!F7:F53,"&lt;"&amp;MAX(0,_xlfn.MAXIFS('TOPIX_C33'!F7:F53,'TOPIX_C33'!C7:C53,C40)))))))))</x:f>
        <x:v>69618</x:v>
      </x:c>
    </x:row>
    <x:row r="41" ht="36" customHeight="1">
      <x:c r="A41" s="2" t="str">
        <x:v>TOPIXmini</x:v>
      </x:c>
      <x:c r="B41" s="2" t="str">
        <x:v>C33</x:v>
      </x:c>
      <x:c r="C41" s="2" t="str">
        <x:v>デイ</x:v>
      </x:c>
      <x:c r="D41" s="2" t="str">
        <x:v>診断3場</x:v>
      </x:c>
      <x:c r="E41" s="2" t="str">
        <x:v>C33</x:v>
      </x:c>
      <x:c r="F41" s="23" t="str">
        <x:v>前回の反転を先着併用</x:v>
      </x:c>
      <x:c r="G41" s="22" t="n">
        <x:f>COUNTIFS('TOPIX_C33'!C54:C56,C41)</x:f>
        <x:v>1</x:v>
      </x:c>
      <x:c r="H41" s="20" t="n">
        <x:f>SUMIFS('TOPIX_C33'!D54:D56,'TOPIX_C33'!C54:C56,C41)</x:f>
        <x:v>59336</x:v>
      </x:c>
      <x:c r="I41" s="20" t="n">
        <x:f>SUMIFS('TOPIX_C33'!E54:E56,'TOPIX_C33'!C54:C56,C41)</x:f>
        <x:v>127664</x:v>
      </x:c>
      <x:c r="J41" s="20" t="n">
        <x:f>H41-I41</x:f>
        <x:v>-68328</x:v>
      </x:c>
      <x:c r="K41" s="22" t="n">
        <x:f>SUMIFS('TOPIX_C33'!J54:J56,'TOPIX_C33'!C54:C56,C41)</x:f>
        <x:v>10</x:v>
      </x:c>
      <x:c r="L41" s="22" t="n">
        <x:f>COUNTIFS('TOPIX_C33'!F54:F56,"&gt;0",'TOPIX_C33'!C54:C56,C41)</x:f>
        <x:v>0</x:v>
      </x:c>
      <x:c r="M41" s="22" t="n">
        <x:f>COUNTIFS('TOPIX_C33'!F54:F56,"&lt;0",'TOPIX_C33'!C54:C56,C41)</x:f>
        <x:v>1</x:v>
      </x:c>
      <x:c r="N41" s="22" t="n">
        <x:f>COUNTIFS('TOPIX_C33'!J54:J56,"=0",'TOPIX_C33'!C54:C56,C41)</x:f>
        <x:v>0</x:v>
      </x:c>
      <x:c r="O41" s="20" t="n">
        <x:f>IF(M41=0,0,-SUMIFS('TOPIX_C33'!F54:F56,'TOPIX_C33'!F54:F56,"&lt;0",'TOPIX_C33'!C54:C56,C41)/M41)</x:f>
        <x:v>68328</x:v>
      </x:c>
      <x:c r="P41" s="20" t="n">
        <x:f>MAX(0,-_xlfn.MINIFS('TOPIX_C33'!F54:F56,'TOPIX_C33'!C54:C56,C41))</x:f>
        <x:v>68328</x:v>
      </x:c>
      <x:c r="Q41" s="20" t="n">
        <x:f>J41-MAX(0,_xlfn.MAXIFS('TOPIX_C33'!F54:F56,'TOPIX_C33'!C54:C56,C41))-IF(COUNTIFS('TOPIX_C33'!F54:F56,MAX(0,_xlfn.MAXIFS('TOPIX_C33'!F54:F56,'TOPIX_C33'!C54:C56,C41)),'TOPIX_C33'!C54:C56,C41)&gt;=2,MAX(0,_xlfn.MAXIFS('TOPIX_C33'!F54:F56,'TOPIX_C33'!C54:C56,C41)),MAX(0,_xlfn.MAXIFS('TOPIX_C33'!F54:F56,'TOPIX_C33'!C54:C56,C41,'TOPIX_C33'!F54:F56,"&lt;"&amp;MAX(0,_xlfn.MAXIFS('TOPIX_C33'!F54:F56,'TOPIX_C33'!C54:C56,C41)))))-IF(COUNTIFS('TOPIX_C33'!F54:F56,MAX(0,_xlfn.MAXIFS('TOPIX_C33'!F54:F56,'TOPIX_C33'!C54:C56,C41)),'TOPIX_C33'!C54:C56,C41)&gt;=3,MAX(0,_xlfn.MAXIFS('TOPIX_C33'!F54:F56,'TOPIX_C33'!C54:C56,C41)),IF(COUNTIFS('TOPIX_C33'!F54:F56,IF(COUNTIFS('TOPIX_C33'!F54:F56,MAX(0,_xlfn.MAXIFS('TOPIX_C33'!F54:F56,'TOPIX_C33'!C54:C56,C41)),'TOPIX_C33'!C54:C56,C41)&gt;=2,MAX(0,_xlfn.MAXIFS('TOPIX_C33'!F54:F56,'TOPIX_C33'!C54:C56,C41)),MAX(0,_xlfn.MAXIFS('TOPIX_C33'!F54:F56,'TOPIX_C33'!C54:C56,C41,'TOPIX_C33'!F54:F56,"&lt;"&amp;MAX(0,_xlfn.MAXIFS('TOPIX_C33'!F54:F56,'TOPIX_C33'!C54:C56,C41))))),'TOPIX_C33'!C54:C56,C41)+COUNTIFS('TOPIX_C33'!F54:F56,"&gt;"&amp;IF(COUNTIFS('TOPIX_C33'!F54:F56,MAX(0,_xlfn.MAXIFS('TOPIX_C33'!F54:F56,'TOPIX_C33'!C54:C56,C41)),'TOPIX_C33'!C54:C56,C41)&gt;=2,MAX(0,_xlfn.MAXIFS('TOPIX_C33'!F54:F56,'TOPIX_C33'!C54:C56,C41)),MAX(0,_xlfn.MAXIFS('TOPIX_C33'!F54:F56,'TOPIX_C33'!C54:C56,C41,'TOPIX_C33'!F54:F56,"&lt;"&amp;MAX(0,_xlfn.MAXIFS('TOPIX_C33'!F54:F56,'TOPIX_C33'!C54:C56,C41))))),'TOPIX_C33'!C54:C56,C41)&gt;=3,IF(COUNTIFS('TOPIX_C33'!F54:F56,MAX(0,_xlfn.MAXIFS('TOPIX_C33'!F54:F56,'TOPIX_C33'!C54:C56,C41)),'TOPIX_C33'!C54:C56,C41)&gt;=2,MAX(0,_xlfn.MAXIFS('TOPIX_C33'!F54:F56,'TOPIX_C33'!C54:C56,C41)),MAX(0,_xlfn.MAXIFS('TOPIX_C33'!F54:F56,'TOPIX_C33'!C54:C56,C41,'TOPIX_C33'!F54:F56,"&lt;"&amp;MAX(0,_xlfn.MAXIFS('TOPIX_C33'!F54:F56,'TOPIX_C33'!C54:C56,C41))))),MAX(0,_xlfn.MAXIFS('TOPIX_C33'!F54:F56,'TOPIX_C33'!C54:C56,C41,'TOPIX_C33'!F54:F56,"&lt;"&amp;IF(COUNTIFS('TOPIX_C33'!F54:F56,MAX(0,_xlfn.MAXIFS('TOPIX_C33'!F54:F56,'TOPIX_C33'!C54:C56,C41)),'TOPIX_C33'!C54:C56,C41)&gt;=2,MAX(0,_xlfn.MAXIFS('TOPIX_C33'!F54:F56,'TOPIX_C33'!C54:C56,C41)),MAX(0,_xlfn.MAXIFS('TOPIX_C33'!F54:F56,'TOPIX_C33'!C54:C56,C41,'TOPIX_C33'!F54:F56,"&lt;"&amp;MAX(0,_xlfn.MAXIFS('TOPIX_C33'!F54:F56,'TOPIX_C33'!C54:C56,C41)))))))))</x:f>
        <x:v>-68328</x:v>
      </x:c>
    </x:row>
    <x:row r="42" ht="36" customHeight="1">
      <x:c r="A42" s="2" t="str">
        <x:v>TOPIXmini</x:v>
      </x:c>
      <x:c r="B42" s="2" t="str">
        <x:v>C33</x:v>
      </x:c>
      <x:c r="C42" s="2" t="str">
        <x:v>ナイト</x:v>
      </x:c>
      <x:c r="D42" s="2" t="str">
        <x:v>診断3場</x:v>
      </x:c>
      <x:c r="E42" s="2" t="str">
        <x:v>C33</x:v>
      </x:c>
      <x:c r="F42" s="23" t="str">
        <x:v>前回の反転を先着併用</x:v>
      </x:c>
      <x:c r="G42" s="22" t="n">
        <x:f>COUNTIFS('TOPIX_C33'!C54:C56,C42)</x:f>
        <x:v>2</x:v>
      </x:c>
      <x:c r="H42" s="20" t="n">
        <x:f>SUMIFS('TOPIX_C33'!D54:D56,'TOPIX_C33'!C54:C56,C42)</x:f>
        <x:v>129498</x:v>
      </x:c>
      <x:c r="I42" s="20" t="n">
        <x:f>SUMIFS('TOPIX_C33'!E54:E56,'TOPIX_C33'!C54:C56,C42)</x:f>
        <x:v>54002</x:v>
      </x:c>
      <x:c r="J42" s="20" t="n">
        <x:f>H42-I42</x:f>
        <x:v>75496</x:v>
      </x:c>
      <x:c r="K42" s="22" t="n">
        <x:f>SUMIFS('TOPIX_C33'!J54:J56,'TOPIX_C33'!C54:C56,C42)</x:f>
        <x:v>12</x:v>
      </x:c>
      <x:c r="L42" s="22" t="n">
        <x:f>COUNTIFS('TOPIX_C33'!F54:F56,"&gt;0",'TOPIX_C33'!C54:C56,C42)</x:f>
        <x:v>2</x:v>
      </x:c>
      <x:c r="M42" s="22" t="n">
        <x:f>COUNTIFS('TOPIX_C33'!F54:F56,"&lt;0",'TOPIX_C33'!C54:C56,C42)</x:f>
        <x:v>0</x:v>
      </x:c>
      <x:c r="N42" s="22" t="n">
        <x:f>COUNTIFS('TOPIX_C33'!J54:J56,"=0",'TOPIX_C33'!C54:C56,C42)</x:f>
        <x:v>0</x:v>
      </x:c>
      <x:c r="O42" s="20" t="n">
        <x:f>IF(M42=0,0,-SUMIFS('TOPIX_C33'!F54:F56,'TOPIX_C33'!F54:F56,"&lt;0",'TOPIX_C33'!C54:C56,C42)/M42)</x:f>
        <x:v>0</x:v>
      </x:c>
      <x:c r="P42" s="20" t="n">
        <x:f>MAX(0,-_xlfn.MINIFS('TOPIX_C33'!F54:F56,'TOPIX_C33'!C54:C56,C42))</x:f>
        <x:v>0</x:v>
      </x:c>
      <x:c r="Q42" s="20" t="n">
        <x:f>J42-MAX(0,_xlfn.MAXIFS('TOPIX_C33'!F54:F56,'TOPIX_C33'!C54:C56,C42))-IF(COUNTIFS('TOPIX_C33'!F54:F56,MAX(0,_xlfn.MAXIFS('TOPIX_C33'!F54:F56,'TOPIX_C33'!C54:C56,C42)),'TOPIX_C33'!C54:C56,C42)&gt;=2,MAX(0,_xlfn.MAXIFS('TOPIX_C33'!F54:F56,'TOPIX_C33'!C54:C56,C42)),MAX(0,_xlfn.MAXIFS('TOPIX_C33'!F54:F56,'TOPIX_C33'!C54:C56,C42,'TOPIX_C33'!F54:F56,"&lt;"&amp;MAX(0,_xlfn.MAXIFS('TOPIX_C33'!F54:F56,'TOPIX_C33'!C54:C56,C42)))))-IF(COUNTIFS('TOPIX_C33'!F54:F56,MAX(0,_xlfn.MAXIFS('TOPIX_C33'!F54:F56,'TOPIX_C33'!C54:C56,C42)),'TOPIX_C33'!C54:C56,C42)&gt;=3,MAX(0,_xlfn.MAXIFS('TOPIX_C33'!F54:F56,'TOPIX_C33'!C54:C56,C42)),IF(COUNTIFS('TOPIX_C33'!F54:F56,IF(COUNTIFS('TOPIX_C33'!F54:F56,MAX(0,_xlfn.MAXIFS('TOPIX_C33'!F54:F56,'TOPIX_C33'!C54:C56,C42)),'TOPIX_C33'!C54:C56,C42)&gt;=2,MAX(0,_xlfn.MAXIFS('TOPIX_C33'!F54:F56,'TOPIX_C33'!C54:C56,C42)),MAX(0,_xlfn.MAXIFS('TOPIX_C33'!F54:F56,'TOPIX_C33'!C54:C56,C42,'TOPIX_C33'!F54:F56,"&lt;"&amp;MAX(0,_xlfn.MAXIFS('TOPIX_C33'!F54:F56,'TOPIX_C33'!C54:C56,C42))))),'TOPIX_C33'!C54:C56,C42)+COUNTIFS('TOPIX_C33'!F54:F56,"&gt;"&amp;IF(COUNTIFS('TOPIX_C33'!F54:F56,MAX(0,_xlfn.MAXIFS('TOPIX_C33'!F54:F56,'TOPIX_C33'!C54:C56,C42)),'TOPIX_C33'!C54:C56,C42)&gt;=2,MAX(0,_xlfn.MAXIFS('TOPIX_C33'!F54:F56,'TOPIX_C33'!C54:C56,C42)),MAX(0,_xlfn.MAXIFS('TOPIX_C33'!F54:F56,'TOPIX_C33'!C54:C56,C42,'TOPIX_C33'!F54:F56,"&lt;"&amp;MAX(0,_xlfn.MAXIFS('TOPIX_C33'!F54:F56,'TOPIX_C33'!C54:C56,C42))))),'TOPIX_C33'!C54:C56,C42)&gt;=3,IF(COUNTIFS('TOPIX_C33'!F54:F56,MAX(0,_xlfn.MAXIFS('TOPIX_C33'!F54:F56,'TOPIX_C33'!C54:C56,C42)),'TOPIX_C33'!C54:C56,C42)&gt;=2,MAX(0,_xlfn.MAXIFS('TOPIX_C33'!F54:F56,'TOPIX_C33'!C54:C56,C42)),MAX(0,_xlfn.MAXIFS('TOPIX_C33'!F54:F56,'TOPIX_C33'!C54:C56,C42,'TOPIX_C33'!F54:F56,"&lt;"&amp;MAX(0,_xlfn.MAXIFS('TOPIX_C33'!F54:F56,'TOPIX_C33'!C54:C56,C42))))),MAX(0,_xlfn.MAXIFS('TOPIX_C33'!F54:F56,'TOPIX_C33'!C54:C56,C42,'TOPIX_C33'!F54:F56,"&lt;"&amp;IF(COUNTIFS('TOPIX_C33'!F54:F56,MAX(0,_xlfn.MAXIFS('TOPIX_C33'!F54:F56,'TOPIX_C33'!C54:C56,C42)),'TOPIX_C33'!C54:C56,C42)&gt;=2,MAX(0,_xlfn.MAXIFS('TOPIX_C33'!F54:F56,'TOPIX_C33'!C54:C56,C42)),MAX(0,_xlfn.MAXIFS('TOPIX_C33'!F54:F56,'TOPIX_C33'!C54:C56,C42,'TOPIX_C33'!F54:F56,"&lt;"&amp;MAX(0,_xlfn.MAXIFS('TOPIX_C33'!F54:F56,'TOPIX_C33'!C54:C56,C42)))))))))</x:f>
        <x:v>0</x:v>
      </x:c>
    </x:row>
    <x:row r="43" ht="36" customHeight="1">
      <x:c r="A43" s="2" t="str">
        <x:v>TOPIXmini</x:v>
      </x:c>
      <x:c r="B43" s="2" t="str">
        <x:v>M1</x:v>
      </x:c>
      <x:c r="C43" s="2" t="str">
        <x:v>デイ</x:v>
      </x:c>
      <x:c r="D43" s="2" t="str">
        <x:v>全50場</x:v>
      </x:c>
      <x:c r="E43" s="2" t="str">
        <x:v>G06</x:v>
      </x:c>
      <x:c r="F43" s="23" t="str">
        <x:v>今回の損失削減を重視する昼夜別案</x:v>
      </x:c>
      <x:c r="G43" s="22" t="n">
        <x:f>COUNTIFS('TOPIX_M1'!C7:C56,C43)</x:f>
        <x:v>25</x:v>
      </x:c>
      <x:c r="H43" s="20" t="n">
        <x:f>SUMIFS('TOPIX_M1'!D7:D56,'TOPIX_M1'!C7:C56,C43)</x:f>
        <x:v>1518188</x:v>
      </x:c>
      <x:c r="I43" s="20" t="n">
        <x:f>SUMIFS('TOPIX_M1'!E7:E56,'TOPIX_M1'!C7:C56,C43)</x:f>
        <x:v>908578</x:v>
      </x:c>
      <x:c r="J43" s="20" t="n">
        <x:f>H43-I43</x:f>
        <x:v>609610</x:v>
      </x:c>
      <x:c r="K43" s="22" t="n">
        <x:f>SUMIFS('TOPIX_M1'!J7:J56,'TOPIX_M1'!C7:C56,C43)</x:f>
        <x:v>134</x:v>
      </x:c>
      <x:c r="L43" s="22" t="n">
        <x:f>COUNTIFS('TOPIX_M1'!F7:F56,"&gt;0",'TOPIX_M1'!C7:C56,C43)</x:f>
        <x:v>16</x:v>
      </x:c>
      <x:c r="M43" s="22" t="n">
        <x:f>COUNTIFS('TOPIX_M1'!F7:F56,"&lt;0",'TOPIX_M1'!C7:C56,C43)</x:f>
        <x:v>9</x:v>
      </x:c>
      <x:c r="N43" s="22" t="n">
        <x:f>COUNTIFS('TOPIX_M1'!J7:J56,"=0",'TOPIX_M1'!C7:C56,C43)</x:f>
        <x:v>0</x:v>
      </x:c>
      <x:c r="O43" s="20" t="n">
        <x:f>IF(M43=0,0,-SUMIFS('TOPIX_M1'!F7:F56,'TOPIX_M1'!F7:F56,"&lt;0",'TOPIX_M1'!C7:C56,C43)/M43)</x:f>
        <x:v>28951.555555555555</x:v>
      </x:c>
      <x:c r="P43" s="20" t="n">
        <x:f>MAX(0,-_xlfn.MINIFS('TOPIX_M1'!F7:F56,'TOPIX_M1'!C7:C56,C43))</x:f>
        <x:v>53919</x:v>
      </x:c>
      <x:c r="Q43" s="20" t="n">
        <x:f>J43-MAX(0,_xlfn.MAXIFS('TOPIX_M1'!F7:F56,'TOPIX_M1'!C7:C56,C43))-IF(COUNTIFS('TOPIX_M1'!F7:F56,MAX(0,_xlfn.MAXIFS('TOPIX_M1'!F7:F56,'TOPIX_M1'!C7:C56,C43)),'TOPIX_M1'!C7:C56,C43)&gt;=2,MAX(0,_xlfn.MAXIFS('TOPIX_M1'!F7:F56,'TOPIX_M1'!C7:C56,C43)),MAX(0,_xlfn.MAXIFS('TOPIX_M1'!F7:F56,'TOPIX_M1'!C7:C56,C43,'TOPIX_M1'!F7:F56,"&lt;"&amp;MAX(0,_xlfn.MAXIFS('TOPIX_M1'!F7:F56,'TOPIX_M1'!C7:C56,C43)))))-IF(COUNTIFS('TOPIX_M1'!F7:F56,MAX(0,_xlfn.MAXIFS('TOPIX_M1'!F7:F56,'TOPIX_M1'!C7:C56,C43)),'TOPIX_M1'!C7:C56,C43)&gt;=3,MAX(0,_xlfn.MAXIFS('TOPIX_M1'!F7:F56,'TOPIX_M1'!C7:C56,C43)),IF(COUNTIFS('TOPIX_M1'!F7:F56,IF(COUNTIFS('TOPIX_M1'!F7:F56,MAX(0,_xlfn.MAXIFS('TOPIX_M1'!F7:F56,'TOPIX_M1'!C7:C56,C43)),'TOPIX_M1'!C7:C56,C43)&gt;=2,MAX(0,_xlfn.MAXIFS('TOPIX_M1'!F7:F56,'TOPIX_M1'!C7:C56,C43)),MAX(0,_xlfn.MAXIFS('TOPIX_M1'!F7:F56,'TOPIX_M1'!C7:C56,C43,'TOPIX_M1'!F7:F56,"&lt;"&amp;MAX(0,_xlfn.MAXIFS('TOPIX_M1'!F7:F56,'TOPIX_M1'!C7:C56,C43))))),'TOPIX_M1'!C7:C56,C43)+COUNTIFS('TOPIX_M1'!F7:F56,"&gt;"&amp;IF(COUNTIFS('TOPIX_M1'!F7:F56,MAX(0,_xlfn.MAXIFS('TOPIX_M1'!F7:F56,'TOPIX_M1'!C7:C56,C43)),'TOPIX_M1'!C7:C56,C43)&gt;=2,MAX(0,_xlfn.MAXIFS('TOPIX_M1'!F7:F56,'TOPIX_M1'!C7:C56,C43)),MAX(0,_xlfn.MAXIFS('TOPIX_M1'!F7:F56,'TOPIX_M1'!C7:C56,C43,'TOPIX_M1'!F7:F56,"&lt;"&amp;MAX(0,_xlfn.MAXIFS('TOPIX_M1'!F7:F56,'TOPIX_M1'!C7:C56,C43))))),'TOPIX_M1'!C7:C56,C43)&gt;=3,IF(COUNTIFS('TOPIX_M1'!F7:F56,MAX(0,_xlfn.MAXIFS('TOPIX_M1'!F7:F56,'TOPIX_M1'!C7:C56,C43)),'TOPIX_M1'!C7:C56,C43)&gt;=2,MAX(0,_xlfn.MAXIFS('TOPIX_M1'!F7:F56,'TOPIX_M1'!C7:C56,C43)),MAX(0,_xlfn.MAXIFS('TOPIX_M1'!F7:F56,'TOPIX_M1'!C7:C56,C43,'TOPIX_M1'!F7:F56,"&lt;"&amp;MAX(0,_xlfn.MAXIFS('TOPIX_M1'!F7:F56,'TOPIX_M1'!C7:C56,C43))))),MAX(0,_xlfn.MAXIFS('TOPIX_M1'!F7:F56,'TOPIX_M1'!C7:C56,C43,'TOPIX_M1'!F7:F56,"&lt;"&amp;IF(COUNTIFS('TOPIX_M1'!F7:F56,MAX(0,_xlfn.MAXIFS('TOPIX_M1'!F7:F56,'TOPIX_M1'!C7:C56,C43)),'TOPIX_M1'!C7:C56,C43)&gt;=2,MAX(0,_xlfn.MAXIFS('TOPIX_M1'!F7:F56,'TOPIX_M1'!C7:C56,C43)),MAX(0,_xlfn.MAXIFS('TOPIX_M1'!F7:F56,'TOPIX_M1'!C7:C56,C43,'TOPIX_M1'!F7:F56,"&lt;"&amp;MAX(0,_xlfn.MAXIFS('TOPIX_M1'!F7:F56,'TOPIX_M1'!C7:C56,C43)))))))))</x:f>
        <x:v>306856</x:v>
      </x:c>
    </x:row>
    <x:row r="44" ht="36" customHeight="1">
      <x:c r="A44" s="2" t="str">
        <x:v>TOPIXmini</x:v>
      </x:c>
      <x:c r="B44" s="2" t="str">
        <x:v>M1</x:v>
      </x:c>
      <x:c r="C44" s="2" t="str">
        <x:v>ナイト</x:v>
      </x:c>
      <x:c r="D44" s="2" t="str">
        <x:v>全50場</x:v>
      </x:c>
      <x:c r="E44" s="2" t="str">
        <x:v>H02</x:v>
      </x:c>
      <x:c r="F44" s="23" t="str">
        <x:v>今回の損失削減を重視する昼夜別案</x:v>
      </x:c>
      <x:c r="G44" s="22" t="n">
        <x:f>COUNTIFS('TOPIX_M1'!C7:C56,C44)</x:f>
        <x:v>25</x:v>
      </x:c>
      <x:c r="H44" s="20" t="n">
        <x:f>SUMIFS('TOPIX_M1'!D7:D56,'TOPIX_M1'!C7:C56,C44)</x:f>
        <x:v>1022716</x:v>
      </x:c>
      <x:c r="I44" s="20" t="n">
        <x:f>SUMIFS('TOPIX_M1'!E7:E56,'TOPIX_M1'!C7:C56,C44)</x:f>
        <x:v>642610</x:v>
      </x:c>
      <x:c r="J44" s="20" t="n">
        <x:f>H44-I44</x:f>
        <x:v>380106</x:v>
      </x:c>
      <x:c r="K44" s="22" t="n">
        <x:f>SUMIFS('TOPIX_M1'!J7:J56,'TOPIX_M1'!C7:C56,C44)</x:f>
        <x:v>83</x:v>
      </x:c>
      <x:c r="L44" s="22" t="n">
        <x:f>COUNTIFS('TOPIX_M1'!F7:F56,"&gt;0",'TOPIX_M1'!C7:C56,C44)</x:f>
        <x:v>22</x:v>
      </x:c>
      <x:c r="M44" s="22" t="n">
        <x:f>COUNTIFS('TOPIX_M1'!F7:F56,"&lt;0",'TOPIX_M1'!C7:C56,C44)</x:f>
        <x:v>3</x:v>
      </x:c>
      <x:c r="N44" s="22" t="n">
        <x:f>COUNTIFS('TOPIX_M1'!J7:J56,"=0",'TOPIX_M1'!C7:C56,C44)</x:f>
        <x:v>0</x:v>
      </x:c>
      <x:c r="O44" s="20" t="n">
        <x:f>IF(M44=0,0,-SUMIFS('TOPIX_M1'!F7:F56,'TOPIX_M1'!F7:F56,"&lt;0",'TOPIX_M1'!C7:C56,C44)/M44)</x:f>
        <x:v>38558.666666666664</x:v>
      </x:c>
      <x:c r="P44" s="20" t="n">
        <x:f>MAX(0,-_xlfn.MINIFS('TOPIX_M1'!F7:F56,'TOPIX_M1'!C7:C56,C44))</x:f>
        <x:v>40836</x:v>
      </x:c>
      <x:c r="Q44" s="20" t="n">
        <x:f>J44-MAX(0,_xlfn.MAXIFS('TOPIX_M1'!F7:F56,'TOPIX_M1'!C7:C56,C44))-IF(COUNTIFS('TOPIX_M1'!F7:F56,MAX(0,_xlfn.MAXIFS('TOPIX_M1'!F7:F56,'TOPIX_M1'!C7:C56,C44)),'TOPIX_M1'!C7:C56,C44)&gt;=2,MAX(0,_xlfn.MAXIFS('TOPIX_M1'!F7:F56,'TOPIX_M1'!C7:C56,C44)),MAX(0,_xlfn.MAXIFS('TOPIX_M1'!F7:F56,'TOPIX_M1'!C7:C56,C44,'TOPIX_M1'!F7:F56,"&lt;"&amp;MAX(0,_xlfn.MAXIFS('TOPIX_M1'!F7:F56,'TOPIX_M1'!C7:C56,C44)))))-IF(COUNTIFS('TOPIX_M1'!F7:F56,MAX(0,_xlfn.MAXIFS('TOPIX_M1'!F7:F56,'TOPIX_M1'!C7:C56,C44)),'TOPIX_M1'!C7:C56,C44)&gt;=3,MAX(0,_xlfn.MAXIFS('TOPIX_M1'!F7:F56,'TOPIX_M1'!C7:C56,C44)),IF(COUNTIFS('TOPIX_M1'!F7:F56,IF(COUNTIFS('TOPIX_M1'!F7:F56,MAX(0,_xlfn.MAXIFS('TOPIX_M1'!F7:F56,'TOPIX_M1'!C7:C56,C44)),'TOPIX_M1'!C7:C56,C44)&gt;=2,MAX(0,_xlfn.MAXIFS('TOPIX_M1'!F7:F56,'TOPIX_M1'!C7:C56,C44)),MAX(0,_xlfn.MAXIFS('TOPIX_M1'!F7:F56,'TOPIX_M1'!C7:C56,C44,'TOPIX_M1'!F7:F56,"&lt;"&amp;MAX(0,_xlfn.MAXIFS('TOPIX_M1'!F7:F56,'TOPIX_M1'!C7:C56,C44))))),'TOPIX_M1'!C7:C56,C44)+COUNTIFS('TOPIX_M1'!F7:F56,"&gt;"&amp;IF(COUNTIFS('TOPIX_M1'!F7:F56,MAX(0,_xlfn.MAXIFS('TOPIX_M1'!F7:F56,'TOPIX_M1'!C7:C56,C44)),'TOPIX_M1'!C7:C56,C44)&gt;=2,MAX(0,_xlfn.MAXIFS('TOPIX_M1'!F7:F56,'TOPIX_M1'!C7:C56,C44)),MAX(0,_xlfn.MAXIFS('TOPIX_M1'!F7:F56,'TOPIX_M1'!C7:C56,C44,'TOPIX_M1'!F7:F56,"&lt;"&amp;MAX(0,_xlfn.MAXIFS('TOPIX_M1'!F7:F56,'TOPIX_M1'!C7:C56,C44))))),'TOPIX_M1'!C7:C56,C44)&gt;=3,IF(COUNTIFS('TOPIX_M1'!F7:F56,MAX(0,_xlfn.MAXIFS('TOPIX_M1'!F7:F56,'TOPIX_M1'!C7:C56,C44)),'TOPIX_M1'!C7:C56,C44)&gt;=2,MAX(0,_xlfn.MAXIFS('TOPIX_M1'!F7:F56,'TOPIX_M1'!C7:C56,C44)),MAX(0,_xlfn.MAXIFS('TOPIX_M1'!F7:F56,'TOPIX_M1'!C7:C56,C44,'TOPIX_M1'!F7:F56,"&lt;"&amp;MAX(0,_xlfn.MAXIFS('TOPIX_M1'!F7:F56,'TOPIX_M1'!C7:C56,C44))))),MAX(0,_xlfn.MAXIFS('TOPIX_M1'!F7:F56,'TOPIX_M1'!C7:C56,C44,'TOPIX_M1'!F7:F56,"&lt;"&amp;IF(COUNTIFS('TOPIX_M1'!F7:F56,MAX(0,_xlfn.MAXIFS('TOPIX_M1'!F7:F56,'TOPIX_M1'!C7:C56,C44)),'TOPIX_M1'!C7:C56,C44)&gt;=2,MAX(0,_xlfn.MAXIFS('TOPIX_M1'!F7:F56,'TOPIX_M1'!C7:C56,C44)),MAX(0,_xlfn.MAXIFS('TOPIX_M1'!F7:F56,'TOPIX_M1'!C7:C56,C44,'TOPIX_M1'!F7:F56,"&lt;"&amp;MAX(0,_xlfn.MAXIFS('TOPIX_M1'!F7:F56,'TOPIX_M1'!C7:C56,C44)))))))))</x:f>
        <x:v>178701</x:v>
      </x:c>
    </x:row>
    <x:row r="45" ht="36" customHeight="1">
      <x:c r="A45" s="2" t="str">
        <x:v>TOPIXmini</x:v>
      </x:c>
      <x:c r="B45" s="2" t="str">
        <x:v>M1</x:v>
      </x:c>
      <x:c r="C45" s="2" t="str">
        <x:v>デイ</x:v>
      </x:c>
      <x:c r="D45" s="2" t="str">
        <x:v>対照47場</x:v>
      </x:c>
      <x:c r="E45" s="2" t="str">
        <x:v>G06</x:v>
      </x:c>
      <x:c r="F45" s="23" t="str">
        <x:v>今回の損失削減を重視する昼夜別案</x:v>
      </x:c>
      <x:c r="G45" s="22" t="n">
        <x:f>COUNTIFS('TOPIX_M1'!C7:C53,C45)</x:f>
        <x:v>24</x:v>
      </x:c>
      <x:c r="H45" s="20" t="n">
        <x:f>SUMIFS('TOPIX_M1'!D7:D53,'TOPIX_M1'!C7:C53,C45)</x:f>
        <x:v>1435766</x:v>
      </x:c>
      <x:c r="I45" s="20" t="n">
        <x:f>SUMIFS('TOPIX_M1'!E7:E53,'TOPIX_M1'!C7:C53,C45)</x:f>
        <x:v>798582</x:v>
      </x:c>
      <x:c r="J45" s="20" t="n">
        <x:f>H45-I45</x:f>
        <x:v>637184</x:v>
      </x:c>
      <x:c r="K45" s="22" t="n">
        <x:f>SUMIFS('TOPIX_M1'!J7:J53,'TOPIX_M1'!C7:C53,C45)</x:f>
        <x:v>119</x:v>
      </x:c>
      <x:c r="L45" s="22" t="n">
        <x:f>COUNTIFS('TOPIX_M1'!F7:F53,"&gt;0",'TOPIX_M1'!C7:C53,C45)</x:f>
        <x:v>16</x:v>
      </x:c>
      <x:c r="M45" s="22" t="n">
        <x:f>COUNTIFS('TOPIX_M1'!F7:F53,"&lt;0",'TOPIX_M1'!C7:C53,C45)</x:f>
        <x:v>8</x:v>
      </x:c>
      <x:c r="N45" s="22" t="n">
        <x:f>COUNTIFS('TOPIX_M1'!J7:J53,"=0",'TOPIX_M1'!C7:C53,C45)</x:f>
        <x:v>0</x:v>
      </x:c>
      <x:c r="O45" s="20" t="n">
        <x:f>IF(M45=0,0,-SUMIFS('TOPIX_M1'!F7:F53,'TOPIX_M1'!F7:F53,"&lt;0",'TOPIX_M1'!C7:C53,C45)/M45)</x:f>
        <x:v>29123.75</x:v>
      </x:c>
      <x:c r="P45" s="20" t="n">
        <x:f>MAX(0,-_xlfn.MINIFS('TOPIX_M1'!F7:F53,'TOPIX_M1'!C7:C53,C45))</x:f>
        <x:v>53919</x:v>
      </x:c>
      <x:c r="Q45" s="20" t="n">
        <x:f>J45-MAX(0,_xlfn.MAXIFS('TOPIX_M1'!F7:F53,'TOPIX_M1'!C7:C53,C45))-IF(COUNTIFS('TOPIX_M1'!F7:F53,MAX(0,_xlfn.MAXIFS('TOPIX_M1'!F7:F53,'TOPIX_M1'!C7:C53,C45)),'TOPIX_M1'!C7:C53,C45)&gt;=2,MAX(0,_xlfn.MAXIFS('TOPIX_M1'!F7:F53,'TOPIX_M1'!C7:C53,C45)),MAX(0,_xlfn.MAXIFS('TOPIX_M1'!F7:F53,'TOPIX_M1'!C7:C53,C45,'TOPIX_M1'!F7:F53,"&lt;"&amp;MAX(0,_xlfn.MAXIFS('TOPIX_M1'!F7:F53,'TOPIX_M1'!C7:C53,C45)))))-IF(COUNTIFS('TOPIX_M1'!F7:F53,MAX(0,_xlfn.MAXIFS('TOPIX_M1'!F7:F53,'TOPIX_M1'!C7:C53,C45)),'TOPIX_M1'!C7:C53,C45)&gt;=3,MAX(0,_xlfn.MAXIFS('TOPIX_M1'!F7:F53,'TOPIX_M1'!C7:C53,C45)),IF(COUNTIFS('TOPIX_M1'!F7:F53,IF(COUNTIFS('TOPIX_M1'!F7:F53,MAX(0,_xlfn.MAXIFS('TOPIX_M1'!F7:F53,'TOPIX_M1'!C7:C53,C45)),'TOPIX_M1'!C7:C53,C45)&gt;=2,MAX(0,_xlfn.MAXIFS('TOPIX_M1'!F7:F53,'TOPIX_M1'!C7:C53,C45)),MAX(0,_xlfn.MAXIFS('TOPIX_M1'!F7:F53,'TOPIX_M1'!C7:C53,C45,'TOPIX_M1'!F7:F53,"&lt;"&amp;MAX(0,_xlfn.MAXIFS('TOPIX_M1'!F7:F53,'TOPIX_M1'!C7:C53,C45))))),'TOPIX_M1'!C7:C53,C45)+COUNTIFS('TOPIX_M1'!F7:F53,"&gt;"&amp;IF(COUNTIFS('TOPIX_M1'!F7:F53,MAX(0,_xlfn.MAXIFS('TOPIX_M1'!F7:F53,'TOPIX_M1'!C7:C53,C45)),'TOPIX_M1'!C7:C53,C45)&gt;=2,MAX(0,_xlfn.MAXIFS('TOPIX_M1'!F7:F53,'TOPIX_M1'!C7:C53,C45)),MAX(0,_xlfn.MAXIFS('TOPIX_M1'!F7:F53,'TOPIX_M1'!C7:C53,C45,'TOPIX_M1'!F7:F53,"&lt;"&amp;MAX(0,_xlfn.MAXIFS('TOPIX_M1'!F7:F53,'TOPIX_M1'!C7:C53,C45))))),'TOPIX_M1'!C7:C53,C45)&gt;=3,IF(COUNTIFS('TOPIX_M1'!F7:F53,MAX(0,_xlfn.MAXIFS('TOPIX_M1'!F7:F53,'TOPIX_M1'!C7:C53,C45)),'TOPIX_M1'!C7:C53,C45)&gt;=2,MAX(0,_xlfn.MAXIFS('TOPIX_M1'!F7:F53,'TOPIX_M1'!C7:C53,C45)),MAX(0,_xlfn.MAXIFS('TOPIX_M1'!F7:F53,'TOPIX_M1'!C7:C53,C45,'TOPIX_M1'!F7:F53,"&lt;"&amp;MAX(0,_xlfn.MAXIFS('TOPIX_M1'!F7:F53,'TOPIX_M1'!C7:C53,C45))))),MAX(0,_xlfn.MAXIFS('TOPIX_M1'!F7:F53,'TOPIX_M1'!C7:C53,C45,'TOPIX_M1'!F7:F53,"&lt;"&amp;IF(COUNTIFS('TOPIX_M1'!F7:F53,MAX(0,_xlfn.MAXIFS('TOPIX_M1'!F7:F53,'TOPIX_M1'!C7:C53,C45)),'TOPIX_M1'!C7:C53,C45)&gt;=2,MAX(0,_xlfn.MAXIFS('TOPIX_M1'!F7:F53,'TOPIX_M1'!C7:C53,C45)),MAX(0,_xlfn.MAXIFS('TOPIX_M1'!F7:F53,'TOPIX_M1'!C7:C53,C45,'TOPIX_M1'!F7:F53,"&lt;"&amp;MAX(0,_xlfn.MAXIFS('TOPIX_M1'!F7:F53,'TOPIX_M1'!C7:C53,C45)))))))))</x:f>
        <x:v>334430</x:v>
      </x:c>
    </x:row>
    <x:row r="46" ht="36" customHeight="1">
      <x:c r="A46" s="2" t="str">
        <x:v>TOPIXmini</x:v>
      </x:c>
      <x:c r="B46" s="2" t="str">
        <x:v>M1</x:v>
      </x:c>
      <x:c r="C46" s="2" t="str">
        <x:v>ナイト</x:v>
      </x:c>
      <x:c r="D46" s="2" t="str">
        <x:v>対照47場</x:v>
      </x:c>
      <x:c r="E46" s="2" t="str">
        <x:v>H02</x:v>
      </x:c>
      <x:c r="F46" s="23" t="str">
        <x:v>今回の損失削減を重視する昼夜別案</x:v>
      </x:c>
      <x:c r="G46" s="22" t="n">
        <x:f>COUNTIFS('TOPIX_M1'!C7:C53,C46)</x:f>
        <x:v>23</x:v>
      </x:c>
      <x:c r="H46" s="20" t="n">
        <x:f>SUMIFS('TOPIX_M1'!D7:D53,'TOPIX_M1'!C7:C53,C46)</x:f>
        <x:v>905051</x:v>
      </x:c>
      <x:c r="I46" s="20" t="n">
        <x:f>SUMIFS('TOPIX_M1'!E7:E53,'TOPIX_M1'!C7:C53,C46)</x:f>
        <x:v>586944</x:v>
      </x:c>
      <x:c r="J46" s="20" t="n">
        <x:f>H46-I46</x:f>
        <x:v>318107</x:v>
      </x:c>
      <x:c r="K46" s="22" t="n">
        <x:f>SUMIFS('TOPIX_M1'!J7:J53,'TOPIX_M1'!C7:C53,C46)</x:f>
        <x:v>71</x:v>
      </x:c>
      <x:c r="L46" s="22" t="n">
        <x:f>COUNTIFS('TOPIX_M1'!F7:F53,"&gt;0",'TOPIX_M1'!C7:C53,C46)</x:f>
        <x:v>20</x:v>
      </x:c>
      <x:c r="M46" s="22" t="n">
        <x:f>COUNTIFS('TOPIX_M1'!F7:F53,"&lt;0",'TOPIX_M1'!C7:C53,C46)</x:f>
        <x:v>3</x:v>
      </x:c>
      <x:c r="N46" s="22" t="n">
        <x:f>COUNTIFS('TOPIX_M1'!J7:J53,"=0",'TOPIX_M1'!C7:C53,C46)</x:f>
        <x:v>0</x:v>
      </x:c>
      <x:c r="O46" s="20" t="n">
        <x:f>IF(M46=0,0,-SUMIFS('TOPIX_M1'!F7:F53,'TOPIX_M1'!F7:F53,"&lt;0",'TOPIX_M1'!C7:C53,C46)/M46)</x:f>
        <x:v>38558.666666666664</x:v>
      </x:c>
      <x:c r="P46" s="20" t="n">
        <x:f>MAX(0,-_xlfn.MINIFS('TOPIX_M1'!F7:F53,'TOPIX_M1'!C7:C53,C46))</x:f>
        <x:v>40836</x:v>
      </x:c>
      <x:c r="Q46" s="20" t="n">
        <x:f>J46-MAX(0,_xlfn.MAXIFS('TOPIX_M1'!F7:F53,'TOPIX_M1'!C7:C53,C46))-IF(COUNTIFS('TOPIX_M1'!F7:F53,MAX(0,_xlfn.MAXIFS('TOPIX_M1'!F7:F53,'TOPIX_M1'!C7:C53,C46)),'TOPIX_M1'!C7:C53,C46)&gt;=2,MAX(0,_xlfn.MAXIFS('TOPIX_M1'!F7:F53,'TOPIX_M1'!C7:C53,C46)),MAX(0,_xlfn.MAXIFS('TOPIX_M1'!F7:F53,'TOPIX_M1'!C7:C53,C46,'TOPIX_M1'!F7:F53,"&lt;"&amp;MAX(0,_xlfn.MAXIFS('TOPIX_M1'!F7:F53,'TOPIX_M1'!C7:C53,C46)))))-IF(COUNTIFS('TOPIX_M1'!F7:F53,MAX(0,_xlfn.MAXIFS('TOPIX_M1'!F7:F53,'TOPIX_M1'!C7:C53,C46)),'TOPIX_M1'!C7:C53,C46)&gt;=3,MAX(0,_xlfn.MAXIFS('TOPIX_M1'!F7:F53,'TOPIX_M1'!C7:C53,C46)),IF(COUNTIFS('TOPIX_M1'!F7:F53,IF(COUNTIFS('TOPIX_M1'!F7:F53,MAX(0,_xlfn.MAXIFS('TOPIX_M1'!F7:F53,'TOPIX_M1'!C7:C53,C46)),'TOPIX_M1'!C7:C53,C46)&gt;=2,MAX(0,_xlfn.MAXIFS('TOPIX_M1'!F7:F53,'TOPIX_M1'!C7:C53,C46)),MAX(0,_xlfn.MAXIFS('TOPIX_M1'!F7:F53,'TOPIX_M1'!C7:C53,C46,'TOPIX_M1'!F7:F53,"&lt;"&amp;MAX(0,_xlfn.MAXIFS('TOPIX_M1'!F7:F53,'TOPIX_M1'!C7:C53,C46))))),'TOPIX_M1'!C7:C53,C46)+COUNTIFS('TOPIX_M1'!F7:F53,"&gt;"&amp;IF(COUNTIFS('TOPIX_M1'!F7:F53,MAX(0,_xlfn.MAXIFS('TOPIX_M1'!F7:F53,'TOPIX_M1'!C7:C53,C46)),'TOPIX_M1'!C7:C53,C46)&gt;=2,MAX(0,_xlfn.MAXIFS('TOPIX_M1'!F7:F53,'TOPIX_M1'!C7:C53,C46)),MAX(0,_xlfn.MAXIFS('TOPIX_M1'!F7:F53,'TOPIX_M1'!C7:C53,C46,'TOPIX_M1'!F7:F53,"&lt;"&amp;MAX(0,_xlfn.MAXIFS('TOPIX_M1'!F7:F53,'TOPIX_M1'!C7:C53,C46))))),'TOPIX_M1'!C7:C53,C46)&gt;=3,IF(COUNTIFS('TOPIX_M1'!F7:F53,MAX(0,_xlfn.MAXIFS('TOPIX_M1'!F7:F53,'TOPIX_M1'!C7:C53,C46)),'TOPIX_M1'!C7:C53,C46)&gt;=2,MAX(0,_xlfn.MAXIFS('TOPIX_M1'!F7:F53,'TOPIX_M1'!C7:C53,C46)),MAX(0,_xlfn.MAXIFS('TOPIX_M1'!F7:F53,'TOPIX_M1'!C7:C53,C46,'TOPIX_M1'!F7:F53,"&lt;"&amp;MAX(0,_xlfn.MAXIFS('TOPIX_M1'!F7:F53,'TOPIX_M1'!C7:C53,C46))))),MAX(0,_xlfn.MAXIFS('TOPIX_M1'!F7:F53,'TOPIX_M1'!C7:C53,C46,'TOPIX_M1'!F7:F53,"&lt;"&amp;IF(COUNTIFS('TOPIX_M1'!F7:F53,MAX(0,_xlfn.MAXIFS('TOPIX_M1'!F7:F53,'TOPIX_M1'!C7:C53,C46)),'TOPIX_M1'!C7:C53,C46)&gt;=2,MAX(0,_xlfn.MAXIFS('TOPIX_M1'!F7:F53,'TOPIX_M1'!C7:C53,C46)),MAX(0,_xlfn.MAXIFS('TOPIX_M1'!F7:F53,'TOPIX_M1'!C7:C53,C46,'TOPIX_M1'!F7:F53,"&lt;"&amp;MAX(0,_xlfn.MAXIFS('TOPIX_M1'!F7:F53,'TOPIX_M1'!C7:C53,C46)))))))))</x:f>
        <x:v>116702</x:v>
      </x:c>
    </x:row>
    <x:row r="47" ht="36" customHeight="1">
      <x:c r="A47" s="2" t="str">
        <x:v>TOPIXmini</x:v>
      </x:c>
      <x:c r="B47" s="2" t="str">
        <x:v>M1</x:v>
      </x:c>
      <x:c r="C47" s="2" t="str">
        <x:v>デイ</x:v>
      </x:c>
      <x:c r="D47" s="2" t="str">
        <x:v>診断3場</x:v>
      </x:c>
      <x:c r="E47" s="2" t="str">
        <x:v>G06</x:v>
      </x:c>
      <x:c r="F47" s="23" t="str">
        <x:v>今回の損失削減を重視する昼夜別案</x:v>
      </x:c>
      <x:c r="G47" s="22" t="n">
        <x:f>COUNTIFS('TOPIX_M1'!C54:C56,C47)</x:f>
        <x:v>1</x:v>
      </x:c>
      <x:c r="H47" s="20" t="n">
        <x:f>SUMIFS('TOPIX_M1'!D54:D56,'TOPIX_M1'!C54:C56,C47)</x:f>
        <x:v>82422</x:v>
      </x:c>
      <x:c r="I47" s="20" t="n">
        <x:f>SUMIFS('TOPIX_M1'!E54:E56,'TOPIX_M1'!C54:C56,C47)</x:f>
        <x:v>109996</x:v>
      </x:c>
      <x:c r="J47" s="20" t="n">
        <x:f>H47-I47</x:f>
        <x:v>-27574</x:v>
      </x:c>
      <x:c r="K47" s="22" t="n">
        <x:f>SUMIFS('TOPIX_M1'!J54:J56,'TOPIX_M1'!C54:C56,C47)</x:f>
        <x:v>15</x:v>
      </x:c>
      <x:c r="L47" s="22" t="n">
        <x:f>COUNTIFS('TOPIX_M1'!F54:F56,"&gt;0",'TOPIX_M1'!C54:C56,C47)</x:f>
        <x:v>0</x:v>
      </x:c>
      <x:c r="M47" s="22" t="n">
        <x:f>COUNTIFS('TOPIX_M1'!F54:F56,"&lt;0",'TOPIX_M1'!C54:C56,C47)</x:f>
        <x:v>1</x:v>
      </x:c>
      <x:c r="N47" s="22" t="n">
        <x:f>COUNTIFS('TOPIX_M1'!J54:J56,"=0",'TOPIX_M1'!C54:C56,C47)</x:f>
        <x:v>0</x:v>
      </x:c>
      <x:c r="O47" s="20" t="n">
        <x:f>IF(M47=0,0,-SUMIFS('TOPIX_M1'!F54:F56,'TOPIX_M1'!F54:F56,"&lt;0",'TOPIX_M1'!C54:C56,C47)/M47)</x:f>
        <x:v>27574</x:v>
      </x:c>
      <x:c r="P47" s="20" t="n">
        <x:f>MAX(0,-_xlfn.MINIFS('TOPIX_M1'!F54:F56,'TOPIX_M1'!C54:C56,C47))</x:f>
        <x:v>27574</x:v>
      </x:c>
      <x:c r="Q47" s="20" t="n">
        <x:f>J47-MAX(0,_xlfn.MAXIFS('TOPIX_M1'!F54:F56,'TOPIX_M1'!C54:C56,C47))-IF(COUNTIFS('TOPIX_M1'!F54:F56,MAX(0,_xlfn.MAXIFS('TOPIX_M1'!F54:F56,'TOPIX_M1'!C54:C56,C47)),'TOPIX_M1'!C54:C56,C47)&gt;=2,MAX(0,_xlfn.MAXIFS('TOPIX_M1'!F54:F56,'TOPIX_M1'!C54:C56,C47)),MAX(0,_xlfn.MAXIFS('TOPIX_M1'!F54:F56,'TOPIX_M1'!C54:C56,C47,'TOPIX_M1'!F54:F56,"&lt;"&amp;MAX(0,_xlfn.MAXIFS('TOPIX_M1'!F54:F56,'TOPIX_M1'!C54:C56,C47)))))-IF(COUNTIFS('TOPIX_M1'!F54:F56,MAX(0,_xlfn.MAXIFS('TOPIX_M1'!F54:F56,'TOPIX_M1'!C54:C56,C47)),'TOPIX_M1'!C54:C56,C47)&gt;=3,MAX(0,_xlfn.MAXIFS('TOPIX_M1'!F54:F56,'TOPIX_M1'!C54:C56,C47)),IF(COUNTIFS('TOPIX_M1'!F54:F56,IF(COUNTIFS('TOPIX_M1'!F54:F56,MAX(0,_xlfn.MAXIFS('TOPIX_M1'!F54:F56,'TOPIX_M1'!C54:C56,C47)),'TOPIX_M1'!C54:C56,C47)&gt;=2,MAX(0,_xlfn.MAXIFS('TOPIX_M1'!F54:F56,'TOPIX_M1'!C54:C56,C47)),MAX(0,_xlfn.MAXIFS('TOPIX_M1'!F54:F56,'TOPIX_M1'!C54:C56,C47,'TOPIX_M1'!F54:F56,"&lt;"&amp;MAX(0,_xlfn.MAXIFS('TOPIX_M1'!F54:F56,'TOPIX_M1'!C54:C56,C47))))),'TOPIX_M1'!C54:C56,C47)+COUNTIFS('TOPIX_M1'!F54:F56,"&gt;"&amp;IF(COUNTIFS('TOPIX_M1'!F54:F56,MAX(0,_xlfn.MAXIFS('TOPIX_M1'!F54:F56,'TOPIX_M1'!C54:C56,C47)),'TOPIX_M1'!C54:C56,C47)&gt;=2,MAX(0,_xlfn.MAXIFS('TOPIX_M1'!F54:F56,'TOPIX_M1'!C54:C56,C47)),MAX(0,_xlfn.MAXIFS('TOPIX_M1'!F54:F56,'TOPIX_M1'!C54:C56,C47,'TOPIX_M1'!F54:F56,"&lt;"&amp;MAX(0,_xlfn.MAXIFS('TOPIX_M1'!F54:F56,'TOPIX_M1'!C54:C56,C47))))),'TOPIX_M1'!C54:C56,C47)&gt;=3,IF(COUNTIFS('TOPIX_M1'!F54:F56,MAX(0,_xlfn.MAXIFS('TOPIX_M1'!F54:F56,'TOPIX_M1'!C54:C56,C47)),'TOPIX_M1'!C54:C56,C47)&gt;=2,MAX(0,_xlfn.MAXIFS('TOPIX_M1'!F54:F56,'TOPIX_M1'!C54:C56,C47)),MAX(0,_xlfn.MAXIFS('TOPIX_M1'!F54:F56,'TOPIX_M1'!C54:C56,C47,'TOPIX_M1'!F54:F56,"&lt;"&amp;MAX(0,_xlfn.MAXIFS('TOPIX_M1'!F54:F56,'TOPIX_M1'!C54:C56,C47))))),MAX(0,_xlfn.MAXIFS('TOPIX_M1'!F54:F56,'TOPIX_M1'!C54:C56,C47,'TOPIX_M1'!F54:F56,"&lt;"&amp;IF(COUNTIFS('TOPIX_M1'!F54:F56,MAX(0,_xlfn.MAXIFS('TOPIX_M1'!F54:F56,'TOPIX_M1'!C54:C56,C47)),'TOPIX_M1'!C54:C56,C47)&gt;=2,MAX(0,_xlfn.MAXIFS('TOPIX_M1'!F54:F56,'TOPIX_M1'!C54:C56,C47)),MAX(0,_xlfn.MAXIFS('TOPIX_M1'!F54:F56,'TOPIX_M1'!C54:C56,C47,'TOPIX_M1'!F54:F56,"&lt;"&amp;MAX(0,_xlfn.MAXIFS('TOPIX_M1'!F54:F56,'TOPIX_M1'!C54:C56,C47)))))))))</x:f>
        <x:v>-27574</x:v>
      </x:c>
    </x:row>
    <x:row r="48" ht="36" customHeight="1">
      <x:c r="A48" s="2" t="str">
        <x:v>TOPIXmini</x:v>
      </x:c>
      <x:c r="B48" s="2" t="str">
        <x:v>M1</x:v>
      </x:c>
      <x:c r="C48" s="2" t="str">
        <x:v>ナイト</x:v>
      </x:c>
      <x:c r="D48" s="2" t="str">
        <x:v>診断3場</x:v>
      </x:c>
      <x:c r="E48" s="2" t="str">
        <x:v>H02</x:v>
      </x:c>
      <x:c r="F48" s="23" t="str">
        <x:v>今回の損失削減を重視する昼夜別案</x:v>
      </x:c>
      <x:c r="G48" s="22" t="n">
        <x:f>COUNTIFS('TOPIX_M1'!C54:C56,C48)</x:f>
        <x:v>2</x:v>
      </x:c>
      <x:c r="H48" s="20" t="n">
        <x:f>SUMIFS('TOPIX_M1'!D54:D56,'TOPIX_M1'!C54:C56,C48)</x:f>
        <x:v>117665</x:v>
      </x:c>
      <x:c r="I48" s="20" t="n">
        <x:f>SUMIFS('TOPIX_M1'!E54:E56,'TOPIX_M1'!C54:C56,C48)</x:f>
        <x:v>55666</x:v>
      </x:c>
      <x:c r="J48" s="20" t="n">
        <x:f>H48-I48</x:f>
        <x:v>61999</x:v>
      </x:c>
      <x:c r="K48" s="22" t="n">
        <x:f>SUMIFS('TOPIX_M1'!J54:J56,'TOPIX_M1'!C54:C56,C48)</x:f>
        <x:v>12</x:v>
      </x:c>
      <x:c r="L48" s="22" t="n">
        <x:f>COUNTIFS('TOPIX_M1'!F54:F56,"&gt;0",'TOPIX_M1'!C54:C56,C48)</x:f>
        <x:v>2</x:v>
      </x:c>
      <x:c r="M48" s="22" t="n">
        <x:f>COUNTIFS('TOPIX_M1'!F54:F56,"&lt;0",'TOPIX_M1'!C54:C56,C48)</x:f>
        <x:v>0</x:v>
      </x:c>
      <x:c r="N48" s="22" t="n">
        <x:f>COUNTIFS('TOPIX_M1'!J54:J56,"=0",'TOPIX_M1'!C54:C56,C48)</x:f>
        <x:v>0</x:v>
      </x:c>
      <x:c r="O48" s="20" t="n">
        <x:f>IF(M48=0,0,-SUMIFS('TOPIX_M1'!F54:F56,'TOPIX_M1'!F54:F56,"&lt;0",'TOPIX_M1'!C54:C56,C48)/M48)</x:f>
        <x:v>0</x:v>
      </x:c>
      <x:c r="P48" s="20" t="n">
        <x:f>MAX(0,-_xlfn.MINIFS('TOPIX_M1'!F54:F56,'TOPIX_M1'!C54:C56,C48))</x:f>
        <x:v>0</x:v>
      </x:c>
      <x:c r="Q48" s="20" t="n">
        <x:f>J48-MAX(0,_xlfn.MAXIFS('TOPIX_M1'!F54:F56,'TOPIX_M1'!C54:C56,C48))-IF(COUNTIFS('TOPIX_M1'!F54:F56,MAX(0,_xlfn.MAXIFS('TOPIX_M1'!F54:F56,'TOPIX_M1'!C54:C56,C48)),'TOPIX_M1'!C54:C56,C48)&gt;=2,MAX(0,_xlfn.MAXIFS('TOPIX_M1'!F54:F56,'TOPIX_M1'!C54:C56,C48)),MAX(0,_xlfn.MAXIFS('TOPIX_M1'!F54:F56,'TOPIX_M1'!C54:C56,C48,'TOPIX_M1'!F54:F56,"&lt;"&amp;MAX(0,_xlfn.MAXIFS('TOPIX_M1'!F54:F56,'TOPIX_M1'!C54:C56,C48)))))-IF(COUNTIFS('TOPIX_M1'!F54:F56,MAX(0,_xlfn.MAXIFS('TOPIX_M1'!F54:F56,'TOPIX_M1'!C54:C56,C48)),'TOPIX_M1'!C54:C56,C48)&gt;=3,MAX(0,_xlfn.MAXIFS('TOPIX_M1'!F54:F56,'TOPIX_M1'!C54:C56,C48)),IF(COUNTIFS('TOPIX_M1'!F54:F56,IF(COUNTIFS('TOPIX_M1'!F54:F56,MAX(0,_xlfn.MAXIFS('TOPIX_M1'!F54:F56,'TOPIX_M1'!C54:C56,C48)),'TOPIX_M1'!C54:C56,C48)&gt;=2,MAX(0,_xlfn.MAXIFS('TOPIX_M1'!F54:F56,'TOPIX_M1'!C54:C56,C48)),MAX(0,_xlfn.MAXIFS('TOPIX_M1'!F54:F56,'TOPIX_M1'!C54:C56,C48,'TOPIX_M1'!F54:F56,"&lt;"&amp;MAX(0,_xlfn.MAXIFS('TOPIX_M1'!F54:F56,'TOPIX_M1'!C54:C56,C48))))),'TOPIX_M1'!C54:C56,C48)+COUNTIFS('TOPIX_M1'!F54:F56,"&gt;"&amp;IF(COUNTIFS('TOPIX_M1'!F54:F56,MAX(0,_xlfn.MAXIFS('TOPIX_M1'!F54:F56,'TOPIX_M1'!C54:C56,C48)),'TOPIX_M1'!C54:C56,C48)&gt;=2,MAX(0,_xlfn.MAXIFS('TOPIX_M1'!F54:F56,'TOPIX_M1'!C54:C56,C48)),MAX(0,_xlfn.MAXIFS('TOPIX_M1'!F54:F56,'TOPIX_M1'!C54:C56,C48,'TOPIX_M1'!F54:F56,"&lt;"&amp;MAX(0,_xlfn.MAXIFS('TOPIX_M1'!F54:F56,'TOPIX_M1'!C54:C56,C48))))),'TOPIX_M1'!C54:C56,C48)&gt;=3,IF(COUNTIFS('TOPIX_M1'!F54:F56,MAX(0,_xlfn.MAXIFS('TOPIX_M1'!F54:F56,'TOPIX_M1'!C54:C56,C48)),'TOPIX_M1'!C54:C56,C48)&gt;=2,MAX(0,_xlfn.MAXIFS('TOPIX_M1'!F54:F56,'TOPIX_M1'!C54:C56,C48)),MAX(0,_xlfn.MAXIFS('TOPIX_M1'!F54:F56,'TOPIX_M1'!C54:C56,C48,'TOPIX_M1'!F54:F56,"&lt;"&amp;MAX(0,_xlfn.MAXIFS('TOPIX_M1'!F54:F56,'TOPIX_M1'!C54:C56,C48))))),MAX(0,_xlfn.MAXIFS('TOPIX_M1'!F54:F56,'TOPIX_M1'!C54:C56,C48,'TOPIX_M1'!F54:F56,"&lt;"&amp;IF(COUNTIFS('TOPIX_M1'!F54:F56,MAX(0,_xlfn.MAXIFS('TOPIX_M1'!F54:F56,'TOPIX_M1'!C54:C56,C48)),'TOPIX_M1'!C54:C56,C48)&gt;=2,MAX(0,_xlfn.MAXIFS('TOPIX_M1'!F54:F56,'TOPIX_M1'!C54:C56,C48)),MAX(0,_xlfn.MAXIFS('TOPIX_M1'!F54:F56,'TOPIX_M1'!C54:C56,C48,'TOPIX_M1'!F54:F56,"&lt;"&amp;MAX(0,_xlfn.MAXIFS('TOPIX_M1'!F54:F56,'TOPIX_M1'!C54:C56,C48)))))))))</x:f>
        <x:v>0</x:v>
      </x:c>
    </x:row>
    <x:row r="49" ht="36" customHeight="1">
      <x:c r="A49" s="2" t="str">
        <x:v>TOPIXmini</x:v>
      </x:c>
      <x:c r="B49" s="2" t="str">
        <x:v>M2</x:v>
      </x:c>
      <x:c r="C49" s="2" t="str">
        <x:v>デイ</x:v>
      </x:c>
      <x:c r="D49" s="2" t="str">
        <x:v>全50場</x:v>
      </x:c>
      <x:c r="E49" s="2" t="str">
        <x:v>C33</x:v>
      </x:c>
      <x:c r="F49" s="23" t="str">
        <x:v>異なる優先順位の昼夜別案</x:v>
      </x:c>
      <x:c r="G49" s="22" t="n">
        <x:f>COUNTIFS('TOPIX_M2'!C7:C56,C49)</x:f>
        <x:v>25</x:v>
      </x:c>
      <x:c r="H49" s="20" t="n">
        <x:f>SUMIFS('TOPIX_M2'!D7:D56,'TOPIX_M2'!C7:C56,C49)</x:f>
        <x:v>1433438</x:v>
      </x:c>
      <x:c r="I49" s="20" t="n">
        <x:f>SUMIFS('TOPIX_M2'!E7:E56,'TOPIX_M2'!C7:C56,C49)</x:f>
        <x:v>813928</x:v>
      </x:c>
      <x:c r="J49" s="20" t="n">
        <x:f>H49-I49</x:f>
        <x:v>619510</x:v>
      </x:c>
      <x:c r="K49" s="22" t="n">
        <x:f>SUMIFS('TOPIX_M2'!J7:J56,'TOPIX_M2'!C7:C56,C49)</x:f>
        <x:v>95</x:v>
      </x:c>
      <x:c r="L49" s="22" t="n">
        <x:f>COUNTIFS('TOPIX_M2'!F7:F56,"&gt;0",'TOPIX_M2'!C7:C56,C49)</x:f>
        <x:v>18</x:v>
      </x:c>
      <x:c r="M49" s="22" t="n">
        <x:f>COUNTIFS('TOPIX_M2'!F7:F56,"&lt;0",'TOPIX_M2'!C7:C56,C49)</x:f>
        <x:v>7</x:v>
      </x:c>
      <x:c r="N49" s="22" t="n">
        <x:f>COUNTIFS('TOPIX_M2'!J7:J56,"=0",'TOPIX_M2'!C7:C56,C49)</x:f>
        <x:v>0</x:v>
      </x:c>
      <x:c r="O49" s="20" t="n">
        <x:f>IF(M49=0,0,-SUMIFS('TOPIX_M2'!F7:F56,'TOPIX_M2'!F7:F56,"&lt;0",'TOPIX_M2'!C7:C56,C49)/M49)</x:f>
        <x:v>29951.285714285714</x:v>
      </x:c>
      <x:c r="P49" s="20" t="n">
        <x:f>MAX(0,-_xlfn.MINIFS('TOPIX_M2'!F7:F56,'TOPIX_M2'!C7:C56,C49))</x:f>
        <x:v>68328</x:v>
      </x:c>
      <x:c r="Q49" s="20" t="n">
        <x:f>J49-MAX(0,_xlfn.MAXIFS('TOPIX_M2'!F7:F56,'TOPIX_M2'!C7:C56,C49))-IF(COUNTIFS('TOPIX_M2'!F7:F56,MAX(0,_xlfn.MAXIFS('TOPIX_M2'!F7:F56,'TOPIX_M2'!C7:C56,C49)),'TOPIX_M2'!C7:C56,C49)&gt;=2,MAX(0,_xlfn.MAXIFS('TOPIX_M2'!F7:F56,'TOPIX_M2'!C7:C56,C49)),MAX(0,_xlfn.MAXIFS('TOPIX_M2'!F7:F56,'TOPIX_M2'!C7:C56,C49,'TOPIX_M2'!F7:F56,"&lt;"&amp;MAX(0,_xlfn.MAXIFS('TOPIX_M2'!F7:F56,'TOPIX_M2'!C7:C56,C49)))))-IF(COUNTIFS('TOPIX_M2'!F7:F56,MAX(0,_xlfn.MAXIFS('TOPIX_M2'!F7:F56,'TOPIX_M2'!C7:C56,C49)),'TOPIX_M2'!C7:C56,C49)&gt;=3,MAX(0,_xlfn.MAXIFS('TOPIX_M2'!F7:F56,'TOPIX_M2'!C7:C56,C49)),IF(COUNTIFS('TOPIX_M2'!F7:F56,IF(COUNTIFS('TOPIX_M2'!F7:F56,MAX(0,_xlfn.MAXIFS('TOPIX_M2'!F7:F56,'TOPIX_M2'!C7:C56,C49)),'TOPIX_M2'!C7:C56,C49)&gt;=2,MAX(0,_xlfn.MAXIFS('TOPIX_M2'!F7:F56,'TOPIX_M2'!C7:C56,C49)),MAX(0,_xlfn.MAXIFS('TOPIX_M2'!F7:F56,'TOPIX_M2'!C7:C56,C49,'TOPIX_M2'!F7:F56,"&lt;"&amp;MAX(0,_xlfn.MAXIFS('TOPIX_M2'!F7:F56,'TOPIX_M2'!C7:C56,C49))))),'TOPIX_M2'!C7:C56,C49)+COUNTIFS('TOPIX_M2'!F7:F56,"&gt;"&amp;IF(COUNTIFS('TOPIX_M2'!F7:F56,MAX(0,_xlfn.MAXIFS('TOPIX_M2'!F7:F56,'TOPIX_M2'!C7:C56,C49)),'TOPIX_M2'!C7:C56,C49)&gt;=2,MAX(0,_xlfn.MAXIFS('TOPIX_M2'!F7:F56,'TOPIX_M2'!C7:C56,C49)),MAX(0,_xlfn.MAXIFS('TOPIX_M2'!F7:F56,'TOPIX_M2'!C7:C56,C49,'TOPIX_M2'!F7:F56,"&lt;"&amp;MAX(0,_xlfn.MAXIFS('TOPIX_M2'!F7:F56,'TOPIX_M2'!C7:C56,C49))))),'TOPIX_M2'!C7:C56,C49)&gt;=3,IF(COUNTIFS('TOPIX_M2'!F7:F56,MAX(0,_xlfn.MAXIFS('TOPIX_M2'!F7:F56,'TOPIX_M2'!C7:C56,C49)),'TOPIX_M2'!C7:C56,C49)&gt;=2,MAX(0,_xlfn.MAXIFS('TOPIX_M2'!F7:F56,'TOPIX_M2'!C7:C56,C49)),MAX(0,_xlfn.MAXIFS('TOPIX_M2'!F7:F56,'TOPIX_M2'!C7:C56,C49,'TOPIX_M2'!F7:F56,"&lt;"&amp;MAX(0,_xlfn.MAXIFS('TOPIX_M2'!F7:F56,'TOPIX_M2'!C7:C56,C49))))),MAX(0,_xlfn.MAXIFS('TOPIX_M2'!F7:F56,'TOPIX_M2'!C7:C56,C49,'TOPIX_M2'!F7:F56,"&lt;"&amp;IF(COUNTIFS('TOPIX_M2'!F7:F56,MAX(0,_xlfn.MAXIFS('TOPIX_M2'!F7:F56,'TOPIX_M2'!C7:C56,C49)),'TOPIX_M2'!C7:C56,C49)&gt;=2,MAX(0,_xlfn.MAXIFS('TOPIX_M2'!F7:F56,'TOPIX_M2'!C7:C56,C49)),MAX(0,_xlfn.MAXIFS('TOPIX_M2'!F7:F56,'TOPIX_M2'!C7:C56,C49,'TOPIX_M2'!F7:F56,"&lt;"&amp;MAX(0,_xlfn.MAXIFS('TOPIX_M2'!F7:F56,'TOPIX_M2'!C7:C56,C49)))))))))</x:f>
        <x:v>307260</x:v>
      </x:c>
    </x:row>
    <x:row r="50" ht="36" customHeight="1">
      <x:c r="A50" s="2" t="str">
        <x:v>TOPIXmini</x:v>
      </x:c>
      <x:c r="B50" s="2" t="str">
        <x:v>M2</x:v>
      </x:c>
      <x:c r="C50" s="2" t="str">
        <x:v>ナイト</x:v>
      </x:c>
      <x:c r="D50" s="2" t="str">
        <x:v>全50場</x:v>
      </x:c>
      <x:c r="E50" s="2" t="str">
        <x:v>G02</x:v>
      </x:c>
      <x:c r="F50" s="23" t="str">
        <x:v>異なる優先順位の昼夜別案</x:v>
      </x:c>
      <x:c r="G50" s="22" t="n">
        <x:f>COUNTIFS('TOPIX_M2'!C7:C56,C50)</x:f>
        <x:v>25</x:v>
      </x:c>
      <x:c r="H50" s="20" t="n">
        <x:f>SUMIFS('TOPIX_M2'!D7:D56,'TOPIX_M2'!C7:C56,C50)</x:f>
        <x:v>1035548</x:v>
      </x:c>
      <x:c r="I50" s="20" t="n">
        <x:f>SUMIFS('TOPIX_M2'!E7:E56,'TOPIX_M2'!C7:C56,C50)</x:f>
        <x:v>658450</x:v>
      </x:c>
      <x:c r="J50" s="20" t="n">
        <x:f>H50-I50</x:f>
        <x:v>377098</x:v>
      </x:c>
      <x:c r="K50" s="22" t="n">
        <x:f>SUMIFS('TOPIX_M2'!J7:J56,'TOPIX_M2'!C7:C56,C50)</x:f>
        <x:v>83</x:v>
      </x:c>
      <x:c r="L50" s="22" t="n">
        <x:f>COUNTIFS('TOPIX_M2'!F7:F56,"&gt;0",'TOPIX_M2'!C7:C56,C50)</x:f>
        <x:v>22</x:v>
      </x:c>
      <x:c r="M50" s="22" t="n">
        <x:f>COUNTIFS('TOPIX_M2'!F7:F56,"&lt;0",'TOPIX_M2'!C7:C56,C50)</x:f>
        <x:v>3</x:v>
      </x:c>
      <x:c r="N50" s="22" t="n">
        <x:f>COUNTIFS('TOPIX_M2'!J7:J56,"=0",'TOPIX_M2'!C7:C56,C50)</x:f>
        <x:v>0</x:v>
      </x:c>
      <x:c r="O50" s="20" t="n">
        <x:f>IF(M50=0,0,-SUMIFS('TOPIX_M2'!F7:F56,'TOPIX_M2'!F7:F56,"&lt;0",'TOPIX_M2'!C7:C56,C50)/M50)</x:f>
        <x:v>38558.666666666664</x:v>
      </x:c>
      <x:c r="P50" s="20" t="n">
        <x:f>MAX(0,-_xlfn.MINIFS('TOPIX_M2'!F7:F56,'TOPIX_M2'!C7:C56,C50))</x:f>
        <x:v>40836</x:v>
      </x:c>
      <x:c r="Q50" s="20" t="n">
        <x:f>J50-MAX(0,_xlfn.MAXIFS('TOPIX_M2'!F7:F56,'TOPIX_M2'!C7:C56,C50))-IF(COUNTIFS('TOPIX_M2'!F7:F56,MAX(0,_xlfn.MAXIFS('TOPIX_M2'!F7:F56,'TOPIX_M2'!C7:C56,C50)),'TOPIX_M2'!C7:C56,C50)&gt;=2,MAX(0,_xlfn.MAXIFS('TOPIX_M2'!F7:F56,'TOPIX_M2'!C7:C56,C50)),MAX(0,_xlfn.MAXIFS('TOPIX_M2'!F7:F56,'TOPIX_M2'!C7:C56,C50,'TOPIX_M2'!F7:F56,"&lt;"&amp;MAX(0,_xlfn.MAXIFS('TOPIX_M2'!F7:F56,'TOPIX_M2'!C7:C56,C50)))))-IF(COUNTIFS('TOPIX_M2'!F7:F56,MAX(0,_xlfn.MAXIFS('TOPIX_M2'!F7:F56,'TOPIX_M2'!C7:C56,C50)),'TOPIX_M2'!C7:C56,C50)&gt;=3,MAX(0,_xlfn.MAXIFS('TOPIX_M2'!F7:F56,'TOPIX_M2'!C7:C56,C50)),IF(COUNTIFS('TOPIX_M2'!F7:F56,IF(COUNTIFS('TOPIX_M2'!F7:F56,MAX(0,_xlfn.MAXIFS('TOPIX_M2'!F7:F56,'TOPIX_M2'!C7:C56,C50)),'TOPIX_M2'!C7:C56,C50)&gt;=2,MAX(0,_xlfn.MAXIFS('TOPIX_M2'!F7:F56,'TOPIX_M2'!C7:C56,C50)),MAX(0,_xlfn.MAXIFS('TOPIX_M2'!F7:F56,'TOPIX_M2'!C7:C56,C50,'TOPIX_M2'!F7:F56,"&lt;"&amp;MAX(0,_xlfn.MAXIFS('TOPIX_M2'!F7:F56,'TOPIX_M2'!C7:C56,C50))))),'TOPIX_M2'!C7:C56,C50)+COUNTIFS('TOPIX_M2'!F7:F56,"&gt;"&amp;IF(COUNTIFS('TOPIX_M2'!F7:F56,MAX(0,_xlfn.MAXIFS('TOPIX_M2'!F7:F56,'TOPIX_M2'!C7:C56,C50)),'TOPIX_M2'!C7:C56,C50)&gt;=2,MAX(0,_xlfn.MAXIFS('TOPIX_M2'!F7:F56,'TOPIX_M2'!C7:C56,C50)),MAX(0,_xlfn.MAXIFS('TOPIX_M2'!F7:F56,'TOPIX_M2'!C7:C56,C50,'TOPIX_M2'!F7:F56,"&lt;"&amp;MAX(0,_xlfn.MAXIFS('TOPIX_M2'!F7:F56,'TOPIX_M2'!C7:C56,C50))))),'TOPIX_M2'!C7:C56,C50)&gt;=3,IF(COUNTIFS('TOPIX_M2'!F7:F56,MAX(0,_xlfn.MAXIFS('TOPIX_M2'!F7:F56,'TOPIX_M2'!C7:C56,C50)),'TOPIX_M2'!C7:C56,C50)&gt;=2,MAX(0,_xlfn.MAXIFS('TOPIX_M2'!F7:F56,'TOPIX_M2'!C7:C56,C50)),MAX(0,_xlfn.MAXIFS('TOPIX_M2'!F7:F56,'TOPIX_M2'!C7:C56,C50,'TOPIX_M2'!F7:F56,"&lt;"&amp;MAX(0,_xlfn.MAXIFS('TOPIX_M2'!F7:F56,'TOPIX_M2'!C7:C56,C50))))),MAX(0,_xlfn.MAXIFS('TOPIX_M2'!F7:F56,'TOPIX_M2'!C7:C56,C50,'TOPIX_M2'!F7:F56,"&lt;"&amp;IF(COUNTIFS('TOPIX_M2'!F7:F56,MAX(0,_xlfn.MAXIFS('TOPIX_M2'!F7:F56,'TOPIX_M2'!C7:C56,C50)),'TOPIX_M2'!C7:C56,C50)&gt;=2,MAX(0,_xlfn.MAXIFS('TOPIX_M2'!F7:F56,'TOPIX_M2'!C7:C56,C50)),MAX(0,_xlfn.MAXIFS('TOPIX_M2'!F7:F56,'TOPIX_M2'!C7:C56,C50,'TOPIX_M2'!F7:F56,"&lt;"&amp;MAX(0,_xlfn.MAXIFS('TOPIX_M2'!F7:F56,'TOPIX_M2'!C7:C56,C50)))))))))</x:f>
        <x:v>170694</x:v>
      </x:c>
    </x:row>
    <x:row r="51" ht="36" customHeight="1">
      <x:c r="A51" s="2" t="str">
        <x:v>TOPIXmini</x:v>
      </x:c>
      <x:c r="B51" s="2" t="str">
        <x:v>M2</x:v>
      </x:c>
      <x:c r="C51" s="2" t="str">
        <x:v>デイ</x:v>
      </x:c>
      <x:c r="D51" s="2" t="str">
        <x:v>対照47場</x:v>
      </x:c>
      <x:c r="E51" s="2" t="str">
        <x:v>C33</x:v>
      </x:c>
      <x:c r="F51" s="23" t="str">
        <x:v>異なる優先順位の昼夜別案</x:v>
      </x:c>
      <x:c r="G51" s="22" t="n">
        <x:f>COUNTIFS('TOPIX_M2'!C7:C53,C51)</x:f>
        <x:v>24</x:v>
      </x:c>
      <x:c r="H51" s="20" t="n">
        <x:f>SUMIFS('TOPIX_M2'!D7:D53,'TOPIX_M2'!C7:C53,C51)</x:f>
        <x:v>1374102</x:v>
      </x:c>
      <x:c r="I51" s="20" t="n">
        <x:f>SUMIFS('TOPIX_M2'!E7:E53,'TOPIX_M2'!C7:C53,C51)</x:f>
        <x:v>686264</x:v>
      </x:c>
      <x:c r="J51" s="20" t="n">
        <x:f>H51-I51</x:f>
        <x:v>687838</x:v>
      </x:c>
      <x:c r="K51" s="22" t="n">
        <x:f>SUMIFS('TOPIX_M2'!J7:J53,'TOPIX_M2'!C7:C53,C51)</x:f>
        <x:v>85</x:v>
      </x:c>
      <x:c r="L51" s="22" t="n">
        <x:f>COUNTIFS('TOPIX_M2'!F7:F53,"&gt;0",'TOPIX_M2'!C7:C53,C51)</x:f>
        <x:v>18</x:v>
      </x:c>
      <x:c r="M51" s="22" t="n">
        <x:f>COUNTIFS('TOPIX_M2'!F7:F53,"&lt;0",'TOPIX_M2'!C7:C53,C51)</x:f>
        <x:v>6</x:v>
      </x:c>
      <x:c r="N51" s="22" t="n">
        <x:f>COUNTIFS('TOPIX_M2'!J7:J53,"=0",'TOPIX_M2'!C7:C53,C51)</x:f>
        <x:v>0</x:v>
      </x:c>
      <x:c r="O51" s="20" t="n">
        <x:f>IF(M51=0,0,-SUMIFS('TOPIX_M2'!F7:F53,'TOPIX_M2'!F7:F53,"&lt;0",'TOPIX_M2'!C7:C53,C51)/M51)</x:f>
        <x:v>23555.166666666668</x:v>
      </x:c>
      <x:c r="P51" s="20" t="n">
        <x:f>MAX(0,-_xlfn.MINIFS('TOPIX_M2'!F7:F53,'TOPIX_M2'!C7:C53,C51))</x:f>
        <x:v>41080</x:v>
      </x:c>
      <x:c r="Q51" s="20" t="n">
        <x:f>J51-MAX(0,_xlfn.MAXIFS('TOPIX_M2'!F7:F53,'TOPIX_M2'!C7:C53,C51))-IF(COUNTIFS('TOPIX_M2'!F7:F53,MAX(0,_xlfn.MAXIFS('TOPIX_M2'!F7:F53,'TOPIX_M2'!C7:C53,C51)),'TOPIX_M2'!C7:C53,C51)&gt;=2,MAX(0,_xlfn.MAXIFS('TOPIX_M2'!F7:F53,'TOPIX_M2'!C7:C53,C51)),MAX(0,_xlfn.MAXIFS('TOPIX_M2'!F7:F53,'TOPIX_M2'!C7:C53,C51,'TOPIX_M2'!F7:F53,"&lt;"&amp;MAX(0,_xlfn.MAXIFS('TOPIX_M2'!F7:F53,'TOPIX_M2'!C7:C53,C51)))))-IF(COUNTIFS('TOPIX_M2'!F7:F53,MAX(0,_xlfn.MAXIFS('TOPIX_M2'!F7:F53,'TOPIX_M2'!C7:C53,C51)),'TOPIX_M2'!C7:C53,C51)&gt;=3,MAX(0,_xlfn.MAXIFS('TOPIX_M2'!F7:F53,'TOPIX_M2'!C7:C53,C51)),IF(COUNTIFS('TOPIX_M2'!F7:F53,IF(COUNTIFS('TOPIX_M2'!F7:F53,MAX(0,_xlfn.MAXIFS('TOPIX_M2'!F7:F53,'TOPIX_M2'!C7:C53,C51)),'TOPIX_M2'!C7:C53,C51)&gt;=2,MAX(0,_xlfn.MAXIFS('TOPIX_M2'!F7:F53,'TOPIX_M2'!C7:C53,C51)),MAX(0,_xlfn.MAXIFS('TOPIX_M2'!F7:F53,'TOPIX_M2'!C7:C53,C51,'TOPIX_M2'!F7:F53,"&lt;"&amp;MAX(0,_xlfn.MAXIFS('TOPIX_M2'!F7:F53,'TOPIX_M2'!C7:C53,C51))))),'TOPIX_M2'!C7:C53,C51)+COUNTIFS('TOPIX_M2'!F7:F53,"&gt;"&amp;IF(COUNTIFS('TOPIX_M2'!F7:F53,MAX(0,_xlfn.MAXIFS('TOPIX_M2'!F7:F53,'TOPIX_M2'!C7:C53,C51)),'TOPIX_M2'!C7:C53,C51)&gt;=2,MAX(0,_xlfn.MAXIFS('TOPIX_M2'!F7:F53,'TOPIX_M2'!C7:C53,C51)),MAX(0,_xlfn.MAXIFS('TOPIX_M2'!F7:F53,'TOPIX_M2'!C7:C53,C51,'TOPIX_M2'!F7:F53,"&lt;"&amp;MAX(0,_xlfn.MAXIFS('TOPIX_M2'!F7:F53,'TOPIX_M2'!C7:C53,C51))))),'TOPIX_M2'!C7:C53,C51)&gt;=3,IF(COUNTIFS('TOPIX_M2'!F7:F53,MAX(0,_xlfn.MAXIFS('TOPIX_M2'!F7:F53,'TOPIX_M2'!C7:C53,C51)),'TOPIX_M2'!C7:C53,C51)&gt;=2,MAX(0,_xlfn.MAXIFS('TOPIX_M2'!F7:F53,'TOPIX_M2'!C7:C53,C51)),MAX(0,_xlfn.MAXIFS('TOPIX_M2'!F7:F53,'TOPIX_M2'!C7:C53,C51,'TOPIX_M2'!F7:F53,"&lt;"&amp;MAX(0,_xlfn.MAXIFS('TOPIX_M2'!F7:F53,'TOPIX_M2'!C7:C53,C51))))),MAX(0,_xlfn.MAXIFS('TOPIX_M2'!F7:F53,'TOPIX_M2'!C7:C53,C51,'TOPIX_M2'!F7:F53,"&lt;"&amp;IF(COUNTIFS('TOPIX_M2'!F7:F53,MAX(0,_xlfn.MAXIFS('TOPIX_M2'!F7:F53,'TOPIX_M2'!C7:C53,C51)),'TOPIX_M2'!C7:C53,C51)&gt;=2,MAX(0,_xlfn.MAXIFS('TOPIX_M2'!F7:F53,'TOPIX_M2'!C7:C53,C51)),MAX(0,_xlfn.MAXIFS('TOPIX_M2'!F7:F53,'TOPIX_M2'!C7:C53,C51,'TOPIX_M2'!F7:F53,"&lt;"&amp;MAX(0,_xlfn.MAXIFS('TOPIX_M2'!F7:F53,'TOPIX_M2'!C7:C53,C51)))))))))</x:f>
        <x:v>375588</x:v>
      </x:c>
    </x:row>
    <x:row r="52" ht="36" customHeight="1">
      <x:c r="A52" s="2" t="str">
        <x:v>TOPIXmini</x:v>
      </x:c>
      <x:c r="B52" s="2" t="str">
        <x:v>M2</x:v>
      </x:c>
      <x:c r="C52" s="2" t="str">
        <x:v>ナイト</x:v>
      </x:c>
      <x:c r="D52" s="2" t="str">
        <x:v>対照47場</x:v>
      </x:c>
      <x:c r="E52" s="2" t="str">
        <x:v>G02</x:v>
      </x:c>
      <x:c r="F52" s="23" t="str">
        <x:v>異なる優先順位の昼夜別案</x:v>
      </x:c>
      <x:c r="G52" s="22" t="n">
        <x:f>COUNTIFS('TOPIX_M2'!C7:C53,C52)</x:f>
        <x:v>23</x:v>
      </x:c>
      <x:c r="H52" s="20" t="n">
        <x:f>SUMIFS('TOPIX_M2'!D7:D53,'TOPIX_M2'!C7:C53,C52)</x:f>
        <x:v>912884</x:v>
      </x:c>
      <x:c r="I52" s="20" t="n">
        <x:f>SUMIFS('TOPIX_M2'!E7:E53,'TOPIX_M2'!C7:C53,C52)</x:f>
        <x:v>594282</x:v>
      </x:c>
      <x:c r="J52" s="20" t="n">
        <x:f>H52-I52</x:f>
        <x:v>318602</x:v>
      </x:c>
      <x:c r="K52" s="22" t="n">
        <x:f>SUMIFS('TOPIX_M2'!J7:J53,'TOPIX_M2'!C7:C53,C52)</x:f>
        <x:v>71</x:v>
      </x:c>
      <x:c r="L52" s="22" t="n">
        <x:f>COUNTIFS('TOPIX_M2'!F7:F53,"&gt;0",'TOPIX_M2'!C7:C53,C52)</x:f>
        <x:v>20</x:v>
      </x:c>
      <x:c r="M52" s="22" t="n">
        <x:f>COUNTIFS('TOPIX_M2'!F7:F53,"&lt;0",'TOPIX_M2'!C7:C53,C52)</x:f>
        <x:v>3</x:v>
      </x:c>
      <x:c r="N52" s="22" t="n">
        <x:f>COUNTIFS('TOPIX_M2'!J7:J53,"=0",'TOPIX_M2'!C7:C53,C52)</x:f>
        <x:v>0</x:v>
      </x:c>
      <x:c r="O52" s="20" t="n">
        <x:f>IF(M52=0,0,-SUMIFS('TOPIX_M2'!F7:F53,'TOPIX_M2'!F7:F53,"&lt;0",'TOPIX_M2'!C7:C53,C52)/M52)</x:f>
        <x:v>38558.666666666664</x:v>
      </x:c>
      <x:c r="P52" s="20" t="n">
        <x:f>MAX(0,-_xlfn.MINIFS('TOPIX_M2'!F7:F53,'TOPIX_M2'!C7:C53,C52))</x:f>
        <x:v>40836</x:v>
      </x:c>
      <x:c r="Q52" s="20" t="n">
        <x:f>J52-MAX(0,_xlfn.MAXIFS('TOPIX_M2'!F7:F53,'TOPIX_M2'!C7:C53,C52))-IF(COUNTIFS('TOPIX_M2'!F7:F53,MAX(0,_xlfn.MAXIFS('TOPIX_M2'!F7:F53,'TOPIX_M2'!C7:C53,C52)),'TOPIX_M2'!C7:C53,C52)&gt;=2,MAX(0,_xlfn.MAXIFS('TOPIX_M2'!F7:F53,'TOPIX_M2'!C7:C53,C52)),MAX(0,_xlfn.MAXIFS('TOPIX_M2'!F7:F53,'TOPIX_M2'!C7:C53,C52,'TOPIX_M2'!F7:F53,"&lt;"&amp;MAX(0,_xlfn.MAXIFS('TOPIX_M2'!F7:F53,'TOPIX_M2'!C7:C53,C52)))))-IF(COUNTIFS('TOPIX_M2'!F7:F53,MAX(0,_xlfn.MAXIFS('TOPIX_M2'!F7:F53,'TOPIX_M2'!C7:C53,C52)),'TOPIX_M2'!C7:C53,C52)&gt;=3,MAX(0,_xlfn.MAXIFS('TOPIX_M2'!F7:F53,'TOPIX_M2'!C7:C53,C52)),IF(COUNTIFS('TOPIX_M2'!F7:F53,IF(COUNTIFS('TOPIX_M2'!F7:F53,MAX(0,_xlfn.MAXIFS('TOPIX_M2'!F7:F53,'TOPIX_M2'!C7:C53,C52)),'TOPIX_M2'!C7:C53,C52)&gt;=2,MAX(0,_xlfn.MAXIFS('TOPIX_M2'!F7:F53,'TOPIX_M2'!C7:C53,C52)),MAX(0,_xlfn.MAXIFS('TOPIX_M2'!F7:F53,'TOPIX_M2'!C7:C53,C52,'TOPIX_M2'!F7:F53,"&lt;"&amp;MAX(0,_xlfn.MAXIFS('TOPIX_M2'!F7:F53,'TOPIX_M2'!C7:C53,C52))))),'TOPIX_M2'!C7:C53,C52)+COUNTIFS('TOPIX_M2'!F7:F53,"&gt;"&amp;IF(COUNTIFS('TOPIX_M2'!F7:F53,MAX(0,_xlfn.MAXIFS('TOPIX_M2'!F7:F53,'TOPIX_M2'!C7:C53,C52)),'TOPIX_M2'!C7:C53,C52)&gt;=2,MAX(0,_xlfn.MAXIFS('TOPIX_M2'!F7:F53,'TOPIX_M2'!C7:C53,C52)),MAX(0,_xlfn.MAXIFS('TOPIX_M2'!F7:F53,'TOPIX_M2'!C7:C53,C52,'TOPIX_M2'!F7:F53,"&lt;"&amp;MAX(0,_xlfn.MAXIFS('TOPIX_M2'!F7:F53,'TOPIX_M2'!C7:C53,C52))))),'TOPIX_M2'!C7:C53,C52)&gt;=3,IF(COUNTIFS('TOPIX_M2'!F7:F53,MAX(0,_xlfn.MAXIFS('TOPIX_M2'!F7:F53,'TOPIX_M2'!C7:C53,C52)),'TOPIX_M2'!C7:C53,C52)&gt;=2,MAX(0,_xlfn.MAXIFS('TOPIX_M2'!F7:F53,'TOPIX_M2'!C7:C53,C52)),MAX(0,_xlfn.MAXIFS('TOPIX_M2'!F7:F53,'TOPIX_M2'!C7:C53,C52,'TOPIX_M2'!F7:F53,"&lt;"&amp;MAX(0,_xlfn.MAXIFS('TOPIX_M2'!F7:F53,'TOPIX_M2'!C7:C53,C52))))),MAX(0,_xlfn.MAXIFS('TOPIX_M2'!F7:F53,'TOPIX_M2'!C7:C53,C52,'TOPIX_M2'!F7:F53,"&lt;"&amp;IF(COUNTIFS('TOPIX_M2'!F7:F53,MAX(0,_xlfn.MAXIFS('TOPIX_M2'!F7:F53,'TOPIX_M2'!C7:C53,C52)),'TOPIX_M2'!C7:C53,C52)&gt;=2,MAX(0,_xlfn.MAXIFS('TOPIX_M2'!F7:F53,'TOPIX_M2'!C7:C53,C52)),MAX(0,_xlfn.MAXIFS('TOPIX_M2'!F7:F53,'TOPIX_M2'!C7:C53,C52,'TOPIX_M2'!F7:F53,"&lt;"&amp;MAX(0,_xlfn.MAXIFS('TOPIX_M2'!F7:F53,'TOPIX_M2'!C7:C53,C52)))))))))</x:f>
        <x:v>112198</x:v>
      </x:c>
    </x:row>
    <x:row r="53" ht="36" customHeight="1">
      <x:c r="A53" s="2" t="str">
        <x:v>TOPIXmini</x:v>
      </x:c>
      <x:c r="B53" s="2" t="str">
        <x:v>M2</x:v>
      </x:c>
      <x:c r="C53" s="2" t="str">
        <x:v>デイ</x:v>
      </x:c>
      <x:c r="D53" s="2" t="str">
        <x:v>診断3場</x:v>
      </x:c>
      <x:c r="E53" s="2" t="str">
        <x:v>C33</x:v>
      </x:c>
      <x:c r="F53" s="23" t="str">
        <x:v>異なる優先順位の昼夜別案</x:v>
      </x:c>
      <x:c r="G53" s="22" t="n">
        <x:f>COUNTIFS('TOPIX_M2'!C54:C56,C53)</x:f>
        <x:v>1</x:v>
      </x:c>
      <x:c r="H53" s="20" t="n">
        <x:f>SUMIFS('TOPIX_M2'!D54:D56,'TOPIX_M2'!C54:C56,C53)</x:f>
        <x:v>59336</x:v>
      </x:c>
      <x:c r="I53" s="20" t="n">
        <x:f>SUMIFS('TOPIX_M2'!E54:E56,'TOPIX_M2'!C54:C56,C53)</x:f>
        <x:v>127664</x:v>
      </x:c>
      <x:c r="J53" s="20" t="n">
        <x:f>H53-I53</x:f>
        <x:v>-68328</x:v>
      </x:c>
      <x:c r="K53" s="22" t="n">
        <x:f>SUMIFS('TOPIX_M2'!J54:J56,'TOPIX_M2'!C54:C56,C53)</x:f>
        <x:v>10</x:v>
      </x:c>
      <x:c r="L53" s="22" t="n">
        <x:f>COUNTIFS('TOPIX_M2'!F54:F56,"&gt;0",'TOPIX_M2'!C54:C56,C53)</x:f>
        <x:v>0</x:v>
      </x:c>
      <x:c r="M53" s="22" t="n">
        <x:f>COUNTIFS('TOPIX_M2'!F54:F56,"&lt;0",'TOPIX_M2'!C54:C56,C53)</x:f>
        <x:v>1</x:v>
      </x:c>
      <x:c r="N53" s="22" t="n">
        <x:f>COUNTIFS('TOPIX_M2'!J54:J56,"=0",'TOPIX_M2'!C54:C56,C53)</x:f>
        <x:v>0</x:v>
      </x:c>
      <x:c r="O53" s="20" t="n">
        <x:f>IF(M53=0,0,-SUMIFS('TOPIX_M2'!F54:F56,'TOPIX_M2'!F54:F56,"&lt;0",'TOPIX_M2'!C54:C56,C53)/M53)</x:f>
        <x:v>68328</x:v>
      </x:c>
      <x:c r="P53" s="20" t="n">
        <x:f>MAX(0,-_xlfn.MINIFS('TOPIX_M2'!F54:F56,'TOPIX_M2'!C54:C56,C53))</x:f>
        <x:v>68328</x:v>
      </x:c>
      <x:c r="Q53" s="20" t="n">
        <x:f>J53-MAX(0,_xlfn.MAXIFS('TOPIX_M2'!F54:F56,'TOPIX_M2'!C54:C56,C53))-IF(COUNTIFS('TOPIX_M2'!F54:F56,MAX(0,_xlfn.MAXIFS('TOPIX_M2'!F54:F56,'TOPIX_M2'!C54:C56,C53)),'TOPIX_M2'!C54:C56,C53)&gt;=2,MAX(0,_xlfn.MAXIFS('TOPIX_M2'!F54:F56,'TOPIX_M2'!C54:C56,C53)),MAX(0,_xlfn.MAXIFS('TOPIX_M2'!F54:F56,'TOPIX_M2'!C54:C56,C53,'TOPIX_M2'!F54:F56,"&lt;"&amp;MAX(0,_xlfn.MAXIFS('TOPIX_M2'!F54:F56,'TOPIX_M2'!C54:C56,C53)))))-IF(COUNTIFS('TOPIX_M2'!F54:F56,MAX(0,_xlfn.MAXIFS('TOPIX_M2'!F54:F56,'TOPIX_M2'!C54:C56,C53)),'TOPIX_M2'!C54:C56,C53)&gt;=3,MAX(0,_xlfn.MAXIFS('TOPIX_M2'!F54:F56,'TOPIX_M2'!C54:C56,C53)),IF(COUNTIFS('TOPIX_M2'!F54:F56,IF(COUNTIFS('TOPIX_M2'!F54:F56,MAX(0,_xlfn.MAXIFS('TOPIX_M2'!F54:F56,'TOPIX_M2'!C54:C56,C53)),'TOPIX_M2'!C54:C56,C53)&gt;=2,MAX(0,_xlfn.MAXIFS('TOPIX_M2'!F54:F56,'TOPIX_M2'!C54:C56,C53)),MAX(0,_xlfn.MAXIFS('TOPIX_M2'!F54:F56,'TOPIX_M2'!C54:C56,C53,'TOPIX_M2'!F54:F56,"&lt;"&amp;MAX(0,_xlfn.MAXIFS('TOPIX_M2'!F54:F56,'TOPIX_M2'!C54:C56,C53))))),'TOPIX_M2'!C54:C56,C53)+COUNTIFS('TOPIX_M2'!F54:F56,"&gt;"&amp;IF(COUNTIFS('TOPIX_M2'!F54:F56,MAX(0,_xlfn.MAXIFS('TOPIX_M2'!F54:F56,'TOPIX_M2'!C54:C56,C53)),'TOPIX_M2'!C54:C56,C53)&gt;=2,MAX(0,_xlfn.MAXIFS('TOPIX_M2'!F54:F56,'TOPIX_M2'!C54:C56,C53)),MAX(0,_xlfn.MAXIFS('TOPIX_M2'!F54:F56,'TOPIX_M2'!C54:C56,C53,'TOPIX_M2'!F54:F56,"&lt;"&amp;MAX(0,_xlfn.MAXIFS('TOPIX_M2'!F54:F56,'TOPIX_M2'!C54:C56,C53))))),'TOPIX_M2'!C54:C56,C53)&gt;=3,IF(COUNTIFS('TOPIX_M2'!F54:F56,MAX(0,_xlfn.MAXIFS('TOPIX_M2'!F54:F56,'TOPIX_M2'!C54:C56,C53)),'TOPIX_M2'!C54:C56,C53)&gt;=2,MAX(0,_xlfn.MAXIFS('TOPIX_M2'!F54:F56,'TOPIX_M2'!C54:C56,C53)),MAX(0,_xlfn.MAXIFS('TOPIX_M2'!F54:F56,'TOPIX_M2'!C54:C56,C53,'TOPIX_M2'!F54:F56,"&lt;"&amp;MAX(0,_xlfn.MAXIFS('TOPIX_M2'!F54:F56,'TOPIX_M2'!C54:C56,C53))))),MAX(0,_xlfn.MAXIFS('TOPIX_M2'!F54:F56,'TOPIX_M2'!C54:C56,C53,'TOPIX_M2'!F54:F56,"&lt;"&amp;IF(COUNTIFS('TOPIX_M2'!F54:F56,MAX(0,_xlfn.MAXIFS('TOPIX_M2'!F54:F56,'TOPIX_M2'!C54:C56,C53)),'TOPIX_M2'!C54:C56,C53)&gt;=2,MAX(0,_xlfn.MAXIFS('TOPIX_M2'!F54:F56,'TOPIX_M2'!C54:C56,C53)),MAX(0,_xlfn.MAXIFS('TOPIX_M2'!F54:F56,'TOPIX_M2'!C54:C56,C53,'TOPIX_M2'!F54:F56,"&lt;"&amp;MAX(0,_xlfn.MAXIFS('TOPIX_M2'!F54:F56,'TOPIX_M2'!C54:C56,C53)))))))))</x:f>
        <x:v>-68328</x:v>
      </x:c>
    </x:row>
    <x:row r="54" ht="36" customHeight="1">
      <x:c r="A54" s="2" t="str">
        <x:v>TOPIXmini</x:v>
      </x:c>
      <x:c r="B54" s="2" t="str">
        <x:v>M2</x:v>
      </x:c>
      <x:c r="C54" s="2" t="str">
        <x:v>ナイト</x:v>
      </x:c>
      <x:c r="D54" s="2" t="str">
        <x:v>診断3場</x:v>
      </x:c>
      <x:c r="E54" s="2" t="str">
        <x:v>G02</x:v>
      </x:c>
      <x:c r="F54" s="23" t="str">
        <x:v>異なる優先順位の昼夜別案</x:v>
      </x:c>
      <x:c r="G54" s="22" t="n">
        <x:f>COUNTIFS('TOPIX_M2'!C54:C56,C54)</x:f>
        <x:v>2</x:v>
      </x:c>
      <x:c r="H54" s="20" t="n">
        <x:f>SUMIFS('TOPIX_M2'!D54:D56,'TOPIX_M2'!C54:C56,C54)</x:f>
        <x:v>122664</x:v>
      </x:c>
      <x:c r="I54" s="20" t="n">
        <x:f>SUMIFS('TOPIX_M2'!E54:E56,'TOPIX_M2'!C54:C56,C54)</x:f>
        <x:v>64168</x:v>
      </x:c>
      <x:c r="J54" s="20" t="n">
        <x:f>H54-I54</x:f>
        <x:v>58496</x:v>
      </x:c>
      <x:c r="K54" s="22" t="n">
        <x:f>SUMIFS('TOPIX_M2'!J54:J56,'TOPIX_M2'!C54:C56,C54)</x:f>
        <x:v>12</x:v>
      </x:c>
      <x:c r="L54" s="22" t="n">
        <x:f>COUNTIFS('TOPIX_M2'!F54:F56,"&gt;0",'TOPIX_M2'!C54:C56,C54)</x:f>
        <x:v>2</x:v>
      </x:c>
      <x:c r="M54" s="22" t="n">
        <x:f>COUNTIFS('TOPIX_M2'!F54:F56,"&lt;0",'TOPIX_M2'!C54:C56,C54)</x:f>
        <x:v>0</x:v>
      </x:c>
      <x:c r="N54" s="22" t="n">
        <x:f>COUNTIFS('TOPIX_M2'!J54:J56,"=0",'TOPIX_M2'!C54:C56,C54)</x:f>
        <x:v>0</x:v>
      </x:c>
      <x:c r="O54" s="20" t="n">
        <x:f>IF(M54=0,0,-SUMIFS('TOPIX_M2'!F54:F56,'TOPIX_M2'!F54:F56,"&lt;0",'TOPIX_M2'!C54:C56,C54)/M54)</x:f>
        <x:v>0</x:v>
      </x:c>
      <x:c r="P54" s="20" t="n">
        <x:f>MAX(0,-_xlfn.MINIFS('TOPIX_M2'!F54:F56,'TOPIX_M2'!C54:C56,C54))</x:f>
        <x:v>0</x:v>
      </x:c>
      <x:c r="Q54" s="20" t="n">
        <x:f>J54-MAX(0,_xlfn.MAXIFS('TOPIX_M2'!F54:F56,'TOPIX_M2'!C54:C56,C54))-IF(COUNTIFS('TOPIX_M2'!F54:F56,MAX(0,_xlfn.MAXIFS('TOPIX_M2'!F54:F56,'TOPIX_M2'!C54:C56,C54)),'TOPIX_M2'!C54:C56,C54)&gt;=2,MAX(0,_xlfn.MAXIFS('TOPIX_M2'!F54:F56,'TOPIX_M2'!C54:C56,C54)),MAX(0,_xlfn.MAXIFS('TOPIX_M2'!F54:F56,'TOPIX_M2'!C54:C56,C54,'TOPIX_M2'!F54:F56,"&lt;"&amp;MAX(0,_xlfn.MAXIFS('TOPIX_M2'!F54:F56,'TOPIX_M2'!C54:C56,C54)))))-IF(COUNTIFS('TOPIX_M2'!F54:F56,MAX(0,_xlfn.MAXIFS('TOPIX_M2'!F54:F56,'TOPIX_M2'!C54:C56,C54)),'TOPIX_M2'!C54:C56,C54)&gt;=3,MAX(0,_xlfn.MAXIFS('TOPIX_M2'!F54:F56,'TOPIX_M2'!C54:C56,C54)),IF(COUNTIFS('TOPIX_M2'!F54:F56,IF(COUNTIFS('TOPIX_M2'!F54:F56,MAX(0,_xlfn.MAXIFS('TOPIX_M2'!F54:F56,'TOPIX_M2'!C54:C56,C54)),'TOPIX_M2'!C54:C56,C54)&gt;=2,MAX(0,_xlfn.MAXIFS('TOPIX_M2'!F54:F56,'TOPIX_M2'!C54:C56,C54)),MAX(0,_xlfn.MAXIFS('TOPIX_M2'!F54:F56,'TOPIX_M2'!C54:C56,C54,'TOPIX_M2'!F54:F56,"&lt;"&amp;MAX(0,_xlfn.MAXIFS('TOPIX_M2'!F54:F56,'TOPIX_M2'!C54:C56,C54))))),'TOPIX_M2'!C54:C56,C54)+COUNTIFS('TOPIX_M2'!F54:F56,"&gt;"&amp;IF(COUNTIFS('TOPIX_M2'!F54:F56,MAX(0,_xlfn.MAXIFS('TOPIX_M2'!F54:F56,'TOPIX_M2'!C54:C56,C54)),'TOPIX_M2'!C54:C56,C54)&gt;=2,MAX(0,_xlfn.MAXIFS('TOPIX_M2'!F54:F56,'TOPIX_M2'!C54:C56,C54)),MAX(0,_xlfn.MAXIFS('TOPIX_M2'!F54:F56,'TOPIX_M2'!C54:C56,C54,'TOPIX_M2'!F54:F56,"&lt;"&amp;MAX(0,_xlfn.MAXIFS('TOPIX_M2'!F54:F56,'TOPIX_M2'!C54:C56,C54))))),'TOPIX_M2'!C54:C56,C54)&gt;=3,IF(COUNTIFS('TOPIX_M2'!F54:F56,MAX(0,_xlfn.MAXIFS('TOPIX_M2'!F54:F56,'TOPIX_M2'!C54:C56,C54)),'TOPIX_M2'!C54:C56,C54)&gt;=2,MAX(0,_xlfn.MAXIFS('TOPIX_M2'!F54:F56,'TOPIX_M2'!C54:C56,C54)),MAX(0,_xlfn.MAXIFS('TOPIX_M2'!F54:F56,'TOPIX_M2'!C54:C56,C54,'TOPIX_M2'!F54:F56,"&lt;"&amp;MAX(0,_xlfn.MAXIFS('TOPIX_M2'!F54:F56,'TOPIX_M2'!C54:C56,C54))))),MAX(0,_xlfn.MAXIFS('TOPIX_M2'!F54:F56,'TOPIX_M2'!C54:C56,C54,'TOPIX_M2'!F54:F56,"&lt;"&amp;IF(COUNTIFS('TOPIX_M2'!F54:F56,MAX(0,_xlfn.MAXIFS('TOPIX_M2'!F54:F56,'TOPIX_M2'!C54:C56,C54)),'TOPIX_M2'!C54:C56,C54)&gt;=2,MAX(0,_xlfn.MAXIFS('TOPIX_M2'!F54:F56,'TOPIX_M2'!C54:C56,C54)),MAX(0,_xlfn.MAXIFS('TOPIX_M2'!F54:F56,'TOPIX_M2'!C54:C56,C54,'TOPIX_M2'!F54:F56,"&lt;"&amp;MAX(0,_xlfn.MAXIFS('TOPIX_M2'!F54:F56,'TOPIX_M2'!C54:C56,C54)))))))))</x:f>
        <x:v>0</x:v>
      </x:c>
    </x:row>
  </x:sheetData>
  <x:conditionalFormatting sqref="H7:J54">
    <x:cfRule type="cellIs" dxfId="16" priority="1" operator="lessThan">
      <x:formula>0</x:formula>
    </x:cfRule>
  </x:conditionalFormatting>
  <x:conditionalFormatting sqref="O7:Q54">
    <x:cfRule type="cellIs" dxfId="17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bc01f176f8d4caa"/>
  </x:tableParts>
</x:worksheet>
</file>

<file path=xl/worksheets/sheet3.xml><?xml version="1.0" encoding="utf-8"?>
<x:worksheet xmlns:x="http://schemas.openxmlformats.org/spreadsheetml/2006/main">
  <x:sheetPr>
    <x:tabColor rgb="FF25456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30" hidden="0" customWidth="1"/>
    <x:col min="4" max="4" width="22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2" customHeight="1">
      <x:c r="A2" s="4" t="str">
        <x:v>損失が発生した時点と改善の比較</x:v>
      </x:c>
      <x:c r="B2" s="5"/>
      <x:c r="C2" s="5"/>
      <x:c r="D2" s="5"/>
      <x:c r="E2" s="5"/>
      <x:c r="F2" s="5"/>
      <x:c r="G2" s="5"/>
      <x:c r="H2" s="5"/>
      <x:c r="I2" s="6"/>
      <x:c r="J2" s="6"/>
    </x:row>
    <x:row r="3" ht="22" customHeight="1">
      <x:c r="A3" s="7" t="str">
        <x:v>時刻は原因を調べた原板の価格時計。金額はそのセッション全体の前回手法→M1の収支。特定の玉だけの損益差ではありません。</x:v>
      </x:c>
      <x:c r="B3" s="2"/>
      <x:c r="C3" s="2"/>
      <x:c r="D3" s="2"/>
      <x:c r="E3" s="2"/>
      <x:c r="F3" s="2"/>
      <x:c r="G3" s="2"/>
      <x:c r="H3" s="2"/>
    </x:row>
    <x:row r="4" ht="22" customHeight="1">
      <x:c r="A4" s="7" t="str">
        <x:v>時刻は原価格時計。原seqは0始まりで、未採番は空欄です。板受信時刻を復元したものではありません。</x:v>
      </x:c>
      <x:c r="B4" s="2"/>
      <x:c r="C4" s="2"/>
      <x:c r="D4" s="2"/>
      <x:c r="E4" s="2"/>
      <x:c r="F4" s="2"/>
      <x:c r="G4" s="2"/>
      <x:c r="H4" s="2"/>
    </x:row>
    <x:row r="5" ht="22" customHeight="1">
      <x:c r="A5" s="7" t="str">
        <x:v>金額は円。差額は改善後収支から旧収支を引いた値です。出典：00141保存診断会計。</x:v>
      </x:c>
      <x:c r="B5" s="2"/>
      <x:c r="C5" s="2"/>
      <x:c r="D5" s="2"/>
      <x:c r="E5" s="2"/>
      <x:c r="F5" s="2"/>
      <x:c r="G5" s="2"/>
      <x:c r="H5" s="2"/>
    </x:row>
    <x:row r="6" ht="34" customHeight="1">
      <x:c r="A6" s="16" t="str">
        <x:v>セッション</x:v>
      </x:c>
      <x:c r="B6" s="17" t="str">
        <x:v>商品</x:v>
      </x:c>
      <x:c r="C6" s="17" t="str">
        <x:v>原価格時計</x:v>
      </x:c>
      <x:c r="D6" s="17" t="str">
        <x:v>原seq（0始まり）</x:v>
      </x:c>
      <x:c r="E6" s="17" t="str">
        <x:v>旧収支（円）</x:v>
      </x:c>
      <x:c r="F6" s="17" t="str">
        <x:v>改善後収支（円）</x:v>
      </x:c>
      <x:c r="G6" s="17" t="str">
        <x:v>差額（円）</x:v>
      </x:c>
      <x:c r="H6" s="18" t="str">
        <x:v>観測した問題</x:v>
      </x:c>
    </x:row>
    <x:row r="7" ht="36" customHeight="1">
      <x:c r="A7" s="2" t="str">
        <x:v>2026-10-22_Night</x:v>
      </x:c>
      <x:c r="B7" s="2" t="str">
        <x:v>日経mini</x:v>
      </x:c>
      <x:c r="C7" s="21" t="d">
        <x:v>2026-10-23T00:17:35.000Z</x:v>
      </x:c>
      <x:c r="D7" s="22" t="n">
        <x:v>132833</x:v>
      </x:c>
      <x:c r="E7" s="20" t="n">
        <x:v>-38228</x:v>
      </x:c>
      <x:c r="F7" s="20" t="n">
        <x:v>51078</x:v>
      </x:c>
      <x:c r="G7" s="20" t="n">
        <x:f>F7-E7</x:f>
        <x:v>89306</x:v>
      </x:c>
      <x:c r="H7" s="23" t="str">
        <x:v>反発後に追撃。利益保護前にリスクが約3倍へ拡大</x:v>
      </x:c>
    </x:row>
    <x:row r="8" ht="36" customHeight="1">
      <x:c r="A8" s="2" t="str">
        <x:v>2026-10-23_Day</x:v>
      </x:c>
      <x:c r="B8" s="2" t="str">
        <x:v>日経mini</x:v>
      </x:c>
      <x:c r="C8" s="21" t="d">
        <x:v>2026-10-23T14:15:38.999Z</x:v>
      </x:c>
      <x:c r="D8" s="22" t="n">
        <x:v>156839</x:v>
      </x:c>
      <x:c r="E8" s="20" t="n">
        <x:v>-42150</x:v>
      </x:c>
      <x:c r="F8" s="20" t="n">
        <x:v>-23074</x:v>
      </x:c>
      <x:c r="G8" s="20" t="n">
        <x:f>F8-E8</x:f>
        <x:v>19076</x:v>
      </x:c>
      <x:c r="H8" s="23" t="str">
        <x:v>両市場40分上昇中の小反落を売った</x:v>
      </x:c>
    </x:row>
    <x:row r="9" ht="36" customHeight="1">
      <x:c r="A9" s="2" t="str">
        <x:v>2026-10-23_Night</x:v>
      </x:c>
      <x:c r="B9" s="2" t="str">
        <x:v>日経mini</x:v>
      </x:c>
      <x:c r="C9" s="21" t="d">
        <x:v>2026-10-23T23:00:02.000Z</x:v>
      </x:c>
      <x:c r="D9" s="22" t="n">
        <x:v>105715</x:v>
      </x:c>
      <x:c r="E9" s="20" t="n">
        <x:v>-43538</x:v>
      </x:c>
      <x:c r="F9" s="20" t="n">
        <x:v>-61538</x:v>
      </x:c>
      <x:c r="G9" s="20" t="n">
        <x:f>F9-E9</x:f>
        <x:v>-18000</x:v>
      </x:c>
      <x:c r="H9" s="23" t="str">
        <x:v>始値票が直近反転を上書き。補完置換案は過去悪化のため未採用</x:v>
      </x:c>
    </x:row>
    <x:row r="10" ht="36" customHeight="1">
      <x:c r="A10" s="2" t="str">
        <x:v>2026-10-22_Night</x:v>
      </x:c>
      <x:c r="B10" s="2" t="str">
        <x:v>TOPIXmini</x:v>
      </x:c>
      <x:c r="C10" s="21" t="d">
        <x:v>2026-10-23T00:17:38.000Z</x:v>
      </x:c>
      <x:c r="D10" s="22" t="n">
        <x:v>125124</x:v>
      </x:c>
      <x:c r="E10" s="20" t="n">
        <x:v>52912</x:v>
      </x:c>
      <x:c r="F10" s="20" t="n">
        <x:v>34414</x:v>
      </x:c>
      <x:c r="G10" s="20" t="n">
        <x:f>F10-E10</x:f>
        <x:v>-18498</x:v>
      </x:c>
      <x:c r="H10" s="23" t="str">
        <x:v>反発買いは利益。初回の板支持だけでは日経との差を説明できない</x:v>
      </x:c>
    </x:row>
    <x:row r="11" ht="36" customHeight="1">
      <x:c r="A11" s="2" t="str">
        <x:v>2026-10-23_Day</x:v>
      </x:c>
      <x:c r="B11" s="2" t="str">
        <x:v>TOPIXmini</x:v>
      </x:c>
      <x:c r="C11" s="21" t="d">
        <x:v>2026-10-23T10:17:22.000Z</x:v>
      </x:c>
      <x:c r="D11" s="22" t="n">
        <x:v>49285</x:v>
      </x:c>
      <x:c r="E11" s="20" t="n">
        <x:v>-68328</x:v>
      </x:c>
      <x:c r="F11" s="20" t="n">
        <x:v>-27574</x:v>
      </x:c>
      <x:c r="G11" s="20" t="n">
        <x:f>F11-E11</x:f>
        <x:v>40754</x:v>
      </x:c>
      <x:c r="H11" s="23" t="str">
        <x:v>売り直後に反転。午後の逆張り売りも損失を重ねた</x:v>
      </x:c>
    </x:row>
    <x:row r="12" ht="36" customHeight="1">
      <x:c r="A12" s="2" t="str">
        <x:v>2026-10-23_Night</x:v>
      </x:c>
      <x:c r="B12" s="2" t="str">
        <x:v>TOPIXmini</x:v>
      </x:c>
      <x:c r="C12" s="21" t="d">
        <x:v>2026-10-23T22:48:52.000Z</x:v>
      </x:c>
      <x:c r="D12" s="22" t="n">
        <x:v>97521</x:v>
      </x:c>
      <x:c r="E12" s="20" t="n">
        <x:v>22584</x:v>
      </x:c>
      <x:c r="F12" s="20" t="n">
        <x:v>27585</x:v>
      </x:c>
      <x:c r="G12" s="20" t="n">
        <x:f>F12-E12</x:f>
        <x:v>5001</x:v>
      </x:c>
      <x:c r="H12" s="23" t="str">
        <x:v>40分上昇中の短い下向きへ売り。再進行確認を比較</x:v>
      </x:c>
    </x:row>
  </x:sheetData>
  <x:conditionalFormatting sqref="E7:G12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5b44ee70378423a"/>
  </x:tableParts>
</x:worksheet>
</file>

<file path=xl/worksheets/sheet4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4" t="str">
        <x:v>日経mini B5 セッション損益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</x:row>
    <x:row r="3" ht="22" customHeight="1">
      <x:c r="A3" s="7" t="str">
        <x:v>片方向上限10枚。金額は円・手数料後。利益と損失は完結した一組の収支を正負に分類。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A4" s="7" t="str">
        <x:v>昼：B5（T06）／夜：B5（U06）。対照47場：9/21～10/22デイ。診断3場：10/22ナイト～10/23ナイト。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A5" s="7" t="str">
        <x:v>従来基準。出典：00141保存会計。診断3場は原因分析と改善に使用した期間です。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4" customHeight="1">
      <x:c r="A6" s="16" t="str">
        <x:v>手法ID</x:v>
      </x:c>
      <x:c r="B6" s="17" t="str">
        <x:v>開始日時</x:v>
      </x:c>
      <x:c r="C6" s="17" t="str">
        <x:v>セッション</x:v>
      </x:c>
      <x:c r="D6" s="17" t="str">
        <x:v>利益（円）</x:v>
      </x:c>
      <x:c r="E6" s="17" t="str">
        <x:v>損失（円）</x:v>
      </x:c>
      <x:c r="F6" s="17" t="str">
        <x:v>収支（円）</x:v>
      </x:c>
      <x:c r="G6" s="17" t="str">
        <x:v>累計（円）</x:v>
      </x:c>
      <x:c r="H6" s="17" t="str">
        <x:v>内数手数料（円）</x:v>
      </x:c>
      <x:c r="I6" s="17" t="str">
        <x:v>費用前収支（円）</x:v>
      </x:c>
      <x:c r="J6" s="17" t="str">
        <x:v>新規回数</x:v>
      </x:c>
      <x:c r="K6" s="17" t="str">
        <x:v>新規枚数</x:v>
      </x:c>
      <x:c r="L6" s="17" t="str">
        <x:v>最大片方向保有</x:v>
      </x:c>
      <x:c r="M6" s="17" t="str">
        <x:v>評価区分</x:v>
      </x:c>
      <x:c r="N6" s="17" t="str">
        <x:v>初回まで（分）</x:v>
      </x:c>
      <x:c r="O6" s="18" t="str">
        <x:v>保有（分）</x:v>
      </x:c>
    </x:row>
    <x:row r="7" ht="22" customHeight="1">
      <x:c r="A7" s="2" t="str">
        <x:v>B5</x:v>
      </x:c>
      <x:c r="B7" s="24" t="d">
        <x:v>2026-09-21T08:45:00.000Z</x:v>
      </x:c>
      <x:c r="C7" s="2" t="str">
        <x:v>デイ</x:v>
      </x:c>
      <x:c r="D7" s="20" t="n">
        <x:v>85616</x:v>
      </x:c>
      <x:c r="E7" s="20" t="n">
        <x:v>0</x:v>
      </x:c>
      <x:c r="F7" s="20" t="n">
        <x:f>D7-E7</x:f>
        <x:v>85616</x:v>
      </x:c>
      <x:c r="G7" s="20" t="n">
        <x:f>SUMIFS($F$7:$F$56,$A$7:$A$56,A7,$B$7:$B$56,"&lt;="&amp;B7)</x:f>
        <x:v>85616</x:v>
      </x:c>
      <x:c r="H7" s="20" t="n">
        <x:v>384</x:v>
      </x:c>
      <x:c r="I7" s="20" t="n">
        <x:v>86000</x:v>
      </x:c>
      <x:c r="J7" s="27" t="n">
        <x:v>1</x:v>
      </x:c>
      <x:c r="K7" s="27" t="n">
        <x:v>5</x:v>
      </x:c>
      <x:c r="L7" s="27" t="n">
        <x:v>5</x:v>
      </x:c>
      <x:c r="M7" s="29" t="str">
        <x:v>対照47場</x:v>
      </x:c>
      <x:c r="N7" s="28" t="n">
        <x:v>190.06666666666666</x:v>
      </x:c>
      <x:c r="O7" s="28" t="n">
        <x:v>167.2</x:v>
      </x:c>
    </x:row>
    <x:row r="8" ht="22" customHeight="1">
      <x:c r="A8" s="2" t="str">
        <x:v>B5</x:v>
      </x:c>
      <x:c r="B8" s="24" t="d">
        <x:v>2026-09-21T17:00:00.000Z</x:v>
      </x:c>
      <x:c r="C8" s="2" t="str">
        <x:v>ナイト</x:v>
      </x:c>
      <x:c r="D8" s="20" t="n">
        <x:v>0</x:v>
      </x:c>
      <x:c r="E8" s="20" t="n">
        <x:v>45384</x:v>
      </x:c>
      <x:c r="F8" s="20" t="n">
        <x:f>D8-E8</x:f>
        <x:v>-45384</x:v>
      </x:c>
      <x:c r="G8" s="20" t="n">
        <x:f>SUMIFS($F$7:$F$56,$A$7:$A$56,A8,$B$7:$B$56,"&lt;="&amp;B8)</x:f>
        <x:v>40232</x:v>
      </x:c>
      <x:c r="H8" s="20" t="n">
        <x:v>384</x:v>
      </x:c>
      <x:c r="I8" s="20" t="n">
        <x:v>-45000</x:v>
      </x:c>
      <x:c r="J8" s="27" t="n">
        <x:v>1</x:v>
      </x:c>
      <x:c r="K8" s="27" t="n">
        <x:v>5</x:v>
      </x:c>
      <x:c r="L8" s="27" t="n">
        <x:v>5</x:v>
      </x:c>
      <x:c r="M8" s="29" t="str">
        <x:v>対照47場</x:v>
      </x:c>
      <x:c r="N8" s="28" t="n">
        <x:v>360.01666666666665</x:v>
      </x:c>
      <x:c r="O8" s="28" t="n">
        <x:v>5.666666666666667</x:v>
      </x:c>
    </x:row>
    <x:row r="9" ht="22" customHeight="1">
      <x:c r="A9" s="2" t="str">
        <x:v>B5</x:v>
      </x:c>
      <x:c r="B9" s="24" t="d">
        <x:v>2026-09-22T08:45:00.000Z</x:v>
      </x:c>
      <x:c r="C9" s="2" t="str">
        <x:v>デイ</x:v>
      </x:c>
      <x:c r="D9" s="20" t="n">
        <x:v>0</x:v>
      </x:c>
      <x:c r="E9" s="20" t="n">
        <x:v>106152</x:v>
      </x:c>
      <x:c r="F9" s="20" t="n">
        <x:f>D9-E9</x:f>
        <x:v>-106152</x:v>
      </x:c>
      <x:c r="G9" s="20" t="n">
        <x:f>SUMIFS($F$7:$F$56,$A$7:$A$56,A9,$B$7:$B$56,"&lt;="&amp;B9)</x:f>
        <x:v>-65920</x:v>
      </x:c>
      <x:c r="H9" s="20" t="n">
        <x:v>1152</x:v>
      </x:c>
      <x:c r="I9" s="20" t="n">
        <x:v>-105000</x:v>
      </x:c>
      <x:c r="J9" s="27" t="n">
        <x:v>3</x:v>
      </x:c>
      <x:c r="K9" s="27" t="n">
        <x:v>15</x:v>
      </x:c>
      <x:c r="L9" s="27" t="n">
        <x:v>5</x:v>
      </x:c>
      <x:c r="M9" s="29" t="str">
        <x:v>対照47場</x:v>
      </x:c>
      <x:c r="N9" s="28" t="n">
        <x:v>242.78333333333333</x:v>
      </x:c>
      <x:c r="O9" s="28" t="n">
        <x:v>28.166666666666668</x:v>
      </x:c>
    </x:row>
    <x:row r="10" ht="22" customHeight="1">
      <x:c r="A10" s="2" t="str">
        <x:v>B5</x:v>
      </x:c>
      <x:c r="B10" s="24" t="d">
        <x:v>2026-09-22T17:00:00.000Z</x:v>
      </x:c>
      <x:c r="C10" s="2" t="str">
        <x:v>ナイト</x:v>
      </x:c>
      <x:c r="D10" s="20" t="n">
        <x:v>39616</x:v>
      </x:c>
      <x:c r="E10" s="20" t="n">
        <x:v>0</x:v>
      </x:c>
      <x:c r="F10" s="20" t="n">
        <x:f>D10-E10</x:f>
        <x:v>39616</x:v>
      </x:c>
      <x:c r="G10" s="20" t="n">
        <x:f>SUMIFS($F$7:$F$56,$A$7:$A$56,A10,$B$7:$B$56,"&lt;="&amp;B10)</x:f>
        <x:v>-26304</x:v>
      </x:c>
      <x:c r="H10" s="20" t="n">
        <x:v>384</x:v>
      </x:c>
      <x:c r="I10" s="20" t="n">
        <x:v>40000</x:v>
      </x:c>
      <x:c r="J10" s="27" t="n">
        <x:v>1</x:v>
      </x:c>
      <x:c r="K10" s="27" t="n">
        <x:v>5</x:v>
      </x:c>
      <x:c r="L10" s="27" t="n">
        <x:v>5</x:v>
      </x:c>
      <x:c r="M10" s="29" t="str">
        <x:v>対照47場</x:v>
      </x:c>
      <x:c r="N10" s="28" t="n">
        <x:v>360.1</x:v>
      </x:c>
      <x:c r="O10" s="28" t="n">
        <x:v>13.583333333333334</x:v>
      </x:c>
    </x:row>
    <x:row r="11" ht="22" customHeight="1">
      <x:c r="A11" s="2" t="str">
        <x:v>B5</x:v>
      </x:c>
      <x:c r="B11" s="24" t="d">
        <x:v>2026-09-23T08:45:00.000Z</x:v>
      </x:c>
      <x:c r="C11" s="2" t="str">
        <x:v>デイ</x:v>
      </x:c>
      <x:c r="D11" s="20" t="n">
        <x:v>0</x:v>
      </x:c>
      <x:c r="E11" s="20" t="n">
        <x:v>4384</x:v>
      </x:c>
      <x:c r="F11" s="20" t="n">
        <x:f>D11-E11</x:f>
        <x:v>-4384</x:v>
      </x:c>
      <x:c r="G11" s="20" t="n">
        <x:f>SUMIFS($F$7:$F$56,$A$7:$A$56,A11,$B$7:$B$56,"&lt;="&amp;B11)</x:f>
        <x:v>-30688</x:v>
      </x:c>
      <x:c r="H11" s="20" t="n">
        <x:v>384</x:v>
      </x:c>
      <x:c r="I11" s="20" t="n">
        <x:v>-4000</x:v>
      </x:c>
      <x:c r="J11" s="27" t="n">
        <x:v>1</x:v>
      </x:c>
      <x:c r="K11" s="27" t="n">
        <x:v>5</x:v>
      </x:c>
      <x:c r="L11" s="27" t="n">
        <x:v>5</x:v>
      </x:c>
      <x:c r="M11" s="29" t="str">
        <x:v>対照47場</x:v>
      </x:c>
      <x:c r="N11" s="28" t="n">
        <x:v>68.15</x:v>
      </x:c>
      <x:c r="O11" s="28" t="n">
        <x:v>313.75</x:v>
      </x:c>
    </x:row>
    <x:row r="12" ht="22" customHeight="1">
      <x:c r="A12" s="2" t="str">
        <x:v>B5</x:v>
      </x:c>
      <x:c r="B12" s="24" t="d">
        <x:v>2026-09-23T17:00:00.000Z</x:v>
      </x:c>
      <x:c r="C12" s="2" t="str">
        <x:v>ナイト</x:v>
      </x:c>
      <x:c r="D12" s="20" t="n">
        <x:v>0</x:v>
      </x:c>
      <x:c r="E12" s="20" t="n">
        <x:v>40384</x:v>
      </x:c>
      <x:c r="F12" s="20" t="n">
        <x:f>D12-E12</x:f>
        <x:v>-40384</x:v>
      </x:c>
      <x:c r="G12" s="20" t="n">
        <x:f>SUMIFS($F$7:$F$56,$A$7:$A$56,A12,$B$7:$B$56,"&lt;="&amp;B12)</x:f>
        <x:v>-71072</x:v>
      </x:c>
      <x:c r="H12" s="20" t="n">
        <x:v>384</x:v>
      </x:c>
      <x:c r="I12" s="20" t="n">
        <x:v>-40000</x:v>
      </x:c>
      <x:c r="J12" s="27" t="n">
        <x:v>1</x:v>
      </x:c>
      <x:c r="K12" s="27" t="n">
        <x:v>5</x:v>
      </x:c>
      <x:c r="L12" s="27" t="n">
        <x:v>5</x:v>
      </x:c>
      <x:c r="M12" s="29" t="str">
        <x:v>対照47場</x:v>
      </x:c>
      <x:c r="N12" s="28" t="n">
        <x:v>358.03333333333336</x:v>
      </x:c>
      <x:c r="O12" s="28" t="n">
        <x:v>2.15</x:v>
      </x:c>
    </x:row>
    <x:row r="13" ht="22" customHeight="1">
      <x:c r="A13" s="2" t="str">
        <x:v>B5</x:v>
      </x:c>
      <x:c r="B13" s="24" t="d">
        <x:v>2026-09-24T08:45:00.000Z</x:v>
      </x:c>
      <x:c r="C13" s="2" t="str">
        <x:v>デイ</x:v>
      </x:c>
      <x:c r="D13" s="20" t="n">
        <x:v>60616</x:v>
      </x:c>
      <x:c r="E13" s="20" t="n">
        <x:v>85768</x:v>
      </x:c>
      <x:c r="F13" s="20" t="n">
        <x:f>D13-E13</x:f>
        <x:v>-25152</x:v>
      </x:c>
      <x:c r="G13" s="20" t="n">
        <x:f>SUMIFS($F$7:$F$56,$A$7:$A$56,A13,$B$7:$B$56,"&lt;="&amp;B13)</x:f>
        <x:v>-96224</x:v>
      </x:c>
      <x:c r="H13" s="20" t="n">
        <x:v>1152</x:v>
      </x:c>
      <x:c r="I13" s="20" t="n">
        <x:v>-24000</x:v>
      </x:c>
      <x:c r="J13" s="27" t="n">
        <x:v>3</x:v>
      </x:c>
      <x:c r="K13" s="27" t="n">
        <x:v>15</x:v>
      </x:c>
      <x:c r="L13" s="27" t="n">
        <x:v>5</x:v>
      </x:c>
      <x:c r="M13" s="29" t="str">
        <x:v>対照47場</x:v>
      </x:c>
      <x:c r="N13" s="28" t="n">
        <x:v>149.83333333333334</x:v>
      </x:c>
      <x:c r="O13" s="28" t="n">
        <x:v>91.76666666666667</x:v>
      </x:c>
    </x:row>
    <x:row r="14" ht="22" customHeight="1">
      <x:c r="A14" s="2" t="str">
        <x:v>B5</x:v>
      </x:c>
      <x:c r="B14" s="24" t="d">
        <x:v>2026-09-24T17:00:00.000Z</x:v>
      </x:c>
      <x:c r="C14" s="2" t="str">
        <x:v>ナイト</x:v>
      </x:c>
      <x:c r="D14" s="20" t="n">
        <x:v>44616</x:v>
      </x:c>
      <x:c r="E14" s="20" t="n">
        <x:v>40384</x:v>
      </x:c>
      <x:c r="F14" s="20" t="n">
        <x:f>D14-E14</x:f>
        <x:v>4232</x:v>
      </x:c>
      <x:c r="G14" s="20" t="n">
        <x:f>SUMIFS($F$7:$F$56,$A$7:$A$56,A14,$B$7:$B$56,"&lt;="&amp;B14)</x:f>
        <x:v>-91992</x:v>
      </x:c>
      <x:c r="H14" s="20" t="n">
        <x:v>768</x:v>
      </x:c>
      <x:c r="I14" s="20" t="n">
        <x:v>5000</x:v>
      </x:c>
      <x:c r="J14" s="27" t="n">
        <x:v>2</x:v>
      </x:c>
      <x:c r="K14" s="27" t="n">
        <x:v>10</x:v>
      </x:c>
      <x:c r="L14" s="27" t="n">
        <x:v>5</x:v>
      </x:c>
      <x:c r="M14" s="29" t="str">
        <x:v>対照47場</x:v>
      </x:c>
      <x:c r="N14" s="28" t="n">
        <x:v>360.3333333333333</x:v>
      </x:c>
      <x:c r="O14" s="28" t="n">
        <x:v>13.133333333333333</x:v>
      </x:c>
    </x:row>
    <x:row r="15" ht="22" customHeight="1">
      <x:c r="A15" s="2" t="str">
        <x:v>B5</x:v>
      </x:c>
      <x:c r="B15" s="24" t="d">
        <x:v>2026-09-25T08:45:00.000Z</x:v>
      </x:c>
      <x:c r="C15" s="2" t="str">
        <x:v>デイ</x:v>
      </x:c>
      <x:c r="D15" s="20" t="n">
        <x:v>145616</x:v>
      </x:c>
      <x:c r="E15" s="20" t="n">
        <x:v>0</x:v>
      </x:c>
      <x:c r="F15" s="20" t="n">
        <x:f>D15-E15</x:f>
        <x:v>145616</x:v>
      </x:c>
      <x:c r="G15" s="20" t="n">
        <x:f>SUMIFS($F$7:$F$56,$A$7:$A$56,A15,$B$7:$B$56,"&lt;="&amp;B15)</x:f>
        <x:v>53624</x:v>
      </x:c>
      <x:c r="H15" s="20" t="n">
        <x:v>384</x:v>
      </x:c>
      <x:c r="I15" s="20" t="n">
        <x:v>146000</x:v>
      </x:c>
      <x:c r="J15" s="27" t="n">
        <x:v>1</x:v>
      </x:c>
      <x:c r="K15" s="27" t="n">
        <x:v>5</x:v>
      </x:c>
      <x:c r="L15" s="27" t="n">
        <x:v>5</x:v>
      </x:c>
      <x:c r="M15" s="29" t="str">
        <x:v>対照47場</x:v>
      </x:c>
      <x:c r="N15" s="28" t="n">
        <x:v>86.55</x:v>
      </x:c>
      <x:c r="O15" s="28" t="n">
        <x:v>323.45</x:v>
      </x:c>
    </x:row>
    <x:row r="16" ht="22" customHeight="1">
      <x:c r="A16" s="2" t="str">
        <x:v>B5</x:v>
      </x:c>
      <x:c r="B16" s="24" t="d">
        <x:v>2026-09-25T17:00:00.000Z</x:v>
      </x:c>
      <x:c r="C16" s="2" t="str">
        <x:v>ナイト</x:v>
      </x:c>
      <x:c r="D16" s="20" t="n">
        <x:v>14616</x:v>
      </x:c>
      <x:c r="E16" s="20" t="n">
        <x:v>0</x:v>
      </x:c>
      <x:c r="F16" s="20" t="n">
        <x:f>D16-E16</x:f>
        <x:v>14616</x:v>
      </x:c>
      <x:c r="G16" s="20" t="n">
        <x:f>SUMIFS($F$7:$F$56,$A$7:$A$56,A16,$B$7:$B$56,"&lt;="&amp;B16)</x:f>
        <x:v>68240</x:v>
      </x:c>
      <x:c r="H16" s="20" t="n">
        <x:v>384</x:v>
      </x:c>
      <x:c r="I16" s="20" t="n">
        <x:v>15000</x:v>
      </x:c>
      <x:c r="J16" s="27" t="n">
        <x:v>1</x:v>
      </x:c>
      <x:c r="K16" s="27" t="n">
        <x:v>5</x:v>
      </x:c>
      <x:c r="L16" s="27" t="n">
        <x:v>5</x:v>
      </x:c>
      <x:c r="M16" s="29" t="str">
        <x:v>対照47場</x:v>
      </x:c>
      <x:c r="N16" s="28" t="n">
        <x:v>360</x:v>
      </x:c>
      <x:c r="O16" s="28" t="n">
        <x:v>2.433333333333333</x:v>
      </x:c>
    </x:row>
    <x:row r="17" ht="22" customHeight="1">
      <x:c r="A17" s="2" t="str">
        <x:v>B5</x:v>
      </x:c>
      <x:c r="B17" s="24" t="d">
        <x:v>2026-09-28T08:45:00.000Z</x:v>
      </x:c>
      <x:c r="C17" s="2" t="str">
        <x:v>デイ</x:v>
      </x:c>
      <x:c r="D17" s="20" t="n">
        <x:v>261616</x:v>
      </x:c>
      <x:c r="E17" s="20" t="n">
        <x:v>75384</x:v>
      </x:c>
      <x:c r="F17" s="20" t="n">
        <x:f>D17-E17</x:f>
        <x:v>186232</x:v>
      </x:c>
      <x:c r="G17" s="20" t="n">
        <x:f>SUMIFS($F$7:$F$56,$A$7:$A$56,A17,$B$7:$B$56,"&lt;="&amp;B17)</x:f>
        <x:v>254472</x:v>
      </x:c>
      <x:c r="H17" s="20" t="n">
        <x:v>768</x:v>
      </x:c>
      <x:c r="I17" s="20" t="n">
        <x:v>187000</x:v>
      </x:c>
      <x:c r="J17" s="27" t="n">
        <x:v>2</x:v>
      </x:c>
      <x:c r="K17" s="27" t="n">
        <x:v>10</x:v>
      </x:c>
      <x:c r="L17" s="27" t="n">
        <x:v>5</x:v>
      </x:c>
      <x:c r="M17" s="29" t="str">
        <x:v>対照47場</x:v>
      </x:c>
      <x:c r="N17" s="28" t="n">
        <x:v>66.3</x:v>
      </x:c>
      <x:c r="O17" s="28" t="n">
        <x:v>331.28333333333336</x:v>
      </x:c>
    </x:row>
    <x:row r="18" ht="22" customHeight="1">
      <x:c r="A18" s="2" t="str">
        <x:v>B5</x:v>
      </x:c>
      <x:c r="B18" s="24" t="d">
        <x:v>2026-09-28T17:00:00.000Z</x:v>
      </x:c>
      <x:c r="C18" s="2" t="str">
        <x:v>ナイト</x:v>
      </x:c>
      <x:c r="D18" s="20" t="n">
        <x:v>59616</x:v>
      </x:c>
      <x:c r="E18" s="20" t="n">
        <x:v>0</x:v>
      </x:c>
      <x:c r="F18" s="20" t="n">
        <x:f>D18-E18</x:f>
        <x:v>59616</x:v>
      </x:c>
      <x:c r="G18" s="20" t="n">
        <x:f>SUMIFS($F$7:$F$56,$A$7:$A$56,A18,$B$7:$B$56,"&lt;="&amp;B18)</x:f>
        <x:v>314088</x:v>
      </x:c>
      <x:c r="H18" s="20" t="n">
        <x:v>384</x:v>
      </x:c>
      <x:c r="I18" s="20" t="n">
        <x:v>60000</x:v>
      </x:c>
      <x:c r="J18" s="27" t="n">
        <x:v>1</x:v>
      </x:c>
      <x:c r="K18" s="27" t="n">
        <x:v>5</x:v>
      </x:c>
      <x:c r="L18" s="27" t="n">
        <x:v>5</x:v>
      </x:c>
      <x:c r="M18" s="29" t="str">
        <x:v>対照47場</x:v>
      </x:c>
      <x:c r="N18" s="28" t="n">
        <x:v>360</x:v>
      </x:c>
      <x:c r="O18" s="28" t="n">
        <x:v>6.433333333333334</x:v>
      </x:c>
    </x:row>
    <x:row r="19" ht="22" customHeight="1">
      <x:c r="A19" s="2" t="str">
        <x:v>B5</x:v>
      </x:c>
      <x:c r="B19" s="24" t="d">
        <x:v>2026-09-29T08:45:00.000Z</x:v>
      </x:c>
      <x:c r="C19" s="2" t="str">
        <x:v>デイ</x:v>
      </x:c>
      <x:c r="D19" s="20" t="n">
        <x:v>282232</x:v>
      </x:c>
      <x:c r="E19" s="20" t="n">
        <x:v>0</x:v>
      </x:c>
      <x:c r="F19" s="20" t="n">
        <x:f>D19-E19</x:f>
        <x:v>282232</x:v>
      </x:c>
      <x:c r="G19" s="20" t="n">
        <x:f>SUMIFS($F$7:$F$56,$A$7:$A$56,A19,$B$7:$B$56,"&lt;="&amp;B19)</x:f>
        <x:v>596320</x:v>
      </x:c>
      <x:c r="H19" s="20" t="n">
        <x:v>768</x:v>
      </x:c>
      <x:c r="I19" s="20" t="n">
        <x:v>283000</x:v>
      </x:c>
      <x:c r="J19" s="27" t="n">
        <x:v>2</x:v>
      </x:c>
      <x:c r="K19" s="27" t="n">
        <x:v>10</x:v>
      </x:c>
      <x:c r="L19" s="27" t="n">
        <x:v>5</x:v>
      </x:c>
      <x:c r="M19" s="29" t="str">
        <x:v>対照47場</x:v>
      </x:c>
      <x:c r="N19" s="28" t="n">
        <x:v>66.68333333333334</x:v>
      </x:c>
      <x:c r="O19" s="28" t="n">
        <x:v>296.96666666666664</x:v>
      </x:c>
    </x:row>
    <x:row r="20" ht="22" customHeight="1">
      <x:c r="A20" s="2" t="str">
        <x:v>B5</x:v>
      </x:c>
      <x:c r="B20" s="24" t="d">
        <x:v>2026-09-29T17:00:00.000Z</x:v>
      </x:c>
      <x:c r="C20" s="2" t="str">
        <x:v>ナイト</x:v>
      </x:c>
      <x:c r="D20" s="20" t="n">
        <x:v>168848</x:v>
      </x:c>
      <x:c r="E20" s="20" t="n">
        <x:v>50384</x:v>
      </x:c>
      <x:c r="F20" s="20" t="n">
        <x:f>D20-E20</x:f>
        <x:v>118464</x:v>
      </x:c>
      <x:c r="G20" s="20" t="n">
        <x:f>SUMIFS($F$7:$F$56,$A$7:$A$56,A20,$B$7:$B$56,"&lt;="&amp;B20)</x:f>
        <x:v>714784</x:v>
      </x:c>
      <x:c r="H20" s="20" t="n">
        <x:v>1536</x:v>
      </x:c>
      <x:c r="I20" s="20" t="n">
        <x:v>120000</x:v>
      </x:c>
      <x:c r="J20" s="27" t="n">
        <x:v>4</x:v>
      </x:c>
      <x:c r="K20" s="27" t="n">
        <x:v>20</x:v>
      </x:c>
      <x:c r="L20" s="27" t="n">
        <x:v>5</x:v>
      </x:c>
      <x:c r="M20" s="29" t="str">
        <x:v>対照47場</x:v>
      </x:c>
      <x:c r="N20" s="28" t="n">
        <x:v>360.01666666666665</x:v>
      </x:c>
      <x:c r="O20" s="28" t="n">
        <x:v>43.95</x:v>
      </x:c>
    </x:row>
    <x:row r="21" ht="22" customHeight="1">
      <x:c r="A21" s="2" t="str">
        <x:v>B5</x:v>
      </x:c>
      <x:c r="B21" s="24" t="d">
        <x:v>2026-09-30T08:45:00.000Z</x:v>
      </x:c>
      <x:c r="C21" s="2" t="str">
        <x:v>デイ</x:v>
      </x:c>
      <x:c r="D21" s="20" t="n">
        <x:v>170616</x:v>
      </x:c>
      <x:c r="E21" s="20" t="n">
        <x:v>55384</x:v>
      </x:c>
      <x:c r="F21" s="20" t="n">
        <x:f>D21-E21</x:f>
        <x:v>115232</x:v>
      </x:c>
      <x:c r="G21" s="20" t="n">
        <x:f>SUMIFS($F$7:$F$56,$A$7:$A$56,A21,$B$7:$B$56,"&lt;="&amp;B21)</x:f>
        <x:v>830016</x:v>
      </x:c>
      <x:c r="H21" s="20" t="n">
        <x:v>768</x:v>
      </x:c>
      <x:c r="I21" s="20" t="n">
        <x:v>116000</x:v>
      </x:c>
      <x:c r="J21" s="27" t="n">
        <x:v>2</x:v>
      </x:c>
      <x:c r="K21" s="27" t="n">
        <x:v>10</x:v>
      </x:c>
      <x:c r="L21" s="27" t="n">
        <x:v>5</x:v>
      </x:c>
      <x:c r="M21" s="29" t="str">
        <x:v>対照47場</x:v>
      </x:c>
      <x:c r="N21" s="28" t="n">
        <x:v>161.31666666666666</x:v>
      </x:c>
      <x:c r="O21" s="28" t="n">
        <x:v>106.96666666666667</x:v>
      </x:c>
    </x:row>
    <x:row r="22" ht="22" customHeight="1">
      <x:c r="A22" s="2" t="str">
        <x:v>B5</x:v>
      </x:c>
      <x:c r="B22" s="24" t="d">
        <x:v>2026-09-30T17:00:00.000Z</x:v>
      </x:c>
      <x:c r="C22" s="2" t="str">
        <x:v>ナイト</x:v>
      </x:c>
      <x:c r="D22" s="20" t="n">
        <x:v>59232</x:v>
      </x:c>
      <x:c r="E22" s="20" t="n">
        <x:v>0</x:v>
      </x:c>
      <x:c r="F22" s="20" t="n">
        <x:f>D22-E22</x:f>
        <x:v>59232</x:v>
      </x:c>
      <x:c r="G22" s="20" t="n">
        <x:f>SUMIFS($F$7:$F$56,$A$7:$A$56,A22,$B$7:$B$56,"&lt;="&amp;B22)</x:f>
        <x:v>889248</x:v>
      </x:c>
      <x:c r="H22" s="20" t="n">
        <x:v>768</x:v>
      </x:c>
      <x:c r="I22" s="20" t="n">
        <x:v>60000</x:v>
      </x:c>
      <x:c r="J22" s="27" t="n">
        <x:v>2</x:v>
      </x:c>
      <x:c r="K22" s="27" t="n">
        <x:v>10</x:v>
      </x:c>
      <x:c r="L22" s="27" t="n">
        <x:v>5</x:v>
      </x:c>
      <x:c r="M22" s="29" t="str">
        <x:v>対照47場</x:v>
      </x:c>
      <x:c r="N22" s="28" t="n">
        <x:v>360</x:v>
      </x:c>
      <x:c r="O22" s="28" t="n">
        <x:v>19.883333333333333</x:v>
      </x:c>
    </x:row>
    <x:row r="23" ht="22" customHeight="1">
      <x:c r="A23" s="2" t="str">
        <x:v>B5</x:v>
      </x:c>
      <x:c r="B23" s="24" t="d">
        <x:v>2026-10-01T08:45:00.000Z</x:v>
      </x:c>
      <x:c r="C23" s="2" t="str">
        <x:v>デイ</x:v>
      </x:c>
      <x:c r="D23" s="20" t="n">
        <x:v>183616</x:v>
      </x:c>
      <x:c r="E23" s="20" t="n">
        <x:v>60384</x:v>
      </x:c>
      <x:c r="F23" s="20" t="n">
        <x:f>D23-E23</x:f>
        <x:v>123232</x:v>
      </x:c>
      <x:c r="G23" s="20" t="n">
        <x:f>SUMIFS($F$7:$F$56,$A$7:$A$56,A23,$B$7:$B$56,"&lt;="&amp;B23)</x:f>
        <x:v>1012480</x:v>
      </x:c>
      <x:c r="H23" s="20" t="n">
        <x:v>768</x:v>
      </x:c>
      <x:c r="I23" s="20" t="n">
        <x:v>124000</x:v>
      </x:c>
      <x:c r="J23" s="27" t="n">
        <x:v>2</x:v>
      </x:c>
      <x:c r="K23" s="27" t="n">
        <x:v>10</x:v>
      </x:c>
      <x:c r="L23" s="27" t="n">
        <x:v>5</x:v>
      </x:c>
      <x:c r="M23" s="29" t="str">
        <x:v>対照47場</x:v>
      </x:c>
      <x:c r="N23" s="28" t="n">
        <x:v>88.93333333333334</x:v>
      </x:c>
      <x:c r="O23" s="28" t="n">
        <x:v>128.06666666666666</x:v>
      </x:c>
    </x:row>
    <x:row r="24" ht="22" customHeight="1">
      <x:c r="A24" s="2" t="str">
        <x:v>B5</x:v>
      </x:c>
      <x:c r="B24" s="24" t="d">
        <x:v>2026-10-01T17:00:00.000Z</x:v>
      </x:c>
      <x:c r="C24" s="2" t="str">
        <x:v>ナイト</x:v>
      </x:c>
      <x:c r="D24" s="20" t="n">
        <x:v>55692</x:v>
      </x:c>
      <x:c r="E24" s="20" t="n">
        <x:v>0</x:v>
      </x:c>
      <x:c r="F24" s="20" t="n">
        <x:f>D24-E24</x:f>
        <x:v>55692</x:v>
      </x:c>
      <x:c r="G24" s="20" t="n">
        <x:f>SUMIFS($F$7:$F$56,$A$7:$A$56,A24,$B$7:$B$56,"&lt;="&amp;B24)</x:f>
        <x:v>1068172</x:v>
      </x:c>
      <x:c r="H24" s="20" t="n">
        <x:v>308</x:v>
      </x:c>
      <x:c r="I24" s="20" t="n">
        <x:v>56000</x:v>
      </x:c>
      <x:c r="J24" s="27" t="n">
        <x:v>1</x:v>
      </x:c>
      <x:c r="K24" s="27" t="n">
        <x:v>4</x:v>
      </x:c>
      <x:c r="L24" s="27" t="n">
        <x:v>4</x:v>
      </x:c>
      <x:c r="M24" s="29" t="str">
        <x:v>対照47場</x:v>
      </x:c>
      <x:c r="N24" s="28" t="n">
        <x:v>360</x:v>
      </x:c>
      <x:c r="O24" s="28" t="n">
        <x:v>2.75</x:v>
      </x:c>
    </x:row>
    <x:row r="25" ht="22" customHeight="1">
      <x:c r="A25" s="2" t="str">
        <x:v>B5</x:v>
      </x:c>
      <x:c r="B25" s="24" t="d">
        <x:v>2026-10-02T08:45:00.000Z</x:v>
      </x:c>
      <x:c r="C25" s="2" t="str">
        <x:v>デイ</x:v>
      </x:c>
      <x:c r="D25" s="20" t="n">
        <x:v>0</x:v>
      </x:c>
      <x:c r="E25" s="20" t="n">
        <x:v>65384</x:v>
      </x:c>
      <x:c r="F25" s="20" t="n">
        <x:f>D25-E25</x:f>
        <x:v>-65384</x:v>
      </x:c>
      <x:c r="G25" s="20" t="n">
        <x:f>SUMIFS($F$7:$F$56,$A$7:$A$56,A25,$B$7:$B$56,"&lt;="&amp;B25)</x:f>
        <x:v>1002788</x:v>
      </x:c>
      <x:c r="H25" s="20" t="n">
        <x:v>384</x:v>
      </x:c>
      <x:c r="I25" s="20" t="n">
        <x:v>-65000</x:v>
      </x:c>
      <x:c r="J25" s="27" t="n">
        <x:v>1</x:v>
      </x:c>
      <x:c r="K25" s="27" t="n">
        <x:v>5</x:v>
      </x:c>
      <x:c r="L25" s="27" t="n">
        <x:v>5</x:v>
      </x:c>
      <x:c r="M25" s="29" t="str">
        <x:v>対照47場</x:v>
      </x:c>
      <x:c r="N25" s="28" t="n">
        <x:v>100.65</x:v>
      </x:c>
      <x:c r="O25" s="28" t="n">
        <x:v>33.65</x:v>
      </x:c>
    </x:row>
    <x:row r="26" ht="22" customHeight="1">
      <x:c r="A26" s="2" t="str">
        <x:v>B5</x:v>
      </x:c>
      <x:c r="B26" s="24" t="d">
        <x:v>2026-10-02T17:00:00.000Z</x:v>
      </x:c>
      <x:c r="C26" s="2" t="str">
        <x:v>ナイト</x:v>
      </x:c>
      <x:c r="D26" s="20" t="n">
        <x:v>119232</x:v>
      </x:c>
      <x:c r="E26" s="20" t="n">
        <x:v>55384</x:v>
      </x:c>
      <x:c r="F26" s="20" t="n">
        <x:f>D26-E26</x:f>
        <x:v>63848</x:v>
      </x:c>
      <x:c r="G26" s="20" t="n">
        <x:f>SUMIFS($F$7:$F$56,$A$7:$A$56,A26,$B$7:$B$56,"&lt;="&amp;B26)</x:f>
        <x:v>1066636</x:v>
      </x:c>
      <x:c r="H26" s="20" t="n">
        <x:v>1152</x:v>
      </x:c>
      <x:c r="I26" s="20" t="n">
        <x:v>65000</x:v>
      </x:c>
      <x:c r="J26" s="27" t="n">
        <x:v>3</x:v>
      </x:c>
      <x:c r="K26" s="27" t="n">
        <x:v>15</x:v>
      </x:c>
      <x:c r="L26" s="27" t="n">
        <x:v>5</x:v>
      </x:c>
      <x:c r="M26" s="29" t="str">
        <x:v>対照47場</x:v>
      </x:c>
      <x:c r="N26" s="28" t="n">
        <x:v>360</x:v>
      </x:c>
      <x:c r="O26" s="28" t="n">
        <x:v>17.783333333333335</x:v>
      </x:c>
    </x:row>
    <x:row r="27" ht="22" customHeight="1">
      <x:c r="A27" s="2" t="str">
        <x:v>B5</x:v>
      </x:c>
      <x:c r="B27" s="24" t="d">
        <x:v>2026-10-05T08:45:00.000Z</x:v>
      </x:c>
      <x:c r="C27" s="2" t="str">
        <x:v>デイ</x:v>
      </x:c>
      <x:c r="D27" s="20" t="n">
        <x:v>4616</x:v>
      </x:c>
      <x:c r="E27" s="20" t="n">
        <x:v>126536</x:v>
      </x:c>
      <x:c r="F27" s="20" t="n">
        <x:f>D27-E27</x:f>
        <x:v>-121920</x:v>
      </x:c>
      <x:c r="G27" s="20" t="n">
        <x:f>SUMIFS($F$7:$F$56,$A$7:$A$56,A27,$B$7:$B$56,"&lt;="&amp;B27)</x:f>
        <x:v>944716</x:v>
      </x:c>
      <x:c r="H27" s="20" t="n">
        <x:v>1920</x:v>
      </x:c>
      <x:c r="I27" s="20" t="n">
        <x:v>-120000</x:v>
      </x:c>
      <x:c r="J27" s="27" t="n">
        <x:v>5</x:v>
      </x:c>
      <x:c r="K27" s="27" t="n">
        <x:v>25</x:v>
      </x:c>
      <x:c r="L27" s="27" t="n">
        <x:v>5</x:v>
      </x:c>
      <x:c r="M27" s="29" t="str">
        <x:v>対照47場</x:v>
      </x:c>
      <x:c r="N27" s="28" t="n">
        <x:v>106</x:v>
      </x:c>
      <x:c r="O27" s="28" t="n">
        <x:v>117.81666666666666</x:v>
      </x:c>
    </x:row>
    <x:row r="28" ht="22" customHeight="1">
      <x:c r="A28" s="2" t="str">
        <x:v>B5</x:v>
      </x:c>
      <x:c r="B28" s="24" t="d">
        <x:v>2026-10-05T17:00:00.000Z</x:v>
      </x:c>
      <x:c r="C28" s="2" t="str">
        <x:v>ナイト</x:v>
      </x:c>
      <x:c r="D28" s="20" t="n">
        <x:v>24616</x:v>
      </x:c>
      <x:c r="E28" s="20" t="n">
        <x:v>20384</x:v>
      </x:c>
      <x:c r="F28" s="20" t="n">
        <x:f>D28-E28</x:f>
        <x:v>4232</x:v>
      </x:c>
      <x:c r="G28" s="20" t="n">
        <x:f>SUMIFS($F$7:$F$56,$A$7:$A$56,A28,$B$7:$B$56,"&lt;="&amp;B28)</x:f>
        <x:v>948948</x:v>
      </x:c>
      <x:c r="H28" s="20" t="n">
        <x:v>768</x:v>
      </x:c>
      <x:c r="I28" s="20" t="n">
        <x:v>5000</x:v>
      </x:c>
      <x:c r="J28" s="27" t="n">
        <x:v>2</x:v>
      </x:c>
      <x:c r="K28" s="27" t="n">
        <x:v>10</x:v>
      </x:c>
      <x:c r="L28" s="27" t="n">
        <x:v>5</x:v>
      </x:c>
      <x:c r="M28" s="29" t="str">
        <x:v>対照47場</x:v>
      </x:c>
      <x:c r="N28" s="28" t="n">
        <x:v>360.01666666666665</x:v>
      </x:c>
      <x:c r="O28" s="28" t="n">
        <x:v>28.866666666666667</x:v>
      </x:c>
    </x:row>
    <x:row r="29" ht="22" customHeight="1">
      <x:c r="A29" s="2" t="str">
        <x:v>B5</x:v>
      </x:c>
      <x:c r="B29" s="24" t="d">
        <x:v>2026-10-06T08:45:00.000Z</x:v>
      </x:c>
      <x:c r="C29" s="2" t="str">
        <x:v>デイ</x:v>
      </x:c>
      <x:c r="D29" s="20" t="n">
        <x:v>73616</x:v>
      </x:c>
      <x:c r="E29" s="20" t="n">
        <x:v>50384</x:v>
      </x:c>
      <x:c r="F29" s="20" t="n">
        <x:f>D29-E29</x:f>
        <x:v>23232</x:v>
      </x:c>
      <x:c r="G29" s="20" t="n">
        <x:f>SUMIFS($F$7:$F$56,$A$7:$A$56,A29,$B$7:$B$56,"&lt;="&amp;B29)</x:f>
        <x:v>972180</x:v>
      </x:c>
      <x:c r="H29" s="20" t="n">
        <x:v>768</x:v>
      </x:c>
      <x:c r="I29" s="20" t="n">
        <x:v>24000</x:v>
      </x:c>
      <x:c r="J29" s="27" t="n">
        <x:v>2</x:v>
      </x:c>
      <x:c r="K29" s="27" t="n">
        <x:v>10</x:v>
      </x:c>
      <x:c r="L29" s="27" t="n">
        <x:v>5</x:v>
      </x:c>
      <x:c r="M29" s="29" t="str">
        <x:v>対照47場</x:v>
      </x:c>
      <x:c r="N29" s="28" t="n">
        <x:v>81.4</x:v>
      </x:c>
      <x:c r="O29" s="28" t="n">
        <x:v>27.2</x:v>
      </x:c>
    </x:row>
    <x:row r="30" ht="22" customHeight="1">
      <x:c r="A30" s="2" t="str">
        <x:v>B5</x:v>
      </x:c>
      <x:c r="B30" s="24" t="d">
        <x:v>2026-10-06T17:00:00.000Z</x:v>
      </x:c>
      <x:c r="C30" s="2" t="str">
        <x:v>ナイト</x:v>
      </x:c>
      <x:c r="D30" s="20" t="n">
        <x:v>24616</x:v>
      </x:c>
      <x:c r="E30" s="20" t="n">
        <x:v>35384</x:v>
      </x:c>
      <x:c r="F30" s="20" t="n">
        <x:f>D30-E30</x:f>
        <x:v>-10768</x:v>
      </x:c>
      <x:c r="G30" s="20" t="n">
        <x:f>SUMIFS($F$7:$F$56,$A$7:$A$56,A30,$B$7:$B$56,"&lt;="&amp;B30)</x:f>
        <x:v>961412</x:v>
      </x:c>
      <x:c r="H30" s="20" t="n">
        <x:v>768</x:v>
      </x:c>
      <x:c r="I30" s="20" t="n">
        <x:v>-10000</x:v>
      </x:c>
      <x:c r="J30" s="27" t="n">
        <x:v>2</x:v>
      </x:c>
      <x:c r="K30" s="27" t="n">
        <x:v>10</x:v>
      </x:c>
      <x:c r="L30" s="27" t="n">
        <x:v>5</x:v>
      </x:c>
      <x:c r="M30" s="29" t="str">
        <x:v>対照47場</x:v>
      </x:c>
      <x:c r="N30" s="28" t="n">
        <x:v>360.06666666666666</x:v>
      </x:c>
      <x:c r="O30" s="28" t="n">
        <x:v>13.533333333333333</x:v>
      </x:c>
    </x:row>
    <x:row r="31" ht="22" customHeight="1">
      <x:c r="A31" s="2" t="str">
        <x:v>B5</x:v>
      </x:c>
      <x:c r="B31" s="24" t="d">
        <x:v>2026-10-07T08:45:00.000Z</x:v>
      </x:c>
      <x:c r="C31" s="2" t="str">
        <x:v>デイ</x:v>
      </x:c>
      <x:c r="D31" s="20" t="n">
        <x:v>70232</x:v>
      </x:c>
      <x:c r="E31" s="20" t="n">
        <x:v>0</x:v>
      </x:c>
      <x:c r="F31" s="20" t="n">
        <x:f>D31-E31</x:f>
        <x:v>70232</x:v>
      </x:c>
      <x:c r="G31" s="20" t="n">
        <x:f>SUMIFS($F$7:$F$56,$A$7:$A$56,A31,$B$7:$B$56,"&lt;="&amp;B31)</x:f>
        <x:v>1031644</x:v>
      </x:c>
      <x:c r="H31" s="20" t="n">
        <x:v>768</x:v>
      </x:c>
      <x:c r="I31" s="20" t="n">
        <x:v>71000</x:v>
      </x:c>
      <x:c r="J31" s="27" t="n">
        <x:v>2</x:v>
      </x:c>
      <x:c r="K31" s="27" t="n">
        <x:v>10</x:v>
      </x:c>
      <x:c r="L31" s="27" t="n">
        <x:v>5</x:v>
      </x:c>
      <x:c r="M31" s="29" t="str">
        <x:v>対照47場</x:v>
      </x:c>
      <x:c r="N31" s="28" t="n">
        <x:v>225</x:v>
      </x:c>
      <x:c r="O31" s="28" t="n">
        <x:v>31.6</x:v>
      </x:c>
    </x:row>
    <x:row r="32" ht="22" customHeight="1">
      <x:c r="A32" s="2" t="str">
        <x:v>B5</x:v>
      </x:c>
      <x:c r="B32" s="24" t="d">
        <x:v>2026-10-07T17:00:00.000Z</x:v>
      </x:c>
      <x:c r="C32" s="2" t="str">
        <x:v>ナイト</x:v>
      </x:c>
      <x:c r="D32" s="20" t="n">
        <x:v>24232</x:v>
      </x:c>
      <x:c r="E32" s="20" t="n">
        <x:v>0</x:v>
      </x:c>
      <x:c r="F32" s="20" t="n">
        <x:f>D32-E32</x:f>
        <x:v>24232</x:v>
      </x:c>
      <x:c r="G32" s="20" t="n">
        <x:f>SUMIFS($F$7:$F$56,$A$7:$A$56,A32,$B$7:$B$56,"&lt;="&amp;B32)</x:f>
        <x:v>1055876</x:v>
      </x:c>
      <x:c r="H32" s="20" t="n">
        <x:v>768</x:v>
      </x:c>
      <x:c r="I32" s="20" t="n">
        <x:v>25000</x:v>
      </x:c>
      <x:c r="J32" s="27" t="n">
        <x:v>2</x:v>
      </x:c>
      <x:c r="K32" s="27" t="n">
        <x:v>10</x:v>
      </x:c>
      <x:c r="L32" s="27" t="n">
        <x:v>5</x:v>
      </x:c>
      <x:c r="M32" s="29" t="str">
        <x:v>対照47場</x:v>
      </x:c>
      <x:c r="N32" s="28" t="n">
        <x:v>360</x:v>
      </x:c>
      <x:c r="O32" s="28" t="n">
        <x:v>11.1</x:v>
      </x:c>
    </x:row>
    <x:row r="33" ht="22" customHeight="1">
      <x:c r="A33" s="2" t="str">
        <x:v>B5</x:v>
      </x:c>
      <x:c r="B33" s="24" t="d">
        <x:v>2026-10-08T08:45:00.000Z</x:v>
      </x:c>
      <x:c r="C33" s="2" t="str">
        <x:v>デイ</x:v>
      </x:c>
      <x:c r="D33" s="20" t="n">
        <x:v>94616</x:v>
      </x:c>
      <x:c r="E33" s="20" t="n">
        <x:v>151536</x:v>
      </x:c>
      <x:c r="F33" s="20" t="n">
        <x:f>D33-E33</x:f>
        <x:v>-56920</x:v>
      </x:c>
      <x:c r="G33" s="20" t="n">
        <x:f>SUMIFS($F$7:$F$56,$A$7:$A$56,A33,$B$7:$B$56,"&lt;="&amp;B33)</x:f>
        <x:v>998956</x:v>
      </x:c>
      <x:c r="H33" s="20" t="n">
        <x:v>1920</x:v>
      </x:c>
      <x:c r="I33" s="20" t="n">
        <x:v>-55000</x:v>
      </x:c>
      <x:c r="J33" s="27" t="n">
        <x:v>5</x:v>
      </x:c>
      <x:c r="K33" s="27" t="n">
        <x:v>25</x:v>
      </x:c>
      <x:c r="L33" s="27" t="n">
        <x:v>5</x:v>
      </x:c>
      <x:c r="M33" s="29" t="str">
        <x:v>対照47場</x:v>
      </x:c>
      <x:c r="N33" s="28" t="n">
        <x:v>70.23333333333333</x:v>
      </x:c>
      <x:c r="O33" s="28" t="n">
        <x:v>73.46666666666667</x:v>
      </x:c>
    </x:row>
    <x:row r="34" ht="22" customHeight="1">
      <x:c r="A34" s="2" t="str">
        <x:v>B5</x:v>
      </x:c>
      <x:c r="B34" s="24" t="d">
        <x:v>2026-10-08T17:00:00.000Z</x:v>
      </x:c>
      <x:c r="C34" s="2" t="str">
        <x:v>ナイト</x:v>
      </x:c>
      <x:c r="D34" s="20" t="n">
        <x:v>49232</x:v>
      </x:c>
      <x:c r="E34" s="20" t="n">
        <x:v>0</x:v>
      </x:c>
      <x:c r="F34" s="20" t="n">
        <x:f>D34-E34</x:f>
        <x:v>49232</x:v>
      </x:c>
      <x:c r="G34" s="20" t="n">
        <x:f>SUMIFS($F$7:$F$56,$A$7:$A$56,A34,$B$7:$B$56,"&lt;="&amp;B34)</x:f>
        <x:v>1048188</x:v>
      </x:c>
      <x:c r="H34" s="20" t="n">
        <x:v>768</x:v>
      </x:c>
      <x:c r="I34" s="20" t="n">
        <x:v>50000</x:v>
      </x:c>
      <x:c r="J34" s="27" t="n">
        <x:v>2</x:v>
      </x:c>
      <x:c r="K34" s="27" t="n">
        <x:v>10</x:v>
      </x:c>
      <x:c r="L34" s="27" t="n">
        <x:v>5</x:v>
      </x:c>
      <x:c r="M34" s="29" t="str">
        <x:v>対照47場</x:v>
      </x:c>
      <x:c r="N34" s="28" t="n">
        <x:v>360</x:v>
      </x:c>
      <x:c r="O34" s="28" t="n">
        <x:v>23.016666666666666</x:v>
      </x:c>
    </x:row>
    <x:row r="35" ht="22" customHeight="1">
      <x:c r="A35" s="2" t="str">
        <x:v>B5</x:v>
      </x:c>
      <x:c r="B35" s="24" t="d">
        <x:v>2026-10-09T08:45:00.000Z</x:v>
      </x:c>
      <x:c r="C35" s="2" t="str">
        <x:v>デイ</x:v>
      </x:c>
      <x:c r="D35" s="20" t="n">
        <x:v>59616</x:v>
      </x:c>
      <x:c r="E35" s="20" t="n">
        <x:v>0</x:v>
      </x:c>
      <x:c r="F35" s="20" t="n">
        <x:f>D35-E35</x:f>
        <x:v>59616</x:v>
      </x:c>
      <x:c r="G35" s="20" t="n">
        <x:f>SUMIFS($F$7:$F$56,$A$7:$A$56,A35,$B$7:$B$56,"&lt;="&amp;B35)</x:f>
        <x:v>1107804</x:v>
      </x:c>
      <x:c r="H35" s="20" t="n">
        <x:v>384</x:v>
      </x:c>
      <x:c r="I35" s="20" t="n">
        <x:v>60000</x:v>
      </x:c>
      <x:c r="J35" s="27" t="n">
        <x:v>1</x:v>
      </x:c>
      <x:c r="K35" s="27" t="n">
        <x:v>5</x:v>
      </x:c>
      <x:c r="L35" s="27" t="n">
        <x:v>5</x:v>
      </x:c>
      <x:c r="M35" s="29" t="str">
        <x:v>対照47場</x:v>
      </x:c>
      <x:c r="N35" s="28" t="n">
        <x:v>225</x:v>
      </x:c>
      <x:c r="O35" s="28" t="n">
        <x:v>14.433333333333334</x:v>
      </x:c>
    </x:row>
    <x:row r="36" ht="22" customHeight="1">
      <x:c r="A36" s="2" t="str">
        <x:v>B5</x:v>
      </x:c>
      <x:c r="B36" s="24" t="d">
        <x:v>2026-10-09T17:00:00.000Z</x:v>
      </x:c>
      <x:c r="C36" s="2" t="str">
        <x:v>ナイト</x:v>
      </x:c>
      <x:c r="D36" s="20" t="n">
        <x:v>19616</x:v>
      </x:c>
      <x:c r="E36" s="20" t="n">
        <x:v>0</x:v>
      </x:c>
      <x:c r="F36" s="20" t="n">
        <x:f>D36-E36</x:f>
        <x:v>19616</x:v>
      </x:c>
      <x:c r="G36" s="20" t="n">
        <x:f>SUMIFS($F$7:$F$56,$A$7:$A$56,A36,$B$7:$B$56,"&lt;="&amp;B36)</x:f>
        <x:v>1127420</x:v>
      </x:c>
      <x:c r="H36" s="20" t="n">
        <x:v>384</x:v>
      </x:c>
      <x:c r="I36" s="20" t="n">
        <x:v>20000</x:v>
      </x:c>
      <x:c r="J36" s="27" t="n">
        <x:v>1</x:v>
      </x:c>
      <x:c r="K36" s="27" t="n">
        <x:v>5</x:v>
      </x:c>
      <x:c r="L36" s="27" t="n">
        <x:v>5</x:v>
      </x:c>
      <x:c r="M36" s="29" t="str">
        <x:v>対照47場</x:v>
      </x:c>
      <x:c r="N36" s="28" t="n">
        <x:v>360.06666666666666</x:v>
      </x:c>
      <x:c r="O36" s="28" t="n">
        <x:v>11.916666666666666</x:v>
      </x:c>
    </x:row>
    <x:row r="37" ht="22" customHeight="1">
      <x:c r="A37" s="2" t="str">
        <x:v>B5</x:v>
      </x:c>
      <x:c r="B37" s="24" t="d">
        <x:v>2026-10-12T08:45:00.000Z</x:v>
      </x:c>
      <x:c r="C37" s="2" t="str">
        <x:v>デイ</x:v>
      </x:c>
      <x:c r="D37" s="20" t="n">
        <x:v>32616</x:v>
      </x:c>
      <x:c r="E37" s="20" t="n">
        <x:v>25384</x:v>
      </x:c>
      <x:c r="F37" s="20" t="n">
        <x:f>D37-E37</x:f>
        <x:v>7232</x:v>
      </x:c>
      <x:c r="G37" s="20" t="n">
        <x:f>SUMIFS($F$7:$F$56,$A$7:$A$56,A37,$B$7:$B$56,"&lt;="&amp;B37)</x:f>
        <x:v>1134652</x:v>
      </x:c>
      <x:c r="H37" s="20" t="n">
        <x:v>768</x:v>
      </x:c>
      <x:c r="I37" s="20" t="n">
        <x:v>8000</x:v>
      </x:c>
      <x:c r="J37" s="27" t="n">
        <x:v>2</x:v>
      </x:c>
      <x:c r="K37" s="27" t="n">
        <x:v>10</x:v>
      </x:c>
      <x:c r="L37" s="27" t="n">
        <x:v>5</x:v>
      </x:c>
      <x:c r="M37" s="29" t="str">
        <x:v>対照47場</x:v>
      </x:c>
      <x:c r="N37" s="28" t="n">
        <x:v>122.76666666666667</x:v>
      </x:c>
      <x:c r="O37" s="28" t="n">
        <x:v>265.15</x:v>
      </x:c>
    </x:row>
    <x:row r="38" ht="22" customHeight="1">
      <x:c r="A38" s="2" t="str">
        <x:v>B5</x:v>
      </x:c>
      <x:c r="B38" s="24" t="d">
        <x:v>2026-10-12T17:00:00.000Z</x:v>
      </x:c>
      <x:c r="C38" s="2" t="str">
        <x:v>ナイト</x:v>
      </x:c>
      <x:c r="D38" s="20" t="n">
        <x:v>94616</x:v>
      </x:c>
      <x:c r="E38" s="20" t="n">
        <x:v>0</x:v>
      </x:c>
      <x:c r="F38" s="20" t="n">
        <x:f>D38-E38</x:f>
        <x:v>94616</x:v>
      </x:c>
      <x:c r="G38" s="20" t="n">
        <x:f>SUMIFS($F$7:$F$56,$A$7:$A$56,A38,$B$7:$B$56,"&lt;="&amp;B38)</x:f>
        <x:v>1229268</x:v>
      </x:c>
      <x:c r="H38" s="20" t="n">
        <x:v>384</x:v>
      </x:c>
      <x:c r="I38" s="20" t="n">
        <x:v>95000</x:v>
      </x:c>
      <x:c r="J38" s="27" t="n">
        <x:v>1</x:v>
      </x:c>
      <x:c r="K38" s="27" t="n">
        <x:v>5</x:v>
      </x:c>
      <x:c r="L38" s="27" t="n">
        <x:v>5</x:v>
      </x:c>
      <x:c r="M38" s="29" t="str">
        <x:v>対照47場</x:v>
      </x:c>
      <x:c r="N38" s="28" t="n">
        <x:v>360.21666666666664</x:v>
      </x:c>
      <x:c r="O38" s="28" t="n">
        <x:v>10.65</x:v>
      </x:c>
    </x:row>
    <x:row r="39" ht="22" customHeight="1">
      <x:c r="A39" s="2" t="str">
        <x:v>B5</x:v>
      </x:c>
      <x:c r="B39" s="24" t="d">
        <x:v>2026-10-13T08:45:00.000Z</x:v>
      </x:c>
      <x:c r="C39" s="2" t="str">
        <x:v>デイ</x:v>
      </x:c>
      <x:c r="D39" s="20" t="n">
        <x:v>69232</x:v>
      </x:c>
      <x:c r="E39" s="20" t="n">
        <x:v>40384</x:v>
      </x:c>
      <x:c r="F39" s="20" t="n">
        <x:f>D39-E39</x:f>
        <x:v>28848</x:v>
      </x:c>
      <x:c r="G39" s="20" t="n">
        <x:f>SUMIFS($F$7:$F$56,$A$7:$A$56,A39,$B$7:$B$56,"&lt;="&amp;B39)</x:f>
        <x:v>1258116</x:v>
      </x:c>
      <x:c r="H39" s="20" t="n">
        <x:v>1152</x:v>
      </x:c>
      <x:c r="I39" s="20" t="n">
        <x:v>30000</x:v>
      </x:c>
      <x:c r="J39" s="27" t="n">
        <x:v>3</x:v>
      </x:c>
      <x:c r="K39" s="27" t="n">
        <x:v>15</x:v>
      </x:c>
      <x:c r="L39" s="27" t="n">
        <x:v>5</x:v>
      </x:c>
      <x:c r="M39" s="29" t="str">
        <x:v>対照47場</x:v>
      </x:c>
      <x:c r="N39" s="28" t="n">
        <x:v>65.25</x:v>
      </x:c>
      <x:c r="O39" s="28" t="n">
        <x:v>313.5833333333333</x:v>
      </x:c>
    </x:row>
    <x:row r="40" ht="22" customHeight="1">
      <x:c r="A40" s="2" t="str">
        <x:v>B5</x:v>
      </x:c>
      <x:c r="B40" s="24" t="d">
        <x:v>2026-10-13T17:00:00.000Z</x:v>
      </x:c>
      <x:c r="C40" s="2" t="str">
        <x:v>ナイト</x:v>
      </x:c>
      <x:c r="D40" s="20" t="n">
        <x:v>0</x:v>
      </x:c>
      <x:c r="E40" s="20" t="n">
        <x:v>80768</x:v>
      </x:c>
      <x:c r="F40" s="20" t="n">
        <x:f>D40-E40</x:f>
        <x:v>-80768</x:v>
      </x:c>
      <x:c r="G40" s="20" t="n">
        <x:f>SUMIFS($F$7:$F$56,$A$7:$A$56,A40,$B$7:$B$56,"&lt;="&amp;B40)</x:f>
        <x:v>1177348</x:v>
      </x:c>
      <x:c r="H40" s="20" t="n">
        <x:v>768</x:v>
      </x:c>
      <x:c r="I40" s="20" t="n">
        <x:v>-80000</x:v>
      </x:c>
      <x:c r="J40" s="27" t="n">
        <x:v>2</x:v>
      </x:c>
      <x:c r="K40" s="27" t="n">
        <x:v>10</x:v>
      </x:c>
      <x:c r="L40" s="27" t="n">
        <x:v>5</x:v>
      </x:c>
      <x:c r="M40" s="29" t="str">
        <x:v>対照47場</x:v>
      </x:c>
      <x:c r="N40" s="28" t="n">
        <x:v>360.23333333333335</x:v>
      </x:c>
      <x:c r="O40" s="28" t="n">
        <x:v>7.716666666666667</x:v>
      </x:c>
    </x:row>
    <x:row r="41" ht="22" customHeight="1">
      <x:c r="A41" s="2" t="str">
        <x:v>B5</x:v>
      </x:c>
      <x:c r="B41" s="24" t="d">
        <x:v>2026-10-14T08:45:00.000Z</x:v>
      </x:c>
      <x:c r="C41" s="2" t="str">
        <x:v>デイ</x:v>
      </x:c>
      <x:c r="D41" s="20" t="n">
        <x:v>172232</x:v>
      </x:c>
      <x:c r="E41" s="20" t="n">
        <x:v>15384</x:v>
      </x:c>
      <x:c r="F41" s="20" t="n">
        <x:f>D41-E41</x:f>
        <x:v>156848</x:v>
      </x:c>
      <x:c r="G41" s="20" t="n">
        <x:f>SUMIFS($F$7:$F$56,$A$7:$A$56,A41,$B$7:$B$56,"&lt;="&amp;B41)</x:f>
        <x:v>1334196</x:v>
      </x:c>
      <x:c r="H41" s="20" t="n">
        <x:v>1152</x:v>
      </x:c>
      <x:c r="I41" s="20" t="n">
        <x:v>158000</x:v>
      </x:c>
      <x:c r="J41" s="27" t="n">
        <x:v>3</x:v>
      </x:c>
      <x:c r="K41" s="27" t="n">
        <x:v>15</x:v>
      </x:c>
      <x:c r="L41" s="27" t="n">
        <x:v>5</x:v>
      </x:c>
      <x:c r="M41" s="29" t="str">
        <x:v>対照47場</x:v>
      </x:c>
      <x:c r="N41" s="28" t="n">
        <x:v>225</x:v>
      </x:c>
      <x:c r="O41" s="28" t="n">
        <x:v>70.13333333333334</x:v>
      </x:c>
    </x:row>
    <x:row r="42" ht="22" customHeight="1">
      <x:c r="A42" s="2" t="str">
        <x:v>B5</x:v>
      </x:c>
      <x:c r="B42" s="24" t="d">
        <x:v>2026-10-14T17:00:00.000Z</x:v>
      </x:c>
      <x:c r="C42" s="2" t="str">
        <x:v>ナイト</x:v>
      </x:c>
      <x:c r="D42" s="20" t="n">
        <x:v>214232</x:v>
      </x:c>
      <x:c r="E42" s="20" t="n">
        <x:v>46154</x:v>
      </x:c>
      <x:c r="F42" s="20" t="n">
        <x:f>D42-E42</x:f>
        <x:v>168078</x:v>
      </x:c>
      <x:c r="G42" s="20" t="n">
        <x:f>SUMIFS($F$7:$F$56,$A$7:$A$56,A42,$B$7:$B$56,"&lt;="&amp;B42)</x:f>
        <x:v>1502274</x:v>
      </x:c>
      <x:c r="H42" s="20" t="n">
        <x:v>922</x:v>
      </x:c>
      <x:c r="I42" s="20" t="n">
        <x:v>169000</x:v>
      </x:c>
      <x:c r="J42" s="27" t="n">
        <x:v>3</x:v>
      </x:c>
      <x:c r="K42" s="27" t="n">
        <x:v>12</x:v>
      </x:c>
      <x:c r="L42" s="27" t="n">
        <x:v>5</x:v>
      </x:c>
      <x:c r="M42" s="29" t="str">
        <x:v>対照47場</x:v>
      </x:c>
      <x:c r="N42" s="28" t="n">
        <x:v>360</x:v>
      </x:c>
      <x:c r="O42" s="28" t="n">
        <x:v>150.75</x:v>
      </x:c>
    </x:row>
    <x:row r="43" ht="22" customHeight="1">
      <x:c r="A43" s="2" t="str">
        <x:v>B5</x:v>
      </x:c>
      <x:c r="B43" s="24" t="d">
        <x:v>2026-10-15T08:45:00.000Z</x:v>
      </x:c>
      <x:c r="C43" s="2" t="str">
        <x:v>デイ</x:v>
      </x:c>
      <x:c r="D43" s="20" t="n">
        <x:v>393232</x:v>
      </x:c>
      <x:c r="E43" s="20" t="n">
        <x:v>0</x:v>
      </x:c>
      <x:c r="F43" s="20" t="n">
        <x:f>D43-E43</x:f>
        <x:v>393232</x:v>
      </x:c>
      <x:c r="G43" s="20" t="n">
        <x:f>SUMIFS($F$7:$F$56,$A$7:$A$56,A43,$B$7:$B$56,"&lt;="&amp;B43)</x:f>
        <x:v>1895506</x:v>
      </x:c>
      <x:c r="H43" s="20" t="n">
        <x:v>768</x:v>
      </x:c>
      <x:c r="I43" s="20" t="n">
        <x:v>394000</x:v>
      </x:c>
      <x:c r="J43" s="27" t="n">
        <x:v>2</x:v>
      </x:c>
      <x:c r="K43" s="27" t="n">
        <x:v>10</x:v>
      </x:c>
      <x:c r="L43" s="27" t="n">
        <x:v>5</x:v>
      </x:c>
      <x:c r="M43" s="29" t="str">
        <x:v>対照47場</x:v>
      </x:c>
      <x:c r="N43" s="28" t="n">
        <x:v>68.51666666666667</x:v>
      </x:c>
      <x:c r="O43" s="28" t="n">
        <x:v>165.43333333333334</x:v>
      </x:c>
    </x:row>
    <x:row r="44" ht="22" customHeight="1">
      <x:c r="A44" s="2" t="str">
        <x:v>B5</x:v>
      </x:c>
      <x:c r="B44" s="24" t="d">
        <x:v>2026-10-15T17:00:00.000Z</x:v>
      </x:c>
      <x:c r="C44" s="2" t="str">
        <x:v>ナイト</x:v>
      </x:c>
      <x:c r="D44" s="20" t="n">
        <x:v>0</x:v>
      </x:c>
      <x:c r="E44" s="20" t="n">
        <x:v>56154</x:v>
      </x:c>
      <x:c r="F44" s="20" t="n">
        <x:f>D44-E44</x:f>
        <x:v>-56154</x:v>
      </x:c>
      <x:c r="G44" s="20" t="n">
        <x:f>SUMIFS($F$7:$F$56,$A$7:$A$56,A44,$B$7:$B$56,"&lt;="&amp;B44)</x:f>
        <x:v>1839352</x:v>
      </x:c>
      <x:c r="H44" s="20" t="n">
        <x:v>154</x:v>
      </x:c>
      <x:c r="I44" s="20" t="n">
        <x:v>-56000</x:v>
      </x:c>
      <x:c r="J44" s="27" t="n">
        <x:v>1</x:v>
      </x:c>
      <x:c r="K44" s="27" t="n">
        <x:v>2</x:v>
      </x:c>
      <x:c r="L44" s="27" t="n">
        <x:v>2</x:v>
      </x:c>
      <x:c r="M44" s="29" t="str">
        <x:v>対照47場</x:v>
      </x:c>
      <x:c r="N44" s="28" t="n">
        <x:v>360</x:v>
      </x:c>
      <x:c r="O44" s="28" t="n">
        <x:v>4.133333333333334</x:v>
      </x:c>
    </x:row>
    <x:row r="45" ht="22" customHeight="1">
      <x:c r="A45" s="2" t="str">
        <x:v>B5</x:v>
      </x:c>
      <x:c r="B45" s="24" t="d">
        <x:v>2026-10-16T08:45:00.000Z</x:v>
      </x:c>
      <x:c r="C45" s="2" t="str">
        <x:v>デイ</x:v>
      </x:c>
      <x:c r="D45" s="20" t="n">
        <x:v>66232</x:v>
      </x:c>
      <x:c r="E45" s="20" t="n">
        <x:v>171536</x:v>
      </x:c>
      <x:c r="F45" s="20" t="n">
        <x:f>D45-E45</x:f>
        <x:v>-105304</x:v>
      </x:c>
      <x:c r="G45" s="20" t="n">
        <x:f>SUMIFS($F$7:$F$56,$A$7:$A$56,A45,$B$7:$B$56,"&lt;="&amp;B45)</x:f>
        <x:v>1734048</x:v>
      </x:c>
      <x:c r="H45" s="20" t="n">
        <x:v>2304</x:v>
      </x:c>
      <x:c r="I45" s="20" t="n">
        <x:v>-103000</x:v>
      </x:c>
      <x:c r="J45" s="27" t="n">
        <x:v>6</x:v>
      </x:c>
      <x:c r="K45" s="27" t="n">
        <x:v>30</x:v>
      </x:c>
      <x:c r="L45" s="27" t="n">
        <x:v>5</x:v>
      </x:c>
      <x:c r="M45" s="29" t="str">
        <x:v>対照47場</x:v>
      </x:c>
      <x:c r="N45" s="28" t="n">
        <x:v>66.9</x:v>
      </x:c>
      <x:c r="O45" s="28" t="n">
        <x:v>95.85</x:v>
      </x:c>
    </x:row>
    <x:row r="46" ht="22" customHeight="1">
      <x:c r="A46" s="2" t="str">
        <x:v>B5</x:v>
      </x:c>
      <x:c r="B46" s="24" t="d">
        <x:v>2026-10-16T17:00:00.000Z</x:v>
      </x:c>
      <x:c r="C46" s="2" t="str">
        <x:v>ナイト</x:v>
      </x:c>
      <x:c r="D46" s="20" t="n">
        <x:v>78002</x:v>
      </x:c>
      <x:c r="E46" s="20" t="n">
        <x:v>0</x:v>
      </x:c>
      <x:c r="F46" s="20" t="n">
        <x:f>D46-E46</x:f>
        <x:v>78002</x:v>
      </x:c>
      <x:c r="G46" s="20" t="n">
        <x:f>SUMIFS($F$7:$F$56,$A$7:$A$56,A46,$B$7:$B$56,"&lt;="&amp;B46)</x:f>
        <x:v>1812050</x:v>
      </x:c>
      <x:c r="H46" s="20" t="n">
        <x:v>998</x:v>
      </x:c>
      <x:c r="I46" s="20" t="n">
        <x:v>79000</x:v>
      </x:c>
      <x:c r="J46" s="27" t="n">
        <x:v>3</x:v>
      </x:c>
      <x:c r="K46" s="27" t="n">
        <x:v>13</x:v>
      </x:c>
      <x:c r="L46" s="27" t="n">
        <x:v>5</x:v>
      </x:c>
      <x:c r="M46" s="29" t="str">
        <x:v>対照47場</x:v>
      </x:c>
      <x:c r="N46" s="28" t="n">
        <x:v>360</x:v>
      </x:c>
      <x:c r="O46" s="28" t="n">
        <x:v>25.933333333333334</x:v>
      </x:c>
    </x:row>
    <x:row r="47" ht="22" customHeight="1">
      <x:c r="A47" s="2" t="str">
        <x:v>B5</x:v>
      </x:c>
      <x:c r="B47" s="24" t="d">
        <x:v>2026-10-19T08:45:00.000Z</x:v>
      </x:c>
      <x:c r="C47" s="2" t="str">
        <x:v>デイ</x:v>
      </x:c>
      <x:c r="D47" s="20" t="n">
        <x:v>182616</x:v>
      </x:c>
      <x:c r="E47" s="20" t="n">
        <x:v>0</x:v>
      </x:c>
      <x:c r="F47" s="20" t="n">
        <x:f>D47-E47</x:f>
        <x:v>182616</x:v>
      </x:c>
      <x:c r="G47" s="20" t="n">
        <x:f>SUMIFS($F$7:$F$56,$A$7:$A$56,A47,$B$7:$B$56,"&lt;="&amp;B47)</x:f>
        <x:v>1994666</x:v>
      </x:c>
      <x:c r="H47" s="20" t="n">
        <x:v>384</x:v>
      </x:c>
      <x:c r="I47" s="20" t="n">
        <x:v>183000</x:v>
      </x:c>
      <x:c r="J47" s="27" t="n">
        <x:v>1</x:v>
      </x:c>
      <x:c r="K47" s="27" t="n">
        <x:v>5</x:v>
      </x:c>
      <x:c r="L47" s="27" t="n">
        <x:v>5</x:v>
      </x:c>
      <x:c r="M47" s="29" t="str">
        <x:v>対照47場</x:v>
      </x:c>
      <x:c r="N47" s="28" t="n">
        <x:v>85.6</x:v>
      </x:c>
      <x:c r="O47" s="28" t="n">
        <x:v>324.4</x:v>
      </x:c>
    </x:row>
    <x:row r="48" ht="22" customHeight="1">
      <x:c r="A48" s="2" t="str">
        <x:v>B5</x:v>
      </x:c>
      <x:c r="B48" s="24" t="d">
        <x:v>2026-10-19T17:00:00.000Z</x:v>
      </x:c>
      <x:c r="C48" s="2" t="str">
        <x:v>ナイト</x:v>
      </x:c>
      <x:c r="D48" s="20" t="n">
        <x:v>24616</x:v>
      </x:c>
      <x:c r="E48" s="20" t="n">
        <x:v>50384</x:v>
      </x:c>
      <x:c r="F48" s="20" t="n">
        <x:f>D48-E48</x:f>
        <x:v>-25768</x:v>
      </x:c>
      <x:c r="G48" s="20" t="n">
        <x:f>SUMIFS($F$7:$F$56,$A$7:$A$56,A48,$B$7:$B$56,"&lt;="&amp;B48)</x:f>
        <x:v>1968898</x:v>
      </x:c>
      <x:c r="H48" s="20" t="n">
        <x:v>768</x:v>
      </x:c>
      <x:c r="I48" s="20" t="n">
        <x:v>-25000</x:v>
      </x:c>
      <x:c r="J48" s="27" t="n">
        <x:v>2</x:v>
      </x:c>
      <x:c r="K48" s="27" t="n">
        <x:v>10</x:v>
      </x:c>
      <x:c r="L48" s="27" t="n">
        <x:v>5</x:v>
      </x:c>
      <x:c r="M48" s="29" t="str">
        <x:v>対照47場</x:v>
      </x:c>
      <x:c r="N48" s="28" t="n">
        <x:v>360</x:v>
      </x:c>
      <x:c r="O48" s="28" t="n">
        <x:v>16.7</x:v>
      </x:c>
    </x:row>
    <x:row r="49" ht="22" customHeight="1">
      <x:c r="A49" s="2" t="str">
        <x:v>B5</x:v>
      </x:c>
      <x:c r="B49" s="24" t="d">
        <x:v>2026-10-20T08:45:00.000Z</x:v>
      </x:c>
      <x:c r="C49" s="2" t="str">
        <x:v>デイ</x:v>
      </x:c>
      <x:c r="D49" s="20" t="n">
        <x:v>104848</x:v>
      </x:c>
      <x:c r="E49" s="20" t="n">
        <x:v>35384</x:v>
      </x:c>
      <x:c r="F49" s="20" t="n">
        <x:f>D49-E49</x:f>
        <x:v>69464</x:v>
      </x:c>
      <x:c r="G49" s="20" t="n">
        <x:f>SUMIFS($F$7:$F$56,$A$7:$A$56,A49,$B$7:$B$56,"&lt;="&amp;B49)</x:f>
        <x:v>2038362</x:v>
      </x:c>
      <x:c r="H49" s="20" t="n">
        <x:v>1536</x:v>
      </x:c>
      <x:c r="I49" s="20" t="n">
        <x:v>71000</x:v>
      </x:c>
      <x:c r="J49" s="27" t="n">
        <x:v>4</x:v>
      </x:c>
      <x:c r="K49" s="27" t="n">
        <x:v>20</x:v>
      </x:c>
      <x:c r="L49" s="27" t="n">
        <x:v>5</x:v>
      </x:c>
      <x:c r="M49" s="29" t="str">
        <x:v>対照47場</x:v>
      </x:c>
      <x:c r="N49" s="28" t="n">
        <x:v>82.2</x:v>
      </x:c>
      <x:c r="O49" s="28" t="n">
        <x:v>188.18333333333334</x:v>
      </x:c>
    </x:row>
    <x:row r="50" ht="22" customHeight="1">
      <x:c r="A50" s="2" t="str">
        <x:v>B5</x:v>
      </x:c>
      <x:c r="B50" s="24" t="d">
        <x:v>2026-10-20T17:00:00.000Z</x:v>
      </x:c>
      <x:c r="C50" s="2" t="str">
        <x:v>ナイト</x:v>
      </x:c>
      <x:c r="D50" s="20" t="n">
        <x:v>19846</x:v>
      </x:c>
      <x:c r="E50" s="20" t="n">
        <x:v>70384</x:v>
      </x:c>
      <x:c r="F50" s="20" t="n">
        <x:f>D50-E50</x:f>
        <x:v>-50538</x:v>
      </x:c>
      <x:c r="G50" s="20" t="n">
        <x:f>SUMIFS($F$7:$F$56,$A$7:$A$56,A50,$B$7:$B$56,"&lt;="&amp;B50)</x:f>
        <x:v>1987824</x:v>
      </x:c>
      <x:c r="H50" s="20" t="n">
        <x:v>538</x:v>
      </x:c>
      <x:c r="I50" s="20" t="n">
        <x:v>-50000</x:v>
      </x:c>
      <x:c r="J50" s="27" t="n">
        <x:v>2</x:v>
      </x:c>
      <x:c r="K50" s="27" t="n">
        <x:v>7</x:v>
      </x:c>
      <x:c r="L50" s="27" t="n">
        <x:v>5</x:v>
      </x:c>
      <x:c r="M50" s="29" t="str">
        <x:v>対照47場</x:v>
      </x:c>
      <x:c r="N50" s="28" t="n">
        <x:v>360.01666666666665</x:v>
      </x:c>
      <x:c r="O50" s="28" t="n">
        <x:v>37.266666666666666</x:v>
      </x:c>
    </x:row>
    <x:row r="51" ht="22" customHeight="1">
      <x:c r="A51" s="2" t="str">
        <x:v>B5</x:v>
      </x:c>
      <x:c r="B51" s="24" t="d">
        <x:v>2026-10-21T08:45:00.000Z</x:v>
      </x:c>
      <x:c r="C51" s="2" t="str">
        <x:v>デイ</x:v>
      </x:c>
      <x:c r="D51" s="20" t="n">
        <x:v>93616</x:v>
      </x:c>
      <x:c r="E51" s="20" t="n">
        <x:v>246920</x:v>
      </x:c>
      <x:c r="F51" s="20" t="n">
        <x:f>D51-E51</x:f>
        <x:v>-153304</x:v>
      </x:c>
      <x:c r="G51" s="20" t="n">
        <x:f>SUMIFS($F$7:$F$56,$A$7:$A$56,A51,$B$7:$B$56,"&lt;="&amp;B51)</x:f>
        <x:v>1834520</x:v>
      </x:c>
      <x:c r="H51" s="20" t="n">
        <x:v>2304</x:v>
      </x:c>
      <x:c r="I51" s="20" t="n">
        <x:v>-151000</x:v>
      </x:c>
      <x:c r="J51" s="27" t="n">
        <x:v>6</x:v>
      </x:c>
      <x:c r="K51" s="27" t="n">
        <x:v>30</x:v>
      </x:c>
      <x:c r="L51" s="27" t="n">
        <x:v>5</x:v>
      </x:c>
      <x:c r="M51" s="29" t="str">
        <x:v>対照47場</x:v>
      </x:c>
      <x:c r="N51" s="28" t="n">
        <x:v>94.45</x:v>
      </x:c>
      <x:c r="O51" s="28" t="n">
        <x:v>83.13333333333334</x:v>
      </x:c>
    </x:row>
    <x:row r="52" ht="22" customHeight="1">
      <x:c r="A52" s="2" t="str">
        <x:v>B5</x:v>
      </x:c>
      <x:c r="B52" s="24" t="d">
        <x:v>2026-10-21T17:00:00.000Z</x:v>
      </x:c>
      <x:c r="C52" s="2" t="str">
        <x:v>ナイト</x:v>
      </x:c>
      <x:c r="D52" s="20" t="n">
        <x:v>44616</x:v>
      </x:c>
      <x:c r="E52" s="20" t="n">
        <x:v>85768</x:v>
      </x:c>
      <x:c r="F52" s="20" t="n">
        <x:f>D52-E52</x:f>
        <x:v>-41152</x:v>
      </x:c>
      <x:c r="G52" s="20" t="n">
        <x:f>SUMIFS($F$7:$F$56,$A$7:$A$56,A52,$B$7:$B$56,"&lt;="&amp;B52)</x:f>
        <x:v>1793368</x:v>
      </x:c>
      <x:c r="H52" s="20" t="n">
        <x:v>1152</x:v>
      </x:c>
      <x:c r="I52" s="20" t="n">
        <x:v>-40000</x:v>
      </x:c>
      <x:c r="J52" s="27" t="n">
        <x:v>3</x:v>
      </x:c>
      <x:c r="K52" s="27" t="n">
        <x:v>15</x:v>
      </x:c>
      <x:c r="L52" s="27" t="n">
        <x:v>5</x:v>
      </x:c>
      <x:c r="M52" s="29" t="str">
        <x:v>対照47場</x:v>
      </x:c>
      <x:c r="N52" s="28" t="n">
        <x:v>360</x:v>
      </x:c>
      <x:c r="O52" s="28" t="n">
        <x:v>93.56666666666666</x:v>
      </x:c>
    </x:row>
    <x:row r="53" ht="22" customHeight="1">
      <x:c r="A53" s="2" t="str">
        <x:v>B5</x:v>
      </x:c>
      <x:c r="B53" s="24" t="d">
        <x:v>2026-10-22T08:45:00.000Z</x:v>
      </x:c>
      <x:c r="C53" s="2" t="str">
        <x:v>デイ</x:v>
      </x:c>
      <x:c r="D53" s="20" t="n">
        <x:v>323616</x:v>
      </x:c>
      <x:c r="E53" s="20" t="n">
        <x:v>0</x:v>
      </x:c>
      <x:c r="F53" s="20" t="n">
        <x:f>D53-E53</x:f>
        <x:v>323616</x:v>
      </x:c>
      <x:c r="G53" s="20" t="n">
        <x:f>SUMIFS($F$7:$F$56,$A$7:$A$56,A53,$B$7:$B$56,"&lt;="&amp;B53)</x:f>
        <x:v>2116984</x:v>
      </x:c>
      <x:c r="H53" s="20" t="n">
        <x:v>384</x:v>
      </x:c>
      <x:c r="I53" s="20" t="n">
        <x:v>324000</x:v>
      </x:c>
      <x:c r="J53" s="27" t="n">
        <x:v>1</x:v>
      </x:c>
      <x:c r="K53" s="27" t="n">
        <x:v>5</x:v>
      </x:c>
      <x:c r="L53" s="27" t="n">
        <x:v>5</x:v>
      </x:c>
      <x:c r="M53" s="29" t="str">
        <x:v>対照47場</x:v>
      </x:c>
      <x:c r="N53" s="28" t="n">
        <x:v>79.91666666666667</x:v>
      </x:c>
      <x:c r="O53" s="28" t="n">
        <x:v>234.56666666666666</x:v>
      </x:c>
    </x:row>
    <x:row r="54" ht="22" customHeight="1">
      <x:c r="A54" s="2" t="str">
        <x:v>B5</x:v>
      </x:c>
      <x:c r="B54" s="24" t="d">
        <x:v>2026-10-22T17:00:00.000Z</x:v>
      </x:c>
      <x:c r="C54" s="2" t="str">
        <x:v>ナイト</x:v>
      </x:c>
      <x:c r="D54" s="20" t="n">
        <x:v>104616</x:v>
      </x:c>
      <x:c r="E54" s="20" t="n">
        <x:v>55384</x:v>
      </x:c>
      <x:c r="F54" s="20" t="n">
        <x:f>D54-E54</x:f>
        <x:v>49232</x:v>
      </x:c>
      <x:c r="G54" s="20" t="n">
        <x:f>SUMIFS($F$7:$F$56,$A$7:$A$56,A54,$B$7:$B$56,"&lt;="&amp;B54)</x:f>
        <x:v>2166216</x:v>
      </x:c>
      <x:c r="H54" s="20" t="n">
        <x:v>768</x:v>
      </x:c>
      <x:c r="I54" s="20" t="n">
        <x:v>50000</x:v>
      </x:c>
      <x:c r="J54" s="27" t="n">
        <x:v>2</x:v>
      </x:c>
      <x:c r="K54" s="27" t="n">
        <x:v>10</x:v>
      </x:c>
      <x:c r="L54" s="27" t="n">
        <x:v>5</x:v>
      </x:c>
      <x:c r="M54" s="29" t="str">
        <x:v>診断3場</x:v>
      </x:c>
      <x:c r="N54" s="28" t="n">
        <x:v>360.06666666666666</x:v>
      </x:c>
      <x:c r="O54" s="28" t="n">
        <x:v>22.083333333333332</x:v>
      </x:c>
    </x:row>
    <x:row r="55" ht="22" customHeight="1">
      <x:c r="A55" s="2" t="str">
        <x:v>B5</x:v>
      </x:c>
      <x:c r="B55" s="24" t="d">
        <x:v>2026-10-23T08:45:00.000Z</x:v>
      </x:c>
      <x:c r="C55" s="2" t="str">
        <x:v>デイ</x:v>
      </x:c>
      <x:c r="D55" s="20" t="n">
        <x:v>0</x:v>
      </x:c>
      <x:c r="E55" s="20" t="n">
        <x:v>45384</x:v>
      </x:c>
      <x:c r="F55" s="20" t="n">
        <x:f>D55-E55</x:f>
        <x:v>-45384</x:v>
      </x:c>
      <x:c r="G55" s="20" t="n">
        <x:f>SUMIFS($F$7:$F$56,$A$7:$A$56,A55,$B$7:$B$56,"&lt;="&amp;B55)</x:f>
        <x:v>2120832</x:v>
      </x:c>
      <x:c r="H55" s="20" t="n">
        <x:v>384</x:v>
      </x:c>
      <x:c r="I55" s="20" t="n">
        <x:v>-45000</x:v>
      </x:c>
      <x:c r="J55" s="27" t="n">
        <x:v>1</x:v>
      </x:c>
      <x:c r="K55" s="27" t="n">
        <x:v>5</x:v>
      </x:c>
      <x:c r="L55" s="27" t="n">
        <x:v>5</x:v>
      </x:c>
      <x:c r="M55" s="29" t="str">
        <x:v>診断3場</x:v>
      </x:c>
      <x:c r="N55" s="28" t="n">
        <x:v>138.36666666666667</x:v>
      </x:c>
      <x:c r="O55" s="28" t="n">
        <x:v>4.233333333333333</x:v>
      </x:c>
    </x:row>
    <x:row r="56" ht="22" customHeight="1">
      <x:c r="A56" s="2" t="str">
        <x:v>B5</x:v>
      </x:c>
      <x:c r="B56" s="24" t="d">
        <x:v>2026-10-23T17:00:00.000Z</x:v>
      </x:c>
      <x:c r="C56" s="2" t="str">
        <x:v>ナイト</x:v>
      </x:c>
      <x:c r="D56" s="20" t="n">
        <x:v>0</x:v>
      </x:c>
      <x:c r="E56" s="20" t="n">
        <x:v>55384</x:v>
      </x:c>
      <x:c r="F56" s="20" t="n">
        <x:f>D56-E56</x:f>
        <x:v>-55384</x:v>
      </x:c>
      <x:c r="G56" s="20" t="n">
        <x:f>SUMIFS($F$7:$F$56,$A$7:$A$56,A56,$B$7:$B$56,"&lt;="&amp;B56)</x:f>
        <x:v>2065448</x:v>
      </x:c>
      <x:c r="H56" s="20" t="n">
        <x:v>384</x:v>
      </x:c>
      <x:c r="I56" s="20" t="n">
        <x:v>-55000</x:v>
      </x:c>
      <x:c r="J56" s="27" t="n">
        <x:v>1</x:v>
      </x:c>
      <x:c r="K56" s="27" t="n">
        <x:v>5</x:v>
      </x:c>
      <x:c r="L56" s="27" t="n">
        <x:v>5</x:v>
      </x:c>
      <x:c r="M56" s="29" t="str">
        <x:v>診断3場</x:v>
      </x:c>
      <x:c r="N56" s="28" t="n">
        <x:v>360.03333333333336</x:v>
      </x:c>
      <x:c r="O56" s="28" t="n">
        <x:v>1.5666666666666667</x:v>
      </x:c>
    </x:row>
  </x:sheetData>
  <x:conditionalFormatting sqref="D7:I56">
    <x:cfRule type="cellIs" dxfId="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2cc11c9bfe44883"/>
  </x:tableParts>
</x:worksheet>
</file>

<file path=xl/worksheets/sheet5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4" t="str">
        <x:v>日経mini S36 セッション損益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</x:row>
    <x:row r="3" ht="22" customHeight="1">
      <x:c r="A3" s="7" t="str">
        <x:v>片方向上限10枚。金額は円・手数料後。利益と損失は完結した一組の収支を正負に分類。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A4" s="7" t="str">
        <x:v>昼：S36／夜：S36。対照47場：9/21～10/22デイ。診断3場：10/22ナイト～10/23ナイト。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A5" s="7" t="str">
        <x:v>前回の追加手法を独立併用。出典：00141保存会計。診断3場は原因分析と改善に使用した期間です。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4" customHeight="1">
      <x:c r="A6" s="16" t="str">
        <x:v>手法ID</x:v>
      </x:c>
      <x:c r="B6" s="17" t="str">
        <x:v>開始日時</x:v>
      </x:c>
      <x:c r="C6" s="17" t="str">
        <x:v>セッション</x:v>
      </x:c>
      <x:c r="D6" s="17" t="str">
        <x:v>利益（円）</x:v>
      </x:c>
      <x:c r="E6" s="17" t="str">
        <x:v>損失（円）</x:v>
      </x:c>
      <x:c r="F6" s="17" t="str">
        <x:v>収支（円）</x:v>
      </x:c>
      <x:c r="G6" s="17" t="str">
        <x:v>累計（円）</x:v>
      </x:c>
      <x:c r="H6" s="17" t="str">
        <x:v>内数手数料（円）</x:v>
      </x:c>
      <x:c r="I6" s="17" t="str">
        <x:v>費用前収支（円）</x:v>
      </x:c>
      <x:c r="J6" s="17" t="str">
        <x:v>新規回数</x:v>
      </x:c>
      <x:c r="K6" s="17" t="str">
        <x:v>新規枚数</x:v>
      </x:c>
      <x:c r="L6" s="17" t="str">
        <x:v>最大片方向保有</x:v>
      </x:c>
      <x:c r="M6" s="17" t="str">
        <x:v>評価区分</x:v>
      </x:c>
      <x:c r="N6" s="17" t="str">
        <x:v>初回まで（分）</x:v>
      </x:c>
      <x:c r="O6" s="18" t="str">
        <x:v>保有（分）</x:v>
      </x:c>
    </x:row>
    <x:row r="7" ht="22" customHeight="1">
      <x:c r="A7" s="2" t="str">
        <x:v>S36</x:v>
      </x:c>
      <x:c r="B7" s="24" t="d">
        <x:v>2026-09-21T08:45:00.000Z</x:v>
      </x:c>
      <x:c r="C7" s="2" t="str">
        <x:v>デイ</x:v>
      </x:c>
      <x:c r="D7" s="20" t="n">
        <x:v>85616</x:v>
      </x:c>
      <x:c r="E7" s="20" t="n">
        <x:v>0</x:v>
      </x:c>
      <x:c r="F7" s="20" t="n">
        <x:f>D7-E7</x:f>
        <x:v>85616</x:v>
      </x:c>
      <x:c r="G7" s="20" t="n">
        <x:f>SUMIFS($F$7:$F$56,$A$7:$A$56,A7,$B$7:$B$56,"&lt;="&amp;B7)</x:f>
        <x:v>85616</x:v>
      </x:c>
      <x:c r="H7" s="20" t="n">
        <x:v>384</x:v>
      </x:c>
      <x:c r="I7" s="20" t="n">
        <x:v>86000</x:v>
      </x:c>
      <x:c r="J7" s="27" t="n">
        <x:v>1</x:v>
      </x:c>
      <x:c r="K7" s="27" t="n">
        <x:v>5</x:v>
      </x:c>
      <x:c r="L7" s="27" t="n">
        <x:v>5</x:v>
      </x:c>
      <x:c r="M7" s="29" t="str">
        <x:v>対照47場</x:v>
      </x:c>
      <x:c r="N7" s="28" t="n">
        <x:v>190.06666666666666</x:v>
      </x:c>
      <x:c r="O7" s="28" t="n">
        <x:v>167.2</x:v>
      </x:c>
    </x:row>
    <x:row r="8" ht="22" customHeight="1">
      <x:c r="A8" s="2" t="str">
        <x:v>S36</x:v>
      </x:c>
      <x:c r="B8" s="24" t="d">
        <x:v>2026-09-21T17:00:00.000Z</x:v>
      </x:c>
      <x:c r="C8" s="2" t="str">
        <x:v>ナイト</x:v>
      </x:c>
      <x:c r="D8" s="20" t="n">
        <x:v>0</x:v>
      </x:c>
      <x:c r="E8" s="20" t="n">
        <x:v>45384</x:v>
      </x:c>
      <x:c r="F8" s="20" t="n">
        <x:f>D8-E8</x:f>
        <x:v>-45384</x:v>
      </x:c>
      <x:c r="G8" s="20" t="n">
        <x:f>SUMIFS($F$7:$F$56,$A$7:$A$56,A8,$B$7:$B$56,"&lt;="&amp;B8)</x:f>
        <x:v>40232</x:v>
      </x:c>
      <x:c r="H8" s="20" t="n">
        <x:v>384</x:v>
      </x:c>
      <x:c r="I8" s="20" t="n">
        <x:v>-45000</x:v>
      </x:c>
      <x:c r="J8" s="27" t="n">
        <x:v>1</x:v>
      </x:c>
      <x:c r="K8" s="27" t="n">
        <x:v>5</x:v>
      </x:c>
      <x:c r="L8" s="27" t="n">
        <x:v>5</x:v>
      </x:c>
      <x:c r="M8" s="29" t="str">
        <x:v>対照47場</x:v>
      </x:c>
      <x:c r="N8" s="28" t="n">
        <x:v>360.01666666666665</x:v>
      </x:c>
      <x:c r="O8" s="28" t="n">
        <x:v>5.666666666666667</x:v>
      </x:c>
    </x:row>
    <x:row r="9" ht="22" customHeight="1">
      <x:c r="A9" s="2" t="str">
        <x:v>S36</x:v>
      </x:c>
      <x:c r="B9" s="24" t="d">
        <x:v>2026-09-22T08:45:00.000Z</x:v>
      </x:c>
      <x:c r="C9" s="2" t="str">
        <x:v>デイ</x:v>
      </x:c>
      <x:c r="D9" s="20" t="n">
        <x:v>0</x:v>
      </x:c>
      <x:c r="E9" s="20" t="n">
        <x:v>106152</x:v>
      </x:c>
      <x:c r="F9" s="20" t="n">
        <x:f>D9-E9</x:f>
        <x:v>-106152</x:v>
      </x:c>
      <x:c r="G9" s="20" t="n">
        <x:f>SUMIFS($F$7:$F$56,$A$7:$A$56,A9,$B$7:$B$56,"&lt;="&amp;B9)</x:f>
        <x:v>-65920</x:v>
      </x:c>
      <x:c r="H9" s="20" t="n">
        <x:v>1152</x:v>
      </x:c>
      <x:c r="I9" s="20" t="n">
        <x:v>-105000</x:v>
      </x:c>
      <x:c r="J9" s="27" t="n">
        <x:v>3</x:v>
      </x:c>
      <x:c r="K9" s="27" t="n">
        <x:v>15</x:v>
      </x:c>
      <x:c r="L9" s="27" t="n">
        <x:v>5</x:v>
      </x:c>
      <x:c r="M9" s="29" t="str">
        <x:v>対照47場</x:v>
      </x:c>
      <x:c r="N9" s="28" t="n">
        <x:v>242.78333333333333</x:v>
      </x:c>
      <x:c r="O9" s="28" t="n">
        <x:v>28.166666666666668</x:v>
      </x:c>
    </x:row>
    <x:row r="10" ht="22" customHeight="1">
      <x:c r="A10" s="2" t="str">
        <x:v>S36</x:v>
      </x:c>
      <x:c r="B10" s="24" t="d">
        <x:v>2026-09-22T17:00:00.000Z</x:v>
      </x:c>
      <x:c r="C10" s="2" t="str">
        <x:v>ナイト</x:v>
      </x:c>
      <x:c r="D10" s="20" t="n">
        <x:v>39616</x:v>
      </x:c>
      <x:c r="E10" s="20" t="n">
        <x:v>0</x:v>
      </x:c>
      <x:c r="F10" s="20" t="n">
        <x:f>D10-E10</x:f>
        <x:v>39616</x:v>
      </x:c>
      <x:c r="G10" s="20" t="n">
        <x:f>SUMIFS($F$7:$F$56,$A$7:$A$56,A10,$B$7:$B$56,"&lt;="&amp;B10)</x:f>
        <x:v>-26304</x:v>
      </x:c>
      <x:c r="H10" s="20" t="n">
        <x:v>384</x:v>
      </x:c>
      <x:c r="I10" s="20" t="n">
        <x:v>40000</x:v>
      </x:c>
      <x:c r="J10" s="27" t="n">
        <x:v>1</x:v>
      </x:c>
      <x:c r="K10" s="27" t="n">
        <x:v>5</x:v>
      </x:c>
      <x:c r="L10" s="27" t="n">
        <x:v>5</x:v>
      </x:c>
      <x:c r="M10" s="29" t="str">
        <x:v>対照47場</x:v>
      </x:c>
      <x:c r="N10" s="28" t="n">
        <x:v>360.1</x:v>
      </x:c>
      <x:c r="O10" s="28" t="n">
        <x:v>13.583333333333334</x:v>
      </x:c>
    </x:row>
    <x:row r="11" ht="22" customHeight="1">
      <x:c r="A11" s="2" t="str">
        <x:v>S36</x:v>
      </x:c>
      <x:c r="B11" s="24" t="d">
        <x:v>2026-09-23T08:45:00.000Z</x:v>
      </x:c>
      <x:c r="C11" s="2" t="str">
        <x:v>デイ</x:v>
      </x:c>
      <x:c r="D11" s="20" t="n">
        <x:v>0</x:v>
      </x:c>
      <x:c r="E11" s="20" t="n">
        <x:v>4384</x:v>
      </x:c>
      <x:c r="F11" s="20" t="n">
        <x:f>D11-E11</x:f>
        <x:v>-4384</x:v>
      </x:c>
      <x:c r="G11" s="20" t="n">
        <x:f>SUMIFS($F$7:$F$56,$A$7:$A$56,A11,$B$7:$B$56,"&lt;="&amp;B11)</x:f>
        <x:v>-30688</x:v>
      </x:c>
      <x:c r="H11" s="20" t="n">
        <x:v>384</x:v>
      </x:c>
      <x:c r="I11" s="20" t="n">
        <x:v>-4000</x:v>
      </x:c>
      <x:c r="J11" s="27" t="n">
        <x:v>1</x:v>
      </x:c>
      <x:c r="K11" s="27" t="n">
        <x:v>5</x:v>
      </x:c>
      <x:c r="L11" s="27" t="n">
        <x:v>5</x:v>
      </x:c>
      <x:c r="M11" s="29" t="str">
        <x:v>対照47場</x:v>
      </x:c>
      <x:c r="N11" s="28" t="n">
        <x:v>68.15</x:v>
      </x:c>
      <x:c r="O11" s="28" t="n">
        <x:v>313.75</x:v>
      </x:c>
    </x:row>
    <x:row r="12" ht="22" customHeight="1">
      <x:c r="A12" s="2" t="str">
        <x:v>S36</x:v>
      </x:c>
      <x:c r="B12" s="24" t="d">
        <x:v>2026-09-23T17:00:00.000Z</x:v>
      </x:c>
      <x:c r="C12" s="2" t="str">
        <x:v>ナイト</x:v>
      </x:c>
      <x:c r="D12" s="20" t="n">
        <x:v>2694</x:v>
      </x:c>
      <x:c r="E12" s="20" t="n">
        <x:v>40384</x:v>
      </x:c>
      <x:c r="F12" s="20" t="n">
        <x:f>D12-E12</x:f>
        <x:v>-37690</x:v>
      </x:c>
      <x:c r="G12" s="20" t="n">
        <x:f>SUMIFS($F$7:$F$56,$A$7:$A$56,A12,$B$7:$B$56,"&lt;="&amp;B12)</x:f>
        <x:v>-68378</x:v>
      </x:c>
      <x:c r="H12" s="20" t="n">
        <x:v>690</x:v>
      </x:c>
      <x:c r="I12" s="20" t="n">
        <x:v>-37000</x:v>
      </x:c>
      <x:c r="J12" s="27" t="n">
        <x:v>4</x:v>
      </x:c>
      <x:c r="K12" s="27" t="n">
        <x:v>9</x:v>
      </x:c>
      <x:c r="L12" s="27" t="n">
        <x:v>5</x:v>
      </x:c>
      <x:c r="M12" s="29" t="str">
        <x:v>対照47場</x:v>
      </x:c>
      <x:c r="N12" s="28" t="n">
        <x:v>358.03333333333336</x:v>
      </x:c>
      <x:c r="O12" s="28" t="n">
        <x:v>5.3</x:v>
      </x:c>
    </x:row>
    <x:row r="13" ht="22" customHeight="1">
      <x:c r="A13" s="2" t="str">
        <x:v>S36</x:v>
      </x:c>
      <x:c r="B13" s="24" t="d">
        <x:v>2026-09-24T08:45:00.000Z</x:v>
      </x:c>
      <x:c r="C13" s="2" t="str">
        <x:v>デイ</x:v>
      </x:c>
      <x:c r="D13" s="20" t="n">
        <x:v>110234</x:v>
      </x:c>
      <x:c r="E13" s="20" t="n">
        <x:v>85768</x:v>
      </x:c>
      <x:c r="F13" s="20" t="n">
        <x:f>D13-E13</x:f>
        <x:v>24466</x:v>
      </x:c>
      <x:c r="G13" s="20" t="n">
        <x:f>SUMIFS($F$7:$F$56,$A$7:$A$56,A13,$B$7:$B$56,"&lt;="&amp;B13)</x:f>
        <x:v>-43912</x:v>
      </x:c>
      <x:c r="H13" s="20" t="n">
        <x:v>1534</x:v>
      </x:c>
      <x:c r="I13" s="20" t="n">
        <x:v>26000</x:v>
      </x:c>
      <x:c r="J13" s="27" t="n">
        <x:v>7</x:v>
      </x:c>
      <x:c r="K13" s="27" t="n">
        <x:v>20</x:v>
      </x:c>
      <x:c r="L13" s="27" t="n">
        <x:v>7</x:v>
      </x:c>
      <x:c r="M13" s="29" t="str">
        <x:v>対照47場</x:v>
      </x:c>
      <x:c r="N13" s="28" t="n">
        <x:v>50.733333333333334</x:v>
      </x:c>
      <x:c r="O13" s="28" t="n">
        <x:v>310.8333333333333</x:v>
      </x:c>
    </x:row>
    <x:row r="14" ht="22" customHeight="1">
      <x:c r="A14" s="2" t="str">
        <x:v>S36</x:v>
      </x:c>
      <x:c r="B14" s="24" t="d">
        <x:v>2026-09-24T17:00:00.000Z</x:v>
      </x:c>
      <x:c r="C14" s="2" t="str">
        <x:v>ナイト</x:v>
      </x:c>
      <x:c r="D14" s="20" t="n">
        <x:v>74234</x:v>
      </x:c>
      <x:c r="E14" s="20" t="n">
        <x:v>40384</x:v>
      </x:c>
      <x:c r="F14" s="20" t="n">
        <x:f>D14-E14</x:f>
        <x:v>33850</x:v>
      </x:c>
      <x:c r="G14" s="20" t="n">
        <x:f>SUMIFS($F$7:$F$56,$A$7:$A$56,A14,$B$7:$B$56,"&lt;="&amp;B14)</x:f>
        <x:v>-10062</x:v>
      </x:c>
      <x:c r="H14" s="20" t="n">
        <x:v>1150</x:v>
      </x:c>
      <x:c r="I14" s="20" t="n">
        <x:v>35000</x:v>
      </x:c>
      <x:c r="J14" s="27" t="n">
        <x:v>6</x:v>
      </x:c>
      <x:c r="K14" s="27" t="n">
        <x:v>15</x:v>
      </x:c>
      <x:c r="L14" s="27" t="n">
        <x:v>5</x:v>
      </x:c>
      <x:c r="M14" s="29" t="str">
        <x:v>対照47場</x:v>
      </x:c>
      <x:c r="N14" s="28" t="n">
        <x:v>360.3333333333333</x:v>
      </x:c>
      <x:c r="O14" s="28" t="n">
        <x:v>25.5</x:v>
      </x:c>
    </x:row>
    <x:row r="15" ht="22" customHeight="1">
      <x:c r="A15" s="2" t="str">
        <x:v>S36</x:v>
      </x:c>
      <x:c r="B15" s="24" t="d">
        <x:v>2026-09-25T08:45:00.000Z</x:v>
      </x:c>
      <x:c r="C15" s="2" t="str">
        <x:v>デイ</x:v>
      </x:c>
      <x:c r="D15" s="20" t="n">
        <x:v>156234</x:v>
      </x:c>
      <x:c r="E15" s="20" t="n">
        <x:v>78462</x:v>
      </x:c>
      <x:c r="F15" s="20" t="n">
        <x:f>D15-E15</x:f>
        <x:v>77772</x:v>
      </x:c>
      <x:c r="G15" s="20" t="n">
        <x:f>SUMIFS($F$7:$F$56,$A$7:$A$56,A15,$B$7:$B$56,"&lt;="&amp;B15)</x:f>
        <x:v>67710</x:v>
      </x:c>
      <x:c r="H15" s="20" t="n">
        <x:v>1228</x:v>
      </x:c>
      <x:c r="I15" s="20" t="n">
        <x:v>79000</x:v>
      </x:c>
      <x:c r="J15" s="27" t="n">
        <x:v>8</x:v>
      </x:c>
      <x:c r="K15" s="27" t="n">
        <x:v>16</x:v>
      </x:c>
      <x:c r="L15" s="27" t="n">
        <x:v>5</x:v>
      </x:c>
      <x:c r="M15" s="29" t="str">
        <x:v>対照47場</x:v>
      </x:c>
      <x:c r="N15" s="28" t="n">
        <x:v>62.81666666666667</x:v>
      </x:c>
      <x:c r="O15" s="28" t="n">
        <x:v>343.81666666666666</x:v>
      </x:c>
    </x:row>
    <x:row r="16" ht="22" customHeight="1">
      <x:c r="A16" s="2" t="str">
        <x:v>S36</x:v>
      </x:c>
      <x:c r="B16" s="24" t="d">
        <x:v>2026-09-25T17:00:00.000Z</x:v>
      </x:c>
      <x:c r="C16" s="2" t="str">
        <x:v>ナイト</x:v>
      </x:c>
      <x:c r="D16" s="20" t="n">
        <x:v>14616</x:v>
      </x:c>
      <x:c r="E16" s="20" t="n">
        <x:v>0</x:v>
      </x:c>
      <x:c r="F16" s="20" t="n">
        <x:f>D16-E16</x:f>
        <x:v>14616</x:v>
      </x:c>
      <x:c r="G16" s="20" t="n">
        <x:f>SUMIFS($F$7:$F$56,$A$7:$A$56,A16,$B$7:$B$56,"&lt;="&amp;B16)</x:f>
        <x:v>82326</x:v>
      </x:c>
      <x:c r="H16" s="20" t="n">
        <x:v>384</x:v>
      </x:c>
      <x:c r="I16" s="20" t="n">
        <x:v>15000</x:v>
      </x:c>
      <x:c r="J16" s="27" t="n">
        <x:v>1</x:v>
      </x:c>
      <x:c r="K16" s="27" t="n">
        <x:v>5</x:v>
      </x:c>
      <x:c r="L16" s="27" t="n">
        <x:v>5</x:v>
      </x:c>
      <x:c r="M16" s="29" t="str">
        <x:v>対照47場</x:v>
      </x:c>
      <x:c r="N16" s="28" t="n">
        <x:v>360</x:v>
      </x:c>
      <x:c r="O16" s="28" t="n">
        <x:v>2.433333333333333</x:v>
      </x:c>
    </x:row>
    <x:row r="17" ht="22" customHeight="1">
      <x:c r="A17" s="2" t="str">
        <x:v>S36</x:v>
      </x:c>
      <x:c r="B17" s="24" t="d">
        <x:v>2026-09-28T08:45:00.000Z</x:v>
      </x:c>
      <x:c r="C17" s="2" t="str">
        <x:v>デイ</x:v>
      </x:c>
      <x:c r="D17" s="20" t="n">
        <x:v>261616</x:v>
      </x:c>
      <x:c r="E17" s="20" t="n">
        <x:v>221382</x:v>
      </x:c>
      <x:c r="F17" s="20" t="n">
        <x:f>D17-E17</x:f>
        <x:v>40234</x:v>
      </x:c>
      <x:c r="G17" s="20" t="n">
        <x:f>SUMIFS($F$7:$F$56,$A$7:$A$56,A17,$B$7:$B$56,"&lt;="&amp;B17)</x:f>
        <x:v>122560</x:v>
      </x:c>
      <x:c r="H17" s="20" t="n">
        <x:v>1766</x:v>
      </x:c>
      <x:c r="I17" s="20" t="n">
        <x:v>42000</x:v>
      </x:c>
      <x:c r="J17" s="27" t="n">
        <x:v>10</x:v>
      </x:c>
      <x:c r="K17" s="27" t="n">
        <x:v>23</x:v>
      </x:c>
      <x:c r="L17" s="27" t="n">
        <x:v>7</x:v>
      </x:c>
      <x:c r="M17" s="29" t="str">
        <x:v>対照47場</x:v>
      </x:c>
      <x:c r="N17" s="28" t="n">
        <x:v>66.3</x:v>
      </x:c>
      <x:c r="O17" s="28" t="n">
        <x:v>331.28333333333336</x:v>
      </x:c>
    </x:row>
    <x:row r="18" ht="22" customHeight="1">
      <x:c r="A18" s="2" t="str">
        <x:v>S36</x:v>
      </x:c>
      <x:c r="B18" s="24" t="d">
        <x:v>2026-09-28T17:00:00.000Z</x:v>
      </x:c>
      <x:c r="C18" s="2" t="str">
        <x:v>ナイト</x:v>
      </x:c>
      <x:c r="D18" s="20" t="n">
        <x:v>77462</x:v>
      </x:c>
      <x:c r="E18" s="20" t="n">
        <x:v>20154</x:v>
      </x:c>
      <x:c r="F18" s="20" t="n">
        <x:f>D18-E18</x:f>
        <x:v>57308</x:v>
      </x:c>
      <x:c r="G18" s="20" t="n">
        <x:f>SUMIFS($F$7:$F$56,$A$7:$A$56,A18,$B$7:$B$56,"&lt;="&amp;B18)</x:f>
        <x:v>179868</x:v>
      </x:c>
      <x:c r="H18" s="20" t="n">
        <x:v>692</x:v>
      </x:c>
      <x:c r="I18" s="20" t="n">
        <x:v>58000</x:v>
      </x:c>
      <x:c r="J18" s="27" t="n">
        <x:v>3</x:v>
      </x:c>
      <x:c r="K18" s="27" t="n">
        <x:v>9</x:v>
      </x:c>
      <x:c r="L18" s="27" t="n">
        <x:v>5</x:v>
      </x:c>
      <x:c r="M18" s="29" t="str">
        <x:v>対照47場</x:v>
      </x:c>
      <x:c r="N18" s="28" t="n">
        <x:v>135.46666666666667</x:v>
      </x:c>
      <x:c r="O18" s="28" t="n">
        <x:v>47.65</x:v>
      </x:c>
    </x:row>
    <x:row r="19" ht="22" customHeight="1">
      <x:c r="A19" s="2" t="str">
        <x:v>S36</x:v>
      </x:c>
      <x:c r="B19" s="24" t="d">
        <x:v>2026-09-29T08:45:00.000Z</x:v>
      </x:c>
      <x:c r="C19" s="2" t="str">
        <x:v>デイ</x:v>
      </x:c>
      <x:c r="D19" s="20" t="n">
        <x:v>344468</x:v>
      </x:c>
      <x:c r="E19" s="20" t="n">
        <x:v>90460</x:v>
      </x:c>
      <x:c r="F19" s="20" t="n">
        <x:f>D19-E19</x:f>
        <x:v>254008</x:v>
      </x:c>
      <x:c r="G19" s="20" t="n">
        <x:f>SUMIFS($F$7:$F$56,$A$7:$A$56,A19,$B$7:$B$56,"&lt;="&amp;B19)</x:f>
        <x:v>433876</x:v>
      </x:c>
      <x:c r="H19" s="20" t="n">
        <x:v>1992</x:v>
      </x:c>
      <x:c r="I19" s="20" t="n">
        <x:v>256000</x:v>
      </x:c>
      <x:c r="J19" s="27" t="n">
        <x:v>14</x:v>
      </x:c>
      <x:c r="K19" s="27" t="n">
        <x:v>26</x:v>
      </x:c>
      <x:c r="L19" s="27" t="n">
        <x:v>10</x:v>
      </x:c>
      <x:c r="M19" s="29" t="str">
        <x:v>対照47場</x:v>
      </x:c>
      <x:c r="N19" s="28" t="n">
        <x:v>45.583333333333336</x:v>
      </x:c>
      <x:c r="O19" s="28" t="n">
        <x:v>318.06666666666666</x:v>
      </x:c>
    </x:row>
    <x:row r="20" ht="22" customHeight="1">
      <x:c r="A20" s="2" t="str">
        <x:v>S36</x:v>
      </x:c>
      <x:c r="B20" s="24" t="d">
        <x:v>2026-09-29T17:00:00.000Z</x:v>
      </x:c>
      <x:c r="C20" s="2" t="str">
        <x:v>ナイト</x:v>
      </x:c>
      <x:c r="D20" s="20" t="n">
        <x:v>195618</x:v>
      </x:c>
      <x:c r="E20" s="20" t="n">
        <x:v>66538</x:v>
      </x:c>
      <x:c r="F20" s="20" t="n">
        <x:f>D20-E20</x:f>
        <x:v>129080</x:v>
      </x:c>
      <x:c r="G20" s="20" t="n">
        <x:f>SUMIFS($F$7:$F$56,$A$7:$A$56,A20,$B$7:$B$56,"&lt;="&amp;B20)</x:f>
        <x:v>562956</x:v>
      </x:c>
      <x:c r="H20" s="20" t="n">
        <x:v>1920</x:v>
      </x:c>
      <x:c r="I20" s="20" t="n">
        <x:v>131000</x:v>
      </x:c>
      <x:c r="J20" s="27" t="n">
        <x:v>7</x:v>
      </x:c>
      <x:c r="K20" s="27" t="n">
        <x:v>25</x:v>
      </x:c>
      <x:c r="L20" s="27" t="n">
        <x:v>5</x:v>
      </x:c>
      <x:c r="M20" s="29" t="str">
        <x:v>対照47場</x:v>
      </x:c>
      <x:c r="N20" s="28" t="n">
        <x:v>359.71666666666664</x:v>
      </x:c>
      <x:c r="O20" s="28" t="n">
        <x:v>124.46666666666667</x:v>
      </x:c>
    </x:row>
    <x:row r="21" ht="22" customHeight="1">
      <x:c r="A21" s="2" t="str">
        <x:v>S36</x:v>
      </x:c>
      <x:c r="B21" s="24" t="d">
        <x:v>2026-09-30T08:45:00.000Z</x:v>
      </x:c>
      <x:c r="C21" s="2" t="str">
        <x:v>デイ</x:v>
      </x:c>
      <x:c r="D21" s="20" t="n">
        <x:v>212234</x:v>
      </x:c>
      <x:c r="E21" s="20" t="n">
        <x:v>88768</x:v>
      </x:c>
      <x:c r="F21" s="20" t="n">
        <x:f>D21-E21</x:f>
        <x:v>123466</x:v>
      </x:c>
      <x:c r="G21" s="20" t="n">
        <x:f>SUMIFS($F$7:$F$56,$A$7:$A$56,A21,$B$7:$B$56,"&lt;="&amp;B21)</x:f>
        <x:v>686422</x:v>
      </x:c>
      <x:c r="H21" s="20" t="n">
        <x:v>1534</x:v>
      </x:c>
      <x:c r="I21" s="20" t="n">
        <x:v>125000</x:v>
      </x:c>
      <x:c r="J21" s="27" t="n">
        <x:v>9</x:v>
      </x:c>
      <x:c r="K21" s="27" t="n">
        <x:v>20</x:v>
      </x:c>
      <x:c r="L21" s="27" t="n">
        <x:v>5</x:v>
      </x:c>
      <x:c r="M21" s="29" t="str">
        <x:v>対照47場</x:v>
      </x:c>
      <x:c r="N21" s="28" t="n">
        <x:v>46.15</x:v>
      </x:c>
      <x:c r="O21" s="28" t="n">
        <x:v>192.45</x:v>
      </x:c>
    </x:row>
    <x:row r="22" ht="22" customHeight="1">
      <x:c r="A22" s="2" t="str">
        <x:v>S36</x:v>
      </x:c>
      <x:c r="B22" s="24" t="d">
        <x:v>2026-09-30T17:00:00.000Z</x:v>
      </x:c>
      <x:c r="C22" s="2" t="str">
        <x:v>ナイト</x:v>
      </x:c>
      <x:c r="D22" s="20" t="n">
        <x:v>59232</x:v>
      </x:c>
      <x:c r="E22" s="20" t="n">
        <x:v>0</x:v>
      </x:c>
      <x:c r="F22" s="20" t="n">
        <x:f>D22-E22</x:f>
        <x:v>59232</x:v>
      </x:c>
      <x:c r="G22" s="20" t="n">
        <x:f>SUMIFS($F$7:$F$56,$A$7:$A$56,A22,$B$7:$B$56,"&lt;="&amp;B22)</x:f>
        <x:v>745654</x:v>
      </x:c>
      <x:c r="H22" s="20" t="n">
        <x:v>768</x:v>
      </x:c>
      <x:c r="I22" s="20" t="n">
        <x:v>60000</x:v>
      </x:c>
      <x:c r="J22" s="27" t="n">
        <x:v>2</x:v>
      </x:c>
      <x:c r="K22" s="27" t="n">
        <x:v>10</x:v>
      </x:c>
      <x:c r="L22" s="27" t="n">
        <x:v>5</x:v>
      </x:c>
      <x:c r="M22" s="29" t="str">
        <x:v>対照47場</x:v>
      </x:c>
      <x:c r="N22" s="28" t="n">
        <x:v>360</x:v>
      </x:c>
      <x:c r="O22" s="28" t="n">
        <x:v>19.883333333333333</x:v>
      </x:c>
    </x:row>
    <x:row r="23" ht="22" customHeight="1">
      <x:c r="A23" s="2" t="str">
        <x:v>S36</x:v>
      </x:c>
      <x:c r="B23" s="24" t="d">
        <x:v>2026-10-01T08:45:00.000Z</x:v>
      </x:c>
      <x:c r="C23" s="2" t="str">
        <x:v>デイ</x:v>
      </x:c>
      <x:c r="D23" s="20" t="n">
        <x:v>507234</x:v>
      </x:c>
      <x:c r="E23" s="20" t="n">
        <x:v>60384</x:v>
      </x:c>
      <x:c r="F23" s="20" t="n">
        <x:f>D23-E23</x:f>
        <x:v>446850</x:v>
      </x:c>
      <x:c r="G23" s="20" t="n">
        <x:f>SUMIFS($F$7:$F$56,$A$7:$A$56,A23,$B$7:$B$56,"&lt;="&amp;B23)</x:f>
        <x:v>1192504</x:v>
      </x:c>
      <x:c r="H23" s="20" t="n">
        <x:v>1150</x:v>
      </x:c>
      <x:c r="I23" s="20" t="n">
        <x:v>448000</x:v>
      </x:c>
      <x:c r="J23" s="27" t="n">
        <x:v>6</x:v>
      </x:c>
      <x:c r="K23" s="27" t="n">
        <x:v>15</x:v>
      </x:c>
      <x:c r="L23" s="27" t="n">
        <x:v>7</x:v>
      </x:c>
      <x:c r="M23" s="29" t="str">
        <x:v>対照47場</x:v>
      </x:c>
      <x:c r="N23" s="28" t="n">
        <x:v>88.93333333333334</x:v>
      </x:c>
      <x:c r="O23" s="28" t="n">
        <x:v>317.35</x:v>
      </x:c>
    </x:row>
    <x:row r="24" ht="22" customHeight="1">
      <x:c r="A24" s="2" t="str">
        <x:v>S36</x:v>
      </x:c>
      <x:c r="B24" s="24" t="d">
        <x:v>2026-10-01T17:00:00.000Z</x:v>
      </x:c>
      <x:c r="C24" s="2" t="str">
        <x:v>ナイト</x:v>
      </x:c>
      <x:c r="D24" s="20" t="n">
        <x:v>99310</x:v>
      </x:c>
      <x:c r="E24" s="20" t="n">
        <x:v>103538</x:v>
      </x:c>
      <x:c r="F24" s="20" t="n">
        <x:f>D24-E24</x:f>
        <x:v>-4228</x:v>
      </x:c>
      <x:c r="G24" s="20" t="n">
        <x:f>SUMIFS($F$7:$F$56,$A$7:$A$56,A24,$B$7:$B$56,"&lt;="&amp;B24)</x:f>
        <x:v>1188276</x:v>
      </x:c>
      <x:c r="H24" s="20" t="n">
        <x:v>1228</x:v>
      </x:c>
      <x:c r="I24" s="20" t="n">
        <x:v>-3000</x:v>
      </x:c>
      <x:c r="J24" s="27" t="n">
        <x:v>9</x:v>
      </x:c>
      <x:c r="K24" s="27" t="n">
        <x:v>16</x:v>
      </x:c>
      <x:c r="L24" s="27" t="n">
        <x:v>5</x:v>
      </x:c>
      <x:c r="M24" s="29" t="str">
        <x:v>対照47場</x:v>
      </x:c>
      <x:c r="N24" s="28" t="n">
        <x:v>109.66666666666667</x:v>
      </x:c>
      <x:c r="O24" s="28" t="n">
        <x:v>42.88333333333333</x:v>
      </x:c>
    </x:row>
    <x:row r="25" ht="22" customHeight="1">
      <x:c r="A25" s="2" t="str">
        <x:v>S36</x:v>
      </x:c>
      <x:c r="B25" s="24" t="d">
        <x:v>2026-10-02T08:45:00.000Z</x:v>
      </x:c>
      <x:c r="C25" s="2" t="str">
        <x:v>デイ</x:v>
      </x:c>
      <x:c r="D25" s="20" t="n">
        <x:v>24464</x:v>
      </x:c>
      <x:c r="E25" s="20" t="n">
        <x:v>165998</x:v>
      </x:c>
      <x:c r="F25" s="20" t="n">
        <x:f>D25-E25</x:f>
        <x:v>-141534</x:v>
      </x:c>
      <x:c r="G25" s="20" t="n">
        <x:f>SUMIFS($F$7:$F$56,$A$7:$A$56,A25,$B$7:$B$56,"&lt;="&amp;B25)</x:f>
        <x:v>1046742</x:v>
      </x:c>
      <x:c r="H25" s="20" t="n">
        <x:v>1534</x:v>
      </x:c>
      <x:c r="I25" s="20" t="n">
        <x:v>-140000</x:v>
      </x:c>
      <x:c r="J25" s="27" t="n">
        <x:v>11</x:v>
      </x:c>
      <x:c r="K25" s="27" t="n">
        <x:v>20</x:v>
      </x:c>
      <x:c r="L25" s="27" t="n">
        <x:v>5</x:v>
      </x:c>
      <x:c r="M25" s="29" t="str">
        <x:v>対照47場</x:v>
      </x:c>
      <x:c r="N25" s="28" t="n">
        <x:v>92.78333333333333</x:v>
      </x:c>
      <x:c r="O25" s="28" t="n">
        <x:v>153.3</x:v>
      </x:c>
    </x:row>
    <x:row r="26" ht="22" customHeight="1">
      <x:c r="A26" s="2" t="str">
        <x:v>S36</x:v>
      </x:c>
      <x:c r="B26" s="24" t="d">
        <x:v>2026-10-02T17:00:00.000Z</x:v>
      </x:c>
      <x:c r="C26" s="2" t="str">
        <x:v>ナイト</x:v>
      </x:c>
      <x:c r="D26" s="20" t="n">
        <x:v>178162</x:v>
      </x:c>
      <x:c r="E26" s="20" t="n">
        <x:v>55384</x:v>
      </x:c>
      <x:c r="F26" s="20" t="n">
        <x:f>D26-E26</x:f>
        <x:v>122778</x:v>
      </x:c>
      <x:c r="G26" s="20" t="n">
        <x:f>SUMIFS($F$7:$F$56,$A$7:$A$56,A26,$B$7:$B$56,"&lt;="&amp;B26)</x:f>
        <x:v>1169520</x:v>
      </x:c>
      <x:c r="H26" s="20" t="n">
        <x:v>2222</x:v>
      </x:c>
      <x:c r="I26" s="20" t="n">
        <x:v>125000</x:v>
      </x:c>
      <x:c r="J26" s="27" t="n">
        <x:v>14</x:v>
      </x:c>
      <x:c r="K26" s="27" t="n">
        <x:v>29</x:v>
      </x:c>
      <x:c r="L26" s="27" t="n">
        <x:v>5</x:v>
      </x:c>
      <x:c r="M26" s="29" t="str">
        <x:v>対照47場</x:v>
      </x:c>
      <x:c r="N26" s="28" t="n">
        <x:v>71.05</x:v>
      </x:c>
      <x:c r="O26" s="28" t="n">
        <x:v>86.6</x:v>
      </x:c>
    </x:row>
    <x:row r="27" ht="22" customHeight="1">
      <x:c r="A27" s="2" t="str">
        <x:v>S36</x:v>
      </x:c>
      <x:c r="B27" s="24" t="d">
        <x:v>2026-10-05T08:45:00.000Z</x:v>
      </x:c>
      <x:c r="C27" s="2" t="str">
        <x:v>デイ</x:v>
      </x:c>
      <x:c r="D27" s="20" t="n">
        <x:v>62852</x:v>
      </x:c>
      <x:c r="E27" s="20" t="n">
        <x:v>223996</x:v>
      </x:c>
      <x:c r="F27" s="20" t="n">
        <x:f>D27-E27</x:f>
        <x:v>-161144</x:v>
      </x:c>
      <x:c r="G27" s="20" t="n">
        <x:f>SUMIFS($F$7:$F$56,$A$7:$A$56,A27,$B$7:$B$56,"&lt;="&amp;B27)</x:f>
        <x:v>1008376</x:v>
      </x:c>
      <x:c r="H27" s="20" t="n">
        <x:v>3144</x:v>
      </x:c>
      <x:c r="I27" s="20" t="n">
        <x:v>-158000</x:v>
      </x:c>
      <x:c r="J27" s="27" t="n">
        <x:v>17</x:v>
      </x:c>
      <x:c r="K27" s="27" t="n">
        <x:v>41</x:v>
      </x:c>
      <x:c r="L27" s="27" t="n">
        <x:v>10</x:v>
      </x:c>
      <x:c r="M27" s="29" t="str">
        <x:v>対照47場</x:v>
      </x:c>
      <x:c r="N27" s="28" t="n">
        <x:v>83.51666666666667</x:v>
      </x:c>
      <x:c r="O27" s="28" t="n">
        <x:v>264.75</x:v>
      </x:c>
    </x:row>
    <x:row r="28" ht="22" customHeight="1">
      <x:c r="A28" s="2" t="str">
        <x:v>S36</x:v>
      </x:c>
      <x:c r="B28" s="24" t="d">
        <x:v>2026-10-05T17:00:00.000Z</x:v>
      </x:c>
      <x:c r="C28" s="2" t="str">
        <x:v>ナイト</x:v>
      </x:c>
      <x:c r="D28" s="20" t="n">
        <x:v>126234</x:v>
      </x:c>
      <x:c r="E28" s="20" t="n">
        <x:v>20384</x:v>
      </x:c>
      <x:c r="F28" s="20" t="n">
        <x:f>D28-E28</x:f>
        <x:v>105850</x:v>
      </x:c>
      <x:c r="G28" s="20" t="n">
        <x:f>SUMIFS($F$7:$F$56,$A$7:$A$56,A28,$B$7:$B$56,"&lt;="&amp;B28)</x:f>
        <x:v>1114226</x:v>
      </x:c>
      <x:c r="H28" s="20" t="n">
        <x:v>1150</x:v>
      </x:c>
      <x:c r="I28" s="20" t="n">
        <x:v>107000</x:v>
      </x:c>
      <x:c r="J28" s="27" t="n">
        <x:v>6</x:v>
      </x:c>
      <x:c r="K28" s="27" t="n">
        <x:v>15</x:v>
      </x:c>
      <x:c r="L28" s="27" t="n">
        <x:v>5</x:v>
      </x:c>
      <x:c r="M28" s="29" t="str">
        <x:v>対照47場</x:v>
      </x:c>
      <x:c r="N28" s="28" t="n">
        <x:v>356.01666666666665</x:v>
      </x:c>
      <x:c r="O28" s="28" t="n">
        <x:v>55.38333333333333</x:v>
      </x:c>
    </x:row>
    <x:row r="29" ht="22" customHeight="1">
      <x:c r="A29" s="2" t="str">
        <x:v>S36</x:v>
      </x:c>
      <x:c r="B29" s="24" t="d">
        <x:v>2026-10-06T08:45:00.000Z</x:v>
      </x:c>
      <x:c r="C29" s="2" t="str">
        <x:v>デイ</x:v>
      </x:c>
      <x:c r="D29" s="20" t="n">
        <x:v>151234</x:v>
      </x:c>
      <x:c r="E29" s="20" t="n">
        <x:v>112692</x:v>
      </x:c>
      <x:c r="F29" s="20" t="n">
        <x:f>D29-E29</x:f>
        <x:v>38542</x:v>
      </x:c>
      <x:c r="G29" s="20" t="n">
        <x:f>SUMIFS($F$7:$F$56,$A$7:$A$56,A29,$B$7:$B$56,"&lt;="&amp;B29)</x:f>
        <x:v>1152768</x:v>
      </x:c>
      <x:c r="H29" s="20" t="n">
        <x:v>1458</x:v>
      </x:c>
      <x:c r="I29" s="20" t="n">
        <x:v>40000</x:v>
      </x:c>
      <x:c r="J29" s="27" t="n">
        <x:v>8</x:v>
      </x:c>
      <x:c r="K29" s="27" t="n">
        <x:v>19</x:v>
      </x:c>
      <x:c r="L29" s="27" t="n">
        <x:v>5</x:v>
      </x:c>
      <x:c r="M29" s="29" t="str">
        <x:v>対照47場</x:v>
      </x:c>
      <x:c r="N29" s="28" t="n">
        <x:v>49.266666666666666</x:v>
      </x:c>
      <x:c r="O29" s="28" t="n">
        <x:v>257.05</x:v>
      </x:c>
    </x:row>
    <x:row r="30" ht="22" customHeight="1">
      <x:c r="A30" s="2" t="str">
        <x:v>S36</x:v>
      </x:c>
      <x:c r="B30" s="24" t="d">
        <x:v>2026-10-06T17:00:00.000Z</x:v>
      </x:c>
      <x:c r="C30" s="2" t="str">
        <x:v>ナイト</x:v>
      </x:c>
      <x:c r="D30" s="20" t="n">
        <x:v>24616</x:v>
      </x:c>
      <x:c r="E30" s="20" t="n">
        <x:v>51538</x:v>
      </x:c>
      <x:c r="F30" s="20" t="n">
        <x:f>D30-E30</x:f>
        <x:v>-26922</x:v>
      </x:c>
      <x:c r="G30" s="20" t="n">
        <x:f>SUMIFS($F$7:$F$56,$A$7:$A$56,A30,$B$7:$B$56,"&lt;="&amp;B30)</x:f>
        <x:v>1125846</x:v>
      </x:c>
      <x:c r="H30" s="20" t="n">
        <x:v>922</x:v>
      </x:c>
      <x:c r="I30" s="20" t="n">
        <x:v>-26000</x:v>
      </x:c>
      <x:c r="J30" s="27" t="n">
        <x:v>3</x:v>
      </x:c>
      <x:c r="K30" s="27" t="n">
        <x:v>12</x:v>
      </x:c>
      <x:c r="L30" s="27" t="n">
        <x:v>5</x:v>
      </x:c>
      <x:c r="M30" s="29" t="str">
        <x:v>対照47場</x:v>
      </x:c>
      <x:c r="N30" s="28" t="n">
        <x:v>349.78333333333336</x:v>
      </x:c>
      <x:c r="O30" s="28" t="n">
        <x:v>16.633333333333333</x:v>
      </x:c>
    </x:row>
    <x:row r="31" ht="22" customHeight="1">
      <x:c r="A31" s="2" t="str">
        <x:v>S36</x:v>
      </x:c>
      <x:c r="B31" s="24" t="d">
        <x:v>2026-10-07T08:45:00.000Z</x:v>
      </x:c>
      <x:c r="C31" s="2" t="str">
        <x:v>デイ</x:v>
      </x:c>
      <x:c r="D31" s="20" t="n">
        <x:v>151086</x:v>
      </x:c>
      <x:c r="E31" s="20" t="n">
        <x:v>34308</x:v>
      </x:c>
      <x:c r="F31" s="20" t="n">
        <x:f>D31-E31</x:f>
        <x:v>116778</x:v>
      </x:c>
      <x:c r="G31" s="20" t="n">
        <x:f>SUMIFS($F$7:$F$56,$A$7:$A$56,A31,$B$7:$B$56,"&lt;="&amp;B31)</x:f>
        <x:v>1242624</x:v>
      </x:c>
      <x:c r="H31" s="20" t="n">
        <x:v>2222</x:v>
      </x:c>
      <x:c r="I31" s="20" t="n">
        <x:v>119000</x:v>
      </x:c>
      <x:c r="J31" s="27" t="n">
        <x:v>16</x:v>
      </x:c>
      <x:c r="K31" s="27" t="n">
        <x:v>29</x:v>
      </x:c>
      <x:c r="L31" s="27" t="n">
        <x:v>10</x:v>
      </x:c>
      <x:c r="M31" s="29" t="str">
        <x:v>対照47場</x:v>
      </x:c>
      <x:c r="N31" s="28" t="n">
        <x:v>47.516666666666666</x:v>
      </x:c>
      <x:c r="O31" s="28" t="n">
        <x:v>101.81666666666666</x:v>
      </x:c>
    </x:row>
    <x:row r="32" ht="22" customHeight="1">
      <x:c r="A32" s="2" t="str">
        <x:v>S36</x:v>
      </x:c>
      <x:c r="B32" s="24" t="d">
        <x:v>2026-10-07T17:00:00.000Z</x:v>
      </x:c>
      <x:c r="C32" s="2" t="str">
        <x:v>ナイト</x:v>
      </x:c>
      <x:c r="D32" s="20" t="n">
        <x:v>24232</x:v>
      </x:c>
      <x:c r="E32" s="20" t="n">
        <x:v>29230</x:v>
      </x:c>
      <x:c r="F32" s="20" t="n">
        <x:f>D32-E32</x:f>
        <x:v>-4998</x:v>
      </x:c>
      <x:c r="G32" s="20" t="n">
        <x:f>SUMIFS($F$7:$F$56,$A$7:$A$56,A32,$B$7:$B$56,"&lt;="&amp;B32)</x:f>
        <x:v>1237626</x:v>
      </x:c>
      <x:c r="H32" s="20" t="n">
        <x:v>998</x:v>
      </x:c>
      <x:c r="I32" s="20" t="n">
        <x:v>-4000</x:v>
      </x:c>
      <x:c r="J32" s="27" t="n">
        <x:v>4</x:v>
      </x:c>
      <x:c r="K32" s="27" t="n">
        <x:v>13</x:v>
      </x:c>
      <x:c r="L32" s="27" t="n">
        <x:v>5</x:v>
      </x:c>
      <x:c r="M32" s="29" t="str">
        <x:v>対照47場</x:v>
      </x:c>
      <x:c r="N32" s="28" t="n">
        <x:v>235.05</x:v>
      </x:c>
      <x:c r="O32" s="28" t="n">
        <x:v>33.666666666666664</x:v>
      </x:c>
    </x:row>
    <x:row r="33" ht="22" customHeight="1">
      <x:c r="A33" s="2" t="str">
        <x:v>S36</x:v>
      </x:c>
      <x:c r="B33" s="24" t="d">
        <x:v>2026-10-08T08:45:00.000Z</x:v>
      </x:c>
      <x:c r="C33" s="2" t="str">
        <x:v>デイ</x:v>
      </x:c>
      <x:c r="D33" s="20" t="n">
        <x:v>238852</x:v>
      </x:c>
      <x:c r="E33" s="20" t="n">
        <x:v>177690</x:v>
      </x:c>
      <x:c r="F33" s="20" t="n">
        <x:f>D33-E33</x:f>
        <x:v>61162</x:v>
      </x:c>
      <x:c r="G33" s="20" t="n">
        <x:f>SUMIFS($F$7:$F$56,$A$7:$A$56,A33,$B$7:$B$56,"&lt;="&amp;B33)</x:f>
        <x:v>1298788</x:v>
      </x:c>
      <x:c r="H33" s="20" t="n">
        <x:v>2838</x:v>
      </x:c>
      <x:c r="I33" s="20" t="n">
        <x:v>64000</x:v>
      </x:c>
      <x:c r="J33" s="27" t="n">
        <x:v>14</x:v>
      </x:c>
      <x:c r="K33" s="27" t="n">
        <x:v>37</x:v>
      </x:c>
      <x:c r="L33" s="27" t="n">
        <x:v>7</x:v>
      </x:c>
      <x:c r="M33" s="29" t="str">
        <x:v>対照47場</x:v>
      </x:c>
      <x:c r="N33" s="28" t="n">
        <x:v>70.23333333333333</x:v>
      </x:c>
      <x:c r="O33" s="28" t="n">
        <x:v>159.35</x:v>
      </x:c>
    </x:row>
    <x:row r="34" ht="22" customHeight="1">
      <x:c r="A34" s="2" t="str">
        <x:v>S36</x:v>
      </x:c>
      <x:c r="B34" s="24" t="d">
        <x:v>2026-10-08T17:00:00.000Z</x:v>
      </x:c>
      <x:c r="C34" s="2" t="str">
        <x:v>ナイト</x:v>
      </x:c>
      <x:c r="D34" s="20" t="n">
        <x:v>174468</x:v>
      </x:c>
      <x:c r="E34" s="20" t="n">
        <x:v>0</x:v>
      </x:c>
      <x:c r="F34" s="20" t="n">
        <x:f>D34-E34</x:f>
        <x:v>174468</x:v>
      </x:c>
      <x:c r="G34" s="20" t="n">
        <x:f>SUMIFS($F$7:$F$56,$A$7:$A$56,A34,$B$7:$B$56,"&lt;="&amp;B34)</x:f>
        <x:v>1473256</x:v>
      </x:c>
      <x:c r="H34" s="20" t="n">
        <x:v>1532</x:v>
      </x:c>
      <x:c r="I34" s="20" t="n">
        <x:v>176000</x:v>
      </x:c>
      <x:c r="J34" s="27" t="n">
        <x:v>10</x:v>
      </x:c>
      <x:c r="K34" s="27" t="n">
        <x:v>20</x:v>
      </x:c>
      <x:c r="L34" s="27" t="n">
        <x:v>7</x:v>
      </x:c>
      <x:c r="M34" s="29" t="str">
        <x:v>対照47場</x:v>
      </x:c>
      <x:c r="N34" s="28" t="n">
        <x:v>103.98333333333333</x:v>
      </x:c>
      <x:c r="O34" s="28" t="n">
        <x:v>96.76666666666667</x:v>
      </x:c>
    </x:row>
    <x:row r="35" ht="22" customHeight="1">
      <x:c r="A35" s="2" t="str">
        <x:v>S36</x:v>
      </x:c>
      <x:c r="B35" s="24" t="d">
        <x:v>2026-10-09T08:45:00.000Z</x:v>
      </x:c>
      <x:c r="C35" s="2" t="str">
        <x:v>デイ</x:v>
      </x:c>
      <x:c r="D35" s="20" t="n">
        <x:v>76310</x:v>
      </x:c>
      <x:c r="E35" s="20" t="n">
        <x:v>75538</x:v>
      </x:c>
      <x:c r="F35" s="20" t="n">
        <x:f>D35-E35</x:f>
        <x:v>772</x:v>
      </x:c>
      <x:c r="G35" s="20" t="n">
        <x:f>SUMIFS($F$7:$F$56,$A$7:$A$56,A35,$B$7:$B$56,"&lt;="&amp;B35)</x:f>
        <x:v>1474028</x:v>
      </x:c>
      <x:c r="H35" s="20" t="n">
        <x:v>1228</x:v>
      </x:c>
      <x:c r="I35" s="20" t="n">
        <x:v>2000</x:v>
      </x:c>
      <x:c r="J35" s="27" t="n">
        <x:v>8</x:v>
      </x:c>
      <x:c r="K35" s="27" t="n">
        <x:v>16</x:v>
      </x:c>
      <x:c r="L35" s="27" t="n">
        <x:v>5</x:v>
      </x:c>
      <x:c r="M35" s="29" t="str">
        <x:v>対照47場</x:v>
      </x:c>
      <x:c r="N35" s="28" t="n">
        <x:v>54.45</x:v>
      </x:c>
      <x:c r="O35" s="28" t="n">
        <x:v>93.9</x:v>
      </x:c>
    </x:row>
    <x:row r="36" ht="22" customHeight="1">
      <x:c r="A36" s="2" t="str">
        <x:v>S36</x:v>
      </x:c>
      <x:c r="B36" s="24" t="d">
        <x:v>2026-10-09T17:00:00.000Z</x:v>
      </x:c>
      <x:c r="C36" s="2" t="str">
        <x:v>ナイト</x:v>
      </x:c>
      <x:c r="D36" s="20" t="n">
        <x:v>19616</x:v>
      </x:c>
      <x:c r="E36" s="20" t="n">
        <x:v>0</x:v>
      </x:c>
      <x:c r="F36" s="20" t="n">
        <x:f>D36-E36</x:f>
        <x:v>19616</x:v>
      </x:c>
      <x:c r="G36" s="20" t="n">
        <x:f>SUMIFS($F$7:$F$56,$A$7:$A$56,A36,$B$7:$B$56,"&lt;="&amp;B36)</x:f>
        <x:v>1493644</x:v>
      </x:c>
      <x:c r="H36" s="20" t="n">
        <x:v>384</x:v>
      </x:c>
      <x:c r="I36" s="20" t="n">
        <x:v>20000</x:v>
      </x:c>
      <x:c r="J36" s="27" t="n">
        <x:v>1</x:v>
      </x:c>
      <x:c r="K36" s="27" t="n">
        <x:v>5</x:v>
      </x:c>
      <x:c r="L36" s="27" t="n">
        <x:v>5</x:v>
      </x:c>
      <x:c r="M36" s="29" t="str">
        <x:v>対照47場</x:v>
      </x:c>
      <x:c r="N36" s="28" t="n">
        <x:v>360.06666666666666</x:v>
      </x:c>
      <x:c r="O36" s="28" t="n">
        <x:v>11.916666666666666</x:v>
      </x:c>
    </x:row>
    <x:row r="37" ht="22" customHeight="1">
      <x:c r="A37" s="2" t="str">
        <x:v>S36</x:v>
      </x:c>
      <x:c r="B37" s="24" t="d">
        <x:v>2026-10-12T08:45:00.000Z</x:v>
      </x:c>
      <x:c r="C37" s="2" t="str">
        <x:v>デイ</x:v>
      </x:c>
      <x:c r="D37" s="20" t="n">
        <x:v>32616</x:v>
      </x:c>
      <x:c r="E37" s="20" t="n">
        <x:v>25384</x:v>
      </x:c>
      <x:c r="F37" s="20" t="n">
        <x:f>D37-E37</x:f>
        <x:v>7232</x:v>
      </x:c>
      <x:c r="G37" s="20" t="n">
        <x:f>SUMIFS($F$7:$F$56,$A$7:$A$56,A37,$B$7:$B$56,"&lt;="&amp;B37)</x:f>
        <x:v>1500876</x:v>
      </x:c>
      <x:c r="H37" s="20" t="n">
        <x:v>768</x:v>
      </x:c>
      <x:c r="I37" s="20" t="n">
        <x:v>8000</x:v>
      </x:c>
      <x:c r="J37" s="27" t="n">
        <x:v>2</x:v>
      </x:c>
      <x:c r="K37" s="27" t="n">
        <x:v>10</x:v>
      </x:c>
      <x:c r="L37" s="27" t="n">
        <x:v>5</x:v>
      </x:c>
      <x:c r="M37" s="29" t="str">
        <x:v>対照47場</x:v>
      </x:c>
      <x:c r="N37" s="28" t="n">
        <x:v>122.76666666666667</x:v>
      </x:c>
      <x:c r="O37" s="28" t="n">
        <x:v>265.15</x:v>
      </x:c>
    </x:row>
    <x:row r="38" ht="22" customHeight="1">
      <x:c r="A38" s="2" t="str">
        <x:v>S36</x:v>
      </x:c>
      <x:c r="B38" s="24" t="d">
        <x:v>2026-10-12T17:00:00.000Z</x:v>
      </x:c>
      <x:c r="C38" s="2" t="str">
        <x:v>ナイト</x:v>
      </x:c>
      <x:c r="D38" s="20" t="n">
        <x:v>94616</x:v>
      </x:c>
      <x:c r="E38" s="20" t="n">
        <x:v>0</x:v>
      </x:c>
      <x:c r="F38" s="20" t="n">
        <x:f>D38-E38</x:f>
        <x:v>94616</x:v>
      </x:c>
      <x:c r="G38" s="20" t="n">
        <x:f>SUMIFS($F$7:$F$56,$A$7:$A$56,A38,$B$7:$B$56,"&lt;="&amp;B38)</x:f>
        <x:v>1595492</x:v>
      </x:c>
      <x:c r="H38" s="20" t="n">
        <x:v>384</x:v>
      </x:c>
      <x:c r="I38" s="20" t="n">
        <x:v>95000</x:v>
      </x:c>
      <x:c r="J38" s="27" t="n">
        <x:v>1</x:v>
      </x:c>
      <x:c r="K38" s="27" t="n">
        <x:v>5</x:v>
      </x:c>
      <x:c r="L38" s="27" t="n">
        <x:v>5</x:v>
      </x:c>
      <x:c r="M38" s="29" t="str">
        <x:v>対照47場</x:v>
      </x:c>
      <x:c r="N38" s="28" t="n">
        <x:v>360.21666666666664</x:v>
      </x:c>
      <x:c r="O38" s="28" t="n">
        <x:v>10.65</x:v>
      </x:c>
    </x:row>
    <x:row r="39" ht="22" customHeight="1">
      <x:c r="A39" s="2" t="str">
        <x:v>S36</x:v>
      </x:c>
      <x:c r="B39" s="24" t="d">
        <x:v>2026-10-13T08:45:00.000Z</x:v>
      </x:c>
      <x:c r="C39" s="2" t="str">
        <x:v>デイ</x:v>
      </x:c>
      <x:c r="D39" s="20" t="n">
        <x:v>111850</x:v>
      </x:c>
      <x:c r="E39" s="20" t="n">
        <x:v>207230</x:v>
      </x:c>
      <x:c r="F39" s="20" t="n">
        <x:f>D39-E39</x:f>
        <x:v>-95380</x:v>
      </x:c>
      <x:c r="G39" s="20" t="n">
        <x:f>SUMIFS($F$7:$F$56,$A$7:$A$56,A39,$B$7:$B$56,"&lt;="&amp;B39)</x:f>
        <x:v>1500112</x:v>
      </x:c>
      <x:c r="H39" s="20" t="n">
        <x:v>2380</x:v>
      </x:c>
      <x:c r="I39" s="20" t="n">
        <x:v>-93000</x:v>
      </x:c>
      <x:c r="J39" s="27" t="n">
        <x:v>13</x:v>
      </x:c>
      <x:c r="K39" s="27" t="n">
        <x:v>31</x:v>
      </x:c>
      <x:c r="L39" s="27" t="n">
        <x:v>10</x:v>
      </x:c>
      <x:c r="M39" s="29" t="str">
        <x:v>対照47場</x:v>
      </x:c>
      <x:c r="N39" s="28" t="n">
        <x:v>63.8</x:v>
      </x:c>
      <x:c r="O39" s="28" t="n">
        <x:v>326.65</x:v>
      </x:c>
    </x:row>
    <x:row r="40" ht="22" customHeight="1">
      <x:c r="A40" s="2" t="str">
        <x:v>S36</x:v>
      </x:c>
      <x:c r="B40" s="24" t="d">
        <x:v>2026-10-13T17:00:00.000Z</x:v>
      </x:c>
      <x:c r="C40" s="2" t="str">
        <x:v>ナイト</x:v>
      </x:c>
      <x:c r="D40" s="20" t="n">
        <x:v>0</x:v>
      </x:c>
      <x:c r="E40" s="20" t="n">
        <x:v>96922</x:v>
      </x:c>
      <x:c r="F40" s="20" t="n">
        <x:f>D40-E40</x:f>
        <x:v>-96922</x:v>
      </x:c>
      <x:c r="G40" s="20" t="n">
        <x:f>SUMIFS($F$7:$F$56,$A$7:$A$56,A40,$B$7:$B$56,"&lt;="&amp;B40)</x:f>
        <x:v>1403190</x:v>
      </x:c>
      <x:c r="H40" s="20" t="n">
        <x:v>922</x:v>
      </x:c>
      <x:c r="I40" s="20" t="n">
        <x:v>-96000</x:v>
      </x:c>
      <x:c r="J40" s="27" t="n">
        <x:v>3</x:v>
      </x:c>
      <x:c r="K40" s="27" t="n">
        <x:v>12</x:v>
      </x:c>
      <x:c r="L40" s="27" t="n">
        <x:v>5</x:v>
      </x:c>
      <x:c r="M40" s="29" t="str">
        <x:v>対照47場</x:v>
      </x:c>
      <x:c r="N40" s="28" t="n">
        <x:v>360.23333333333335</x:v>
      </x:c>
      <x:c r="O40" s="28" t="n">
        <x:v>10.466666666666667</x:v>
      </x:c>
    </x:row>
    <x:row r="41" ht="22" customHeight="1">
      <x:c r="A41" s="2" t="str">
        <x:v>S36</x:v>
      </x:c>
      <x:c r="B41" s="24" t="d">
        <x:v>2026-10-14T08:45:00.000Z</x:v>
      </x:c>
      <x:c r="C41" s="2" t="str">
        <x:v>デイ</x:v>
      </x:c>
      <x:c r="D41" s="20" t="n">
        <x:v>172232</x:v>
      </x:c>
      <x:c r="E41" s="20" t="n">
        <x:v>115076</x:v>
      </x:c>
      <x:c r="F41" s="20" t="n">
        <x:f>D41-E41</x:f>
        <x:v>57156</x:v>
      </x:c>
      <x:c r="G41" s="20" t="n">
        <x:f>SUMIFS($F$7:$F$56,$A$7:$A$56,A41,$B$7:$B$56,"&lt;="&amp;B41)</x:f>
        <x:v>1460346</x:v>
      </x:c>
      <x:c r="H41" s="20" t="n">
        <x:v>1844</x:v>
      </x:c>
      <x:c r="I41" s="20" t="n">
        <x:v>59000</x:v>
      </x:c>
      <x:c r="J41" s="27" t="n">
        <x:v>8</x:v>
      </x:c>
      <x:c r="K41" s="27" t="n">
        <x:v>24</x:v>
      </x:c>
      <x:c r="L41" s="27" t="n">
        <x:v>5</x:v>
      </x:c>
      <x:c r="M41" s="29" t="str">
        <x:v>対照47場</x:v>
      </x:c>
      <x:c r="N41" s="28" t="n">
        <x:v>97.45</x:v>
      </x:c>
      <x:c r="O41" s="28" t="n">
        <x:v>122.26666666666667</x:v>
      </x:c>
    </x:row>
    <x:row r="42" ht="22" customHeight="1">
      <x:c r="A42" s="2" t="str">
        <x:v>S36</x:v>
      </x:c>
      <x:c r="B42" s="24" t="d">
        <x:v>2026-10-14T17:00:00.000Z</x:v>
      </x:c>
      <x:c r="C42" s="2" t="str">
        <x:v>ナイト</x:v>
      </x:c>
      <x:c r="D42" s="20" t="n">
        <x:v>221850</x:v>
      </x:c>
      <x:c r="E42" s="20" t="n">
        <x:v>46154</x:v>
      </x:c>
      <x:c r="F42" s="20" t="n">
        <x:f>D42-E42</x:f>
        <x:v>175696</x:v>
      </x:c>
      <x:c r="G42" s="20" t="n">
        <x:f>SUMIFS($F$7:$F$56,$A$7:$A$56,A42,$B$7:$B$56,"&lt;="&amp;B42)</x:f>
        <x:v>1636042</x:v>
      </x:c>
      <x:c r="H42" s="20" t="n">
        <x:v>1304</x:v>
      </x:c>
      <x:c r="I42" s="20" t="n">
        <x:v>177000</x:v>
      </x:c>
      <x:c r="J42" s="27" t="n">
        <x:v>7</x:v>
      </x:c>
      <x:c r="K42" s="27" t="n">
        <x:v>17</x:v>
      </x:c>
      <x:c r="L42" s="27" t="n">
        <x:v>5</x:v>
      </x:c>
      <x:c r="M42" s="29" t="str">
        <x:v>対照47場</x:v>
      </x:c>
      <x:c r="N42" s="28" t="n">
        <x:v>360</x:v>
      </x:c>
      <x:c r="O42" s="28" t="n">
        <x:v>163.76666666666668</x:v>
      </x:c>
    </x:row>
    <x:row r="43" ht="22" customHeight="1">
      <x:c r="A43" s="2" t="str">
        <x:v>S36</x:v>
      </x:c>
      <x:c r="B43" s="24" t="d">
        <x:v>2026-10-15T08:45:00.000Z</x:v>
      </x:c>
      <x:c r="C43" s="2" t="str">
        <x:v>デイ</x:v>
      </x:c>
      <x:c r="D43" s="20" t="n">
        <x:v>461620</x:v>
      </x:c>
      <x:c r="E43" s="20" t="n">
        <x:v>124462</x:v>
      </x:c>
      <x:c r="F43" s="20" t="n">
        <x:f>D43-E43</x:f>
        <x:v>337158</x:v>
      </x:c>
      <x:c r="G43" s="20" t="n">
        <x:f>SUMIFS($F$7:$F$56,$A$7:$A$56,A43,$B$7:$B$56,"&lt;="&amp;B43)</x:f>
        <x:v>1973200</x:v>
      </x:c>
      <x:c r="H43" s="20" t="n">
        <x:v>1842</x:v>
      </x:c>
      <x:c r="I43" s="20" t="n">
        <x:v>339000</x:v>
      </x:c>
      <x:c r="J43" s="27" t="n">
        <x:v>11</x:v>
      </x:c>
      <x:c r="K43" s="27" t="n">
        <x:v>24</x:v>
      </x:c>
      <x:c r="L43" s="27" t="n">
        <x:v>5</x:v>
      </x:c>
      <x:c r="M43" s="29" t="str">
        <x:v>対照47場</x:v>
      </x:c>
      <x:c r="N43" s="28" t="n">
        <x:v>50.583333333333336</x:v>
      </x:c>
      <x:c r="O43" s="28" t="n">
        <x:v>232.11666666666667</x:v>
      </x:c>
    </x:row>
    <x:row r="44" ht="22" customHeight="1">
      <x:c r="A44" s="2" t="str">
        <x:v>S36</x:v>
      </x:c>
      <x:c r="B44" s="24" t="d">
        <x:v>2026-10-15T17:00:00.000Z</x:v>
      </x:c>
      <x:c r="C44" s="2" t="str">
        <x:v>ナイト</x:v>
      </x:c>
      <x:c r="D44" s="20" t="n">
        <x:v>0</x:v>
      </x:c>
      <x:c r="E44" s="20" t="n">
        <x:v>148462</x:v>
      </x:c>
      <x:c r="F44" s="20" t="n">
        <x:f>D44-E44</x:f>
        <x:v>-148462</x:v>
      </x:c>
      <x:c r="G44" s="20" t="n">
        <x:f>SUMIFS($F$7:$F$56,$A$7:$A$56,A44,$B$7:$B$56,"&lt;="&amp;B44)</x:f>
        <x:v>1824738</x:v>
      </x:c>
      <x:c r="H44" s="20" t="n">
        <x:v>462</x:v>
      </x:c>
      <x:c r="I44" s="20" t="n">
        <x:v>-148000</x:v>
      </x:c>
      <x:c r="J44" s="27" t="n">
        <x:v>3</x:v>
      </x:c>
      <x:c r="K44" s="27" t="n">
        <x:v>6</x:v>
      </x:c>
      <x:c r="L44" s="27" t="n">
        <x:v>2</x:v>
      </x:c>
      <x:c r="M44" s="29" t="str">
        <x:v>対照47場</x:v>
      </x:c>
      <x:c r="N44" s="28" t="n">
        <x:v>360</x:v>
      </x:c>
      <x:c r="O44" s="28" t="n">
        <x:v>47.46666666666667</x:v>
      </x:c>
    </x:row>
    <x:row r="45" ht="22" customHeight="1">
      <x:c r="A45" s="2" t="str">
        <x:v>S36</x:v>
      </x:c>
      <x:c r="B45" s="24" t="d">
        <x:v>2026-10-16T08:45:00.000Z</x:v>
      </x:c>
      <x:c r="C45" s="2" t="str">
        <x:v>デイ</x:v>
      </x:c>
      <x:c r="D45" s="20" t="n">
        <x:v>72926</x:v>
      </x:c>
      <x:c r="E45" s="20" t="n">
        <x:v>258074</x:v>
      </x:c>
      <x:c r="F45" s="20" t="n">
        <x:f>D45-E45</x:f>
        <x:v>-185148</x:v>
      </x:c>
      <x:c r="G45" s="20" t="n">
        <x:f>SUMIFS($F$7:$F$56,$A$7:$A$56,A45,$B$7:$B$56,"&lt;="&amp;B45)</x:f>
        <x:v>1639590</x:v>
      </x:c>
      <x:c r="H45" s="20" t="n">
        <x:v>3148</x:v>
      </x:c>
      <x:c r="I45" s="20" t="n">
        <x:v>-182000</x:v>
      </x:c>
      <x:c r="J45" s="27" t="n">
        <x:v>13</x:v>
      </x:c>
      <x:c r="K45" s="27" t="n">
        <x:v>41</x:v>
      </x:c>
      <x:c r="L45" s="27" t="n">
        <x:v>5</x:v>
      </x:c>
      <x:c r="M45" s="29" t="str">
        <x:v>対照47場</x:v>
      </x:c>
      <x:c r="N45" s="28" t="n">
        <x:v>66.9</x:v>
      </x:c>
      <x:c r="O45" s="28" t="n">
        <x:v>216.66666666666666</x:v>
      </x:c>
    </x:row>
    <x:row r="46" ht="22" customHeight="1">
      <x:c r="A46" s="2" t="str">
        <x:v>S36</x:v>
      </x:c>
      <x:c r="B46" s="24" t="d">
        <x:v>2026-10-16T17:00:00.000Z</x:v>
      </x:c>
      <x:c r="C46" s="2" t="str">
        <x:v>ナイト</x:v>
      </x:c>
      <x:c r="D46" s="20" t="n">
        <x:v>114314</x:v>
      </x:c>
      <x:c r="E46" s="20" t="n">
        <x:v>74308</x:v>
      </x:c>
      <x:c r="F46" s="20" t="n">
        <x:f>D46-E46</x:f>
        <x:v>40006</x:v>
      </x:c>
      <x:c r="G46" s="20" t="n">
        <x:f>SUMIFS($F$7:$F$56,$A$7:$A$56,A46,$B$7:$B$56,"&lt;="&amp;B46)</x:f>
        <x:v>1679596</x:v>
      </x:c>
      <x:c r="H46" s="20" t="n">
        <x:v>1994</x:v>
      </x:c>
      <x:c r="I46" s="20" t="n">
        <x:v>42000</x:v>
      </x:c>
      <x:c r="J46" s="27" t="n">
        <x:v>12</x:v>
      </x:c>
      <x:c r="K46" s="27" t="n">
        <x:v>26</x:v>
      </x:c>
      <x:c r="L46" s="27" t="n">
        <x:v>5</x:v>
      </x:c>
      <x:c r="M46" s="29" t="str">
        <x:v>対照47場</x:v>
      </x:c>
      <x:c r="N46" s="28" t="n">
        <x:v>45.46666666666667</x:v>
      </x:c>
      <x:c r="O46" s="28" t="n">
        <x:v>122.7</x:v>
      </x:c>
    </x:row>
    <x:row r="47" ht="22" customHeight="1">
      <x:c r="A47" s="2" t="str">
        <x:v>S36</x:v>
      </x:c>
      <x:c r="B47" s="24" t="d">
        <x:v>2026-10-19T08:45:00.000Z</x:v>
      </x:c>
      <x:c r="C47" s="2" t="str">
        <x:v>デイ</x:v>
      </x:c>
      <x:c r="D47" s="20" t="n">
        <x:v>295470</x:v>
      </x:c>
      <x:c r="E47" s="20" t="n">
        <x:v>22460</x:v>
      </x:c>
      <x:c r="F47" s="20" t="n">
        <x:f>D47-E47</x:f>
        <x:v>273010</x:v>
      </x:c>
      <x:c r="G47" s="20" t="n">
        <x:f>SUMIFS($F$7:$F$56,$A$7:$A$56,A47,$B$7:$B$56,"&lt;="&amp;B47)</x:f>
        <x:v>1952606</x:v>
      </x:c>
      <x:c r="H47" s="20" t="n">
        <x:v>1990</x:v>
      </x:c>
      <x:c r="I47" s="20" t="n">
        <x:v>275000</x:v>
      </x:c>
      <x:c r="J47" s="27" t="n">
        <x:v>17</x:v>
      </x:c>
      <x:c r="K47" s="27" t="n">
        <x:v>26</x:v>
      </x:c>
      <x:c r="L47" s="27" t="n">
        <x:v>10</x:v>
      </x:c>
      <x:c r="M47" s="29" t="str">
        <x:v>対照47場</x:v>
      </x:c>
      <x:c r="N47" s="28" t="n">
        <x:v>46.733333333333334</x:v>
      </x:c>
      <x:c r="O47" s="28" t="n">
        <x:v>363.26666666666665</x:v>
      </x:c>
    </x:row>
    <x:row r="48" ht="22" customHeight="1">
      <x:c r="A48" s="2" t="str">
        <x:v>S36</x:v>
      </x:c>
      <x:c r="B48" s="24" t="d">
        <x:v>2026-10-19T17:00:00.000Z</x:v>
      </x:c>
      <x:c r="C48" s="2" t="str">
        <x:v>ナイト</x:v>
      </x:c>
      <x:c r="D48" s="20" t="n">
        <x:v>79234</x:v>
      </x:c>
      <x:c r="E48" s="20" t="n">
        <x:v>103768</x:v>
      </x:c>
      <x:c r="F48" s="20" t="n">
        <x:f>D48-E48</x:f>
        <x:v>-24534</x:v>
      </x:c>
      <x:c r="G48" s="20" t="n">
        <x:f>SUMIFS($F$7:$F$56,$A$7:$A$56,A48,$B$7:$B$56,"&lt;="&amp;B48)</x:f>
        <x:v>1928072</x:v>
      </x:c>
      <x:c r="H48" s="20" t="n">
        <x:v>1534</x:v>
      </x:c>
      <x:c r="I48" s="20" t="n">
        <x:v>-23000</x:v>
      </x:c>
      <x:c r="J48" s="27" t="n">
        <x:v>9</x:v>
      </x:c>
      <x:c r="K48" s="27" t="n">
        <x:v>20</x:v>
      </x:c>
      <x:c r="L48" s="27" t="n">
        <x:v>8</x:v>
      </x:c>
      <x:c r="M48" s="29" t="str">
        <x:v>対照47場</x:v>
      </x:c>
      <x:c r="N48" s="28" t="n">
        <x:v>349.46666666666664</x:v>
      </x:c>
      <x:c r="O48" s="28" t="n">
        <x:v>72.33333333333333</x:v>
      </x:c>
    </x:row>
    <x:row r="49" ht="22" customHeight="1">
      <x:c r="A49" s="2" t="str">
        <x:v>S36</x:v>
      </x:c>
      <x:c r="B49" s="24" t="d">
        <x:v>2026-10-20T08:45:00.000Z</x:v>
      </x:c>
      <x:c r="C49" s="2" t="str">
        <x:v>デイ</x:v>
      </x:c>
      <x:c r="D49" s="20" t="n">
        <x:v>148160</x:v>
      </x:c>
      <x:c r="E49" s="20" t="n">
        <x:v>109846</x:v>
      </x:c>
      <x:c r="F49" s="20" t="n">
        <x:f>D49-E49</x:f>
        <x:v>38314</x:v>
      </x:c>
      <x:c r="G49" s="20" t="n">
        <x:f>SUMIFS($F$7:$F$56,$A$7:$A$56,A49,$B$7:$B$56,"&lt;="&amp;B49)</x:f>
        <x:v>1966386</x:v>
      </x:c>
      <x:c r="H49" s="20" t="n">
        <x:v>2686</x:v>
      </x:c>
      <x:c r="I49" s="20" t="n">
        <x:v>41000</x:v>
      </x:c>
      <x:c r="J49" s="27" t="n">
        <x:v>14</x:v>
      </x:c>
      <x:c r="K49" s="27" t="n">
        <x:v>35</x:v>
      </x:c>
      <x:c r="L49" s="27" t="n">
        <x:v>10</x:v>
      </x:c>
      <x:c r="M49" s="29" t="str">
        <x:v>対照47場</x:v>
      </x:c>
      <x:c r="N49" s="28" t="n">
        <x:v>79.45</x:v>
      </x:c>
      <x:c r="O49" s="28" t="n">
        <x:v>224.9</x:v>
      </x:c>
    </x:row>
    <x:row r="50" ht="22" customHeight="1">
      <x:c r="A50" s="2" t="str">
        <x:v>S36</x:v>
      </x:c>
      <x:c r="B50" s="24" t="d">
        <x:v>2026-10-20T17:00:00.000Z</x:v>
      </x:c>
      <x:c r="C50" s="2" t="str">
        <x:v>ナイト</x:v>
      </x:c>
      <x:c r="D50" s="20" t="n">
        <x:v>450776</x:v>
      </x:c>
      <x:c r="E50" s="20" t="n">
        <x:v>70384</x:v>
      </x:c>
      <x:c r="F50" s="20" t="n">
        <x:f>D50-E50</x:f>
        <x:v>380392</x:v>
      </x:c>
      <x:c r="G50" s="20" t="n">
        <x:f>SUMIFS($F$7:$F$56,$A$7:$A$56,A50,$B$7:$B$56,"&lt;="&amp;B50)</x:f>
        <x:v>2346778</x:v>
      </x:c>
      <x:c r="H50" s="20" t="n">
        <x:v>1608</x:v>
      </x:c>
      <x:c r="I50" s="20" t="n">
        <x:v>382000</x:v>
      </x:c>
      <x:c r="J50" s="27" t="n">
        <x:v>13</x:v>
      </x:c>
      <x:c r="K50" s="27" t="n">
        <x:v>21</x:v>
      </x:c>
      <x:c r="L50" s="27" t="n">
        <x:v>7</x:v>
      </x:c>
      <x:c r="M50" s="29" t="str">
        <x:v>対照47場</x:v>
      </x:c>
      <x:c r="N50" s="28" t="n">
        <x:v>272.3333333333333</x:v>
      </x:c>
      <x:c r="O50" s="28" t="n">
        <x:v>82.45</x:v>
      </x:c>
    </x:row>
    <x:row r="51" ht="22" customHeight="1">
      <x:c r="A51" s="2" t="str">
        <x:v>S36</x:v>
      </x:c>
      <x:c r="B51" s="24" t="d">
        <x:v>2026-10-21T08:45:00.000Z</x:v>
      </x:c>
      <x:c r="C51" s="2" t="str">
        <x:v>デイ</x:v>
      </x:c>
      <x:c r="D51" s="20" t="n">
        <x:v>222928</x:v>
      </x:c>
      <x:c r="E51" s="20" t="n">
        <x:v>308150</x:v>
      </x:c>
      <x:c r="F51" s="20" t="n">
        <x:f>D51-E51</x:f>
        <x:v>-85222</x:v>
      </x:c>
      <x:c r="G51" s="20" t="n">
        <x:f>SUMIFS($F$7:$F$56,$A$7:$A$56,A51,$B$7:$B$56,"&lt;="&amp;B51)</x:f>
        <x:v>2261556</x:v>
      </x:c>
      <x:c r="H51" s="20" t="n">
        <x:v>3222</x:v>
      </x:c>
      <x:c r="I51" s="20" t="n">
        <x:v>-82000</x:v>
      </x:c>
      <x:c r="J51" s="27" t="n">
        <x:v>15</x:v>
      </x:c>
      <x:c r="K51" s="27" t="n">
        <x:v>42</x:v>
      </x:c>
      <x:c r="L51" s="27" t="n">
        <x:v>8</x:v>
      </x:c>
      <x:c r="M51" s="29" t="str">
        <x:v>対照47場</x:v>
      </x:c>
      <x:c r="N51" s="28" t="n">
        <x:v>45.4</x:v>
      </x:c>
      <x:c r="O51" s="28" t="n">
        <x:v>239.06666666666666</x:v>
      </x:c>
    </x:row>
    <x:row r="52" ht="22" customHeight="1">
      <x:c r="A52" s="2" t="str">
        <x:v>S36</x:v>
      </x:c>
      <x:c r="B52" s="24" t="d">
        <x:v>2026-10-21T17:00:00.000Z</x:v>
      </x:c>
      <x:c r="C52" s="2" t="str">
        <x:v>ナイト</x:v>
      </x:c>
      <x:c r="D52" s="20" t="n">
        <x:v>44616</x:v>
      </x:c>
      <x:c r="E52" s="20" t="n">
        <x:v>85768</x:v>
      </x:c>
      <x:c r="F52" s="20" t="n">
        <x:f>D52-E52</x:f>
        <x:v>-41152</x:v>
      </x:c>
      <x:c r="G52" s="20" t="n">
        <x:f>SUMIFS($F$7:$F$56,$A$7:$A$56,A52,$B$7:$B$56,"&lt;="&amp;B52)</x:f>
        <x:v>2220404</x:v>
      </x:c>
      <x:c r="H52" s="20" t="n">
        <x:v>1152</x:v>
      </x:c>
      <x:c r="I52" s="20" t="n">
        <x:v>-40000</x:v>
      </x:c>
      <x:c r="J52" s="27" t="n">
        <x:v>3</x:v>
      </x:c>
      <x:c r="K52" s="27" t="n">
        <x:v>15</x:v>
      </x:c>
      <x:c r="L52" s="27" t="n">
        <x:v>5</x:v>
      </x:c>
      <x:c r="M52" s="29" t="str">
        <x:v>対照47場</x:v>
      </x:c>
      <x:c r="N52" s="28" t="n">
        <x:v>360</x:v>
      </x:c>
      <x:c r="O52" s="28" t="n">
        <x:v>93.56666666666666</x:v>
      </x:c>
    </x:row>
    <x:row r="53" ht="22" customHeight="1">
      <x:c r="A53" s="2" t="str">
        <x:v>S36</x:v>
      </x:c>
      <x:c r="B53" s="24" t="d">
        <x:v>2026-10-22T08:45:00.000Z</x:v>
      </x:c>
      <x:c r="C53" s="2" t="str">
        <x:v>デイ</x:v>
      </x:c>
      <x:c r="D53" s="20" t="n">
        <x:v>389234</x:v>
      </x:c>
      <x:c r="E53" s="20" t="n">
        <x:v>94462</x:v>
      </x:c>
      <x:c r="F53" s="20" t="n">
        <x:f>D53-E53</x:f>
        <x:v>294772</x:v>
      </x:c>
      <x:c r="G53" s="20" t="n">
        <x:f>SUMIFS($F$7:$F$56,$A$7:$A$56,A53,$B$7:$B$56,"&lt;="&amp;B53)</x:f>
        <x:v>2515176</x:v>
      </x:c>
      <x:c r="H53" s="20" t="n">
        <x:v>1228</x:v>
      </x:c>
      <x:c r="I53" s="20" t="n">
        <x:v>296000</x:v>
      </x:c>
      <x:c r="J53" s="27" t="n">
        <x:v>8</x:v>
      </x:c>
      <x:c r="K53" s="27" t="n">
        <x:v>16</x:v>
      </x:c>
      <x:c r="L53" s="27" t="n">
        <x:v>5</x:v>
      </x:c>
      <x:c r="M53" s="29" t="str">
        <x:v>対照47場</x:v>
      </x:c>
      <x:c r="N53" s="28" t="n">
        <x:v>79.91666666666667</x:v>
      </x:c>
      <x:c r="O53" s="28" t="n">
        <x:v>253.23333333333332</x:v>
      </x:c>
    </x:row>
    <x:row r="54" ht="22" customHeight="1">
      <x:c r="A54" s="2" t="str">
        <x:v>S36</x:v>
      </x:c>
      <x:c r="B54" s="24" t="d">
        <x:v>2026-10-22T17:00:00.000Z</x:v>
      </x:c>
      <x:c r="C54" s="2" t="str">
        <x:v>ナイト</x:v>
      </x:c>
      <x:c r="D54" s="20" t="n">
        <x:v>104616</x:v>
      </x:c>
      <x:c r="E54" s="20" t="n">
        <x:v>142844</x:v>
      </x:c>
      <x:c r="F54" s="20" t="n">
        <x:f>D54-E54</x:f>
        <x:v>-38228</x:v>
      </x:c>
      <x:c r="G54" s="20" t="n">
        <x:f>SUMIFS($F$7:$F$56,$A$7:$A$56,A54,$B$7:$B$56,"&lt;="&amp;B54)</x:f>
        <x:v>2476948</x:v>
      </x:c>
      <x:c r="H54" s="20" t="n">
        <x:v>1228</x:v>
      </x:c>
      <x:c r="I54" s="20" t="n">
        <x:v>-37000</x:v>
      </x:c>
      <x:c r="J54" s="27" t="n">
        <x:v>6</x:v>
      </x:c>
      <x:c r="K54" s="27" t="n">
        <x:v>16</x:v>
      </x:c>
      <x:c r="L54" s="27" t="n">
        <x:v>5</x:v>
      </x:c>
      <x:c r="M54" s="29" t="str">
        <x:v>診断3場</x:v>
      </x:c>
      <x:c r="N54" s="28" t="n">
        <x:v>360.06666666666666</x:v>
      </x:c>
      <x:c r="O54" s="28" t="n">
        <x:v>40.516666666666666</x:v>
      </x:c>
    </x:row>
    <x:row r="55" ht="22" customHeight="1">
      <x:c r="A55" s="2" t="str">
        <x:v>S36</x:v>
      </x:c>
      <x:c r="B55" s="24" t="d">
        <x:v>2026-10-23T08:45:00.000Z</x:v>
      </x:c>
      <x:c r="C55" s="2" t="str">
        <x:v>デイ</x:v>
      </x:c>
      <x:c r="D55" s="20" t="n">
        <x:v>76618</x:v>
      </x:c>
      <x:c r="E55" s="20" t="n">
        <x:v>118768</x:v>
      </x:c>
      <x:c r="F55" s="20" t="n">
        <x:f>D55-E55</x:f>
        <x:v>-42150</x:v>
      </x:c>
      <x:c r="G55" s="20" t="n">
        <x:f>SUMIFS($F$7:$F$56,$A$7:$A$56,A55,$B$7:$B$56,"&lt;="&amp;B55)</x:f>
        <x:v>2434798</x:v>
      </x:c>
      <x:c r="H55" s="20" t="n">
        <x:v>1150</x:v>
      </x:c>
      <x:c r="I55" s="20" t="n">
        <x:v>-41000</x:v>
      </x:c>
      <x:c r="J55" s="27" t="n">
        <x:v>8</x:v>
      </x:c>
      <x:c r="K55" s="27" t="n">
        <x:v>15</x:v>
      </x:c>
      <x:c r="L55" s="27" t="n">
        <x:v>5</x:v>
      </x:c>
      <x:c r="M55" s="29" t="str">
        <x:v>診断3場</x:v>
      </x:c>
      <x:c r="N55" s="28" t="n">
        <x:v>95.1</x:v>
      </x:c>
      <x:c r="O55" s="28" t="n">
        <x:v>228.95</x:v>
      </x:c>
    </x:row>
    <x:row r="56" ht="22" customHeight="1">
      <x:c r="A56" s="2" t="str">
        <x:v>S36</x:v>
      </x:c>
      <x:c r="B56" s="24" t="d">
        <x:v>2026-10-23T17:00:00.000Z</x:v>
      </x:c>
      <x:c r="C56" s="2" t="str">
        <x:v>ナイト</x:v>
      </x:c>
      <x:c r="D56" s="20" t="n">
        <x:v>11846</x:v>
      </x:c>
      <x:c r="E56" s="20" t="n">
        <x:v>55384</x:v>
      </x:c>
      <x:c r="F56" s="20" t="n">
        <x:f>D56-E56</x:f>
        <x:v>-43538</x:v>
      </x:c>
      <x:c r="G56" s="20" t="n">
        <x:f>SUMIFS($F$7:$F$56,$A$7:$A$56,A56,$B$7:$B$56,"&lt;="&amp;B56)</x:f>
        <x:v>2391260</x:v>
      </x:c>
      <x:c r="H56" s="20" t="n">
        <x:v>538</x:v>
      </x:c>
      <x:c r="I56" s="20" t="n">
        <x:v>-43000</x:v>
      </x:c>
      <x:c r="J56" s="27" t="n">
        <x:v>2</x:v>
      </x:c>
      <x:c r="K56" s="27" t="n">
        <x:v>7</x:v>
      </x:c>
      <x:c r="L56" s="27" t="n">
        <x:v>5</x:v>
      </x:c>
      <x:c r="M56" s="29" t="str">
        <x:v>診断3場</x:v>
      </x:c>
      <x:c r="N56" s="28" t="n">
        <x:v>360.03333333333336</x:v>
      </x:c>
      <x:c r="O56" s="28" t="n">
        <x:v>366.3</x:v>
      </x:c>
    </x:row>
  </x:sheetData>
  <x:conditionalFormatting sqref="D7:I56">
    <x:cfRule type="cellIs" dxfId="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f836e2533774990"/>
  </x:tableParts>
</x:worksheet>
</file>

<file path=xl/worksheets/sheet6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4" t="str">
        <x:v>日経mini M1 セッション損益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</x:row>
    <x:row r="3" ht="22" customHeight="1">
      <x:c r="A3" s="7" t="str">
        <x:v>片方向上限10枚。金額は円・手数料後。利益と損失は完結した一組の収支を正負に分類。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A4" s="7" t="str">
        <x:v>昼：G02／夜：G10。対照47場：9/21～10/22デイ。診断3場：10/22ナイト～10/23ナイト。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A5" s="7" t="str">
        <x:v>今回の損失削減を重視する昼夜別案。出典：00141保存会計。診断3場は原因分析と改善に使用した期間です。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4" customHeight="1">
      <x:c r="A6" s="16" t="str">
        <x:v>手法ID</x:v>
      </x:c>
      <x:c r="B6" s="17" t="str">
        <x:v>開始日時</x:v>
      </x:c>
      <x:c r="C6" s="17" t="str">
        <x:v>セッション</x:v>
      </x:c>
      <x:c r="D6" s="17" t="str">
        <x:v>利益（円）</x:v>
      </x:c>
      <x:c r="E6" s="17" t="str">
        <x:v>損失（円）</x:v>
      </x:c>
      <x:c r="F6" s="17" t="str">
        <x:v>収支（円）</x:v>
      </x:c>
      <x:c r="G6" s="17" t="str">
        <x:v>累計（円）</x:v>
      </x:c>
      <x:c r="H6" s="17" t="str">
        <x:v>内数手数料（円）</x:v>
      </x:c>
      <x:c r="I6" s="17" t="str">
        <x:v>費用前収支（円）</x:v>
      </x:c>
      <x:c r="J6" s="17" t="str">
        <x:v>新規回数</x:v>
      </x:c>
      <x:c r="K6" s="17" t="str">
        <x:v>新規枚数</x:v>
      </x:c>
      <x:c r="L6" s="17" t="str">
        <x:v>最大片方向保有</x:v>
      </x:c>
      <x:c r="M6" s="17" t="str">
        <x:v>評価区分</x:v>
      </x:c>
      <x:c r="N6" s="17" t="str">
        <x:v>初回まで（分）</x:v>
      </x:c>
      <x:c r="O6" s="18" t="str">
        <x:v>保有（分）</x:v>
      </x:c>
    </x:row>
    <x:row r="7" ht="22" customHeight="1">
      <x:c r="A7" s="2" t="str">
        <x:v>M1</x:v>
      </x:c>
      <x:c r="B7" s="24" t="d">
        <x:v>2026-09-21T08:45:00.000Z</x:v>
      </x:c>
      <x:c r="C7" s="2" t="str">
        <x:v>デイ</x:v>
      </x:c>
      <x:c r="D7" s="20" t="n">
        <x:v>85616</x:v>
      </x:c>
      <x:c r="E7" s="20" t="n">
        <x:v>0</x:v>
      </x:c>
      <x:c r="F7" s="20" t="n">
        <x:f>D7-E7</x:f>
        <x:v>85616</x:v>
      </x:c>
      <x:c r="G7" s="20" t="n">
        <x:f>SUMIFS($F$7:$F$56,$A$7:$A$56,A7,$B$7:$B$56,"&lt;="&amp;B7)</x:f>
        <x:v>85616</x:v>
      </x:c>
      <x:c r="H7" s="20" t="n">
        <x:v>384</x:v>
      </x:c>
      <x:c r="I7" s="20" t="n">
        <x:v>86000</x:v>
      </x:c>
      <x:c r="J7" s="27" t="n">
        <x:v>1</x:v>
      </x:c>
      <x:c r="K7" s="27" t="n">
        <x:v>5</x:v>
      </x:c>
      <x:c r="L7" s="27" t="n">
        <x:v>5</x:v>
      </x:c>
      <x:c r="M7" s="29" t="str">
        <x:v>対照47場</x:v>
      </x:c>
      <x:c r="N7" s="28" t="n">
        <x:v>190.06666666666666</x:v>
      </x:c>
      <x:c r="O7" s="28" t="n">
        <x:v>167.2</x:v>
      </x:c>
    </x:row>
    <x:row r="8" ht="22" customHeight="1">
      <x:c r="A8" s="2" t="str">
        <x:v>M1</x:v>
      </x:c>
      <x:c r="B8" s="24" t="d">
        <x:v>2026-09-21T17:00:00.000Z</x:v>
      </x:c>
      <x:c r="C8" s="2" t="str">
        <x:v>ナイト</x:v>
      </x:c>
      <x:c r="D8" s="20" t="n">
        <x:v>0</x:v>
      </x:c>
      <x:c r="E8" s="20" t="n">
        <x:v>45384</x:v>
      </x:c>
      <x:c r="F8" s="20" t="n">
        <x:f>D8-E8</x:f>
        <x:v>-45384</x:v>
      </x:c>
      <x:c r="G8" s="20" t="n">
        <x:f>SUMIFS($F$7:$F$56,$A$7:$A$56,A8,$B$7:$B$56,"&lt;="&amp;B8)</x:f>
        <x:v>40232</x:v>
      </x:c>
      <x:c r="H8" s="20" t="n">
        <x:v>384</x:v>
      </x:c>
      <x:c r="I8" s="20" t="n">
        <x:v>-45000</x:v>
      </x:c>
      <x:c r="J8" s="27" t="n">
        <x:v>1</x:v>
      </x:c>
      <x:c r="K8" s="27" t="n">
        <x:v>5</x:v>
      </x:c>
      <x:c r="L8" s="27" t="n">
        <x:v>5</x:v>
      </x:c>
      <x:c r="M8" s="29" t="str">
        <x:v>対照47場</x:v>
      </x:c>
      <x:c r="N8" s="28" t="n">
        <x:v>360.01666666666665</x:v>
      </x:c>
      <x:c r="O8" s="28" t="n">
        <x:v>5.666666666666667</x:v>
      </x:c>
    </x:row>
    <x:row r="9" ht="22" customHeight="1">
      <x:c r="A9" s="2" t="str">
        <x:v>M1</x:v>
      </x:c>
      <x:c r="B9" s="24" t="d">
        <x:v>2026-09-22T08:45:00.000Z</x:v>
      </x:c>
      <x:c r="C9" s="2" t="str">
        <x:v>デイ</x:v>
      </x:c>
      <x:c r="D9" s="20" t="n">
        <x:v>0</x:v>
      </x:c>
      <x:c r="E9" s="20" t="n">
        <x:v>106152</x:v>
      </x:c>
      <x:c r="F9" s="20" t="n">
        <x:f>D9-E9</x:f>
        <x:v>-106152</x:v>
      </x:c>
      <x:c r="G9" s="20" t="n">
        <x:f>SUMIFS($F$7:$F$56,$A$7:$A$56,A9,$B$7:$B$56,"&lt;="&amp;B9)</x:f>
        <x:v>-65920</x:v>
      </x:c>
      <x:c r="H9" s="20" t="n">
        <x:v>1152</x:v>
      </x:c>
      <x:c r="I9" s="20" t="n">
        <x:v>-105000</x:v>
      </x:c>
      <x:c r="J9" s="27" t="n">
        <x:v>3</x:v>
      </x:c>
      <x:c r="K9" s="27" t="n">
        <x:v>15</x:v>
      </x:c>
      <x:c r="L9" s="27" t="n">
        <x:v>5</x:v>
      </x:c>
      <x:c r="M9" s="29" t="str">
        <x:v>対照47場</x:v>
      </x:c>
      <x:c r="N9" s="28" t="n">
        <x:v>242.78333333333333</x:v>
      </x:c>
      <x:c r="O9" s="28" t="n">
        <x:v>28.166666666666668</x:v>
      </x:c>
    </x:row>
    <x:row r="10" ht="22" customHeight="1">
      <x:c r="A10" s="2" t="str">
        <x:v>M1</x:v>
      </x:c>
      <x:c r="B10" s="24" t="d">
        <x:v>2026-09-22T17:00:00.000Z</x:v>
      </x:c>
      <x:c r="C10" s="2" t="str">
        <x:v>ナイト</x:v>
      </x:c>
      <x:c r="D10" s="20" t="n">
        <x:v>39616</x:v>
      </x:c>
      <x:c r="E10" s="20" t="n">
        <x:v>0</x:v>
      </x:c>
      <x:c r="F10" s="20" t="n">
        <x:f>D10-E10</x:f>
        <x:v>39616</x:v>
      </x:c>
      <x:c r="G10" s="20" t="n">
        <x:f>SUMIFS($F$7:$F$56,$A$7:$A$56,A10,$B$7:$B$56,"&lt;="&amp;B10)</x:f>
        <x:v>-26304</x:v>
      </x:c>
      <x:c r="H10" s="20" t="n">
        <x:v>384</x:v>
      </x:c>
      <x:c r="I10" s="20" t="n">
        <x:v>40000</x:v>
      </x:c>
      <x:c r="J10" s="27" t="n">
        <x:v>1</x:v>
      </x:c>
      <x:c r="K10" s="27" t="n">
        <x:v>5</x:v>
      </x:c>
      <x:c r="L10" s="27" t="n">
        <x:v>5</x:v>
      </x:c>
      <x:c r="M10" s="29" t="str">
        <x:v>対照47場</x:v>
      </x:c>
      <x:c r="N10" s="28" t="n">
        <x:v>360.1</x:v>
      </x:c>
      <x:c r="O10" s="28" t="n">
        <x:v>13.583333333333334</x:v>
      </x:c>
    </x:row>
    <x:row r="11" ht="22" customHeight="1">
      <x:c r="A11" s="2" t="str">
        <x:v>M1</x:v>
      </x:c>
      <x:c r="B11" s="24" t="d">
        <x:v>2026-09-23T08:45:00.000Z</x:v>
      </x:c>
      <x:c r="C11" s="2" t="str">
        <x:v>デイ</x:v>
      </x:c>
      <x:c r="D11" s="20" t="n">
        <x:v>0</x:v>
      </x:c>
      <x:c r="E11" s="20" t="n">
        <x:v>4384</x:v>
      </x:c>
      <x:c r="F11" s="20" t="n">
        <x:f>D11-E11</x:f>
        <x:v>-4384</x:v>
      </x:c>
      <x:c r="G11" s="20" t="n">
        <x:f>SUMIFS($F$7:$F$56,$A$7:$A$56,A11,$B$7:$B$56,"&lt;="&amp;B11)</x:f>
        <x:v>-30688</x:v>
      </x:c>
      <x:c r="H11" s="20" t="n">
        <x:v>384</x:v>
      </x:c>
      <x:c r="I11" s="20" t="n">
        <x:v>-4000</x:v>
      </x:c>
      <x:c r="J11" s="27" t="n">
        <x:v>1</x:v>
      </x:c>
      <x:c r="K11" s="27" t="n">
        <x:v>5</x:v>
      </x:c>
      <x:c r="L11" s="27" t="n">
        <x:v>5</x:v>
      </x:c>
      <x:c r="M11" s="29" t="str">
        <x:v>対照47場</x:v>
      </x:c>
      <x:c r="N11" s="28" t="n">
        <x:v>68.15</x:v>
      </x:c>
      <x:c r="O11" s="28" t="n">
        <x:v>313.75</x:v>
      </x:c>
    </x:row>
    <x:row r="12" ht="22" customHeight="1">
      <x:c r="A12" s="2" t="str">
        <x:v>M1</x:v>
      </x:c>
      <x:c r="B12" s="24" t="d">
        <x:v>2026-09-23T17:00:00.000Z</x:v>
      </x:c>
      <x:c r="C12" s="2" t="str">
        <x:v>ナイト</x:v>
      </x:c>
      <x:c r="D12" s="20" t="n">
        <x:v>0</x:v>
      </x:c>
      <x:c r="E12" s="20" t="n">
        <x:v>40384</x:v>
      </x:c>
      <x:c r="F12" s="20" t="n">
        <x:f>D12-E12</x:f>
        <x:v>-40384</x:v>
      </x:c>
      <x:c r="G12" s="20" t="n">
        <x:f>SUMIFS($F$7:$F$56,$A$7:$A$56,A12,$B$7:$B$56,"&lt;="&amp;B12)</x:f>
        <x:v>-71072</x:v>
      </x:c>
      <x:c r="H12" s="20" t="n">
        <x:v>384</x:v>
      </x:c>
      <x:c r="I12" s="20" t="n">
        <x:v>-40000</x:v>
      </x:c>
      <x:c r="J12" s="27" t="n">
        <x:v>1</x:v>
      </x:c>
      <x:c r="K12" s="27" t="n">
        <x:v>5</x:v>
      </x:c>
      <x:c r="L12" s="27" t="n">
        <x:v>5</x:v>
      </x:c>
      <x:c r="M12" s="29" t="str">
        <x:v>対照47場</x:v>
      </x:c>
      <x:c r="N12" s="28" t="n">
        <x:v>358.03333333333336</x:v>
      </x:c>
      <x:c r="O12" s="28" t="n">
        <x:v>2.15</x:v>
      </x:c>
    </x:row>
    <x:row r="13" ht="22" customHeight="1">
      <x:c r="A13" s="2" t="str">
        <x:v>M1</x:v>
      </x:c>
      <x:c r="B13" s="24" t="d">
        <x:v>2026-09-24T08:45:00.000Z</x:v>
      </x:c>
      <x:c r="C13" s="2" t="str">
        <x:v>デイ</x:v>
      </x:c>
      <x:c r="D13" s="20" t="n">
        <x:v>82234</x:v>
      </x:c>
      <x:c r="E13" s="20" t="n">
        <x:v>85768</x:v>
      </x:c>
      <x:c r="F13" s="20" t="n">
        <x:f>D13-E13</x:f>
        <x:v>-3534</x:v>
      </x:c>
      <x:c r="G13" s="20" t="n">
        <x:f>SUMIFS($F$7:$F$56,$A$7:$A$56,A13,$B$7:$B$56,"&lt;="&amp;B13)</x:f>
        <x:v>-74606</x:v>
      </x:c>
      <x:c r="H13" s="20" t="n">
        <x:v>1534</x:v>
      </x:c>
      <x:c r="I13" s="20" t="n">
        <x:v>-2000</x:v>
      </x:c>
      <x:c r="J13" s="27" t="n">
        <x:v>7</x:v>
      </x:c>
      <x:c r="K13" s="27" t="n">
        <x:v>20</x:v>
      </x:c>
      <x:c r="L13" s="27" t="n">
        <x:v>7</x:v>
      </x:c>
      <x:c r="M13" s="29" t="str">
        <x:v>対照47場</x:v>
      </x:c>
      <x:c r="N13" s="28" t="n">
        <x:v>58.1</x:v>
      </x:c>
      <x:c r="O13" s="28" t="n">
        <x:v>303.46666666666664</x:v>
      </x:c>
    </x:row>
    <x:row r="14" ht="22" customHeight="1">
      <x:c r="A14" s="2" t="str">
        <x:v>M1</x:v>
      </x:c>
      <x:c r="B14" s="24" t="d">
        <x:v>2026-09-24T17:00:00.000Z</x:v>
      </x:c>
      <x:c r="C14" s="2" t="str">
        <x:v>ナイト</x:v>
      </x:c>
      <x:c r="D14" s="20" t="n">
        <x:v>44616</x:v>
      </x:c>
      <x:c r="E14" s="20" t="n">
        <x:v>40384</x:v>
      </x:c>
      <x:c r="F14" s="20" t="n">
        <x:f>D14-E14</x:f>
        <x:v>4232</x:v>
      </x:c>
      <x:c r="G14" s="20" t="n">
        <x:f>SUMIFS($F$7:$F$56,$A$7:$A$56,A14,$B$7:$B$56,"&lt;="&amp;B14)</x:f>
        <x:v>-70374</x:v>
      </x:c>
      <x:c r="H14" s="20" t="n">
        <x:v>768</x:v>
      </x:c>
      <x:c r="I14" s="20" t="n">
        <x:v>5000</x:v>
      </x:c>
      <x:c r="J14" s="27" t="n">
        <x:v>2</x:v>
      </x:c>
      <x:c r="K14" s="27" t="n">
        <x:v>10</x:v>
      </x:c>
      <x:c r="L14" s="27" t="n">
        <x:v>5</x:v>
      </x:c>
      <x:c r="M14" s="29" t="str">
        <x:v>対照47場</x:v>
      </x:c>
      <x:c r="N14" s="28" t="n">
        <x:v>360.3333333333333</x:v>
      </x:c>
      <x:c r="O14" s="28" t="n">
        <x:v>13.133333333333333</x:v>
      </x:c>
    </x:row>
    <x:row r="15" ht="22" customHeight="1">
      <x:c r="A15" s="2" t="str">
        <x:v>M1</x:v>
      </x:c>
      <x:c r="B15" s="24" t="d">
        <x:v>2026-09-25T08:45:00.000Z</x:v>
      </x:c>
      <x:c r="C15" s="2" t="str">
        <x:v>デイ</x:v>
      </x:c>
      <x:c r="D15" s="20" t="n">
        <x:v>149310</x:v>
      </x:c>
      <x:c r="E15" s="20" t="n">
        <x:v>46308</x:v>
      </x:c>
      <x:c r="F15" s="20" t="n">
        <x:f>D15-E15</x:f>
        <x:v>103002</x:v>
      </x:c>
      <x:c r="G15" s="20" t="n">
        <x:f>SUMIFS($F$7:$F$56,$A$7:$A$56,A15,$B$7:$B$56,"&lt;="&amp;B15)</x:f>
        <x:v>32628</x:v>
      </x:c>
      <x:c r="H15" s="20" t="n">
        <x:v>998</x:v>
      </x:c>
      <x:c r="I15" s="20" t="n">
        <x:v>104000</x:v>
      </x:c>
      <x:c r="J15" s="27" t="n">
        <x:v>6</x:v>
      </x:c>
      <x:c r="K15" s="27" t="n">
        <x:v>13</x:v>
      </x:c>
      <x:c r="L15" s="27" t="n">
        <x:v>5</x:v>
      </x:c>
      <x:c r="M15" s="29" t="str">
        <x:v>対照47場</x:v>
      </x:c>
      <x:c r="N15" s="28" t="n">
        <x:v>62.81666666666667</x:v>
      </x:c>
      <x:c r="O15" s="28" t="n">
        <x:v>343.81666666666666</x:v>
      </x:c>
    </x:row>
    <x:row r="16" ht="22" customHeight="1">
      <x:c r="A16" s="2" t="str">
        <x:v>M1</x:v>
      </x:c>
      <x:c r="B16" s="24" t="d">
        <x:v>2026-09-25T17:00:00.000Z</x:v>
      </x:c>
      <x:c r="C16" s="2" t="str">
        <x:v>ナイト</x:v>
      </x:c>
      <x:c r="D16" s="20" t="n">
        <x:v>14616</x:v>
      </x:c>
      <x:c r="E16" s="20" t="n">
        <x:v>0</x:v>
      </x:c>
      <x:c r="F16" s="20" t="n">
        <x:f>D16-E16</x:f>
        <x:v>14616</x:v>
      </x:c>
      <x:c r="G16" s="20" t="n">
        <x:f>SUMIFS($F$7:$F$56,$A$7:$A$56,A16,$B$7:$B$56,"&lt;="&amp;B16)</x:f>
        <x:v>47244</x:v>
      </x:c>
      <x:c r="H16" s="20" t="n">
        <x:v>384</x:v>
      </x:c>
      <x:c r="I16" s="20" t="n">
        <x:v>15000</x:v>
      </x:c>
      <x:c r="J16" s="27" t="n">
        <x:v>1</x:v>
      </x:c>
      <x:c r="K16" s="27" t="n">
        <x:v>5</x:v>
      </x:c>
      <x:c r="L16" s="27" t="n">
        <x:v>5</x:v>
      </x:c>
      <x:c r="M16" s="29" t="str">
        <x:v>対照47場</x:v>
      </x:c>
      <x:c r="N16" s="28" t="n">
        <x:v>360</x:v>
      </x:c>
      <x:c r="O16" s="28" t="n">
        <x:v>2.433333333333333</x:v>
      </x:c>
    </x:row>
    <x:row r="17" ht="22" customHeight="1">
      <x:c r="A17" s="2" t="str">
        <x:v>M1</x:v>
      </x:c>
      <x:c r="B17" s="24" t="d">
        <x:v>2026-09-28T08:45:00.000Z</x:v>
      </x:c>
      <x:c r="C17" s="2" t="str">
        <x:v>デイ</x:v>
      </x:c>
      <x:c r="D17" s="20" t="n">
        <x:v>261616</x:v>
      </x:c>
      <x:c r="E17" s="20" t="n">
        <x:v>152000</x:v>
      </x:c>
      <x:c r="F17" s="20" t="n">
        <x:f>D17-E17</x:f>
        <x:v>109616</x:v>
      </x:c>
      <x:c r="G17" s="20" t="n">
        <x:f>SUMIFS($F$7:$F$56,$A$7:$A$56,A17,$B$7:$B$56,"&lt;="&amp;B17)</x:f>
        <x:v>156860</x:v>
      </x:c>
      <x:c r="H17" s="20" t="n">
        <x:v>1384</x:v>
      </x:c>
      <x:c r="I17" s="20" t="n">
        <x:v>111000</x:v>
      </x:c>
      <x:c r="J17" s="27" t="n">
        <x:v>6</x:v>
      </x:c>
      <x:c r="K17" s="27" t="n">
        <x:v>18</x:v>
      </x:c>
      <x:c r="L17" s="27" t="n">
        <x:v>5</x:v>
      </x:c>
      <x:c r="M17" s="29" t="str">
        <x:v>対照47場</x:v>
      </x:c>
      <x:c r="N17" s="28" t="n">
        <x:v>66.3</x:v>
      </x:c>
      <x:c r="O17" s="28" t="n">
        <x:v>331.28333333333336</x:v>
      </x:c>
    </x:row>
    <x:row r="18" ht="22" customHeight="1">
      <x:c r="A18" s="2" t="str">
        <x:v>M1</x:v>
      </x:c>
      <x:c r="B18" s="24" t="d">
        <x:v>2026-09-28T17:00:00.000Z</x:v>
      </x:c>
      <x:c r="C18" s="2" t="str">
        <x:v>ナイト</x:v>
      </x:c>
      <x:c r="D18" s="20" t="n">
        <x:v>59616</x:v>
      </x:c>
      <x:c r="E18" s="20" t="n">
        <x:v>20154</x:v>
      </x:c>
      <x:c r="F18" s="20" t="n">
        <x:f>D18-E18</x:f>
        <x:v>39462</x:v>
      </x:c>
      <x:c r="G18" s="20" t="n">
        <x:f>SUMIFS($F$7:$F$56,$A$7:$A$56,A18,$B$7:$B$56,"&lt;="&amp;B18)</x:f>
        <x:v>196322</x:v>
      </x:c>
      <x:c r="H18" s="20" t="n">
        <x:v>538</x:v>
      </x:c>
      <x:c r="I18" s="20" t="n">
        <x:v>40000</x:v>
      </x:c>
      <x:c r="J18" s="27" t="n">
        <x:v>2</x:v>
      </x:c>
      <x:c r="K18" s="27" t="n">
        <x:v>7</x:v>
      </x:c>
      <x:c r="L18" s="27" t="n">
        <x:v>5</x:v>
      </x:c>
      <x:c r="M18" s="29" t="str">
        <x:v>対照47場</x:v>
      </x:c>
      <x:c r="N18" s="28" t="n">
        <x:v>349.35</x:v>
      </x:c>
      <x:c r="O18" s="28" t="n">
        <x:v>8.1</x:v>
      </x:c>
    </x:row>
    <x:row r="19" ht="22" customHeight="1">
      <x:c r="A19" s="2" t="str">
        <x:v>M1</x:v>
      </x:c>
      <x:c r="B19" s="24" t="d">
        <x:v>2026-09-29T08:45:00.000Z</x:v>
      </x:c>
      <x:c r="C19" s="2" t="str">
        <x:v>デイ</x:v>
      </x:c>
      <x:c r="D19" s="20" t="n">
        <x:v>282232</x:v>
      </x:c>
      <x:c r="E19" s="20" t="n">
        <x:v>127614</x:v>
      </x:c>
      <x:c r="F19" s="20" t="n">
        <x:f>D19-E19</x:f>
        <x:v>154618</x:v>
      </x:c>
      <x:c r="G19" s="20" t="n">
        <x:f>SUMIFS($F$7:$F$56,$A$7:$A$56,A19,$B$7:$B$56,"&lt;="&amp;B19)</x:f>
        <x:v>350940</x:v>
      </x:c>
      <x:c r="H19" s="20" t="n">
        <x:v>1382</x:v>
      </x:c>
      <x:c r="I19" s="20" t="n">
        <x:v>156000</x:v>
      </x:c>
      <x:c r="J19" s="27" t="n">
        <x:v>7</x:v>
      </x:c>
      <x:c r="K19" s="27" t="n">
        <x:v>18</x:v>
      </x:c>
      <x:c r="L19" s="27" t="n">
        <x:v>8</x:v>
      </x:c>
      <x:c r="M19" s="29" t="str">
        <x:v>対照47場</x:v>
      </x:c>
      <x:c r="N19" s="28" t="n">
        <x:v>53.016666666666666</x:v>
      </x:c>
      <x:c r="O19" s="28" t="n">
        <x:v>310.6333333333333</x:v>
      </x:c>
    </x:row>
    <x:row r="20" ht="22" customHeight="1">
      <x:c r="A20" s="2" t="str">
        <x:v>M1</x:v>
      </x:c>
      <x:c r="B20" s="24" t="d">
        <x:v>2026-09-29T17:00:00.000Z</x:v>
      </x:c>
      <x:c r="C20" s="2" t="str">
        <x:v>ナイト</x:v>
      </x:c>
      <x:c r="D20" s="20" t="n">
        <x:v>168848</x:v>
      </x:c>
      <x:c r="E20" s="20" t="n">
        <x:v>50384</x:v>
      </x:c>
      <x:c r="F20" s="20" t="n">
        <x:f>D20-E20</x:f>
        <x:v>118464</x:v>
      </x:c>
      <x:c r="G20" s="20" t="n">
        <x:f>SUMIFS($F$7:$F$56,$A$7:$A$56,A20,$B$7:$B$56,"&lt;="&amp;B20)</x:f>
        <x:v>469404</x:v>
      </x:c>
      <x:c r="H20" s="20" t="n">
        <x:v>1536</x:v>
      </x:c>
      <x:c r="I20" s="20" t="n">
        <x:v>120000</x:v>
      </x:c>
      <x:c r="J20" s="27" t="n">
        <x:v>4</x:v>
      </x:c>
      <x:c r="K20" s="27" t="n">
        <x:v>20</x:v>
      </x:c>
      <x:c r="L20" s="27" t="n">
        <x:v>5</x:v>
      </x:c>
      <x:c r="M20" s="29" t="str">
        <x:v>対照47場</x:v>
      </x:c>
      <x:c r="N20" s="28" t="n">
        <x:v>360.01666666666665</x:v>
      </x:c>
      <x:c r="O20" s="28" t="n">
        <x:v>43.95</x:v>
      </x:c>
    </x:row>
    <x:row r="21" ht="22" customHeight="1">
      <x:c r="A21" s="2" t="str">
        <x:v>M1</x:v>
      </x:c>
      <x:c r="B21" s="24" t="d">
        <x:v>2026-09-30T08:45:00.000Z</x:v>
      </x:c>
      <x:c r="C21" s="2" t="str">
        <x:v>デイ</x:v>
      </x:c>
      <x:c r="D21" s="20" t="n">
        <x:v>170616</x:v>
      </x:c>
      <x:c r="E21" s="20" t="n">
        <x:v>72614</x:v>
      </x:c>
      <x:c r="F21" s="20" t="n">
        <x:f>D21-E21</x:f>
        <x:v>98002</x:v>
      </x:c>
      <x:c r="G21" s="20" t="n">
        <x:f>SUMIFS($F$7:$F$56,$A$7:$A$56,A21,$B$7:$B$56,"&lt;="&amp;B21)</x:f>
        <x:v>567406</x:v>
      </x:c>
      <x:c r="H21" s="20" t="n">
        <x:v>998</x:v>
      </x:c>
      <x:c r="I21" s="20" t="n">
        <x:v>99000</x:v>
      </x:c>
      <x:c r="J21" s="27" t="n">
        <x:v>4</x:v>
      </x:c>
      <x:c r="K21" s="27" t="n">
        <x:v>13</x:v>
      </x:c>
      <x:c r="L21" s="27" t="n">
        <x:v>5</x:v>
      </x:c>
      <x:c r="M21" s="29" t="str">
        <x:v>対照47場</x:v>
      </x:c>
      <x:c r="N21" s="28" t="n">
        <x:v>161.31666666666666</x:v>
      </x:c>
      <x:c r="O21" s="28" t="n">
        <x:v>162.66666666666666</x:v>
      </x:c>
    </x:row>
    <x:row r="22" ht="22" customHeight="1">
      <x:c r="A22" s="2" t="str">
        <x:v>M1</x:v>
      </x:c>
      <x:c r="B22" s="24" t="d">
        <x:v>2026-09-30T17:00:00.000Z</x:v>
      </x:c>
      <x:c r="C22" s="2" t="str">
        <x:v>ナイト</x:v>
      </x:c>
      <x:c r="D22" s="20" t="n">
        <x:v>59232</x:v>
      </x:c>
      <x:c r="E22" s="20" t="n">
        <x:v>0</x:v>
      </x:c>
      <x:c r="F22" s="20" t="n">
        <x:f>D22-E22</x:f>
        <x:v>59232</x:v>
      </x:c>
      <x:c r="G22" s="20" t="n">
        <x:f>SUMIFS($F$7:$F$56,$A$7:$A$56,A22,$B$7:$B$56,"&lt;="&amp;B22)</x:f>
        <x:v>626638</x:v>
      </x:c>
      <x:c r="H22" s="20" t="n">
        <x:v>768</x:v>
      </x:c>
      <x:c r="I22" s="20" t="n">
        <x:v>60000</x:v>
      </x:c>
      <x:c r="J22" s="27" t="n">
        <x:v>2</x:v>
      </x:c>
      <x:c r="K22" s="27" t="n">
        <x:v>10</x:v>
      </x:c>
      <x:c r="L22" s="27" t="n">
        <x:v>5</x:v>
      </x:c>
      <x:c r="M22" s="29" t="str">
        <x:v>対照47場</x:v>
      </x:c>
      <x:c r="N22" s="28" t="n">
        <x:v>360</x:v>
      </x:c>
      <x:c r="O22" s="28" t="n">
        <x:v>19.883333333333333</x:v>
      </x:c>
    </x:row>
    <x:row r="23" ht="22" customHeight="1">
      <x:c r="A23" s="2" t="str">
        <x:v>M1</x:v>
      </x:c>
      <x:c r="B23" s="24" t="d">
        <x:v>2026-10-01T08:45:00.000Z</x:v>
      </x:c>
      <x:c r="C23" s="2" t="str">
        <x:v>デイ</x:v>
      </x:c>
      <x:c r="D23" s="20" t="n">
        <x:v>507234</x:v>
      </x:c>
      <x:c r="E23" s="20" t="n">
        <x:v>60384</x:v>
      </x:c>
      <x:c r="F23" s="20" t="n">
        <x:f>D23-E23</x:f>
        <x:v>446850</x:v>
      </x:c>
      <x:c r="G23" s="20" t="n">
        <x:f>SUMIFS($F$7:$F$56,$A$7:$A$56,A23,$B$7:$B$56,"&lt;="&amp;B23)</x:f>
        <x:v>1073488</x:v>
      </x:c>
      <x:c r="H23" s="20" t="n">
        <x:v>1150</x:v>
      </x:c>
      <x:c r="I23" s="20" t="n">
        <x:v>448000</x:v>
      </x:c>
      <x:c r="J23" s="27" t="n">
        <x:v>6</x:v>
      </x:c>
      <x:c r="K23" s="27" t="n">
        <x:v>15</x:v>
      </x:c>
      <x:c r="L23" s="27" t="n">
        <x:v>7</x:v>
      </x:c>
      <x:c r="M23" s="29" t="str">
        <x:v>対照47場</x:v>
      </x:c>
      <x:c r="N23" s="28" t="n">
        <x:v>88.93333333333334</x:v>
      </x:c>
      <x:c r="O23" s="28" t="n">
        <x:v>317.35</x:v>
      </x:c>
    </x:row>
    <x:row r="24" ht="22" customHeight="1">
      <x:c r="A24" s="2" t="str">
        <x:v>M1</x:v>
      </x:c>
      <x:c r="B24" s="24" t="d">
        <x:v>2026-10-01T17:00:00.000Z</x:v>
      </x:c>
      <x:c r="C24" s="2" t="str">
        <x:v>ナイト</x:v>
      </x:c>
      <x:c r="D24" s="20" t="n">
        <x:v>58310</x:v>
      </x:c>
      <x:c r="E24" s="20" t="n">
        <x:v>16154</x:v>
      </x:c>
      <x:c r="F24" s="20" t="n">
        <x:f>D24-E24</x:f>
        <x:v>42156</x:v>
      </x:c>
      <x:c r="G24" s="20" t="n">
        <x:f>SUMIFS($F$7:$F$56,$A$7:$A$56,A24,$B$7:$B$56,"&lt;="&amp;B24)</x:f>
        <x:v>1115644</x:v>
      </x:c>
      <x:c r="H24" s="20" t="n">
        <x:v>844</x:v>
      </x:c>
      <x:c r="I24" s="20" t="n">
        <x:v>43000</x:v>
      </x:c>
      <x:c r="J24" s="27" t="n">
        <x:v>6</x:v>
      </x:c>
      <x:c r="K24" s="27" t="n">
        <x:v>11</x:v>
      </x:c>
      <x:c r="L24" s="27" t="n">
        <x:v>5</x:v>
      </x:c>
      <x:c r="M24" s="29" t="str">
        <x:v>対照47場</x:v>
      </x:c>
      <x:c r="N24" s="28" t="n">
        <x:v>114.38333333333334</x:v>
      </x:c>
      <x:c r="O24" s="28" t="n">
        <x:v>20.233333333333334</x:v>
      </x:c>
    </x:row>
    <x:row r="25" ht="22" customHeight="1">
      <x:c r="A25" s="2" t="str">
        <x:v>M1</x:v>
      </x:c>
      <x:c r="B25" s="24" t="d">
        <x:v>2026-10-02T08:45:00.000Z</x:v>
      </x:c>
      <x:c r="C25" s="2" t="str">
        <x:v>デイ</x:v>
      </x:c>
      <x:c r="D25" s="20" t="n">
        <x:v>13694</x:v>
      </x:c>
      <x:c r="E25" s="20" t="n">
        <x:v>116920</x:v>
      </x:c>
      <x:c r="F25" s="20" t="n">
        <x:f>D25-E25</x:f>
        <x:v>-103226</x:v>
      </x:c>
      <x:c r="G25" s="20" t="n">
        <x:f>SUMIFS($F$7:$F$56,$A$7:$A$56,A25,$B$7:$B$56,"&lt;="&amp;B25)</x:f>
        <x:v>1012418</x:v>
      </x:c>
      <x:c r="H25" s="20" t="n">
        <x:v>1226</x:v>
      </x:c>
      <x:c r="I25" s="20" t="n">
        <x:v>-102000</x:v>
      </x:c>
      <x:c r="J25" s="27" t="n">
        <x:v>9</x:v>
      </x:c>
      <x:c r="K25" s="27" t="n">
        <x:v>16</x:v>
      </x:c>
      <x:c r="L25" s="27" t="n">
        <x:v>5</x:v>
      </x:c>
      <x:c r="M25" s="29" t="str">
        <x:v>対照47場</x:v>
      </x:c>
      <x:c r="N25" s="28" t="n">
        <x:v>100.65</x:v>
      </x:c>
      <x:c r="O25" s="28" t="n">
        <x:v>257.23333333333335</x:v>
      </x:c>
    </x:row>
    <x:row r="26" ht="22" customHeight="1">
      <x:c r="A26" s="2" t="str">
        <x:v>M1</x:v>
      </x:c>
      <x:c r="B26" s="24" t="d">
        <x:v>2026-10-02T17:00:00.000Z</x:v>
      </x:c>
      <x:c r="C26" s="2" t="str">
        <x:v>ナイト</x:v>
      </x:c>
      <x:c r="D26" s="20" t="n">
        <x:v>169850</x:v>
      </x:c>
      <x:c r="E26" s="20" t="n">
        <x:v>65690</x:v>
      </x:c>
      <x:c r="F26" s="20" t="n">
        <x:f>D26-E26</x:f>
        <x:v>104160</x:v>
      </x:c>
      <x:c r="G26" s="20" t="n">
        <x:f>SUMIFS($F$7:$F$56,$A$7:$A$56,A26,$B$7:$B$56,"&lt;="&amp;B26)</x:f>
        <x:v>1116578</x:v>
      </x:c>
      <x:c r="H26" s="20" t="n">
        <x:v>1840</x:v>
      </x:c>
      <x:c r="I26" s="20" t="n">
        <x:v>106000</x:v>
      </x:c>
      <x:c r="J26" s="27" t="n">
        <x:v>10</x:v>
      </x:c>
      <x:c r="K26" s="27" t="n">
        <x:v>24</x:v>
      </x:c>
      <x:c r="L26" s="27" t="n">
        <x:v>5</x:v>
      </x:c>
      <x:c r="M26" s="29" t="str">
        <x:v>対照47場</x:v>
      </x:c>
      <x:c r="N26" s="28" t="n">
        <x:v>71.05</x:v>
      </x:c>
      <x:c r="O26" s="28" t="n">
        <x:v>58.3</x:v>
      </x:c>
    </x:row>
    <x:row r="27" ht="22" customHeight="1">
      <x:c r="A27" s="2" t="str">
        <x:v>M1</x:v>
      </x:c>
      <x:c r="B27" s="24" t="d">
        <x:v>2026-10-05T08:45:00.000Z</x:v>
      </x:c>
      <x:c r="C27" s="2" t="str">
        <x:v>デイ</x:v>
      </x:c>
      <x:c r="D27" s="20" t="n">
        <x:v>51234</x:v>
      </x:c>
      <x:c r="E27" s="20" t="n">
        <x:v>148690</x:v>
      </x:c>
      <x:c r="F27" s="20" t="n">
        <x:f>D27-E27</x:f>
        <x:v>-97456</x:v>
      </x:c>
      <x:c r="G27" s="20" t="n">
        <x:f>SUMIFS($F$7:$F$56,$A$7:$A$56,A27,$B$7:$B$56,"&lt;="&amp;B27)</x:f>
        <x:v>1019122</x:v>
      </x:c>
      <x:c r="H27" s="20" t="n">
        <x:v>2456</x:v>
      </x:c>
      <x:c r="I27" s="20" t="n">
        <x:v>-95000</x:v>
      </x:c>
      <x:c r="J27" s="27" t="n">
        <x:v>10</x:v>
      </x:c>
      <x:c r="K27" s="27" t="n">
        <x:v>32</x:v>
      </x:c>
      <x:c r="L27" s="27" t="n">
        <x:v>10</x:v>
      </x:c>
      <x:c r="M27" s="29" t="str">
        <x:v>対照47場</x:v>
      </x:c>
      <x:c r="N27" s="28" t="n">
        <x:v>106</x:v>
      </x:c>
      <x:c r="O27" s="28" t="n">
        <x:v>193.58333333333334</x:v>
      </x:c>
    </x:row>
    <x:row r="28" ht="22" customHeight="1">
      <x:c r="A28" s="2" t="str">
        <x:v>M1</x:v>
      </x:c>
      <x:c r="B28" s="24" t="d">
        <x:v>2026-10-05T17:00:00.000Z</x:v>
      </x:c>
      <x:c r="C28" s="2" t="str">
        <x:v>ナイト</x:v>
      </x:c>
      <x:c r="D28" s="20" t="n">
        <x:v>112234</x:v>
      </x:c>
      <x:c r="E28" s="20" t="n">
        <x:v>20384</x:v>
      </x:c>
      <x:c r="F28" s="20" t="n">
        <x:f>D28-E28</x:f>
        <x:v>91850</x:v>
      </x:c>
      <x:c r="G28" s="20" t="n">
        <x:f>SUMIFS($F$7:$F$56,$A$7:$A$56,A28,$B$7:$B$56,"&lt;="&amp;B28)</x:f>
        <x:v>1110972</x:v>
      </x:c>
      <x:c r="H28" s="20" t="n">
        <x:v>1150</x:v>
      </x:c>
      <x:c r="I28" s="20" t="n">
        <x:v>93000</x:v>
      </x:c>
      <x:c r="J28" s="27" t="n">
        <x:v>6</x:v>
      </x:c>
      <x:c r="K28" s="27" t="n">
        <x:v>15</x:v>
      </x:c>
      <x:c r="L28" s="27" t="n">
        <x:v>5</x:v>
      </x:c>
      <x:c r="M28" s="29" t="str">
        <x:v>対照47場</x:v>
      </x:c>
      <x:c r="N28" s="28" t="n">
        <x:v>356.1666666666667</x:v>
      </x:c>
      <x:c r="O28" s="28" t="n">
        <x:v>55.233333333333334</x:v>
      </x:c>
    </x:row>
    <x:row r="29" ht="22" customHeight="1">
      <x:c r="A29" s="2" t="str">
        <x:v>M1</x:v>
      </x:c>
      <x:c r="B29" s="24" t="d">
        <x:v>2026-10-06T08:45:00.000Z</x:v>
      </x:c>
      <x:c r="C29" s="2" t="str">
        <x:v>デイ</x:v>
      </x:c>
      <x:c r="D29" s="20" t="n">
        <x:v>126234</x:v>
      </x:c>
      <x:c r="E29" s="20" t="n">
        <x:v>114692</x:v>
      </x:c>
      <x:c r="F29" s="20" t="n">
        <x:f>D29-E29</x:f>
        <x:v>11542</x:v>
      </x:c>
      <x:c r="G29" s="20" t="n">
        <x:f>SUMIFS($F$7:$F$56,$A$7:$A$56,A29,$B$7:$B$56,"&lt;="&amp;B29)</x:f>
        <x:v>1122514</x:v>
      </x:c>
      <x:c r="H29" s="20" t="n">
        <x:v>1458</x:v>
      </x:c>
      <x:c r="I29" s="20" t="n">
        <x:v>13000</x:v>
      </x:c>
      <x:c r="J29" s="27" t="n">
        <x:v>8</x:v>
      </x:c>
      <x:c r="K29" s="27" t="n">
        <x:v>19</x:v>
      </x:c>
      <x:c r="L29" s="27" t="n">
        <x:v>5</x:v>
      </x:c>
      <x:c r="M29" s="29" t="str">
        <x:v>対照47場</x:v>
      </x:c>
      <x:c r="N29" s="28" t="n">
        <x:v>51.833333333333336</x:v>
      </x:c>
      <x:c r="O29" s="28" t="n">
        <x:v>249.05</x:v>
      </x:c>
    </x:row>
    <x:row r="30" ht="22" customHeight="1">
      <x:c r="A30" s="2" t="str">
        <x:v>M1</x:v>
      </x:c>
      <x:c r="B30" s="24" t="d">
        <x:v>2026-10-06T17:00:00.000Z</x:v>
      </x:c>
      <x:c r="C30" s="2" t="str">
        <x:v>ナイト</x:v>
      </x:c>
      <x:c r="D30" s="20" t="n">
        <x:v>24616</x:v>
      </x:c>
      <x:c r="E30" s="20" t="n">
        <x:v>35384</x:v>
      </x:c>
      <x:c r="F30" s="20" t="n">
        <x:f>D30-E30</x:f>
        <x:v>-10768</x:v>
      </x:c>
      <x:c r="G30" s="20" t="n">
        <x:f>SUMIFS($F$7:$F$56,$A$7:$A$56,A30,$B$7:$B$56,"&lt;="&amp;B30)</x:f>
        <x:v>1111746</x:v>
      </x:c>
      <x:c r="H30" s="20" t="n">
        <x:v>768</x:v>
      </x:c>
      <x:c r="I30" s="20" t="n">
        <x:v>-10000</x:v>
      </x:c>
      <x:c r="J30" s="27" t="n">
        <x:v>2</x:v>
      </x:c>
      <x:c r="K30" s="27" t="n">
        <x:v>10</x:v>
      </x:c>
      <x:c r="L30" s="27" t="n">
        <x:v>5</x:v>
      </x:c>
      <x:c r="M30" s="29" t="str">
        <x:v>対照47場</x:v>
      </x:c>
      <x:c r="N30" s="28" t="n">
        <x:v>360.06666666666666</x:v>
      </x:c>
      <x:c r="O30" s="28" t="n">
        <x:v>13.533333333333333</x:v>
      </x:c>
    </x:row>
    <x:row r="31" ht="22" customHeight="1">
      <x:c r="A31" s="2" t="str">
        <x:v>M1</x:v>
      </x:c>
      <x:c r="B31" s="24" t="d">
        <x:v>2026-10-07T08:45:00.000Z</x:v>
      </x:c>
      <x:c r="C31" s="2" t="str">
        <x:v>デイ</x:v>
      </x:c>
      <x:c r="D31" s="20" t="n">
        <x:v>126544</x:v>
      </x:c>
      <x:c r="E31" s="20" t="n">
        <x:v>0</x:v>
      </x:c>
      <x:c r="F31" s="20" t="n">
        <x:f>D31-E31</x:f>
        <x:v>126544</x:v>
      </x:c>
      <x:c r="G31" s="20" t="n">
        <x:f>SUMIFS($F$7:$F$56,$A$7:$A$56,A31,$B$7:$B$56,"&lt;="&amp;B31)</x:f>
        <x:v>1238290</x:v>
      </x:c>
      <x:c r="H31" s="20" t="n">
        <x:v>1456</x:v>
      </x:c>
      <x:c r="I31" s="20" t="n">
        <x:v>128000</x:v>
      </x:c>
      <x:c r="J31" s="27" t="n">
        <x:v>9</x:v>
      </x:c>
      <x:c r="K31" s="27" t="n">
        <x:v>19</x:v>
      </x:c>
      <x:c r="L31" s="27" t="n">
        <x:v>8</x:v>
      </x:c>
      <x:c r="M31" s="29" t="str">
        <x:v>対照47場</x:v>
      </x:c>
      <x:c r="N31" s="28" t="n">
        <x:v>47.516666666666666</x:v>
      </x:c>
      <x:c r="O31" s="28" t="n">
        <x:v>113.96666666666667</x:v>
      </x:c>
    </x:row>
    <x:row r="32" ht="22" customHeight="1">
      <x:c r="A32" s="2" t="str">
        <x:v>M1</x:v>
      </x:c>
      <x:c r="B32" s="24" t="d">
        <x:v>2026-10-07T17:00:00.000Z</x:v>
      </x:c>
      <x:c r="C32" s="2" t="str">
        <x:v>ナイト</x:v>
      </x:c>
      <x:c r="D32" s="20" t="n">
        <x:v>24232</x:v>
      </x:c>
      <x:c r="E32" s="20" t="n">
        <x:v>0</x:v>
      </x:c>
      <x:c r="F32" s="20" t="n">
        <x:f>D32-E32</x:f>
        <x:v>24232</x:v>
      </x:c>
      <x:c r="G32" s="20" t="n">
        <x:f>SUMIFS($F$7:$F$56,$A$7:$A$56,A32,$B$7:$B$56,"&lt;="&amp;B32)</x:f>
        <x:v>1262522</x:v>
      </x:c>
      <x:c r="H32" s="20" t="n">
        <x:v>768</x:v>
      </x:c>
      <x:c r="I32" s="20" t="n">
        <x:v>25000</x:v>
      </x:c>
      <x:c r="J32" s="27" t="n">
        <x:v>2</x:v>
      </x:c>
      <x:c r="K32" s="27" t="n">
        <x:v>10</x:v>
      </x:c>
      <x:c r="L32" s="27" t="n">
        <x:v>5</x:v>
      </x:c>
      <x:c r="M32" s="29" t="str">
        <x:v>対照47場</x:v>
      </x:c>
      <x:c r="N32" s="28" t="n">
        <x:v>360</x:v>
      </x:c>
      <x:c r="O32" s="28" t="n">
        <x:v>11.1</x:v>
      </x:c>
    </x:row>
    <x:row r="33" ht="22" customHeight="1">
      <x:c r="A33" s="2" t="str">
        <x:v>M1</x:v>
      </x:c>
      <x:c r="B33" s="24" t="d">
        <x:v>2026-10-08T08:45:00.000Z</x:v>
      </x:c>
      <x:c r="C33" s="2" t="str">
        <x:v>デイ</x:v>
      </x:c>
      <x:c r="D33" s="20" t="n">
        <x:v>187234</x:v>
      </x:c>
      <x:c r="E33" s="20" t="n">
        <x:v>151536</x:v>
      </x:c>
      <x:c r="F33" s="20" t="n">
        <x:f>D33-E33</x:f>
        <x:v>35698</x:v>
      </x:c>
      <x:c r="G33" s="20" t="n">
        <x:f>SUMIFS($F$7:$F$56,$A$7:$A$56,A33,$B$7:$B$56,"&lt;="&amp;B33)</x:f>
        <x:v>1298220</x:v>
      </x:c>
      <x:c r="H33" s="20" t="n">
        <x:v>2302</x:v>
      </x:c>
      <x:c r="I33" s="20" t="n">
        <x:v>38000</x:v>
      </x:c>
      <x:c r="J33" s="27" t="n">
        <x:v>9</x:v>
      </x:c>
      <x:c r="K33" s="27" t="n">
        <x:v>30</x:v>
      </x:c>
      <x:c r="L33" s="27" t="n">
        <x:v>5</x:v>
      </x:c>
      <x:c r="M33" s="29" t="str">
        <x:v>対照47場</x:v>
      </x:c>
      <x:c r="N33" s="28" t="n">
        <x:v>70.23333333333333</x:v>
      </x:c>
      <x:c r="O33" s="28" t="n">
        <x:v>92.66666666666667</x:v>
      </x:c>
    </x:row>
    <x:row r="34" ht="22" customHeight="1">
      <x:c r="A34" s="2" t="str">
        <x:v>M1</x:v>
      </x:c>
      <x:c r="B34" s="24" t="d">
        <x:v>2026-10-08T17:00:00.000Z</x:v>
      </x:c>
      <x:c r="C34" s="2" t="str">
        <x:v>ナイト</x:v>
      </x:c>
      <x:c r="D34" s="20" t="n">
        <x:v>123850</x:v>
      </x:c>
      <x:c r="E34" s="20" t="n">
        <x:v>0</x:v>
      </x:c>
      <x:c r="F34" s="20" t="n">
        <x:f>D34-E34</x:f>
        <x:v>123850</x:v>
      </x:c>
      <x:c r="G34" s="20" t="n">
        <x:f>SUMIFS($F$7:$F$56,$A$7:$A$56,A34,$B$7:$B$56,"&lt;="&amp;B34)</x:f>
        <x:v>1422070</x:v>
      </x:c>
      <x:c r="H34" s="20" t="n">
        <x:v>1150</x:v>
      </x:c>
      <x:c r="I34" s="20" t="n">
        <x:v>125000</x:v>
      </x:c>
      <x:c r="J34" s="27" t="n">
        <x:v>6</x:v>
      </x:c>
      <x:c r="K34" s="27" t="n">
        <x:v>15</x:v>
      </x:c>
      <x:c r="L34" s="27" t="n">
        <x:v>7</x:v>
      </x:c>
      <x:c r="M34" s="29" t="str">
        <x:v>対照47場</x:v>
      </x:c>
      <x:c r="N34" s="28" t="n">
        <x:v>359.1</x:v>
      </x:c>
      <x:c r="O34" s="28" t="n">
        <x:v>52.75</x:v>
      </x:c>
    </x:row>
    <x:row r="35" ht="22" customHeight="1">
      <x:c r="A35" s="2" t="str">
        <x:v>M1</x:v>
      </x:c>
      <x:c r="B35" s="24" t="d">
        <x:v>2026-10-09T08:45:00.000Z</x:v>
      </x:c>
      <x:c r="C35" s="2" t="str">
        <x:v>デイ</x:v>
      </x:c>
      <x:c r="D35" s="20" t="n">
        <x:v>76310</x:v>
      </x:c>
      <x:c r="E35" s="20" t="n">
        <x:v>43384</x:v>
      </x:c>
      <x:c r="F35" s="20" t="n">
        <x:f>D35-E35</x:f>
        <x:v>32926</x:v>
      </x:c>
      <x:c r="G35" s="20" t="n">
        <x:f>SUMIFS($F$7:$F$56,$A$7:$A$56,A35,$B$7:$B$56,"&lt;="&amp;B35)</x:f>
        <x:v>1454996</x:v>
      </x:c>
      <x:c r="H35" s="20" t="n">
        <x:v>1074</x:v>
      </x:c>
      <x:c r="I35" s="20" t="n">
        <x:v>34000</x:v>
      </x:c>
      <x:c r="J35" s="27" t="n">
        <x:v>7</x:v>
      </x:c>
      <x:c r="K35" s="27" t="n">
        <x:v>14</x:v>
      </x:c>
      <x:c r="L35" s="27" t="n">
        <x:v>5</x:v>
      </x:c>
      <x:c r="M35" s="29" t="str">
        <x:v>対照47場</x:v>
      </x:c>
      <x:c r="N35" s="28" t="n">
        <x:v>54.45</x:v>
      </x:c>
      <x:c r="O35" s="28" t="n">
        <x:v>87.9</x:v>
      </x:c>
    </x:row>
    <x:row r="36" ht="22" customHeight="1">
      <x:c r="A36" s="2" t="str">
        <x:v>M1</x:v>
      </x:c>
      <x:c r="B36" s="24" t="d">
        <x:v>2026-10-09T17:00:00.000Z</x:v>
      </x:c>
      <x:c r="C36" s="2" t="str">
        <x:v>ナイト</x:v>
      </x:c>
      <x:c r="D36" s="20" t="n">
        <x:v>19616</x:v>
      </x:c>
      <x:c r="E36" s="20" t="n">
        <x:v>0</x:v>
      </x:c>
      <x:c r="F36" s="20" t="n">
        <x:f>D36-E36</x:f>
        <x:v>19616</x:v>
      </x:c>
      <x:c r="G36" s="20" t="n">
        <x:f>SUMIFS($F$7:$F$56,$A$7:$A$56,A36,$B$7:$B$56,"&lt;="&amp;B36)</x:f>
        <x:v>1474612</x:v>
      </x:c>
      <x:c r="H36" s="20" t="n">
        <x:v>384</x:v>
      </x:c>
      <x:c r="I36" s="20" t="n">
        <x:v>20000</x:v>
      </x:c>
      <x:c r="J36" s="27" t="n">
        <x:v>1</x:v>
      </x:c>
      <x:c r="K36" s="27" t="n">
        <x:v>5</x:v>
      </x:c>
      <x:c r="L36" s="27" t="n">
        <x:v>5</x:v>
      </x:c>
      <x:c r="M36" s="29" t="str">
        <x:v>対照47場</x:v>
      </x:c>
      <x:c r="N36" s="28" t="n">
        <x:v>360.06666666666666</x:v>
      </x:c>
      <x:c r="O36" s="28" t="n">
        <x:v>11.916666666666666</x:v>
      </x:c>
    </x:row>
    <x:row r="37" ht="22" customHeight="1">
      <x:c r="A37" s="2" t="str">
        <x:v>M1</x:v>
      </x:c>
      <x:c r="B37" s="24" t="d">
        <x:v>2026-10-12T08:45:00.000Z</x:v>
      </x:c>
      <x:c r="C37" s="2" t="str">
        <x:v>デイ</x:v>
      </x:c>
      <x:c r="D37" s="20" t="n">
        <x:v>32616</x:v>
      </x:c>
      <x:c r="E37" s="20" t="n">
        <x:v>25384</x:v>
      </x:c>
      <x:c r="F37" s="20" t="n">
        <x:f>D37-E37</x:f>
        <x:v>7232</x:v>
      </x:c>
      <x:c r="G37" s="20" t="n">
        <x:f>SUMIFS($F$7:$F$56,$A$7:$A$56,A37,$B$7:$B$56,"&lt;="&amp;B37)</x:f>
        <x:v>1481844</x:v>
      </x:c>
      <x:c r="H37" s="20" t="n">
        <x:v>768</x:v>
      </x:c>
      <x:c r="I37" s="20" t="n">
        <x:v>8000</x:v>
      </x:c>
      <x:c r="J37" s="27" t="n">
        <x:v>2</x:v>
      </x:c>
      <x:c r="K37" s="27" t="n">
        <x:v>10</x:v>
      </x:c>
      <x:c r="L37" s="27" t="n">
        <x:v>5</x:v>
      </x:c>
      <x:c r="M37" s="29" t="str">
        <x:v>対照47場</x:v>
      </x:c>
      <x:c r="N37" s="28" t="n">
        <x:v>122.76666666666667</x:v>
      </x:c>
      <x:c r="O37" s="28" t="n">
        <x:v>265.15</x:v>
      </x:c>
    </x:row>
    <x:row r="38" ht="22" customHeight="1">
      <x:c r="A38" s="2" t="str">
        <x:v>M1</x:v>
      </x:c>
      <x:c r="B38" s="24" t="d">
        <x:v>2026-10-12T17:00:00.000Z</x:v>
      </x:c>
      <x:c r="C38" s="2" t="str">
        <x:v>ナイト</x:v>
      </x:c>
      <x:c r="D38" s="20" t="n">
        <x:v>94616</x:v>
      </x:c>
      <x:c r="E38" s="20" t="n">
        <x:v>0</x:v>
      </x:c>
      <x:c r="F38" s="20" t="n">
        <x:f>D38-E38</x:f>
        <x:v>94616</x:v>
      </x:c>
      <x:c r="G38" s="20" t="n">
        <x:f>SUMIFS($F$7:$F$56,$A$7:$A$56,A38,$B$7:$B$56,"&lt;="&amp;B38)</x:f>
        <x:v>1576460</x:v>
      </x:c>
      <x:c r="H38" s="20" t="n">
        <x:v>384</x:v>
      </x:c>
      <x:c r="I38" s="20" t="n">
        <x:v>95000</x:v>
      </x:c>
      <x:c r="J38" s="27" t="n">
        <x:v>1</x:v>
      </x:c>
      <x:c r="K38" s="27" t="n">
        <x:v>5</x:v>
      </x:c>
      <x:c r="L38" s="27" t="n">
        <x:v>5</x:v>
      </x:c>
      <x:c r="M38" s="29" t="str">
        <x:v>対照47場</x:v>
      </x:c>
      <x:c r="N38" s="28" t="n">
        <x:v>360.21666666666664</x:v>
      </x:c>
      <x:c r="O38" s="28" t="n">
        <x:v>10.65</x:v>
      </x:c>
    </x:row>
    <x:row r="39" ht="22" customHeight="1">
      <x:c r="A39" s="2" t="str">
        <x:v>M1</x:v>
      </x:c>
      <x:c r="B39" s="24" t="d">
        <x:v>2026-10-13T08:45:00.000Z</x:v>
      </x:c>
      <x:c r="C39" s="2" t="str">
        <x:v>デイ</x:v>
      </x:c>
      <x:c r="D39" s="20" t="n">
        <x:v>77926</x:v>
      </x:c>
      <x:c r="E39" s="20" t="n">
        <x:v>114846</x:v>
      </x:c>
      <x:c r="F39" s="20" t="n">
        <x:f>D39-E39</x:f>
        <x:v>-36920</x:v>
      </x:c>
      <x:c r="G39" s="20" t="n">
        <x:f>SUMIFS($F$7:$F$56,$A$7:$A$56,A39,$B$7:$B$56,"&lt;="&amp;B39)</x:f>
        <x:v>1539540</x:v>
      </x:c>
      <x:c r="H39" s="20" t="n">
        <x:v>1920</x:v>
      </x:c>
      <x:c r="I39" s="20" t="n">
        <x:v>-35000</x:v>
      </x:c>
      <x:c r="J39" s="27" t="n">
        <x:v>9</x:v>
      </x:c>
      <x:c r="K39" s="27" t="n">
        <x:v>25</x:v>
      </x:c>
      <x:c r="L39" s="27" t="n">
        <x:v>5</x:v>
      </x:c>
      <x:c r="M39" s="29" t="str">
        <x:v>対照47場</x:v>
      </x:c>
      <x:c r="N39" s="28" t="n">
        <x:v>65.25</x:v>
      </x:c>
      <x:c r="O39" s="28" t="n">
        <x:v>313.5833333333333</x:v>
      </x:c>
    </x:row>
    <x:row r="40" ht="22" customHeight="1">
      <x:c r="A40" s="2" t="str">
        <x:v>M1</x:v>
      </x:c>
      <x:c r="B40" s="24" t="d">
        <x:v>2026-10-13T17:00:00.000Z</x:v>
      </x:c>
      <x:c r="C40" s="2" t="str">
        <x:v>ナイト</x:v>
      </x:c>
      <x:c r="D40" s="20" t="n">
        <x:v>0</x:v>
      </x:c>
      <x:c r="E40" s="20" t="n">
        <x:v>80768</x:v>
      </x:c>
      <x:c r="F40" s="20" t="n">
        <x:f>D40-E40</x:f>
        <x:v>-80768</x:v>
      </x:c>
      <x:c r="G40" s="20" t="n">
        <x:f>SUMIFS($F$7:$F$56,$A$7:$A$56,A40,$B$7:$B$56,"&lt;="&amp;B40)</x:f>
        <x:v>1458772</x:v>
      </x:c>
      <x:c r="H40" s="20" t="n">
        <x:v>768</x:v>
      </x:c>
      <x:c r="I40" s="20" t="n">
        <x:v>-80000</x:v>
      </x:c>
      <x:c r="J40" s="27" t="n">
        <x:v>2</x:v>
      </x:c>
      <x:c r="K40" s="27" t="n">
        <x:v>10</x:v>
      </x:c>
      <x:c r="L40" s="27" t="n">
        <x:v>5</x:v>
      </x:c>
      <x:c r="M40" s="29" t="str">
        <x:v>対照47場</x:v>
      </x:c>
      <x:c r="N40" s="28" t="n">
        <x:v>360.23333333333335</x:v>
      </x:c>
      <x:c r="O40" s="28" t="n">
        <x:v>7.716666666666667</x:v>
      </x:c>
    </x:row>
    <x:row r="41" ht="22" customHeight="1">
      <x:c r="A41" s="2" t="str">
        <x:v>M1</x:v>
      </x:c>
      <x:c r="B41" s="24" t="d">
        <x:v>2026-10-14T08:45:00.000Z</x:v>
      </x:c>
      <x:c r="C41" s="2" t="str">
        <x:v>デイ</x:v>
      </x:c>
      <x:c r="D41" s="20" t="n">
        <x:v>172232</x:v>
      </x:c>
      <x:c r="E41" s="20" t="n">
        <x:v>82768</x:v>
      </x:c>
      <x:c r="F41" s="20" t="n">
        <x:f>D41-E41</x:f>
        <x:v>89464</x:v>
      </x:c>
      <x:c r="G41" s="20" t="n">
        <x:f>SUMIFS($F$7:$F$56,$A$7:$A$56,A41,$B$7:$B$56,"&lt;="&amp;B41)</x:f>
        <x:v>1548236</x:v>
      </x:c>
      <x:c r="H41" s="20" t="n">
        <x:v>1536</x:v>
      </x:c>
      <x:c r="I41" s="20" t="n">
        <x:v>91000</x:v>
      </x:c>
      <x:c r="J41" s="27" t="n">
        <x:v>6</x:v>
      </x:c>
      <x:c r="K41" s="27" t="n">
        <x:v>20</x:v>
      </x:c>
      <x:c r="L41" s="27" t="n">
        <x:v>5</x:v>
      </x:c>
      <x:c r="M41" s="29" t="str">
        <x:v>対照47場</x:v>
      </x:c>
      <x:c r="N41" s="28" t="n">
        <x:v>107.68333333333334</x:v>
      </x:c>
      <x:c r="O41" s="28" t="n">
        <x:v>90.4</x:v>
      </x:c>
    </x:row>
    <x:row r="42" ht="22" customHeight="1">
      <x:c r="A42" s="2" t="str">
        <x:v>M1</x:v>
      </x:c>
      <x:c r="B42" s="24" t="d">
        <x:v>2026-10-14T17:00:00.000Z</x:v>
      </x:c>
      <x:c r="C42" s="2" t="str">
        <x:v>ナイト</x:v>
      </x:c>
      <x:c r="D42" s="20" t="n">
        <x:v>214232</x:v>
      </x:c>
      <x:c r="E42" s="20" t="n">
        <x:v>46154</x:v>
      </x:c>
      <x:c r="F42" s="20" t="n">
        <x:f>D42-E42</x:f>
        <x:v>168078</x:v>
      </x:c>
      <x:c r="G42" s="20" t="n">
        <x:f>SUMIFS($F$7:$F$56,$A$7:$A$56,A42,$B$7:$B$56,"&lt;="&amp;B42)</x:f>
        <x:v>1716314</x:v>
      </x:c>
      <x:c r="H42" s="20" t="n">
        <x:v>922</x:v>
      </x:c>
      <x:c r="I42" s="20" t="n">
        <x:v>169000</x:v>
      </x:c>
      <x:c r="J42" s="27" t="n">
        <x:v>3</x:v>
      </x:c>
      <x:c r="K42" s="27" t="n">
        <x:v>12</x:v>
      </x:c>
      <x:c r="L42" s="27" t="n">
        <x:v>5</x:v>
      </x:c>
      <x:c r="M42" s="29" t="str">
        <x:v>対照47場</x:v>
      </x:c>
      <x:c r="N42" s="28" t="n">
        <x:v>360</x:v>
      </x:c>
      <x:c r="O42" s="28" t="n">
        <x:v>150.75</x:v>
      </x:c>
    </x:row>
    <x:row r="43" ht="22" customHeight="1">
      <x:c r="A43" s="2" t="str">
        <x:v>M1</x:v>
      </x:c>
      <x:c r="B43" s="24" t="d">
        <x:v>2026-10-15T08:45:00.000Z</x:v>
      </x:c>
      <x:c r="C43" s="2" t="str">
        <x:v>デイ</x:v>
      </x:c>
      <x:c r="D43" s="20" t="n">
        <x:v>432696</x:v>
      </x:c>
      <x:c r="E43" s="20" t="n">
        <x:v>66154</x:v>
      </x:c>
      <x:c r="F43" s="20" t="n">
        <x:f>D43-E43</x:f>
        <x:v>366542</x:v>
      </x:c>
      <x:c r="G43" s="20" t="n">
        <x:f>SUMIFS($F$7:$F$56,$A$7:$A$56,A43,$B$7:$B$56,"&lt;="&amp;B43)</x:f>
        <x:v>2082856</x:v>
      </x:c>
      <x:c r="H43" s="20" t="n">
        <x:v>1458</x:v>
      </x:c>
      <x:c r="I43" s="20" t="n">
        <x:v>368000</x:v>
      </x:c>
      <x:c r="J43" s="27" t="n">
        <x:v>8</x:v>
      </x:c>
      <x:c r="K43" s="27" t="n">
        <x:v>19</x:v>
      </x:c>
      <x:c r="L43" s="27" t="n">
        <x:v>5</x:v>
      </x:c>
      <x:c r="M43" s="29" t="str">
        <x:v>対照47場</x:v>
      </x:c>
      <x:c r="N43" s="28" t="n">
        <x:v>50.583333333333336</x:v>
      </x:c>
      <x:c r="O43" s="28" t="n">
        <x:v>222.18333333333334</x:v>
      </x:c>
    </x:row>
    <x:row r="44" ht="22" customHeight="1">
      <x:c r="A44" s="2" t="str">
        <x:v>M1</x:v>
      </x:c>
      <x:c r="B44" s="24" t="d">
        <x:v>2026-10-15T17:00:00.000Z</x:v>
      </x:c>
      <x:c r="C44" s="2" t="str">
        <x:v>ナイト</x:v>
      </x:c>
      <x:c r="D44" s="20" t="n">
        <x:v>0</x:v>
      </x:c>
      <x:c r="E44" s="20" t="n">
        <x:v>116462</x:v>
      </x:c>
      <x:c r="F44" s="20" t="n">
        <x:f>D44-E44</x:f>
        <x:v>-116462</x:v>
      </x:c>
      <x:c r="G44" s="20" t="n">
        <x:f>SUMIFS($F$7:$F$56,$A$7:$A$56,A44,$B$7:$B$56,"&lt;="&amp;B44)</x:f>
        <x:v>1966394</x:v>
      </x:c>
      <x:c r="H44" s="20" t="n">
        <x:v>462</x:v>
      </x:c>
      <x:c r="I44" s="20" t="n">
        <x:v>-116000</x:v>
      </x:c>
      <x:c r="J44" s="27" t="n">
        <x:v>3</x:v>
      </x:c>
      <x:c r="K44" s="27" t="n">
        <x:v>6</x:v>
      </x:c>
      <x:c r="L44" s="27" t="n">
        <x:v>2</x:v>
      </x:c>
      <x:c r="M44" s="29" t="str">
        <x:v>対照47場</x:v>
      </x:c>
      <x:c r="N44" s="28" t="n">
        <x:v>360</x:v>
      </x:c>
      <x:c r="O44" s="28" t="n">
        <x:v>43.516666666666666</x:v>
      </x:c>
    </x:row>
    <x:row r="45" ht="22" customHeight="1">
      <x:c r="A45" s="2" t="str">
        <x:v>M1</x:v>
      </x:c>
      <x:c r="B45" s="24" t="d">
        <x:v>2026-10-16T08:45:00.000Z</x:v>
      </x:c>
      <x:c r="C45" s="2" t="str">
        <x:v>デイ</x:v>
      </x:c>
      <x:c r="D45" s="20" t="n">
        <x:v>72926</x:v>
      </x:c>
      <x:c r="E45" s="20" t="n">
        <x:v>171690</x:v>
      </x:c>
      <x:c r="F45" s="20" t="n">
        <x:f>D45-E45</x:f>
        <x:v>-98764</x:v>
      </x:c>
      <x:c r="G45" s="20" t="n">
        <x:f>SUMIFS($F$7:$F$56,$A$7:$A$56,A45,$B$7:$B$56,"&lt;="&amp;B45)</x:f>
        <x:v>1867630</x:v>
      </x:c>
      <x:c r="H45" s="20" t="n">
        <x:v>2764</x:v>
      </x:c>
      <x:c r="I45" s="20" t="n">
        <x:v>-96000</x:v>
      </x:c>
      <x:c r="J45" s="27" t="n">
        <x:v>10</x:v>
      </x:c>
      <x:c r="K45" s="27" t="n">
        <x:v>36</x:v>
      </x:c>
      <x:c r="L45" s="27" t="n">
        <x:v>7</x:v>
      </x:c>
      <x:c r="M45" s="29" t="str">
        <x:v>対照47場</x:v>
      </x:c>
      <x:c r="N45" s="28" t="n">
        <x:v>66.9</x:v>
      </x:c>
      <x:c r="O45" s="28" t="n">
        <x:v>217.8</x:v>
      </x:c>
    </x:row>
    <x:row r="46" ht="22" customHeight="1">
      <x:c r="A46" s="2" t="str">
        <x:v>M1</x:v>
      </x:c>
      <x:c r="B46" s="24" t="d">
        <x:v>2026-10-16T17:00:00.000Z</x:v>
      </x:c>
      <x:c r="C46" s="2" t="str">
        <x:v>ナイト</x:v>
      </x:c>
      <x:c r="D46" s="20" t="n">
        <x:v>78002</x:v>
      </x:c>
      <x:c r="E46" s="20" t="n">
        <x:v>61614</x:v>
      </x:c>
      <x:c r="F46" s="20" t="n">
        <x:f>D46-E46</x:f>
        <x:v>16388</x:v>
      </x:c>
      <x:c r="G46" s="20" t="n">
        <x:f>SUMIFS($F$7:$F$56,$A$7:$A$56,A46,$B$7:$B$56,"&lt;="&amp;B46)</x:f>
        <x:v>1884018</x:v>
      </x:c>
      <x:c r="H46" s="20" t="n">
        <x:v>1612</x:v>
      </x:c>
      <x:c r="I46" s="20" t="n">
        <x:v>18000</x:v>
      </x:c>
      <x:c r="J46" s="27" t="n">
        <x:v>8</x:v>
      </x:c>
      <x:c r="K46" s="27" t="n">
        <x:v>21</x:v>
      </x:c>
      <x:c r="L46" s="27" t="n">
        <x:v>5</x:v>
      </x:c>
      <x:c r="M46" s="29" t="str">
        <x:v>対照47場</x:v>
      </x:c>
      <x:c r="N46" s="28" t="n">
        <x:v>360</x:v>
      </x:c>
      <x:c r="O46" s="28" t="n">
        <x:v>87.81666666666666</x:v>
      </x:c>
    </x:row>
    <x:row r="47" ht="22" customHeight="1">
      <x:c r="A47" s="2" t="str">
        <x:v>M1</x:v>
      </x:c>
      <x:c r="B47" s="24" t="d">
        <x:v>2026-10-19T08:45:00.000Z</x:v>
      </x:c>
      <x:c r="C47" s="2" t="str">
        <x:v>デイ</x:v>
      </x:c>
      <x:c r="D47" s="20" t="n">
        <x:v>280240</x:v>
      </x:c>
      <x:c r="E47" s="20" t="n">
        <x:v>16154</x:v>
      </x:c>
      <x:c r="F47" s="20" t="n">
        <x:f>D47-E47</x:f>
        <x:v>264086</x:v>
      </x:c>
      <x:c r="G47" s="20" t="n">
        <x:f>SUMIFS($F$7:$F$56,$A$7:$A$56,A47,$B$7:$B$56,"&lt;="&amp;B47)</x:f>
        <x:v>2148104</x:v>
      </x:c>
      <x:c r="H47" s="20" t="n">
        <x:v>1914</x:v>
      </x:c>
      <x:c r="I47" s="20" t="n">
        <x:v>266000</x:v>
      </x:c>
      <x:c r="J47" s="27" t="n">
        <x:v>16</x:v>
      </x:c>
      <x:c r="K47" s="27" t="n">
        <x:v>25</x:v>
      </x:c>
      <x:c r="L47" s="27" t="n">
        <x:v>10</x:v>
      </x:c>
      <x:c r="M47" s="29" t="str">
        <x:v>対照47場</x:v>
      </x:c>
      <x:c r="N47" s="28" t="n">
        <x:v>46.78333333333333</x:v>
      </x:c>
      <x:c r="O47" s="28" t="n">
        <x:v>363.21666666666664</x:v>
      </x:c>
    </x:row>
    <x:row r="48" ht="22" customHeight="1">
      <x:c r="A48" s="2" t="str">
        <x:v>M1</x:v>
      </x:c>
      <x:c r="B48" s="24" t="d">
        <x:v>2026-10-19T17:00:00.000Z</x:v>
      </x:c>
      <x:c r="C48" s="2" t="str">
        <x:v>ナイト</x:v>
      </x:c>
      <x:c r="D48" s="20" t="n">
        <x:v>62234</x:v>
      </x:c>
      <x:c r="E48" s="20" t="n">
        <x:v>54538</x:v>
      </x:c>
      <x:c r="F48" s="20" t="n">
        <x:f>D48-E48</x:f>
        <x:v>7696</x:v>
      </x:c>
      <x:c r="G48" s="20" t="n">
        <x:f>SUMIFS($F$7:$F$56,$A$7:$A$56,A48,$B$7:$B$56,"&lt;="&amp;B48)</x:f>
        <x:v>2155800</x:v>
      </x:c>
      <x:c r="H48" s="20" t="n">
        <x:v>1304</x:v>
      </x:c>
      <x:c r="I48" s="20" t="n">
        <x:v>9000</x:v>
      </x:c>
      <x:c r="J48" s="27" t="n">
        <x:v>7</x:v>
      </x:c>
      <x:c r="K48" s="27" t="n">
        <x:v>17</x:v>
      </x:c>
      <x:c r="L48" s="27" t="n">
        <x:v>5</x:v>
      </x:c>
      <x:c r="M48" s="29" t="str">
        <x:v>対照47場</x:v>
      </x:c>
      <x:c r="N48" s="28" t="n">
        <x:v>352.01666666666665</x:v>
      </x:c>
      <x:c r="O48" s="28" t="n">
        <x:v>34.833333333333336</x:v>
      </x:c>
    </x:row>
    <x:row r="49" ht="22" customHeight="1">
      <x:c r="A49" s="2" t="str">
        <x:v>M1</x:v>
      </x:c>
      <x:c r="B49" s="24" t="d">
        <x:v>2026-10-20T08:45:00.000Z</x:v>
      </x:c>
      <x:c r="C49" s="2" t="str">
        <x:v>デイ</x:v>
      </x:c>
      <x:c r="D49" s="20" t="n">
        <x:v>137466</x:v>
      </x:c>
      <x:c r="E49" s="20" t="n">
        <x:v>115846</x:v>
      </x:c>
      <x:c r="F49" s="20" t="n">
        <x:f>D49-E49</x:f>
        <x:v>21620</x:v>
      </x:c>
      <x:c r="G49" s="20" t="n">
        <x:f>SUMIFS($F$7:$F$56,$A$7:$A$56,A49,$B$7:$B$56,"&lt;="&amp;B49)</x:f>
        <x:v>2177420</x:v>
      </x:c>
      <x:c r="H49" s="20" t="n">
        <x:v>2380</x:v>
      </x:c>
      <x:c r="I49" s="20" t="n">
        <x:v>24000</x:v>
      </x:c>
      <x:c r="J49" s="27" t="n">
        <x:v>11</x:v>
      </x:c>
      <x:c r="K49" s="27" t="n">
        <x:v>31</x:v>
      </x:c>
      <x:c r="L49" s="27" t="n">
        <x:v>10</x:v>
      </x:c>
      <x:c r="M49" s="29" t="str">
        <x:v>対照47場</x:v>
      </x:c>
      <x:c r="N49" s="28" t="n">
        <x:v>79.45</x:v>
      </x:c>
      <x:c r="O49" s="28" t="n">
        <x:v>208.98333333333332</x:v>
      </x:c>
    </x:row>
    <x:row r="50" ht="22" customHeight="1">
      <x:c r="A50" s="2" t="str">
        <x:v>M1</x:v>
      </x:c>
      <x:c r="B50" s="24" t="d">
        <x:v>2026-10-20T17:00:00.000Z</x:v>
      </x:c>
      <x:c r="C50" s="2" t="str">
        <x:v>ナイト</x:v>
      </x:c>
      <x:c r="D50" s="20" t="n">
        <x:v>412234</x:v>
      </x:c>
      <x:c r="E50" s="20" t="n">
        <x:v>70384</x:v>
      </x:c>
      <x:c r="F50" s="20" t="n">
        <x:f>D50-E50</x:f>
        <x:v>341850</x:v>
      </x:c>
      <x:c r="G50" s="20" t="n">
        <x:f>SUMIFS($F$7:$F$56,$A$7:$A$56,A50,$B$7:$B$56,"&lt;="&amp;B50)</x:f>
        <x:v>2519270</x:v>
      </x:c>
      <x:c r="H50" s="20" t="n">
        <x:v>1150</x:v>
      </x:c>
      <x:c r="I50" s="20" t="n">
        <x:v>343000</x:v>
      </x:c>
      <x:c r="J50" s="27" t="n">
        <x:v>8</x:v>
      </x:c>
      <x:c r="K50" s="27" t="n">
        <x:v>15</x:v>
      </x:c>
      <x:c r="L50" s="27" t="n">
        <x:v>7</x:v>
      </x:c>
      <x:c r="M50" s="29" t="str">
        <x:v>対照47場</x:v>
      </x:c>
      <x:c r="N50" s="28" t="n">
        <x:v>346.26666666666665</x:v>
      </x:c>
      <x:c r="O50" s="28" t="n">
        <x:v>73.9</x:v>
      </x:c>
    </x:row>
    <x:row r="51" ht="22" customHeight="1">
      <x:c r="A51" s="2" t="str">
        <x:v>M1</x:v>
      </x:c>
      <x:c r="B51" s="24" t="d">
        <x:v>2026-10-21T08:45:00.000Z</x:v>
      </x:c>
      <x:c r="C51" s="2" t="str">
        <x:v>デイ</x:v>
      </x:c>
      <x:c r="D51" s="20" t="n">
        <x:v>168928</x:v>
      </x:c>
      <x:c r="E51" s="20" t="n">
        <x:v>246920</x:v>
      </x:c>
      <x:c r="F51" s="20" t="n">
        <x:f>D51-E51</x:f>
        <x:v>-77992</x:v>
      </x:c>
      <x:c r="G51" s="20" t="n">
        <x:f>SUMIFS($F$7:$F$56,$A$7:$A$56,A51,$B$7:$B$56,"&lt;="&amp;B51)</x:f>
        <x:v>2441278</x:v>
      </x:c>
      <x:c r="H51" s="20" t="n">
        <x:v>2992</x:v>
      </x:c>
      <x:c r="I51" s="20" t="n">
        <x:v>-75000</x:v>
      </x:c>
      <x:c r="J51" s="27" t="n">
        <x:v>13</x:v>
      </x:c>
      <x:c r="K51" s="27" t="n">
        <x:v>39</x:v>
      </x:c>
      <x:c r="L51" s="27" t="n">
        <x:v>5</x:v>
      </x:c>
      <x:c r="M51" s="29" t="str">
        <x:v>対照47場</x:v>
      </x:c>
      <x:c r="N51" s="28" t="n">
        <x:v>50.11666666666667</x:v>
      </x:c>
      <x:c r="O51" s="28" t="n">
        <x:v>164.5</x:v>
      </x:c>
    </x:row>
    <x:row r="52" ht="22" customHeight="1">
      <x:c r="A52" s="2" t="str">
        <x:v>M1</x:v>
      </x:c>
      <x:c r="B52" s="24" t="d">
        <x:v>2026-10-21T17:00:00.000Z</x:v>
      </x:c>
      <x:c r="C52" s="2" t="str">
        <x:v>ナイト</x:v>
      </x:c>
      <x:c r="D52" s="20" t="n">
        <x:v>44616</x:v>
      </x:c>
      <x:c r="E52" s="20" t="n">
        <x:v>85768</x:v>
      </x:c>
      <x:c r="F52" s="20" t="n">
        <x:f>D52-E52</x:f>
        <x:v>-41152</x:v>
      </x:c>
      <x:c r="G52" s="20" t="n">
        <x:f>SUMIFS($F$7:$F$56,$A$7:$A$56,A52,$B$7:$B$56,"&lt;="&amp;B52)</x:f>
        <x:v>2400126</x:v>
      </x:c>
      <x:c r="H52" s="20" t="n">
        <x:v>1152</x:v>
      </x:c>
      <x:c r="I52" s="20" t="n">
        <x:v>-40000</x:v>
      </x:c>
      <x:c r="J52" s="27" t="n">
        <x:v>3</x:v>
      </x:c>
      <x:c r="K52" s="27" t="n">
        <x:v>15</x:v>
      </x:c>
      <x:c r="L52" s="27" t="n">
        <x:v>5</x:v>
      </x:c>
      <x:c r="M52" s="29" t="str">
        <x:v>対照47場</x:v>
      </x:c>
      <x:c r="N52" s="28" t="n">
        <x:v>360</x:v>
      </x:c>
      <x:c r="O52" s="28" t="n">
        <x:v>93.56666666666666</x:v>
      </x:c>
    </x:row>
    <x:row r="53" ht="22" customHeight="1">
      <x:c r="A53" s="2" t="str">
        <x:v>M1</x:v>
      </x:c>
      <x:c r="B53" s="24" t="d">
        <x:v>2026-10-22T08:45:00.000Z</x:v>
      </x:c>
      <x:c r="C53" s="2" t="str">
        <x:v>デイ</x:v>
      </x:c>
      <x:c r="D53" s="20" t="n">
        <x:v>389234</x:v>
      </x:c>
      <x:c r="E53" s="20" t="n">
        <x:v>70308</x:v>
      </x:c>
      <x:c r="F53" s="20" t="n">
        <x:f>D53-E53</x:f>
        <x:v>318926</x:v>
      </x:c>
      <x:c r="G53" s="20" t="n">
        <x:f>SUMIFS($F$7:$F$56,$A$7:$A$56,A53,$B$7:$B$56,"&lt;="&amp;B53)</x:f>
        <x:v>2719052</x:v>
      </x:c>
      <x:c r="H53" s="20" t="n">
        <x:v>1074</x:v>
      </x:c>
      <x:c r="I53" s="20" t="n">
        <x:v>320000</x:v>
      </x:c>
      <x:c r="J53" s="27" t="n">
        <x:v>7</x:v>
      </x:c>
      <x:c r="K53" s="27" t="n">
        <x:v>14</x:v>
      </x:c>
      <x:c r="L53" s="27" t="n">
        <x:v>5</x:v>
      </x:c>
      <x:c r="M53" s="29" t="str">
        <x:v>対照47場</x:v>
      </x:c>
      <x:c r="N53" s="28" t="n">
        <x:v>79.91666666666667</x:v>
      </x:c>
      <x:c r="O53" s="28" t="n">
        <x:v>250.81666666666666</x:v>
      </x:c>
    </x:row>
    <x:row r="54" ht="22" customHeight="1">
      <x:c r="A54" s="2" t="str">
        <x:v>M1</x:v>
      </x:c>
      <x:c r="B54" s="24" t="d">
        <x:v>2026-10-22T17:00:00.000Z</x:v>
      </x:c>
      <x:c r="C54" s="2" t="str">
        <x:v>ナイト</x:v>
      </x:c>
      <x:c r="D54" s="20" t="n">
        <x:v>106462</x:v>
      </x:c>
      <x:c r="E54" s="20" t="n">
        <x:v>55384</x:v>
      </x:c>
      <x:c r="F54" s="20" t="n">
        <x:f>D54-E54</x:f>
        <x:v>51078</x:v>
      </x:c>
      <x:c r="G54" s="20" t="n">
        <x:f>SUMIFS($F$7:$F$56,$A$7:$A$56,A54,$B$7:$B$56,"&lt;="&amp;B54)</x:f>
        <x:v>2770130</x:v>
      </x:c>
      <x:c r="H54" s="20" t="n">
        <x:v>922</x:v>
      </x:c>
      <x:c r="I54" s="20" t="n">
        <x:v>52000</x:v>
      </x:c>
      <x:c r="J54" s="27" t="n">
        <x:v>3</x:v>
      </x:c>
      <x:c r="K54" s="27" t="n">
        <x:v>12</x:v>
      </x:c>
      <x:c r="L54" s="27" t="n">
        <x:v>5</x:v>
      </x:c>
      <x:c r="M54" s="29" t="str">
        <x:v>診断3場</x:v>
      </x:c>
      <x:c r="N54" s="28" t="n">
        <x:v>360.06666666666666</x:v>
      </x:c>
      <x:c r="O54" s="28" t="n">
        <x:v>26.366666666666667</x:v>
      </x:c>
    </x:row>
    <x:row r="55" ht="22" customHeight="1">
      <x:c r="A55" s="2" t="str">
        <x:v>M1</x:v>
      </x:c>
      <x:c r="B55" s="24" t="d">
        <x:v>2026-10-23T08:45:00.000Z</x:v>
      </x:c>
      <x:c r="C55" s="2" t="str">
        <x:v>デイ</x:v>
      </x:c>
      <x:c r="D55" s="20" t="n">
        <x:v>76618</x:v>
      </x:c>
      <x:c r="E55" s="20" t="n">
        <x:v>99692</x:v>
      </x:c>
      <x:c r="F55" s="20" t="n">
        <x:f>D55-E55</x:f>
        <x:v>-23074</x:v>
      </x:c>
      <x:c r="G55" s="20" t="n">
        <x:f>SUMIFS($F$7:$F$56,$A$7:$A$56,A55,$B$7:$B$56,"&lt;="&amp;B55)</x:f>
        <x:v>2747056</x:v>
      </x:c>
      <x:c r="H55" s="20" t="n">
        <x:v>1074</x:v>
      </x:c>
      <x:c r="I55" s="20" t="n">
        <x:v>-22000</x:v>
      </x:c>
      <x:c r="J55" s="27" t="n">
        <x:v>7</x:v>
      </x:c>
      <x:c r="K55" s="27" t="n">
        <x:v>14</x:v>
      </x:c>
      <x:c r="L55" s="27" t="n">
        <x:v>5</x:v>
      </x:c>
      <x:c r="M55" s="29" t="str">
        <x:v>診断3場</x:v>
      </x:c>
      <x:c r="N55" s="28" t="n">
        <x:v>95.1</x:v>
      </x:c>
      <x:c r="O55" s="28" t="n">
        <x:v>217.81666666666666</x:v>
      </x:c>
    </x:row>
    <x:row r="56" ht="22" customHeight="1">
      <x:c r="A56" s="2" t="str">
        <x:v>M1</x:v>
      </x:c>
      <x:c r="B56" s="24" t="d">
        <x:v>2026-10-23T17:00:00.000Z</x:v>
      </x:c>
      <x:c r="C56" s="2" t="str">
        <x:v>ナイト</x:v>
      </x:c>
      <x:c r="D56" s="20" t="n">
        <x:v>0</x:v>
      </x:c>
      <x:c r="E56" s="20" t="n">
        <x:v>61538</x:v>
      </x:c>
      <x:c r="F56" s="20" t="n">
        <x:f>D56-E56</x:f>
        <x:v>-61538</x:v>
      </x:c>
      <x:c r="G56" s="20" t="n">
        <x:f>SUMIFS($F$7:$F$56,$A$7:$A$56,A56,$B$7:$B$56,"&lt;="&amp;B56)</x:f>
        <x:v>2685518</x:v>
      </x:c>
      <x:c r="H56" s="20" t="n">
        <x:v>538</x:v>
      </x:c>
      <x:c r="I56" s="20" t="n">
        <x:v>-61000</x:v>
      </x:c>
      <x:c r="J56" s="27" t="n">
        <x:v>2</x:v>
      </x:c>
      <x:c r="K56" s="27" t="n">
        <x:v>7</x:v>
      </x:c>
      <x:c r="L56" s="27" t="n">
        <x:v>5</x:v>
      </x:c>
      <x:c r="M56" s="29" t="str">
        <x:v>診断3場</x:v>
      </x:c>
      <x:c r="N56" s="28" t="n">
        <x:v>360.03333333333336</x:v>
      </x:c>
      <x:c r="O56" s="28" t="n">
        <x:v>11.666666666666666</x:v>
      </x:c>
    </x:row>
  </x:sheetData>
  <x:conditionalFormatting sqref="D7:I56">
    <x:cfRule type="cellIs" dxfId="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122180a8856426c"/>
  </x:tableParts>
</x:worksheet>
</file>

<file path=xl/worksheets/sheet7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4" t="str">
        <x:v>日経mini M2 セッション損益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</x:row>
    <x:row r="3" ht="22" customHeight="1">
      <x:c r="A3" s="7" t="str">
        <x:v>片方向上限10枚。金額は円・手数料後。利益と損失は完結した一組の収支を正負に分類。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A4" s="7" t="str">
        <x:v>昼：G02／夜：G01。対照47場：9/21～10/22デイ。診断3場：10/22ナイト～10/23ナイト。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A5" s="7" t="str">
        <x:v>異なる優先順位の昼夜別案。出典：00141保存会計。診断3場は原因分析と改善に使用した期間です。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4" customHeight="1">
      <x:c r="A6" s="16" t="str">
        <x:v>手法ID</x:v>
      </x:c>
      <x:c r="B6" s="17" t="str">
        <x:v>開始日時</x:v>
      </x:c>
      <x:c r="C6" s="17" t="str">
        <x:v>セッション</x:v>
      </x:c>
      <x:c r="D6" s="17" t="str">
        <x:v>利益（円）</x:v>
      </x:c>
      <x:c r="E6" s="17" t="str">
        <x:v>損失（円）</x:v>
      </x:c>
      <x:c r="F6" s="17" t="str">
        <x:v>収支（円）</x:v>
      </x:c>
      <x:c r="G6" s="17" t="str">
        <x:v>累計（円）</x:v>
      </x:c>
      <x:c r="H6" s="17" t="str">
        <x:v>内数手数料（円）</x:v>
      </x:c>
      <x:c r="I6" s="17" t="str">
        <x:v>費用前収支（円）</x:v>
      </x:c>
      <x:c r="J6" s="17" t="str">
        <x:v>新規回数</x:v>
      </x:c>
      <x:c r="K6" s="17" t="str">
        <x:v>新規枚数</x:v>
      </x:c>
      <x:c r="L6" s="17" t="str">
        <x:v>最大片方向保有</x:v>
      </x:c>
      <x:c r="M6" s="17" t="str">
        <x:v>評価区分</x:v>
      </x:c>
      <x:c r="N6" s="17" t="str">
        <x:v>初回まで（分）</x:v>
      </x:c>
      <x:c r="O6" s="18" t="str">
        <x:v>保有（分）</x:v>
      </x:c>
    </x:row>
    <x:row r="7" ht="22" customHeight="1">
      <x:c r="A7" s="2" t="str">
        <x:v>M2</x:v>
      </x:c>
      <x:c r="B7" s="24" t="d">
        <x:v>2026-09-21T08:45:00.000Z</x:v>
      </x:c>
      <x:c r="C7" s="2" t="str">
        <x:v>デイ</x:v>
      </x:c>
      <x:c r="D7" s="20" t="n">
        <x:v>85616</x:v>
      </x:c>
      <x:c r="E7" s="20" t="n">
        <x:v>0</x:v>
      </x:c>
      <x:c r="F7" s="20" t="n">
        <x:f>D7-E7</x:f>
        <x:v>85616</x:v>
      </x:c>
      <x:c r="G7" s="20" t="n">
        <x:f>SUMIFS($F$7:$F$56,$A$7:$A$56,A7,$B$7:$B$56,"&lt;="&amp;B7)</x:f>
        <x:v>85616</x:v>
      </x:c>
      <x:c r="H7" s="20" t="n">
        <x:v>384</x:v>
      </x:c>
      <x:c r="I7" s="20" t="n">
        <x:v>86000</x:v>
      </x:c>
      <x:c r="J7" s="27" t="n">
        <x:v>1</x:v>
      </x:c>
      <x:c r="K7" s="27" t="n">
        <x:v>5</x:v>
      </x:c>
      <x:c r="L7" s="27" t="n">
        <x:v>5</x:v>
      </x:c>
      <x:c r="M7" s="29" t="str">
        <x:v>対照47場</x:v>
      </x:c>
      <x:c r="N7" s="28" t="n">
        <x:v>190.06666666666666</x:v>
      </x:c>
      <x:c r="O7" s="28" t="n">
        <x:v>167.2</x:v>
      </x:c>
    </x:row>
    <x:row r="8" ht="22" customHeight="1">
      <x:c r="A8" s="2" t="str">
        <x:v>M2</x:v>
      </x:c>
      <x:c r="B8" s="24" t="d">
        <x:v>2026-09-21T17:00:00.000Z</x:v>
      </x:c>
      <x:c r="C8" s="2" t="str">
        <x:v>ナイト</x:v>
      </x:c>
      <x:c r="D8" s="20" t="n">
        <x:v>0</x:v>
      </x:c>
      <x:c r="E8" s="20" t="n">
        <x:v>45384</x:v>
      </x:c>
      <x:c r="F8" s="20" t="n">
        <x:f>D8-E8</x:f>
        <x:v>-45384</x:v>
      </x:c>
      <x:c r="G8" s="20" t="n">
        <x:f>SUMIFS($F$7:$F$56,$A$7:$A$56,A8,$B$7:$B$56,"&lt;="&amp;B8)</x:f>
        <x:v>40232</x:v>
      </x:c>
      <x:c r="H8" s="20" t="n">
        <x:v>384</x:v>
      </x:c>
      <x:c r="I8" s="20" t="n">
        <x:v>-45000</x:v>
      </x:c>
      <x:c r="J8" s="27" t="n">
        <x:v>1</x:v>
      </x:c>
      <x:c r="K8" s="27" t="n">
        <x:v>5</x:v>
      </x:c>
      <x:c r="L8" s="27" t="n">
        <x:v>5</x:v>
      </x:c>
      <x:c r="M8" s="29" t="str">
        <x:v>対照47場</x:v>
      </x:c>
      <x:c r="N8" s="28" t="n">
        <x:v>360.01666666666665</x:v>
      </x:c>
      <x:c r="O8" s="28" t="n">
        <x:v>5.666666666666667</x:v>
      </x:c>
    </x:row>
    <x:row r="9" ht="22" customHeight="1">
      <x:c r="A9" s="2" t="str">
        <x:v>M2</x:v>
      </x:c>
      <x:c r="B9" s="24" t="d">
        <x:v>2026-09-22T08:45:00.000Z</x:v>
      </x:c>
      <x:c r="C9" s="2" t="str">
        <x:v>デイ</x:v>
      </x:c>
      <x:c r="D9" s="20" t="n">
        <x:v>0</x:v>
      </x:c>
      <x:c r="E9" s="20" t="n">
        <x:v>106152</x:v>
      </x:c>
      <x:c r="F9" s="20" t="n">
        <x:f>D9-E9</x:f>
        <x:v>-106152</x:v>
      </x:c>
      <x:c r="G9" s="20" t="n">
        <x:f>SUMIFS($F$7:$F$56,$A$7:$A$56,A9,$B$7:$B$56,"&lt;="&amp;B9)</x:f>
        <x:v>-65920</x:v>
      </x:c>
      <x:c r="H9" s="20" t="n">
        <x:v>1152</x:v>
      </x:c>
      <x:c r="I9" s="20" t="n">
        <x:v>-105000</x:v>
      </x:c>
      <x:c r="J9" s="27" t="n">
        <x:v>3</x:v>
      </x:c>
      <x:c r="K9" s="27" t="n">
        <x:v>15</x:v>
      </x:c>
      <x:c r="L9" s="27" t="n">
        <x:v>5</x:v>
      </x:c>
      <x:c r="M9" s="29" t="str">
        <x:v>対照47場</x:v>
      </x:c>
      <x:c r="N9" s="28" t="n">
        <x:v>242.78333333333333</x:v>
      </x:c>
      <x:c r="O9" s="28" t="n">
        <x:v>28.166666666666668</x:v>
      </x:c>
    </x:row>
    <x:row r="10" ht="22" customHeight="1">
      <x:c r="A10" s="2" t="str">
        <x:v>M2</x:v>
      </x:c>
      <x:c r="B10" s="24" t="d">
        <x:v>2026-09-22T17:00:00.000Z</x:v>
      </x:c>
      <x:c r="C10" s="2" t="str">
        <x:v>ナイト</x:v>
      </x:c>
      <x:c r="D10" s="20" t="n">
        <x:v>39616</x:v>
      </x:c>
      <x:c r="E10" s="20" t="n">
        <x:v>0</x:v>
      </x:c>
      <x:c r="F10" s="20" t="n">
        <x:f>D10-E10</x:f>
        <x:v>39616</x:v>
      </x:c>
      <x:c r="G10" s="20" t="n">
        <x:f>SUMIFS($F$7:$F$56,$A$7:$A$56,A10,$B$7:$B$56,"&lt;="&amp;B10)</x:f>
        <x:v>-26304</x:v>
      </x:c>
      <x:c r="H10" s="20" t="n">
        <x:v>384</x:v>
      </x:c>
      <x:c r="I10" s="20" t="n">
        <x:v>40000</x:v>
      </x:c>
      <x:c r="J10" s="27" t="n">
        <x:v>1</x:v>
      </x:c>
      <x:c r="K10" s="27" t="n">
        <x:v>5</x:v>
      </x:c>
      <x:c r="L10" s="27" t="n">
        <x:v>5</x:v>
      </x:c>
      <x:c r="M10" s="29" t="str">
        <x:v>対照47場</x:v>
      </x:c>
      <x:c r="N10" s="28" t="n">
        <x:v>360.1</x:v>
      </x:c>
      <x:c r="O10" s="28" t="n">
        <x:v>13.583333333333334</x:v>
      </x:c>
    </x:row>
    <x:row r="11" ht="22" customHeight="1">
      <x:c r="A11" s="2" t="str">
        <x:v>M2</x:v>
      </x:c>
      <x:c r="B11" s="24" t="d">
        <x:v>2026-09-23T08:45:00.000Z</x:v>
      </x:c>
      <x:c r="C11" s="2" t="str">
        <x:v>デイ</x:v>
      </x:c>
      <x:c r="D11" s="20" t="n">
        <x:v>0</x:v>
      </x:c>
      <x:c r="E11" s="20" t="n">
        <x:v>4384</x:v>
      </x:c>
      <x:c r="F11" s="20" t="n">
        <x:f>D11-E11</x:f>
        <x:v>-4384</x:v>
      </x:c>
      <x:c r="G11" s="20" t="n">
        <x:f>SUMIFS($F$7:$F$56,$A$7:$A$56,A11,$B$7:$B$56,"&lt;="&amp;B11)</x:f>
        <x:v>-30688</x:v>
      </x:c>
      <x:c r="H11" s="20" t="n">
        <x:v>384</x:v>
      </x:c>
      <x:c r="I11" s="20" t="n">
        <x:v>-4000</x:v>
      </x:c>
      <x:c r="J11" s="27" t="n">
        <x:v>1</x:v>
      </x:c>
      <x:c r="K11" s="27" t="n">
        <x:v>5</x:v>
      </x:c>
      <x:c r="L11" s="27" t="n">
        <x:v>5</x:v>
      </x:c>
      <x:c r="M11" s="29" t="str">
        <x:v>対照47場</x:v>
      </x:c>
      <x:c r="N11" s="28" t="n">
        <x:v>68.15</x:v>
      </x:c>
      <x:c r="O11" s="28" t="n">
        <x:v>313.75</x:v>
      </x:c>
    </x:row>
    <x:row r="12" ht="22" customHeight="1">
      <x:c r="A12" s="2" t="str">
        <x:v>M2</x:v>
      </x:c>
      <x:c r="B12" s="24" t="d">
        <x:v>2026-09-23T17:00:00.000Z</x:v>
      </x:c>
      <x:c r="C12" s="2" t="str">
        <x:v>ナイト</x:v>
      </x:c>
      <x:c r="D12" s="20" t="n">
        <x:v>0</x:v>
      </x:c>
      <x:c r="E12" s="20" t="n">
        <x:v>40384</x:v>
      </x:c>
      <x:c r="F12" s="20" t="n">
        <x:f>D12-E12</x:f>
        <x:v>-40384</x:v>
      </x:c>
      <x:c r="G12" s="20" t="n">
        <x:f>SUMIFS($F$7:$F$56,$A$7:$A$56,A12,$B$7:$B$56,"&lt;="&amp;B12)</x:f>
        <x:v>-71072</x:v>
      </x:c>
      <x:c r="H12" s="20" t="n">
        <x:v>384</x:v>
      </x:c>
      <x:c r="I12" s="20" t="n">
        <x:v>-40000</x:v>
      </x:c>
      <x:c r="J12" s="27" t="n">
        <x:v>1</x:v>
      </x:c>
      <x:c r="K12" s="27" t="n">
        <x:v>5</x:v>
      </x:c>
      <x:c r="L12" s="27" t="n">
        <x:v>5</x:v>
      </x:c>
      <x:c r="M12" s="29" t="str">
        <x:v>対照47場</x:v>
      </x:c>
      <x:c r="N12" s="28" t="n">
        <x:v>358.03333333333336</x:v>
      </x:c>
      <x:c r="O12" s="28" t="n">
        <x:v>2.15</x:v>
      </x:c>
    </x:row>
    <x:row r="13" ht="22" customHeight="1">
      <x:c r="A13" s="2" t="str">
        <x:v>M2</x:v>
      </x:c>
      <x:c r="B13" s="24" t="d">
        <x:v>2026-09-24T08:45:00.000Z</x:v>
      </x:c>
      <x:c r="C13" s="2" t="str">
        <x:v>デイ</x:v>
      </x:c>
      <x:c r="D13" s="20" t="n">
        <x:v>82234</x:v>
      </x:c>
      <x:c r="E13" s="20" t="n">
        <x:v>85768</x:v>
      </x:c>
      <x:c r="F13" s="20" t="n">
        <x:f>D13-E13</x:f>
        <x:v>-3534</x:v>
      </x:c>
      <x:c r="G13" s="20" t="n">
        <x:f>SUMIFS($F$7:$F$56,$A$7:$A$56,A13,$B$7:$B$56,"&lt;="&amp;B13)</x:f>
        <x:v>-74606</x:v>
      </x:c>
      <x:c r="H13" s="20" t="n">
        <x:v>1534</x:v>
      </x:c>
      <x:c r="I13" s="20" t="n">
        <x:v>-2000</x:v>
      </x:c>
      <x:c r="J13" s="27" t="n">
        <x:v>7</x:v>
      </x:c>
      <x:c r="K13" s="27" t="n">
        <x:v>20</x:v>
      </x:c>
      <x:c r="L13" s="27" t="n">
        <x:v>7</x:v>
      </x:c>
      <x:c r="M13" s="29" t="str">
        <x:v>対照47場</x:v>
      </x:c>
      <x:c r="N13" s="28" t="n">
        <x:v>58.1</x:v>
      </x:c>
      <x:c r="O13" s="28" t="n">
        <x:v>303.46666666666664</x:v>
      </x:c>
    </x:row>
    <x:row r="14" ht="22" customHeight="1">
      <x:c r="A14" s="2" t="str">
        <x:v>M2</x:v>
      </x:c>
      <x:c r="B14" s="24" t="d">
        <x:v>2026-09-24T17:00:00.000Z</x:v>
      </x:c>
      <x:c r="C14" s="2" t="str">
        <x:v>ナイト</x:v>
      </x:c>
      <x:c r="D14" s="20" t="n">
        <x:v>44616</x:v>
      </x:c>
      <x:c r="E14" s="20" t="n">
        <x:v>40384</x:v>
      </x:c>
      <x:c r="F14" s="20" t="n">
        <x:f>D14-E14</x:f>
        <x:v>4232</x:v>
      </x:c>
      <x:c r="G14" s="20" t="n">
        <x:f>SUMIFS($F$7:$F$56,$A$7:$A$56,A14,$B$7:$B$56,"&lt;="&amp;B14)</x:f>
        <x:v>-70374</x:v>
      </x:c>
      <x:c r="H14" s="20" t="n">
        <x:v>768</x:v>
      </x:c>
      <x:c r="I14" s="20" t="n">
        <x:v>5000</x:v>
      </x:c>
      <x:c r="J14" s="27" t="n">
        <x:v>2</x:v>
      </x:c>
      <x:c r="K14" s="27" t="n">
        <x:v>10</x:v>
      </x:c>
      <x:c r="L14" s="27" t="n">
        <x:v>5</x:v>
      </x:c>
      <x:c r="M14" s="29" t="str">
        <x:v>対照47場</x:v>
      </x:c>
      <x:c r="N14" s="28" t="n">
        <x:v>360.3333333333333</x:v>
      </x:c>
      <x:c r="O14" s="28" t="n">
        <x:v>13.133333333333333</x:v>
      </x:c>
    </x:row>
    <x:row r="15" ht="22" customHeight="1">
      <x:c r="A15" s="2" t="str">
        <x:v>M2</x:v>
      </x:c>
      <x:c r="B15" s="24" t="d">
        <x:v>2026-09-25T08:45:00.000Z</x:v>
      </x:c>
      <x:c r="C15" s="2" t="str">
        <x:v>デイ</x:v>
      </x:c>
      <x:c r="D15" s="20" t="n">
        <x:v>149310</x:v>
      </x:c>
      <x:c r="E15" s="20" t="n">
        <x:v>46308</x:v>
      </x:c>
      <x:c r="F15" s="20" t="n">
        <x:f>D15-E15</x:f>
        <x:v>103002</x:v>
      </x:c>
      <x:c r="G15" s="20" t="n">
        <x:f>SUMIFS($F$7:$F$56,$A$7:$A$56,A15,$B$7:$B$56,"&lt;="&amp;B15)</x:f>
        <x:v>32628</x:v>
      </x:c>
      <x:c r="H15" s="20" t="n">
        <x:v>998</x:v>
      </x:c>
      <x:c r="I15" s="20" t="n">
        <x:v>104000</x:v>
      </x:c>
      <x:c r="J15" s="27" t="n">
        <x:v>6</x:v>
      </x:c>
      <x:c r="K15" s="27" t="n">
        <x:v>13</x:v>
      </x:c>
      <x:c r="L15" s="27" t="n">
        <x:v>5</x:v>
      </x:c>
      <x:c r="M15" s="29" t="str">
        <x:v>対照47場</x:v>
      </x:c>
      <x:c r="N15" s="28" t="n">
        <x:v>62.81666666666667</x:v>
      </x:c>
      <x:c r="O15" s="28" t="n">
        <x:v>343.81666666666666</x:v>
      </x:c>
    </x:row>
    <x:row r="16" ht="22" customHeight="1">
      <x:c r="A16" s="2" t="str">
        <x:v>M2</x:v>
      </x:c>
      <x:c r="B16" s="24" t="d">
        <x:v>2026-09-25T17:00:00.000Z</x:v>
      </x:c>
      <x:c r="C16" s="2" t="str">
        <x:v>ナイト</x:v>
      </x:c>
      <x:c r="D16" s="20" t="n">
        <x:v>14616</x:v>
      </x:c>
      <x:c r="E16" s="20" t="n">
        <x:v>0</x:v>
      </x:c>
      <x:c r="F16" s="20" t="n">
        <x:f>D16-E16</x:f>
        <x:v>14616</x:v>
      </x:c>
      <x:c r="G16" s="20" t="n">
        <x:f>SUMIFS($F$7:$F$56,$A$7:$A$56,A16,$B$7:$B$56,"&lt;="&amp;B16)</x:f>
        <x:v>47244</x:v>
      </x:c>
      <x:c r="H16" s="20" t="n">
        <x:v>384</x:v>
      </x:c>
      <x:c r="I16" s="20" t="n">
        <x:v>15000</x:v>
      </x:c>
      <x:c r="J16" s="27" t="n">
        <x:v>1</x:v>
      </x:c>
      <x:c r="K16" s="27" t="n">
        <x:v>5</x:v>
      </x:c>
      <x:c r="L16" s="27" t="n">
        <x:v>5</x:v>
      </x:c>
      <x:c r="M16" s="29" t="str">
        <x:v>対照47場</x:v>
      </x:c>
      <x:c r="N16" s="28" t="n">
        <x:v>360</x:v>
      </x:c>
      <x:c r="O16" s="28" t="n">
        <x:v>2.433333333333333</x:v>
      </x:c>
    </x:row>
    <x:row r="17" ht="22" customHeight="1">
      <x:c r="A17" s="2" t="str">
        <x:v>M2</x:v>
      </x:c>
      <x:c r="B17" s="24" t="d">
        <x:v>2026-09-28T08:45:00.000Z</x:v>
      </x:c>
      <x:c r="C17" s="2" t="str">
        <x:v>デイ</x:v>
      </x:c>
      <x:c r="D17" s="20" t="n">
        <x:v>261616</x:v>
      </x:c>
      <x:c r="E17" s="20" t="n">
        <x:v>152000</x:v>
      </x:c>
      <x:c r="F17" s="20" t="n">
        <x:f>D17-E17</x:f>
        <x:v>109616</x:v>
      </x:c>
      <x:c r="G17" s="20" t="n">
        <x:f>SUMIFS($F$7:$F$56,$A$7:$A$56,A17,$B$7:$B$56,"&lt;="&amp;B17)</x:f>
        <x:v>156860</x:v>
      </x:c>
      <x:c r="H17" s="20" t="n">
        <x:v>1384</x:v>
      </x:c>
      <x:c r="I17" s="20" t="n">
        <x:v>111000</x:v>
      </x:c>
      <x:c r="J17" s="27" t="n">
        <x:v>6</x:v>
      </x:c>
      <x:c r="K17" s="27" t="n">
        <x:v>18</x:v>
      </x:c>
      <x:c r="L17" s="27" t="n">
        <x:v>5</x:v>
      </x:c>
      <x:c r="M17" s="29" t="str">
        <x:v>対照47場</x:v>
      </x:c>
      <x:c r="N17" s="28" t="n">
        <x:v>66.3</x:v>
      </x:c>
      <x:c r="O17" s="28" t="n">
        <x:v>331.28333333333336</x:v>
      </x:c>
    </x:row>
    <x:row r="18" ht="22" customHeight="1">
      <x:c r="A18" s="2" t="str">
        <x:v>M2</x:v>
      </x:c>
      <x:c r="B18" s="24" t="d">
        <x:v>2026-09-28T17:00:00.000Z</x:v>
      </x:c>
      <x:c r="C18" s="2" t="str">
        <x:v>ナイト</x:v>
      </x:c>
      <x:c r="D18" s="20" t="n">
        <x:v>59616</x:v>
      </x:c>
      <x:c r="E18" s="20" t="n">
        <x:v>20154</x:v>
      </x:c>
      <x:c r="F18" s="20" t="n">
        <x:f>D18-E18</x:f>
        <x:v>39462</x:v>
      </x:c>
      <x:c r="G18" s="20" t="n">
        <x:f>SUMIFS($F$7:$F$56,$A$7:$A$56,A18,$B$7:$B$56,"&lt;="&amp;B18)</x:f>
        <x:v>196322</x:v>
      </x:c>
      <x:c r="H18" s="20" t="n">
        <x:v>538</x:v>
      </x:c>
      <x:c r="I18" s="20" t="n">
        <x:v>40000</x:v>
      </x:c>
      <x:c r="J18" s="27" t="n">
        <x:v>2</x:v>
      </x:c>
      <x:c r="K18" s="27" t="n">
        <x:v>7</x:v>
      </x:c>
      <x:c r="L18" s="27" t="n">
        <x:v>5</x:v>
      </x:c>
      <x:c r="M18" s="29" t="str">
        <x:v>対照47場</x:v>
      </x:c>
      <x:c r="N18" s="28" t="n">
        <x:v>349.35</x:v>
      </x:c>
      <x:c r="O18" s="28" t="n">
        <x:v>8.1</x:v>
      </x:c>
    </x:row>
    <x:row r="19" ht="22" customHeight="1">
      <x:c r="A19" s="2" t="str">
        <x:v>M2</x:v>
      </x:c>
      <x:c r="B19" s="24" t="d">
        <x:v>2026-09-29T08:45:00.000Z</x:v>
      </x:c>
      <x:c r="C19" s="2" t="str">
        <x:v>デイ</x:v>
      </x:c>
      <x:c r="D19" s="20" t="n">
        <x:v>282232</x:v>
      </x:c>
      <x:c r="E19" s="20" t="n">
        <x:v>127614</x:v>
      </x:c>
      <x:c r="F19" s="20" t="n">
        <x:f>D19-E19</x:f>
        <x:v>154618</x:v>
      </x:c>
      <x:c r="G19" s="20" t="n">
        <x:f>SUMIFS($F$7:$F$56,$A$7:$A$56,A19,$B$7:$B$56,"&lt;="&amp;B19)</x:f>
        <x:v>350940</x:v>
      </x:c>
      <x:c r="H19" s="20" t="n">
        <x:v>1382</x:v>
      </x:c>
      <x:c r="I19" s="20" t="n">
        <x:v>156000</x:v>
      </x:c>
      <x:c r="J19" s="27" t="n">
        <x:v>7</x:v>
      </x:c>
      <x:c r="K19" s="27" t="n">
        <x:v>18</x:v>
      </x:c>
      <x:c r="L19" s="27" t="n">
        <x:v>8</x:v>
      </x:c>
      <x:c r="M19" s="29" t="str">
        <x:v>対照47場</x:v>
      </x:c>
      <x:c r="N19" s="28" t="n">
        <x:v>53.016666666666666</x:v>
      </x:c>
      <x:c r="O19" s="28" t="n">
        <x:v>310.6333333333333</x:v>
      </x:c>
    </x:row>
    <x:row r="20" ht="22" customHeight="1">
      <x:c r="A20" s="2" t="str">
        <x:v>M2</x:v>
      </x:c>
      <x:c r="B20" s="24" t="d">
        <x:v>2026-09-29T17:00:00.000Z</x:v>
      </x:c>
      <x:c r="C20" s="2" t="str">
        <x:v>ナイト</x:v>
      </x:c>
      <x:c r="D20" s="20" t="n">
        <x:v>168848</x:v>
      </x:c>
      <x:c r="E20" s="20" t="n">
        <x:v>66538</x:v>
      </x:c>
      <x:c r="F20" s="20" t="n">
        <x:f>D20-E20</x:f>
        <x:v>102310</x:v>
      </x:c>
      <x:c r="G20" s="20" t="n">
        <x:f>SUMIFS($F$7:$F$56,$A$7:$A$56,A20,$B$7:$B$56,"&lt;="&amp;B20)</x:f>
        <x:v>453250</x:v>
      </x:c>
      <x:c r="H20" s="20" t="n">
        <x:v>1690</x:v>
      </x:c>
      <x:c r="I20" s="20" t="n">
        <x:v>104000</x:v>
      </x:c>
      <x:c r="J20" s="27" t="n">
        <x:v>5</x:v>
      </x:c>
      <x:c r="K20" s="27" t="n">
        <x:v>22</x:v>
      </x:c>
      <x:c r="L20" s="27" t="n">
        <x:v>5</x:v>
      </x:c>
      <x:c r="M20" s="29" t="str">
        <x:v>対照47場</x:v>
      </x:c>
      <x:c r="N20" s="28" t="n">
        <x:v>359.71666666666664</x:v>
      </x:c>
      <x:c r="O20" s="28" t="n">
        <x:v>44.25</x:v>
      </x:c>
    </x:row>
    <x:row r="21" ht="22" customHeight="1">
      <x:c r="A21" s="2" t="str">
        <x:v>M2</x:v>
      </x:c>
      <x:c r="B21" s="24" t="d">
        <x:v>2026-09-30T08:45:00.000Z</x:v>
      </x:c>
      <x:c r="C21" s="2" t="str">
        <x:v>デイ</x:v>
      </x:c>
      <x:c r="D21" s="20" t="n">
        <x:v>170616</x:v>
      </x:c>
      <x:c r="E21" s="20" t="n">
        <x:v>72614</x:v>
      </x:c>
      <x:c r="F21" s="20" t="n">
        <x:f>D21-E21</x:f>
        <x:v>98002</x:v>
      </x:c>
      <x:c r="G21" s="20" t="n">
        <x:f>SUMIFS($F$7:$F$56,$A$7:$A$56,A21,$B$7:$B$56,"&lt;="&amp;B21)</x:f>
        <x:v>551252</x:v>
      </x:c>
      <x:c r="H21" s="20" t="n">
        <x:v>998</x:v>
      </x:c>
      <x:c r="I21" s="20" t="n">
        <x:v>99000</x:v>
      </x:c>
      <x:c r="J21" s="27" t="n">
        <x:v>4</x:v>
      </x:c>
      <x:c r="K21" s="27" t="n">
        <x:v>13</x:v>
      </x:c>
      <x:c r="L21" s="27" t="n">
        <x:v>5</x:v>
      </x:c>
      <x:c r="M21" s="29" t="str">
        <x:v>対照47場</x:v>
      </x:c>
      <x:c r="N21" s="28" t="n">
        <x:v>161.31666666666666</x:v>
      </x:c>
      <x:c r="O21" s="28" t="n">
        <x:v>162.66666666666666</x:v>
      </x:c>
    </x:row>
    <x:row r="22" ht="22" customHeight="1">
      <x:c r="A22" s="2" t="str">
        <x:v>M2</x:v>
      </x:c>
      <x:c r="B22" s="24" t="d">
        <x:v>2026-09-30T17:00:00.000Z</x:v>
      </x:c>
      <x:c r="C22" s="2" t="str">
        <x:v>ナイト</x:v>
      </x:c>
      <x:c r="D22" s="20" t="n">
        <x:v>59232</x:v>
      </x:c>
      <x:c r="E22" s="20" t="n">
        <x:v>0</x:v>
      </x:c>
      <x:c r="F22" s="20" t="n">
        <x:f>D22-E22</x:f>
        <x:v>59232</x:v>
      </x:c>
      <x:c r="G22" s="20" t="n">
        <x:f>SUMIFS($F$7:$F$56,$A$7:$A$56,A22,$B$7:$B$56,"&lt;="&amp;B22)</x:f>
        <x:v>610484</x:v>
      </x:c>
      <x:c r="H22" s="20" t="n">
        <x:v>768</x:v>
      </x:c>
      <x:c r="I22" s="20" t="n">
        <x:v>60000</x:v>
      </x:c>
      <x:c r="J22" s="27" t="n">
        <x:v>2</x:v>
      </x:c>
      <x:c r="K22" s="27" t="n">
        <x:v>10</x:v>
      </x:c>
      <x:c r="L22" s="27" t="n">
        <x:v>5</x:v>
      </x:c>
      <x:c r="M22" s="29" t="str">
        <x:v>対照47場</x:v>
      </x:c>
      <x:c r="N22" s="28" t="n">
        <x:v>360</x:v>
      </x:c>
      <x:c r="O22" s="28" t="n">
        <x:v>19.883333333333333</x:v>
      </x:c>
    </x:row>
    <x:row r="23" ht="22" customHeight="1">
      <x:c r="A23" s="2" t="str">
        <x:v>M2</x:v>
      </x:c>
      <x:c r="B23" s="24" t="d">
        <x:v>2026-10-01T08:45:00.000Z</x:v>
      </x:c>
      <x:c r="C23" s="2" t="str">
        <x:v>デイ</x:v>
      </x:c>
      <x:c r="D23" s="20" t="n">
        <x:v>507234</x:v>
      </x:c>
      <x:c r="E23" s="20" t="n">
        <x:v>60384</x:v>
      </x:c>
      <x:c r="F23" s="20" t="n">
        <x:f>D23-E23</x:f>
        <x:v>446850</x:v>
      </x:c>
      <x:c r="G23" s="20" t="n">
        <x:f>SUMIFS($F$7:$F$56,$A$7:$A$56,A23,$B$7:$B$56,"&lt;="&amp;B23)</x:f>
        <x:v>1057334</x:v>
      </x:c>
      <x:c r="H23" s="20" t="n">
        <x:v>1150</x:v>
      </x:c>
      <x:c r="I23" s="20" t="n">
        <x:v>448000</x:v>
      </x:c>
      <x:c r="J23" s="27" t="n">
        <x:v>6</x:v>
      </x:c>
      <x:c r="K23" s="27" t="n">
        <x:v>15</x:v>
      </x:c>
      <x:c r="L23" s="27" t="n">
        <x:v>7</x:v>
      </x:c>
      <x:c r="M23" s="29" t="str">
        <x:v>対照47場</x:v>
      </x:c>
      <x:c r="N23" s="28" t="n">
        <x:v>88.93333333333334</x:v>
      </x:c>
      <x:c r="O23" s="28" t="n">
        <x:v>317.35</x:v>
      </x:c>
    </x:row>
    <x:row r="24" ht="22" customHeight="1">
      <x:c r="A24" s="2" t="str">
        <x:v>M2</x:v>
      </x:c>
      <x:c r="B24" s="24" t="d">
        <x:v>2026-10-01T17:00:00.000Z</x:v>
      </x:c>
      <x:c r="C24" s="2" t="str">
        <x:v>ナイト</x:v>
      </x:c>
      <x:c r="D24" s="20" t="n">
        <x:v>55692</x:v>
      </x:c>
      <x:c r="E24" s="20" t="n">
        <x:v>0</x:v>
      </x:c>
      <x:c r="F24" s="20" t="n">
        <x:f>D24-E24</x:f>
        <x:v>55692</x:v>
      </x:c>
      <x:c r="G24" s="20" t="n">
        <x:f>SUMIFS($F$7:$F$56,$A$7:$A$56,A24,$B$7:$B$56,"&lt;="&amp;B24)</x:f>
        <x:v>1113026</x:v>
      </x:c>
      <x:c r="H24" s="20" t="n">
        <x:v>308</x:v>
      </x:c>
      <x:c r="I24" s="20" t="n">
        <x:v>56000</x:v>
      </x:c>
      <x:c r="J24" s="27" t="n">
        <x:v>1</x:v>
      </x:c>
      <x:c r="K24" s="27" t="n">
        <x:v>4</x:v>
      </x:c>
      <x:c r="L24" s="27" t="n">
        <x:v>4</x:v>
      </x:c>
      <x:c r="M24" s="29" t="str">
        <x:v>対照47場</x:v>
      </x:c>
      <x:c r="N24" s="28" t="n">
        <x:v>360</x:v>
      </x:c>
      <x:c r="O24" s="28" t="n">
        <x:v>2.75</x:v>
      </x:c>
    </x:row>
    <x:row r="25" ht="22" customHeight="1">
      <x:c r="A25" s="2" t="str">
        <x:v>M2</x:v>
      </x:c>
      <x:c r="B25" s="24" t="d">
        <x:v>2026-10-02T08:45:00.000Z</x:v>
      </x:c>
      <x:c r="C25" s="2" t="str">
        <x:v>デイ</x:v>
      </x:c>
      <x:c r="D25" s="20" t="n">
        <x:v>13694</x:v>
      </x:c>
      <x:c r="E25" s="20" t="n">
        <x:v>116920</x:v>
      </x:c>
      <x:c r="F25" s="20" t="n">
        <x:f>D25-E25</x:f>
        <x:v>-103226</x:v>
      </x:c>
      <x:c r="G25" s="20" t="n">
        <x:f>SUMIFS($F$7:$F$56,$A$7:$A$56,A25,$B$7:$B$56,"&lt;="&amp;B25)</x:f>
        <x:v>1009800</x:v>
      </x:c>
      <x:c r="H25" s="20" t="n">
        <x:v>1226</x:v>
      </x:c>
      <x:c r="I25" s="20" t="n">
        <x:v>-102000</x:v>
      </x:c>
      <x:c r="J25" s="27" t="n">
        <x:v>9</x:v>
      </x:c>
      <x:c r="K25" s="27" t="n">
        <x:v>16</x:v>
      </x:c>
      <x:c r="L25" s="27" t="n">
        <x:v>5</x:v>
      </x:c>
      <x:c r="M25" s="29" t="str">
        <x:v>対照47場</x:v>
      </x:c>
      <x:c r="N25" s="28" t="n">
        <x:v>100.65</x:v>
      </x:c>
      <x:c r="O25" s="28" t="n">
        <x:v>257.23333333333335</x:v>
      </x:c>
    </x:row>
    <x:row r="26" ht="22" customHeight="1">
      <x:c r="A26" s="2" t="str">
        <x:v>M2</x:v>
      </x:c>
      <x:c r="B26" s="24" t="d">
        <x:v>2026-10-02T17:00:00.000Z</x:v>
      </x:c>
      <x:c r="C26" s="2" t="str">
        <x:v>ナイト</x:v>
      </x:c>
      <x:c r="D26" s="20" t="n">
        <x:v>119232</x:v>
      </x:c>
      <x:c r="E26" s="20" t="n">
        <x:v>55384</x:v>
      </x:c>
      <x:c r="F26" s="20" t="n">
        <x:f>D26-E26</x:f>
        <x:v>63848</x:v>
      </x:c>
      <x:c r="G26" s="20" t="n">
        <x:f>SUMIFS($F$7:$F$56,$A$7:$A$56,A26,$B$7:$B$56,"&lt;="&amp;B26)</x:f>
        <x:v>1073648</x:v>
      </x:c>
      <x:c r="H26" s="20" t="n">
        <x:v>1152</x:v>
      </x:c>
      <x:c r="I26" s="20" t="n">
        <x:v>65000</x:v>
      </x:c>
      <x:c r="J26" s="27" t="n">
        <x:v>3</x:v>
      </x:c>
      <x:c r="K26" s="27" t="n">
        <x:v>15</x:v>
      </x:c>
      <x:c r="L26" s="27" t="n">
        <x:v>5</x:v>
      </x:c>
      <x:c r="M26" s="29" t="str">
        <x:v>対照47場</x:v>
      </x:c>
      <x:c r="N26" s="28" t="n">
        <x:v>360</x:v>
      </x:c>
      <x:c r="O26" s="28" t="n">
        <x:v>17.783333333333335</x:v>
      </x:c>
    </x:row>
    <x:row r="27" ht="22" customHeight="1">
      <x:c r="A27" s="2" t="str">
        <x:v>M2</x:v>
      </x:c>
      <x:c r="B27" s="24" t="d">
        <x:v>2026-10-05T08:45:00.000Z</x:v>
      </x:c>
      <x:c r="C27" s="2" t="str">
        <x:v>デイ</x:v>
      </x:c>
      <x:c r="D27" s="20" t="n">
        <x:v>51234</x:v>
      </x:c>
      <x:c r="E27" s="20" t="n">
        <x:v>148690</x:v>
      </x:c>
      <x:c r="F27" s="20" t="n">
        <x:f>D27-E27</x:f>
        <x:v>-97456</x:v>
      </x:c>
      <x:c r="G27" s="20" t="n">
        <x:f>SUMIFS($F$7:$F$56,$A$7:$A$56,A27,$B$7:$B$56,"&lt;="&amp;B27)</x:f>
        <x:v>976192</x:v>
      </x:c>
      <x:c r="H27" s="20" t="n">
        <x:v>2456</x:v>
      </x:c>
      <x:c r="I27" s="20" t="n">
        <x:v>-95000</x:v>
      </x:c>
      <x:c r="J27" s="27" t="n">
        <x:v>10</x:v>
      </x:c>
      <x:c r="K27" s="27" t="n">
        <x:v>32</x:v>
      </x:c>
      <x:c r="L27" s="27" t="n">
        <x:v>10</x:v>
      </x:c>
      <x:c r="M27" s="29" t="str">
        <x:v>対照47場</x:v>
      </x:c>
      <x:c r="N27" s="28" t="n">
        <x:v>106</x:v>
      </x:c>
      <x:c r="O27" s="28" t="n">
        <x:v>193.58333333333334</x:v>
      </x:c>
    </x:row>
    <x:row r="28" ht="22" customHeight="1">
      <x:c r="A28" s="2" t="str">
        <x:v>M2</x:v>
      </x:c>
      <x:c r="B28" s="24" t="d">
        <x:v>2026-10-05T17:00:00.000Z</x:v>
      </x:c>
      <x:c r="C28" s="2" t="str">
        <x:v>ナイト</x:v>
      </x:c>
      <x:c r="D28" s="20" t="n">
        <x:v>50234</x:v>
      </x:c>
      <x:c r="E28" s="20" t="n">
        <x:v>20384</x:v>
      </x:c>
      <x:c r="F28" s="20" t="n">
        <x:f>D28-E28</x:f>
        <x:v>29850</x:v>
      </x:c>
      <x:c r="G28" s="20" t="n">
        <x:f>SUMIFS($F$7:$F$56,$A$7:$A$56,A28,$B$7:$B$56,"&lt;="&amp;B28)</x:f>
        <x:v>1006042</x:v>
      </x:c>
      <x:c r="H28" s="20" t="n">
        <x:v>1150</x:v>
      </x:c>
      <x:c r="I28" s="20" t="n">
        <x:v>31000</x:v>
      </x:c>
      <x:c r="J28" s="27" t="n">
        <x:v>6</x:v>
      </x:c>
      <x:c r="K28" s="27" t="n">
        <x:v>15</x:v>
      </x:c>
      <x:c r="L28" s="27" t="n">
        <x:v>5</x:v>
      </x:c>
      <x:c r="M28" s="29" t="str">
        <x:v>対照47場</x:v>
      </x:c>
      <x:c r="N28" s="28" t="n">
        <x:v>360.01666666666665</x:v>
      </x:c>
      <x:c r="O28" s="28" t="n">
        <x:v>43.21666666666667</x:v>
      </x:c>
    </x:row>
    <x:row r="29" ht="22" customHeight="1">
      <x:c r="A29" s="2" t="str">
        <x:v>M2</x:v>
      </x:c>
      <x:c r="B29" s="24" t="d">
        <x:v>2026-10-06T08:45:00.000Z</x:v>
      </x:c>
      <x:c r="C29" s="2" t="str">
        <x:v>デイ</x:v>
      </x:c>
      <x:c r="D29" s="20" t="n">
        <x:v>126234</x:v>
      </x:c>
      <x:c r="E29" s="20" t="n">
        <x:v>114692</x:v>
      </x:c>
      <x:c r="F29" s="20" t="n">
        <x:f>D29-E29</x:f>
        <x:v>11542</x:v>
      </x:c>
      <x:c r="G29" s="20" t="n">
        <x:f>SUMIFS($F$7:$F$56,$A$7:$A$56,A29,$B$7:$B$56,"&lt;="&amp;B29)</x:f>
        <x:v>1017584</x:v>
      </x:c>
      <x:c r="H29" s="20" t="n">
        <x:v>1458</x:v>
      </x:c>
      <x:c r="I29" s="20" t="n">
        <x:v>13000</x:v>
      </x:c>
      <x:c r="J29" s="27" t="n">
        <x:v>8</x:v>
      </x:c>
      <x:c r="K29" s="27" t="n">
        <x:v>19</x:v>
      </x:c>
      <x:c r="L29" s="27" t="n">
        <x:v>5</x:v>
      </x:c>
      <x:c r="M29" s="29" t="str">
        <x:v>対照47場</x:v>
      </x:c>
      <x:c r="N29" s="28" t="n">
        <x:v>51.833333333333336</x:v>
      </x:c>
      <x:c r="O29" s="28" t="n">
        <x:v>249.05</x:v>
      </x:c>
    </x:row>
    <x:row r="30" ht="22" customHeight="1">
      <x:c r="A30" s="2" t="str">
        <x:v>M2</x:v>
      </x:c>
      <x:c r="B30" s="24" t="d">
        <x:v>2026-10-06T17:00:00.000Z</x:v>
      </x:c>
      <x:c r="C30" s="2" t="str">
        <x:v>ナイト</x:v>
      </x:c>
      <x:c r="D30" s="20" t="n">
        <x:v>24616</x:v>
      </x:c>
      <x:c r="E30" s="20" t="n">
        <x:v>35384</x:v>
      </x:c>
      <x:c r="F30" s="20" t="n">
        <x:f>D30-E30</x:f>
        <x:v>-10768</x:v>
      </x:c>
      <x:c r="G30" s="20" t="n">
        <x:f>SUMIFS($F$7:$F$56,$A$7:$A$56,A30,$B$7:$B$56,"&lt;="&amp;B30)</x:f>
        <x:v>1006816</x:v>
      </x:c>
      <x:c r="H30" s="20" t="n">
        <x:v>768</x:v>
      </x:c>
      <x:c r="I30" s="20" t="n">
        <x:v>-10000</x:v>
      </x:c>
      <x:c r="J30" s="27" t="n">
        <x:v>2</x:v>
      </x:c>
      <x:c r="K30" s="27" t="n">
        <x:v>10</x:v>
      </x:c>
      <x:c r="L30" s="27" t="n">
        <x:v>5</x:v>
      </x:c>
      <x:c r="M30" s="29" t="str">
        <x:v>対照47場</x:v>
      </x:c>
      <x:c r="N30" s="28" t="n">
        <x:v>360.06666666666666</x:v>
      </x:c>
      <x:c r="O30" s="28" t="n">
        <x:v>13.533333333333333</x:v>
      </x:c>
    </x:row>
    <x:row r="31" ht="22" customHeight="1">
      <x:c r="A31" s="2" t="str">
        <x:v>M2</x:v>
      </x:c>
      <x:c r="B31" s="24" t="d">
        <x:v>2026-10-07T08:45:00.000Z</x:v>
      </x:c>
      <x:c r="C31" s="2" t="str">
        <x:v>デイ</x:v>
      </x:c>
      <x:c r="D31" s="20" t="n">
        <x:v>126544</x:v>
      </x:c>
      <x:c r="E31" s="20" t="n">
        <x:v>0</x:v>
      </x:c>
      <x:c r="F31" s="20" t="n">
        <x:f>D31-E31</x:f>
        <x:v>126544</x:v>
      </x:c>
      <x:c r="G31" s="20" t="n">
        <x:f>SUMIFS($F$7:$F$56,$A$7:$A$56,A31,$B$7:$B$56,"&lt;="&amp;B31)</x:f>
        <x:v>1133360</x:v>
      </x:c>
      <x:c r="H31" s="20" t="n">
        <x:v>1456</x:v>
      </x:c>
      <x:c r="I31" s="20" t="n">
        <x:v>128000</x:v>
      </x:c>
      <x:c r="J31" s="27" t="n">
        <x:v>9</x:v>
      </x:c>
      <x:c r="K31" s="27" t="n">
        <x:v>19</x:v>
      </x:c>
      <x:c r="L31" s="27" t="n">
        <x:v>8</x:v>
      </x:c>
      <x:c r="M31" s="29" t="str">
        <x:v>対照47場</x:v>
      </x:c>
      <x:c r="N31" s="28" t="n">
        <x:v>47.516666666666666</x:v>
      </x:c>
      <x:c r="O31" s="28" t="n">
        <x:v>113.96666666666667</x:v>
      </x:c>
    </x:row>
    <x:row r="32" ht="22" customHeight="1">
      <x:c r="A32" s="2" t="str">
        <x:v>M2</x:v>
      </x:c>
      <x:c r="B32" s="24" t="d">
        <x:v>2026-10-07T17:00:00.000Z</x:v>
      </x:c>
      <x:c r="C32" s="2" t="str">
        <x:v>ナイト</x:v>
      </x:c>
      <x:c r="D32" s="20" t="n">
        <x:v>24232</x:v>
      </x:c>
      <x:c r="E32" s="20" t="n">
        <x:v>0</x:v>
      </x:c>
      <x:c r="F32" s="20" t="n">
        <x:f>D32-E32</x:f>
        <x:v>24232</x:v>
      </x:c>
      <x:c r="G32" s="20" t="n">
        <x:f>SUMIFS($F$7:$F$56,$A$7:$A$56,A32,$B$7:$B$56,"&lt;="&amp;B32)</x:f>
        <x:v>1157592</x:v>
      </x:c>
      <x:c r="H32" s="20" t="n">
        <x:v>768</x:v>
      </x:c>
      <x:c r="I32" s="20" t="n">
        <x:v>25000</x:v>
      </x:c>
      <x:c r="J32" s="27" t="n">
        <x:v>2</x:v>
      </x:c>
      <x:c r="K32" s="27" t="n">
        <x:v>10</x:v>
      </x:c>
      <x:c r="L32" s="27" t="n">
        <x:v>5</x:v>
      </x:c>
      <x:c r="M32" s="29" t="str">
        <x:v>対照47場</x:v>
      </x:c>
      <x:c r="N32" s="28" t="n">
        <x:v>360</x:v>
      </x:c>
      <x:c r="O32" s="28" t="n">
        <x:v>11.1</x:v>
      </x:c>
    </x:row>
    <x:row r="33" ht="22" customHeight="1">
      <x:c r="A33" s="2" t="str">
        <x:v>M2</x:v>
      </x:c>
      <x:c r="B33" s="24" t="d">
        <x:v>2026-10-08T08:45:00.000Z</x:v>
      </x:c>
      <x:c r="C33" s="2" t="str">
        <x:v>デイ</x:v>
      </x:c>
      <x:c r="D33" s="20" t="n">
        <x:v>187234</x:v>
      </x:c>
      <x:c r="E33" s="20" t="n">
        <x:v>151536</x:v>
      </x:c>
      <x:c r="F33" s="20" t="n">
        <x:f>D33-E33</x:f>
        <x:v>35698</x:v>
      </x:c>
      <x:c r="G33" s="20" t="n">
        <x:f>SUMIFS($F$7:$F$56,$A$7:$A$56,A33,$B$7:$B$56,"&lt;="&amp;B33)</x:f>
        <x:v>1193290</x:v>
      </x:c>
      <x:c r="H33" s="20" t="n">
        <x:v>2302</x:v>
      </x:c>
      <x:c r="I33" s="20" t="n">
        <x:v>38000</x:v>
      </x:c>
      <x:c r="J33" s="27" t="n">
        <x:v>9</x:v>
      </x:c>
      <x:c r="K33" s="27" t="n">
        <x:v>30</x:v>
      </x:c>
      <x:c r="L33" s="27" t="n">
        <x:v>5</x:v>
      </x:c>
      <x:c r="M33" s="29" t="str">
        <x:v>対照47場</x:v>
      </x:c>
      <x:c r="N33" s="28" t="n">
        <x:v>70.23333333333333</x:v>
      </x:c>
      <x:c r="O33" s="28" t="n">
        <x:v>92.66666666666667</x:v>
      </x:c>
    </x:row>
    <x:row r="34" ht="22" customHeight="1">
      <x:c r="A34" s="2" t="str">
        <x:v>M2</x:v>
      </x:c>
      <x:c r="B34" s="24" t="d">
        <x:v>2026-10-08T17:00:00.000Z</x:v>
      </x:c>
      <x:c r="C34" s="2" t="str">
        <x:v>ナイト</x:v>
      </x:c>
      <x:c r="D34" s="20" t="n">
        <x:v>49232</x:v>
      </x:c>
      <x:c r="E34" s="20" t="n">
        <x:v>0</x:v>
      </x:c>
      <x:c r="F34" s="20" t="n">
        <x:f>D34-E34</x:f>
        <x:v>49232</x:v>
      </x:c>
      <x:c r="G34" s="20" t="n">
        <x:f>SUMIFS($F$7:$F$56,$A$7:$A$56,A34,$B$7:$B$56,"&lt;="&amp;B34)</x:f>
        <x:v>1242522</x:v>
      </x:c>
      <x:c r="H34" s="20" t="n">
        <x:v>768</x:v>
      </x:c>
      <x:c r="I34" s="20" t="n">
        <x:v>50000</x:v>
      </x:c>
      <x:c r="J34" s="27" t="n">
        <x:v>2</x:v>
      </x:c>
      <x:c r="K34" s="27" t="n">
        <x:v>10</x:v>
      </x:c>
      <x:c r="L34" s="27" t="n">
        <x:v>5</x:v>
      </x:c>
      <x:c r="M34" s="29" t="str">
        <x:v>対照47場</x:v>
      </x:c>
      <x:c r="N34" s="28" t="n">
        <x:v>360</x:v>
      </x:c>
      <x:c r="O34" s="28" t="n">
        <x:v>23.016666666666666</x:v>
      </x:c>
    </x:row>
    <x:row r="35" ht="22" customHeight="1">
      <x:c r="A35" s="2" t="str">
        <x:v>M2</x:v>
      </x:c>
      <x:c r="B35" s="24" t="d">
        <x:v>2026-10-09T08:45:00.000Z</x:v>
      </x:c>
      <x:c r="C35" s="2" t="str">
        <x:v>デイ</x:v>
      </x:c>
      <x:c r="D35" s="20" t="n">
        <x:v>76310</x:v>
      </x:c>
      <x:c r="E35" s="20" t="n">
        <x:v>43384</x:v>
      </x:c>
      <x:c r="F35" s="20" t="n">
        <x:f>D35-E35</x:f>
        <x:v>32926</x:v>
      </x:c>
      <x:c r="G35" s="20" t="n">
        <x:f>SUMIFS($F$7:$F$56,$A$7:$A$56,A35,$B$7:$B$56,"&lt;="&amp;B35)</x:f>
        <x:v>1275448</x:v>
      </x:c>
      <x:c r="H35" s="20" t="n">
        <x:v>1074</x:v>
      </x:c>
      <x:c r="I35" s="20" t="n">
        <x:v>34000</x:v>
      </x:c>
      <x:c r="J35" s="27" t="n">
        <x:v>7</x:v>
      </x:c>
      <x:c r="K35" s="27" t="n">
        <x:v>14</x:v>
      </x:c>
      <x:c r="L35" s="27" t="n">
        <x:v>5</x:v>
      </x:c>
      <x:c r="M35" s="29" t="str">
        <x:v>対照47場</x:v>
      </x:c>
      <x:c r="N35" s="28" t="n">
        <x:v>54.45</x:v>
      </x:c>
      <x:c r="O35" s="28" t="n">
        <x:v>87.9</x:v>
      </x:c>
    </x:row>
    <x:row r="36" ht="22" customHeight="1">
      <x:c r="A36" s="2" t="str">
        <x:v>M2</x:v>
      </x:c>
      <x:c r="B36" s="24" t="d">
        <x:v>2026-10-09T17:00:00.000Z</x:v>
      </x:c>
      <x:c r="C36" s="2" t="str">
        <x:v>ナイト</x:v>
      </x:c>
      <x:c r="D36" s="20" t="n">
        <x:v>19616</x:v>
      </x:c>
      <x:c r="E36" s="20" t="n">
        <x:v>0</x:v>
      </x:c>
      <x:c r="F36" s="20" t="n">
        <x:f>D36-E36</x:f>
        <x:v>19616</x:v>
      </x:c>
      <x:c r="G36" s="20" t="n">
        <x:f>SUMIFS($F$7:$F$56,$A$7:$A$56,A36,$B$7:$B$56,"&lt;="&amp;B36)</x:f>
        <x:v>1295064</x:v>
      </x:c>
      <x:c r="H36" s="20" t="n">
        <x:v>384</x:v>
      </x:c>
      <x:c r="I36" s="20" t="n">
        <x:v>20000</x:v>
      </x:c>
      <x:c r="J36" s="27" t="n">
        <x:v>1</x:v>
      </x:c>
      <x:c r="K36" s="27" t="n">
        <x:v>5</x:v>
      </x:c>
      <x:c r="L36" s="27" t="n">
        <x:v>5</x:v>
      </x:c>
      <x:c r="M36" s="29" t="str">
        <x:v>対照47場</x:v>
      </x:c>
      <x:c r="N36" s="28" t="n">
        <x:v>360.06666666666666</x:v>
      </x:c>
      <x:c r="O36" s="28" t="n">
        <x:v>11.916666666666666</x:v>
      </x:c>
    </x:row>
    <x:row r="37" ht="22" customHeight="1">
      <x:c r="A37" s="2" t="str">
        <x:v>M2</x:v>
      </x:c>
      <x:c r="B37" s="24" t="d">
        <x:v>2026-10-12T08:45:00.000Z</x:v>
      </x:c>
      <x:c r="C37" s="2" t="str">
        <x:v>デイ</x:v>
      </x:c>
      <x:c r="D37" s="20" t="n">
        <x:v>32616</x:v>
      </x:c>
      <x:c r="E37" s="20" t="n">
        <x:v>25384</x:v>
      </x:c>
      <x:c r="F37" s="20" t="n">
        <x:f>D37-E37</x:f>
        <x:v>7232</x:v>
      </x:c>
      <x:c r="G37" s="20" t="n">
        <x:f>SUMIFS($F$7:$F$56,$A$7:$A$56,A37,$B$7:$B$56,"&lt;="&amp;B37)</x:f>
        <x:v>1302296</x:v>
      </x:c>
      <x:c r="H37" s="20" t="n">
        <x:v>768</x:v>
      </x:c>
      <x:c r="I37" s="20" t="n">
        <x:v>8000</x:v>
      </x:c>
      <x:c r="J37" s="27" t="n">
        <x:v>2</x:v>
      </x:c>
      <x:c r="K37" s="27" t="n">
        <x:v>10</x:v>
      </x:c>
      <x:c r="L37" s="27" t="n">
        <x:v>5</x:v>
      </x:c>
      <x:c r="M37" s="29" t="str">
        <x:v>対照47場</x:v>
      </x:c>
      <x:c r="N37" s="28" t="n">
        <x:v>122.76666666666667</x:v>
      </x:c>
      <x:c r="O37" s="28" t="n">
        <x:v>265.15</x:v>
      </x:c>
    </x:row>
    <x:row r="38" ht="22" customHeight="1">
      <x:c r="A38" s="2" t="str">
        <x:v>M2</x:v>
      </x:c>
      <x:c r="B38" s="24" t="d">
        <x:v>2026-10-12T17:00:00.000Z</x:v>
      </x:c>
      <x:c r="C38" s="2" t="str">
        <x:v>ナイト</x:v>
      </x:c>
      <x:c r="D38" s="20" t="n">
        <x:v>94616</x:v>
      </x:c>
      <x:c r="E38" s="20" t="n">
        <x:v>0</x:v>
      </x:c>
      <x:c r="F38" s="20" t="n">
        <x:f>D38-E38</x:f>
        <x:v>94616</x:v>
      </x:c>
      <x:c r="G38" s="20" t="n">
        <x:f>SUMIFS($F$7:$F$56,$A$7:$A$56,A38,$B$7:$B$56,"&lt;="&amp;B38)</x:f>
        <x:v>1396912</x:v>
      </x:c>
      <x:c r="H38" s="20" t="n">
        <x:v>384</x:v>
      </x:c>
      <x:c r="I38" s="20" t="n">
        <x:v>95000</x:v>
      </x:c>
      <x:c r="J38" s="27" t="n">
        <x:v>1</x:v>
      </x:c>
      <x:c r="K38" s="27" t="n">
        <x:v>5</x:v>
      </x:c>
      <x:c r="L38" s="27" t="n">
        <x:v>5</x:v>
      </x:c>
      <x:c r="M38" s="29" t="str">
        <x:v>対照47場</x:v>
      </x:c>
      <x:c r="N38" s="28" t="n">
        <x:v>360.21666666666664</x:v>
      </x:c>
      <x:c r="O38" s="28" t="n">
        <x:v>10.65</x:v>
      </x:c>
    </x:row>
    <x:row r="39" ht="22" customHeight="1">
      <x:c r="A39" s="2" t="str">
        <x:v>M2</x:v>
      </x:c>
      <x:c r="B39" s="24" t="d">
        <x:v>2026-10-13T08:45:00.000Z</x:v>
      </x:c>
      <x:c r="C39" s="2" t="str">
        <x:v>デイ</x:v>
      </x:c>
      <x:c r="D39" s="20" t="n">
        <x:v>77926</x:v>
      </x:c>
      <x:c r="E39" s="20" t="n">
        <x:v>114846</x:v>
      </x:c>
      <x:c r="F39" s="20" t="n">
        <x:f>D39-E39</x:f>
        <x:v>-36920</x:v>
      </x:c>
      <x:c r="G39" s="20" t="n">
        <x:f>SUMIFS($F$7:$F$56,$A$7:$A$56,A39,$B$7:$B$56,"&lt;="&amp;B39)</x:f>
        <x:v>1359992</x:v>
      </x:c>
      <x:c r="H39" s="20" t="n">
        <x:v>1920</x:v>
      </x:c>
      <x:c r="I39" s="20" t="n">
        <x:v>-35000</x:v>
      </x:c>
      <x:c r="J39" s="27" t="n">
        <x:v>9</x:v>
      </x:c>
      <x:c r="K39" s="27" t="n">
        <x:v>25</x:v>
      </x:c>
      <x:c r="L39" s="27" t="n">
        <x:v>5</x:v>
      </x:c>
      <x:c r="M39" s="29" t="str">
        <x:v>対照47場</x:v>
      </x:c>
      <x:c r="N39" s="28" t="n">
        <x:v>65.25</x:v>
      </x:c>
      <x:c r="O39" s="28" t="n">
        <x:v>313.5833333333333</x:v>
      </x:c>
    </x:row>
    <x:row r="40" ht="22" customHeight="1">
      <x:c r="A40" s="2" t="str">
        <x:v>M2</x:v>
      </x:c>
      <x:c r="B40" s="24" t="d">
        <x:v>2026-10-13T17:00:00.000Z</x:v>
      </x:c>
      <x:c r="C40" s="2" t="str">
        <x:v>ナイト</x:v>
      </x:c>
      <x:c r="D40" s="20" t="n">
        <x:v>0</x:v>
      </x:c>
      <x:c r="E40" s="20" t="n">
        <x:v>80768</x:v>
      </x:c>
      <x:c r="F40" s="20" t="n">
        <x:f>D40-E40</x:f>
        <x:v>-80768</x:v>
      </x:c>
      <x:c r="G40" s="20" t="n">
        <x:f>SUMIFS($F$7:$F$56,$A$7:$A$56,A40,$B$7:$B$56,"&lt;="&amp;B40)</x:f>
        <x:v>1279224</x:v>
      </x:c>
      <x:c r="H40" s="20" t="n">
        <x:v>768</x:v>
      </x:c>
      <x:c r="I40" s="20" t="n">
        <x:v>-80000</x:v>
      </x:c>
      <x:c r="J40" s="27" t="n">
        <x:v>2</x:v>
      </x:c>
      <x:c r="K40" s="27" t="n">
        <x:v>10</x:v>
      </x:c>
      <x:c r="L40" s="27" t="n">
        <x:v>5</x:v>
      </x:c>
      <x:c r="M40" s="29" t="str">
        <x:v>対照47場</x:v>
      </x:c>
      <x:c r="N40" s="28" t="n">
        <x:v>360.23333333333335</x:v>
      </x:c>
      <x:c r="O40" s="28" t="n">
        <x:v>7.716666666666667</x:v>
      </x:c>
    </x:row>
    <x:row r="41" ht="22" customHeight="1">
      <x:c r="A41" s="2" t="str">
        <x:v>M2</x:v>
      </x:c>
      <x:c r="B41" s="24" t="d">
        <x:v>2026-10-14T08:45:00.000Z</x:v>
      </x:c>
      <x:c r="C41" s="2" t="str">
        <x:v>デイ</x:v>
      </x:c>
      <x:c r="D41" s="20" t="n">
        <x:v>172232</x:v>
      </x:c>
      <x:c r="E41" s="20" t="n">
        <x:v>82768</x:v>
      </x:c>
      <x:c r="F41" s="20" t="n">
        <x:f>D41-E41</x:f>
        <x:v>89464</x:v>
      </x:c>
      <x:c r="G41" s="20" t="n">
        <x:f>SUMIFS($F$7:$F$56,$A$7:$A$56,A41,$B$7:$B$56,"&lt;="&amp;B41)</x:f>
        <x:v>1368688</x:v>
      </x:c>
      <x:c r="H41" s="20" t="n">
        <x:v>1536</x:v>
      </x:c>
      <x:c r="I41" s="20" t="n">
        <x:v>91000</x:v>
      </x:c>
      <x:c r="J41" s="27" t="n">
        <x:v>6</x:v>
      </x:c>
      <x:c r="K41" s="27" t="n">
        <x:v>20</x:v>
      </x:c>
      <x:c r="L41" s="27" t="n">
        <x:v>5</x:v>
      </x:c>
      <x:c r="M41" s="29" t="str">
        <x:v>対照47場</x:v>
      </x:c>
      <x:c r="N41" s="28" t="n">
        <x:v>107.68333333333334</x:v>
      </x:c>
      <x:c r="O41" s="28" t="n">
        <x:v>90.4</x:v>
      </x:c>
    </x:row>
    <x:row r="42" ht="22" customHeight="1">
      <x:c r="A42" s="2" t="str">
        <x:v>M2</x:v>
      </x:c>
      <x:c r="B42" s="24" t="d">
        <x:v>2026-10-14T17:00:00.000Z</x:v>
      </x:c>
      <x:c r="C42" s="2" t="str">
        <x:v>ナイト</x:v>
      </x:c>
      <x:c r="D42" s="20" t="n">
        <x:v>214232</x:v>
      </x:c>
      <x:c r="E42" s="20" t="n">
        <x:v>46154</x:v>
      </x:c>
      <x:c r="F42" s="20" t="n">
        <x:f>D42-E42</x:f>
        <x:v>168078</x:v>
      </x:c>
      <x:c r="G42" s="20" t="n">
        <x:f>SUMIFS($F$7:$F$56,$A$7:$A$56,A42,$B$7:$B$56,"&lt;="&amp;B42)</x:f>
        <x:v>1536766</x:v>
      </x:c>
      <x:c r="H42" s="20" t="n">
        <x:v>922</x:v>
      </x:c>
      <x:c r="I42" s="20" t="n">
        <x:v>169000</x:v>
      </x:c>
      <x:c r="J42" s="27" t="n">
        <x:v>3</x:v>
      </x:c>
      <x:c r="K42" s="27" t="n">
        <x:v>12</x:v>
      </x:c>
      <x:c r="L42" s="27" t="n">
        <x:v>5</x:v>
      </x:c>
      <x:c r="M42" s="29" t="str">
        <x:v>対照47場</x:v>
      </x:c>
      <x:c r="N42" s="28" t="n">
        <x:v>360</x:v>
      </x:c>
      <x:c r="O42" s="28" t="n">
        <x:v>150.75</x:v>
      </x:c>
    </x:row>
    <x:row r="43" ht="22" customHeight="1">
      <x:c r="A43" s="2" t="str">
        <x:v>M2</x:v>
      </x:c>
      <x:c r="B43" s="24" t="d">
        <x:v>2026-10-15T08:45:00.000Z</x:v>
      </x:c>
      <x:c r="C43" s="2" t="str">
        <x:v>デイ</x:v>
      </x:c>
      <x:c r="D43" s="20" t="n">
        <x:v>432696</x:v>
      </x:c>
      <x:c r="E43" s="20" t="n">
        <x:v>66154</x:v>
      </x:c>
      <x:c r="F43" s="20" t="n">
        <x:f>D43-E43</x:f>
        <x:v>366542</x:v>
      </x:c>
      <x:c r="G43" s="20" t="n">
        <x:f>SUMIFS($F$7:$F$56,$A$7:$A$56,A43,$B$7:$B$56,"&lt;="&amp;B43)</x:f>
        <x:v>1903308</x:v>
      </x:c>
      <x:c r="H43" s="20" t="n">
        <x:v>1458</x:v>
      </x:c>
      <x:c r="I43" s="20" t="n">
        <x:v>368000</x:v>
      </x:c>
      <x:c r="J43" s="27" t="n">
        <x:v>8</x:v>
      </x:c>
      <x:c r="K43" s="27" t="n">
        <x:v>19</x:v>
      </x:c>
      <x:c r="L43" s="27" t="n">
        <x:v>5</x:v>
      </x:c>
      <x:c r="M43" s="29" t="str">
        <x:v>対照47場</x:v>
      </x:c>
      <x:c r="N43" s="28" t="n">
        <x:v>50.583333333333336</x:v>
      </x:c>
      <x:c r="O43" s="28" t="n">
        <x:v>222.18333333333334</x:v>
      </x:c>
    </x:row>
    <x:row r="44" ht="22" customHeight="1">
      <x:c r="A44" s="2" t="str">
        <x:v>M2</x:v>
      </x:c>
      <x:c r="B44" s="24" t="d">
        <x:v>2026-10-15T17:00:00.000Z</x:v>
      </x:c>
      <x:c r="C44" s="2" t="str">
        <x:v>ナイト</x:v>
      </x:c>
      <x:c r="D44" s="20" t="n">
        <x:v>0</x:v>
      </x:c>
      <x:c r="E44" s="20" t="n">
        <x:v>56154</x:v>
      </x:c>
      <x:c r="F44" s="20" t="n">
        <x:f>D44-E44</x:f>
        <x:v>-56154</x:v>
      </x:c>
      <x:c r="G44" s="20" t="n">
        <x:f>SUMIFS($F$7:$F$56,$A$7:$A$56,A44,$B$7:$B$56,"&lt;="&amp;B44)</x:f>
        <x:v>1847154</x:v>
      </x:c>
      <x:c r="H44" s="20" t="n">
        <x:v>154</x:v>
      </x:c>
      <x:c r="I44" s="20" t="n">
        <x:v>-56000</x:v>
      </x:c>
      <x:c r="J44" s="27" t="n">
        <x:v>1</x:v>
      </x:c>
      <x:c r="K44" s="27" t="n">
        <x:v>2</x:v>
      </x:c>
      <x:c r="L44" s="27" t="n">
        <x:v>2</x:v>
      </x:c>
      <x:c r="M44" s="29" t="str">
        <x:v>対照47場</x:v>
      </x:c>
      <x:c r="N44" s="28" t="n">
        <x:v>360</x:v>
      </x:c>
      <x:c r="O44" s="28" t="n">
        <x:v>4.133333333333334</x:v>
      </x:c>
    </x:row>
    <x:row r="45" ht="22" customHeight="1">
      <x:c r="A45" s="2" t="str">
        <x:v>M2</x:v>
      </x:c>
      <x:c r="B45" s="24" t="d">
        <x:v>2026-10-16T08:45:00.000Z</x:v>
      </x:c>
      <x:c r="C45" s="2" t="str">
        <x:v>デイ</x:v>
      </x:c>
      <x:c r="D45" s="20" t="n">
        <x:v>72926</x:v>
      </x:c>
      <x:c r="E45" s="20" t="n">
        <x:v>171690</x:v>
      </x:c>
      <x:c r="F45" s="20" t="n">
        <x:f>D45-E45</x:f>
        <x:v>-98764</x:v>
      </x:c>
      <x:c r="G45" s="20" t="n">
        <x:f>SUMIFS($F$7:$F$56,$A$7:$A$56,A45,$B$7:$B$56,"&lt;="&amp;B45)</x:f>
        <x:v>1748390</x:v>
      </x:c>
      <x:c r="H45" s="20" t="n">
        <x:v>2764</x:v>
      </x:c>
      <x:c r="I45" s="20" t="n">
        <x:v>-96000</x:v>
      </x:c>
      <x:c r="J45" s="27" t="n">
        <x:v>10</x:v>
      </x:c>
      <x:c r="K45" s="27" t="n">
        <x:v>36</x:v>
      </x:c>
      <x:c r="L45" s="27" t="n">
        <x:v>7</x:v>
      </x:c>
      <x:c r="M45" s="29" t="str">
        <x:v>対照47場</x:v>
      </x:c>
      <x:c r="N45" s="28" t="n">
        <x:v>66.9</x:v>
      </x:c>
      <x:c r="O45" s="28" t="n">
        <x:v>217.8</x:v>
      </x:c>
    </x:row>
    <x:row r="46" ht="22" customHeight="1">
      <x:c r="A46" s="2" t="str">
        <x:v>M2</x:v>
      </x:c>
      <x:c r="B46" s="24" t="d">
        <x:v>2026-10-16T17:00:00.000Z</x:v>
      </x:c>
      <x:c r="C46" s="2" t="str">
        <x:v>ナイト</x:v>
      </x:c>
      <x:c r="D46" s="20" t="n">
        <x:v>88696</x:v>
      </x:c>
      <x:c r="E46" s="20" t="n">
        <x:v>38154</x:v>
      </x:c>
      <x:c r="F46" s="20" t="n">
        <x:f>D46-E46</x:f>
        <x:v>50542</x:v>
      </x:c>
      <x:c r="G46" s="20" t="n">
        <x:f>SUMIFS($F$7:$F$56,$A$7:$A$56,A46,$B$7:$B$56,"&lt;="&amp;B46)</x:f>
        <x:v>1798932</x:v>
      </x:c>
      <x:c r="H46" s="20" t="n">
        <x:v>1458</x:v>
      </x:c>
      <x:c r="I46" s="20" t="n">
        <x:v>52000</x:v>
      </x:c>
      <x:c r="J46" s="27" t="n">
        <x:v>7</x:v>
      </x:c>
      <x:c r="K46" s="27" t="n">
        <x:v>19</x:v>
      </x:c>
      <x:c r="L46" s="27" t="n">
        <x:v>5</x:v>
      </x:c>
      <x:c r="M46" s="29" t="str">
        <x:v>対照47場</x:v>
      </x:c>
      <x:c r="N46" s="28" t="n">
        <x:v>360</x:v>
      </x:c>
      <x:c r="O46" s="28" t="n">
        <x:v>48.61666666666667</x:v>
      </x:c>
    </x:row>
    <x:row r="47" ht="22" customHeight="1">
      <x:c r="A47" s="2" t="str">
        <x:v>M2</x:v>
      </x:c>
      <x:c r="B47" s="24" t="d">
        <x:v>2026-10-19T08:45:00.000Z</x:v>
      </x:c>
      <x:c r="C47" s="2" t="str">
        <x:v>デイ</x:v>
      </x:c>
      <x:c r="D47" s="20" t="n">
        <x:v>280240</x:v>
      </x:c>
      <x:c r="E47" s="20" t="n">
        <x:v>16154</x:v>
      </x:c>
      <x:c r="F47" s="20" t="n">
        <x:f>D47-E47</x:f>
        <x:v>264086</x:v>
      </x:c>
      <x:c r="G47" s="20" t="n">
        <x:f>SUMIFS($F$7:$F$56,$A$7:$A$56,A47,$B$7:$B$56,"&lt;="&amp;B47)</x:f>
        <x:v>2063018</x:v>
      </x:c>
      <x:c r="H47" s="20" t="n">
        <x:v>1914</x:v>
      </x:c>
      <x:c r="I47" s="20" t="n">
        <x:v>266000</x:v>
      </x:c>
      <x:c r="J47" s="27" t="n">
        <x:v>16</x:v>
      </x:c>
      <x:c r="K47" s="27" t="n">
        <x:v>25</x:v>
      </x:c>
      <x:c r="L47" s="27" t="n">
        <x:v>10</x:v>
      </x:c>
      <x:c r="M47" s="29" t="str">
        <x:v>対照47場</x:v>
      </x:c>
      <x:c r="N47" s="28" t="n">
        <x:v>46.78333333333333</x:v>
      </x:c>
      <x:c r="O47" s="28" t="n">
        <x:v>363.21666666666664</x:v>
      </x:c>
    </x:row>
    <x:row r="48" ht="22" customHeight="1">
      <x:c r="A48" s="2" t="str">
        <x:v>M2</x:v>
      </x:c>
      <x:c r="B48" s="24" t="d">
        <x:v>2026-10-19T17:00:00.000Z</x:v>
      </x:c>
      <x:c r="C48" s="2" t="str">
        <x:v>ナイト</x:v>
      </x:c>
      <x:c r="D48" s="20" t="n">
        <x:v>24616</x:v>
      </x:c>
      <x:c r="E48" s="20" t="n">
        <x:v>83614</x:v>
      </x:c>
      <x:c r="F48" s="20" t="n">
        <x:f>D48-E48</x:f>
        <x:v>-58998</x:v>
      </x:c>
      <x:c r="G48" s="20" t="n">
        <x:f>SUMIFS($F$7:$F$56,$A$7:$A$56,A48,$B$7:$B$56,"&lt;="&amp;B48)</x:f>
        <x:v>2004020</x:v>
      </x:c>
      <x:c r="H48" s="20" t="n">
        <x:v>998</x:v>
      </x:c>
      <x:c r="I48" s="20" t="n">
        <x:v>-58000</x:v>
      </x:c>
      <x:c r="J48" s="27" t="n">
        <x:v>4</x:v>
      </x:c>
      <x:c r="K48" s="27" t="n">
        <x:v>13</x:v>
      </x:c>
      <x:c r="L48" s="27" t="n">
        <x:v>8</x:v>
      </x:c>
      <x:c r="M48" s="29" t="str">
        <x:v>対照47場</x:v>
      </x:c>
      <x:c r="N48" s="28" t="n">
        <x:v>356.06666666666666</x:v>
      </x:c>
      <x:c r="O48" s="28" t="n">
        <x:v>20.633333333333333</x:v>
      </x:c>
    </x:row>
    <x:row r="49" ht="22" customHeight="1">
      <x:c r="A49" s="2" t="str">
        <x:v>M2</x:v>
      </x:c>
      <x:c r="B49" s="24" t="d">
        <x:v>2026-10-20T08:45:00.000Z</x:v>
      </x:c>
      <x:c r="C49" s="2" t="str">
        <x:v>デイ</x:v>
      </x:c>
      <x:c r="D49" s="20" t="n">
        <x:v>137466</x:v>
      </x:c>
      <x:c r="E49" s="20" t="n">
        <x:v>115846</x:v>
      </x:c>
      <x:c r="F49" s="20" t="n">
        <x:f>D49-E49</x:f>
        <x:v>21620</x:v>
      </x:c>
      <x:c r="G49" s="20" t="n">
        <x:f>SUMIFS($F$7:$F$56,$A$7:$A$56,A49,$B$7:$B$56,"&lt;="&amp;B49)</x:f>
        <x:v>2025640</x:v>
      </x:c>
      <x:c r="H49" s="20" t="n">
        <x:v>2380</x:v>
      </x:c>
      <x:c r="I49" s="20" t="n">
        <x:v>24000</x:v>
      </x:c>
      <x:c r="J49" s="27" t="n">
        <x:v>11</x:v>
      </x:c>
      <x:c r="K49" s="27" t="n">
        <x:v>31</x:v>
      </x:c>
      <x:c r="L49" s="27" t="n">
        <x:v>10</x:v>
      </x:c>
      <x:c r="M49" s="29" t="str">
        <x:v>対照47場</x:v>
      </x:c>
      <x:c r="N49" s="28" t="n">
        <x:v>79.45</x:v>
      </x:c>
      <x:c r="O49" s="28" t="n">
        <x:v>208.98333333333332</x:v>
      </x:c>
    </x:row>
    <x:row r="50" ht="22" customHeight="1">
      <x:c r="A50" s="2" t="str">
        <x:v>M2</x:v>
      </x:c>
      <x:c r="B50" s="24" t="d">
        <x:v>2026-10-20T17:00:00.000Z</x:v>
      </x:c>
      <x:c r="C50" s="2" t="str">
        <x:v>ナイト</x:v>
      </x:c>
      <x:c r="D50" s="20" t="n">
        <x:v>408464</x:v>
      </x:c>
      <x:c r="E50" s="20" t="n">
        <x:v>96538</x:v>
      </x:c>
      <x:c r="F50" s="20" t="n">
        <x:f>D50-E50</x:f>
        <x:v>311926</x:v>
      </x:c>
      <x:c r="G50" s="20" t="n">
        <x:f>SUMIFS($F$7:$F$56,$A$7:$A$56,A50,$B$7:$B$56,"&lt;="&amp;B50)</x:f>
        <x:v>2337566</x:v>
      </x:c>
      <x:c r="H50" s="20" t="n">
        <x:v>1074</x:v>
      </x:c>
      <x:c r="I50" s="20" t="n">
        <x:v>313000</x:v>
      </x:c>
      <x:c r="J50" s="27" t="n">
        <x:v>7</x:v>
      </x:c>
      <x:c r="K50" s="27" t="n">
        <x:v>14</x:v>
      </x:c>
      <x:c r="L50" s="27" t="n">
        <x:v>7</x:v>
      </x:c>
      <x:c r="M50" s="29" t="str">
        <x:v>対照47場</x:v>
      </x:c>
      <x:c r="N50" s="28" t="n">
        <x:v>346.05</x:v>
      </x:c>
      <x:c r="O50" s="28" t="n">
        <x:v>73.1</x:v>
      </x:c>
    </x:row>
    <x:row r="51" ht="22" customHeight="1">
      <x:c r="A51" s="2" t="str">
        <x:v>M2</x:v>
      </x:c>
      <x:c r="B51" s="24" t="d">
        <x:v>2026-10-21T08:45:00.000Z</x:v>
      </x:c>
      <x:c r="C51" s="2" t="str">
        <x:v>デイ</x:v>
      </x:c>
      <x:c r="D51" s="20" t="n">
        <x:v>168928</x:v>
      </x:c>
      <x:c r="E51" s="20" t="n">
        <x:v>246920</x:v>
      </x:c>
      <x:c r="F51" s="20" t="n">
        <x:f>D51-E51</x:f>
        <x:v>-77992</x:v>
      </x:c>
      <x:c r="G51" s="20" t="n">
        <x:f>SUMIFS($F$7:$F$56,$A$7:$A$56,A51,$B$7:$B$56,"&lt;="&amp;B51)</x:f>
        <x:v>2259574</x:v>
      </x:c>
      <x:c r="H51" s="20" t="n">
        <x:v>2992</x:v>
      </x:c>
      <x:c r="I51" s="20" t="n">
        <x:v>-75000</x:v>
      </x:c>
      <x:c r="J51" s="27" t="n">
        <x:v>13</x:v>
      </x:c>
      <x:c r="K51" s="27" t="n">
        <x:v>39</x:v>
      </x:c>
      <x:c r="L51" s="27" t="n">
        <x:v>5</x:v>
      </x:c>
      <x:c r="M51" s="29" t="str">
        <x:v>対照47場</x:v>
      </x:c>
      <x:c r="N51" s="28" t="n">
        <x:v>50.11666666666667</x:v>
      </x:c>
      <x:c r="O51" s="28" t="n">
        <x:v>164.5</x:v>
      </x:c>
    </x:row>
    <x:row r="52" ht="22" customHeight="1">
      <x:c r="A52" s="2" t="str">
        <x:v>M2</x:v>
      </x:c>
      <x:c r="B52" s="24" t="d">
        <x:v>2026-10-21T17:00:00.000Z</x:v>
      </x:c>
      <x:c r="C52" s="2" t="str">
        <x:v>ナイト</x:v>
      </x:c>
      <x:c r="D52" s="20" t="n">
        <x:v>44616</x:v>
      </x:c>
      <x:c r="E52" s="20" t="n">
        <x:v>85768</x:v>
      </x:c>
      <x:c r="F52" s="20" t="n">
        <x:f>D52-E52</x:f>
        <x:v>-41152</x:v>
      </x:c>
      <x:c r="G52" s="20" t="n">
        <x:f>SUMIFS($F$7:$F$56,$A$7:$A$56,A52,$B$7:$B$56,"&lt;="&amp;B52)</x:f>
        <x:v>2218422</x:v>
      </x:c>
      <x:c r="H52" s="20" t="n">
        <x:v>1152</x:v>
      </x:c>
      <x:c r="I52" s="20" t="n">
        <x:v>-40000</x:v>
      </x:c>
      <x:c r="J52" s="27" t="n">
        <x:v>3</x:v>
      </x:c>
      <x:c r="K52" s="27" t="n">
        <x:v>15</x:v>
      </x:c>
      <x:c r="L52" s="27" t="n">
        <x:v>5</x:v>
      </x:c>
      <x:c r="M52" s="29" t="str">
        <x:v>対照47場</x:v>
      </x:c>
      <x:c r="N52" s="28" t="n">
        <x:v>360</x:v>
      </x:c>
      <x:c r="O52" s="28" t="n">
        <x:v>93.56666666666666</x:v>
      </x:c>
    </x:row>
    <x:row r="53" ht="22" customHeight="1">
      <x:c r="A53" s="2" t="str">
        <x:v>M2</x:v>
      </x:c>
      <x:c r="B53" s="24" t="d">
        <x:v>2026-10-22T08:45:00.000Z</x:v>
      </x:c>
      <x:c r="C53" s="2" t="str">
        <x:v>デイ</x:v>
      </x:c>
      <x:c r="D53" s="20" t="n">
        <x:v>389234</x:v>
      </x:c>
      <x:c r="E53" s="20" t="n">
        <x:v>70308</x:v>
      </x:c>
      <x:c r="F53" s="20" t="n">
        <x:f>D53-E53</x:f>
        <x:v>318926</x:v>
      </x:c>
      <x:c r="G53" s="20" t="n">
        <x:f>SUMIFS($F$7:$F$56,$A$7:$A$56,A53,$B$7:$B$56,"&lt;="&amp;B53)</x:f>
        <x:v>2537348</x:v>
      </x:c>
      <x:c r="H53" s="20" t="n">
        <x:v>1074</x:v>
      </x:c>
      <x:c r="I53" s="20" t="n">
        <x:v>320000</x:v>
      </x:c>
      <x:c r="J53" s="27" t="n">
        <x:v>7</x:v>
      </x:c>
      <x:c r="K53" s="27" t="n">
        <x:v>14</x:v>
      </x:c>
      <x:c r="L53" s="27" t="n">
        <x:v>5</x:v>
      </x:c>
      <x:c r="M53" s="29" t="str">
        <x:v>対照47場</x:v>
      </x:c>
      <x:c r="N53" s="28" t="n">
        <x:v>79.91666666666667</x:v>
      </x:c>
      <x:c r="O53" s="28" t="n">
        <x:v>250.81666666666666</x:v>
      </x:c>
    </x:row>
    <x:row r="54" ht="22" customHeight="1">
      <x:c r="A54" s="2" t="str">
        <x:v>M2</x:v>
      </x:c>
      <x:c r="B54" s="24" t="d">
        <x:v>2026-10-22T17:00:00.000Z</x:v>
      </x:c>
      <x:c r="C54" s="2" t="str">
        <x:v>ナイト</x:v>
      </x:c>
      <x:c r="D54" s="20" t="n">
        <x:v>104616</x:v>
      </x:c>
      <x:c r="E54" s="20" t="n">
        <x:v>77538</x:v>
      </x:c>
      <x:c r="F54" s="20" t="n">
        <x:f>D54-E54</x:f>
        <x:v>27078</x:v>
      </x:c>
      <x:c r="G54" s="20" t="n">
        <x:f>SUMIFS($F$7:$F$56,$A$7:$A$56,A54,$B$7:$B$56,"&lt;="&amp;B54)</x:f>
        <x:v>2564426</x:v>
      </x:c>
      <x:c r="H54" s="20" t="n">
        <x:v>922</x:v>
      </x:c>
      <x:c r="I54" s="20" t="n">
        <x:v>28000</x:v>
      </x:c>
      <x:c r="J54" s="27" t="n">
        <x:v>3</x:v>
      </x:c>
      <x:c r="K54" s="27" t="n">
        <x:v>12</x:v>
      </x:c>
      <x:c r="L54" s="27" t="n">
        <x:v>5</x:v>
      </x:c>
      <x:c r="M54" s="29" t="str">
        <x:v>診断3場</x:v>
      </x:c>
      <x:c r="N54" s="28" t="n">
        <x:v>360.06666666666666</x:v>
      </x:c>
      <x:c r="O54" s="28" t="n">
        <x:v>30.6</x:v>
      </x:c>
    </x:row>
    <x:row r="55" ht="22" customHeight="1">
      <x:c r="A55" s="2" t="str">
        <x:v>M2</x:v>
      </x:c>
      <x:c r="B55" s="24" t="d">
        <x:v>2026-10-23T08:45:00.000Z</x:v>
      </x:c>
      <x:c r="C55" s="2" t="str">
        <x:v>デイ</x:v>
      </x:c>
      <x:c r="D55" s="20" t="n">
        <x:v>76618</x:v>
      </x:c>
      <x:c r="E55" s="20" t="n">
        <x:v>99692</x:v>
      </x:c>
      <x:c r="F55" s="20" t="n">
        <x:f>D55-E55</x:f>
        <x:v>-23074</x:v>
      </x:c>
      <x:c r="G55" s="20" t="n">
        <x:f>SUMIFS($F$7:$F$56,$A$7:$A$56,A55,$B$7:$B$56,"&lt;="&amp;B55)</x:f>
        <x:v>2541352</x:v>
      </x:c>
      <x:c r="H55" s="20" t="n">
        <x:v>1074</x:v>
      </x:c>
      <x:c r="I55" s="20" t="n">
        <x:v>-22000</x:v>
      </x:c>
      <x:c r="J55" s="27" t="n">
        <x:v>7</x:v>
      </x:c>
      <x:c r="K55" s="27" t="n">
        <x:v>14</x:v>
      </x:c>
      <x:c r="L55" s="27" t="n">
        <x:v>5</x:v>
      </x:c>
      <x:c r="M55" s="29" t="str">
        <x:v>診断3場</x:v>
      </x:c>
      <x:c r="N55" s="28" t="n">
        <x:v>95.1</x:v>
      </x:c>
      <x:c r="O55" s="28" t="n">
        <x:v>217.81666666666666</x:v>
      </x:c>
    </x:row>
    <x:row r="56" ht="22" customHeight="1">
      <x:c r="A56" s="2" t="str">
        <x:v>M2</x:v>
      </x:c>
      <x:c r="B56" s="24" t="d">
        <x:v>2026-10-23T17:00:00.000Z</x:v>
      </x:c>
      <x:c r="C56" s="2" t="str">
        <x:v>ナイト</x:v>
      </x:c>
      <x:c r="D56" s="20" t="n">
        <x:v>0</x:v>
      </x:c>
      <x:c r="E56" s="20" t="n">
        <x:v>55384</x:v>
      </x:c>
      <x:c r="F56" s="20" t="n">
        <x:f>D56-E56</x:f>
        <x:v>-55384</x:v>
      </x:c>
      <x:c r="G56" s="20" t="n">
        <x:f>SUMIFS($F$7:$F$56,$A$7:$A$56,A56,$B$7:$B$56,"&lt;="&amp;B56)</x:f>
        <x:v>2485968</x:v>
      </x:c>
      <x:c r="H56" s="20" t="n">
        <x:v>384</x:v>
      </x:c>
      <x:c r="I56" s="20" t="n">
        <x:v>-55000</x:v>
      </x:c>
      <x:c r="J56" s="27" t="n">
        <x:v>1</x:v>
      </x:c>
      <x:c r="K56" s="27" t="n">
        <x:v>5</x:v>
      </x:c>
      <x:c r="L56" s="27" t="n">
        <x:v>5</x:v>
      </x:c>
      <x:c r="M56" s="29" t="str">
        <x:v>診断3場</x:v>
      </x:c>
      <x:c r="N56" s="28" t="n">
        <x:v>360.03333333333336</x:v>
      </x:c>
      <x:c r="O56" s="28" t="n">
        <x:v>1.5666666666666667</x:v>
      </x:c>
    </x:row>
  </x:sheetData>
  <x:conditionalFormatting sqref="D7:I56">
    <x:cfRule type="cellIs" dxfId="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8957b8c1ee54012"/>
  </x:tableParts>
</x:worksheet>
</file>

<file path=xl/worksheets/sheet8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4" t="str">
        <x:v>TOPIXmini B5 セッション損益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</x:row>
    <x:row r="3" ht="22" customHeight="1">
      <x:c r="A3" s="7" t="str">
        <x:v>片方向上限10枚。金額は円・手数料後。利益と損失は完結した一組の収支を正負に分類。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A4" s="7" t="str">
        <x:v>昼：B5（T06）／夜：B5（T04）。対照47場：9/21～10/22デイ。診断3場：10/22ナイト～10/23ナイト。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A5" s="7" t="str">
        <x:v>従来基準。出典：00141保存会計。診断3場は原因分析と改善に使用した期間です。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4" customHeight="1">
      <x:c r="A6" s="16" t="str">
        <x:v>手法ID</x:v>
      </x:c>
      <x:c r="B6" s="17" t="str">
        <x:v>開始日時</x:v>
      </x:c>
      <x:c r="C6" s="17" t="str">
        <x:v>セッション</x:v>
      </x:c>
      <x:c r="D6" s="17" t="str">
        <x:v>利益（円）</x:v>
      </x:c>
      <x:c r="E6" s="17" t="str">
        <x:v>損失（円）</x:v>
      </x:c>
      <x:c r="F6" s="17" t="str">
        <x:v>収支（円）</x:v>
      </x:c>
      <x:c r="G6" s="17" t="str">
        <x:v>累計（円）</x:v>
      </x:c>
      <x:c r="H6" s="17" t="str">
        <x:v>内数手数料（円）</x:v>
      </x:c>
      <x:c r="I6" s="17" t="str">
        <x:v>費用前収支（円）</x:v>
      </x:c>
      <x:c r="J6" s="17" t="str">
        <x:v>新規回数</x:v>
      </x:c>
      <x:c r="K6" s="17" t="str">
        <x:v>新規枚数</x:v>
      </x:c>
      <x:c r="L6" s="17" t="str">
        <x:v>最大片方向保有</x:v>
      </x:c>
      <x:c r="M6" s="17" t="str">
        <x:v>評価区分</x:v>
      </x:c>
      <x:c r="N6" s="17" t="str">
        <x:v>初回まで（分）</x:v>
      </x:c>
      <x:c r="O6" s="18" t="str">
        <x:v>保有（分）</x:v>
      </x:c>
    </x:row>
    <x:row r="7" ht="22" customHeight="1">
      <x:c r="A7" s="2" t="str">
        <x:v>B5</x:v>
      </x:c>
      <x:c r="B7" s="24" t="d">
        <x:v>2026-09-21T08:45:00.000Z</x:v>
      </x:c>
      <x:c r="C7" s="2" t="str">
        <x:v>デイ</x:v>
      </x:c>
      <x:c r="D7" s="20" t="n">
        <x:v>0</x:v>
      </x:c>
      <x:c r="E7" s="20" t="n">
        <x:v>20418</x:v>
      </x:c>
      <x:c r="F7" s="20" t="n">
        <x:f>D7-E7</x:f>
        <x:v>-20418</x:v>
      </x:c>
      <x:c r="G7" s="20" t="n">
        <x:f>SUMIFS($F$7:$F$56,$A$7:$A$56,A7,$B$7:$B$56,"&lt;="&amp;B7)</x:f>
        <x:v>-20418</x:v>
      </x:c>
      <x:c r="H7" s="20" t="n">
        <x:v>418</x:v>
      </x:c>
      <x:c r="I7" s="20" t="n">
        <x:v>-20000</x:v>
      </x:c>
      <x:c r="J7" s="27" t="n">
        <x:v>1</x:v>
      </x:c>
      <x:c r="K7" s="27" t="n">
        <x:v>5</x:v>
      </x:c>
      <x:c r="L7" s="27" t="n">
        <x:v>5</x:v>
      </x:c>
      <x:c r="M7" s="29" t="str">
        <x:v>対照47場</x:v>
      </x:c>
      <x:c r="N7" s="28" t="n">
        <x:v>363.18333333333334</x:v>
      </x:c>
      <x:c r="O7" s="28" t="n">
        <x:v>9.033333333333333</x:v>
      </x:c>
    </x:row>
    <x:row r="8" ht="22" customHeight="1">
      <x:c r="A8" s="2" t="str">
        <x:v>B5</x:v>
      </x:c>
      <x:c r="B8" s="24" t="d">
        <x:v>2026-09-21T17:00:00.000Z</x:v>
      </x:c>
      <x:c r="C8" s="2" t="str">
        <x:v>ナイト</x:v>
      </x:c>
      <x:c r="D8" s="20" t="n">
        <x:v>7082</x:v>
      </x:c>
      <x:c r="E8" s="20" t="n">
        <x:v>0</x:v>
      </x:c>
      <x:c r="F8" s="20" t="n">
        <x:f>D8-E8</x:f>
        <x:v>7082</x:v>
      </x:c>
      <x:c r="G8" s="20" t="n">
        <x:f>SUMIFS($F$7:$F$56,$A$7:$A$56,A8,$B$7:$B$56,"&lt;="&amp;B8)</x:f>
        <x:v>-13336</x:v>
      </x:c>
      <x:c r="H8" s="20" t="n">
        <x:v>418</x:v>
      </x:c>
      <x:c r="I8" s="20" t="n">
        <x:v>7500</x:v>
      </x:c>
      <x:c r="J8" s="27" t="n">
        <x:v>1</x:v>
      </x:c>
      <x:c r="K8" s="27" t="n">
        <x:v>5</x:v>
      </x:c>
      <x:c r="L8" s="27" t="n">
        <x:v>5</x:v>
      </x:c>
      <x:c r="M8" s="29" t="str">
        <x:v>対照47場</x:v>
      </x:c>
      <x:c r="N8" s="28" t="n">
        <x:v>385.95</x:v>
      </x:c>
      <x:c r="O8" s="28" t="n">
        <x:v>8.5</x:v>
      </x:c>
    </x:row>
    <x:row r="9" ht="22" customHeight="1">
      <x:c r="A9" s="2" t="str">
        <x:v>B5</x:v>
      </x:c>
      <x:c r="B9" s="24" t="d">
        <x:v>2026-09-22T08:45:00.000Z</x:v>
      </x:c>
      <x:c r="C9" s="2" t="str">
        <x:v>デイ</x:v>
      </x:c>
      <x:c r="D9" s="20" t="n">
        <x:v>20584</x:v>
      </x:c>
      <x:c r="E9" s="20" t="n">
        <x:v>20418</x:v>
      </x:c>
      <x:c r="F9" s="20" t="n">
        <x:f>D9-E9</x:f>
        <x:v>166</x:v>
      </x:c>
      <x:c r="G9" s="20" t="n">
        <x:f>SUMIFS($F$7:$F$56,$A$7:$A$56,A9,$B$7:$B$56,"&lt;="&amp;B9)</x:f>
        <x:v>-13170</x:v>
      </x:c>
      <x:c r="H9" s="20" t="n">
        <x:v>834</x:v>
      </x:c>
      <x:c r="I9" s="20" t="n">
        <x:v>1000</x:v>
      </x:c>
      <x:c r="J9" s="27" t="n">
        <x:v>2</x:v>
      </x:c>
      <x:c r="K9" s="27" t="n">
        <x:v>10</x:v>
      </x:c>
      <x:c r="L9" s="27" t="n">
        <x:v>5</x:v>
      </x:c>
      <x:c r="M9" s="29" t="str">
        <x:v>対照47場</x:v>
      </x:c>
      <x:c r="N9" s="28" t="n">
        <x:v>100.41666666666667</x:v>
      </x:c>
      <x:c r="O9" s="28" t="n">
        <x:v>18.416666666666668</x:v>
      </x:c>
    </x:row>
    <x:row r="10" ht="22" customHeight="1">
      <x:c r="A10" s="2" t="str">
        <x:v>B5</x:v>
      </x:c>
      <x:c r="B10" s="24" t="d">
        <x:v>2026-09-22T17:00:00.000Z</x:v>
      </x:c>
      <x:c r="C10" s="2" t="str">
        <x:v>ナイト</x:v>
      </x:c>
      <x:c r="D10" s="20" t="n">
        <x:v>0</x:v>
      </x:c>
      <x:c r="E10" s="20" t="n">
        <x:v>53754</x:v>
      </x:c>
      <x:c r="F10" s="20" t="n">
        <x:f>D10-E10</x:f>
        <x:v>-53754</x:v>
      </x:c>
      <x:c r="G10" s="20" t="n">
        <x:f>SUMIFS($F$7:$F$56,$A$7:$A$56,A10,$B$7:$B$56,"&lt;="&amp;B10)</x:f>
        <x:v>-66924</x:v>
      </x:c>
      <x:c r="H10" s="20" t="n">
        <x:v>1254</x:v>
      </x:c>
      <x:c r="I10" s="20" t="n">
        <x:v>-52500</x:v>
      </x:c>
      <x:c r="J10" s="27" t="n">
        <x:v>3</x:v>
      </x:c>
      <x:c r="K10" s="27" t="n">
        <x:v>15</x:v>
      </x:c>
      <x:c r="L10" s="27" t="n">
        <x:v>5</x:v>
      </x:c>
      <x:c r="M10" s="29" t="str">
        <x:v>対照47場</x:v>
      </x:c>
      <x:c r="N10" s="28" t="n">
        <x:v>366.26666666666665</x:v>
      </x:c>
      <x:c r="O10" s="28" t="n">
        <x:v>35.95</x:v>
      </x:c>
    </x:row>
    <x:row r="11" ht="22" customHeight="1">
      <x:c r="A11" s="2" t="str">
        <x:v>B5</x:v>
      </x:c>
      <x:c r="B11" s="24" t="d">
        <x:v>2026-09-23T08:45:00.000Z</x:v>
      </x:c>
      <x:c r="C11" s="2" t="str">
        <x:v>デイ</x:v>
      </x:c>
      <x:c r="D11" s="20" t="n">
        <x:v>77584</x:v>
      </x:c>
      <x:c r="E11" s="20" t="n">
        <x:v>0</x:v>
      </x:c>
      <x:c r="F11" s="20" t="n">
        <x:f>D11-E11</x:f>
        <x:v>77584</x:v>
      </x:c>
      <x:c r="G11" s="20" t="n">
        <x:f>SUMIFS($F$7:$F$56,$A$7:$A$56,A11,$B$7:$B$56,"&lt;="&amp;B11)</x:f>
        <x:v>10660</x:v>
      </x:c>
      <x:c r="H11" s="20" t="n">
        <x:v>416</x:v>
      </x:c>
      <x:c r="I11" s="20" t="n">
        <x:v>78000</x:v>
      </x:c>
      <x:c r="J11" s="27" t="n">
        <x:v>1</x:v>
      </x:c>
      <x:c r="K11" s="27" t="n">
        <x:v>5</x:v>
      </x:c>
      <x:c r="L11" s="27" t="n">
        <x:v>5</x:v>
      </x:c>
      <x:c r="M11" s="29" t="str">
        <x:v>対照47場</x:v>
      </x:c>
      <x:c r="N11" s="28" t="n">
        <x:v>68.45</x:v>
      </x:c>
      <x:c r="O11" s="28" t="n">
        <x:v>158.21666666666667</x:v>
      </x:c>
    </x:row>
    <x:row r="12" ht="22" customHeight="1">
      <x:c r="A12" s="2" t="str">
        <x:v>B5</x:v>
      </x:c>
      <x:c r="B12" s="24" t="d">
        <x:v>2026-09-23T17:00:00.000Z</x:v>
      </x:c>
      <x:c r="C12" s="2" t="str">
        <x:v>ナイト</x:v>
      </x:c>
      <x:c r="D12" s="20" t="n">
        <x:v>29164</x:v>
      </x:c>
      <x:c r="E12" s="20" t="n">
        <x:v>0</x:v>
      </x:c>
      <x:c r="F12" s="20" t="n">
        <x:f>D12-E12</x:f>
        <x:v>29164</x:v>
      </x:c>
      <x:c r="G12" s="20" t="n">
        <x:f>SUMIFS($F$7:$F$56,$A$7:$A$56,A12,$B$7:$B$56,"&lt;="&amp;B12)</x:f>
        <x:v>39824</x:v>
      </x:c>
      <x:c r="H12" s="20" t="n">
        <x:v>836</x:v>
      </x:c>
      <x:c r="I12" s="20" t="n">
        <x:v>30000</x:v>
      </x:c>
      <x:c r="J12" s="27" t="n">
        <x:v>2</x:v>
      </x:c>
      <x:c r="K12" s="27" t="n">
        <x:v>10</x:v>
      </x:c>
      <x:c r="L12" s="27" t="n">
        <x:v>5</x:v>
      </x:c>
      <x:c r="M12" s="29" t="str">
        <x:v>対照47場</x:v>
      </x:c>
      <x:c r="N12" s="28" t="n">
        <x:v>450.01666666666665</x:v>
      </x:c>
      <x:c r="O12" s="28" t="n">
        <x:v>52.3</x:v>
      </x:c>
    </x:row>
    <x:row r="13" ht="22" customHeight="1">
      <x:c r="A13" s="2" t="str">
        <x:v>B5</x:v>
      </x:c>
      <x:c r="B13" s="24" t="d">
        <x:v>2026-09-24T08:45:00.000Z</x:v>
      </x:c>
      <x:c r="C13" s="2" t="str">
        <x:v>デイ</x:v>
      </x:c>
      <x:c r="D13" s="20" t="n">
        <x:v>79583</x:v>
      </x:c>
      <x:c r="E13" s="20" t="n">
        <x:v>0</x:v>
      </x:c>
      <x:c r="F13" s="20" t="n">
        <x:f>D13-E13</x:f>
        <x:v>79583</x:v>
      </x:c>
      <x:c r="G13" s="20" t="n">
        <x:f>SUMIFS($F$7:$F$56,$A$7:$A$56,A13,$B$7:$B$56,"&lt;="&amp;B13)</x:f>
        <x:v>119407</x:v>
      </x:c>
      <x:c r="H13" s="20" t="n">
        <x:v>417</x:v>
      </x:c>
      <x:c r="I13" s="20" t="n">
        <x:v>80000</x:v>
      </x:c>
      <x:c r="J13" s="27" t="n">
        <x:v>1</x:v>
      </x:c>
      <x:c r="K13" s="27" t="n">
        <x:v>5</x:v>
      </x:c>
      <x:c r="L13" s="27" t="n">
        <x:v>5</x:v>
      </x:c>
      <x:c r="M13" s="29" t="str">
        <x:v>対照47場</x:v>
      </x:c>
      <x:c r="N13" s="28" t="n">
        <x:v>149.83333333333334</x:v>
      </x:c>
      <x:c r="O13" s="28" t="n">
        <x:v>256.46666666666664</x:v>
      </x:c>
    </x:row>
    <x:row r="14" ht="22" customHeight="1">
      <x:c r="A14" s="2" t="str">
        <x:v>B5</x:v>
      </x:c>
      <x:c r="B14" s="24" t="d">
        <x:v>2026-09-24T17:00:00.000Z</x:v>
      </x:c>
      <x:c r="C14" s="2" t="str">
        <x:v>ナイト</x:v>
      </x:c>
      <x:c r="D14" s="20" t="n">
        <x:v>32082</x:v>
      </x:c>
      <x:c r="E14" s="20" t="n">
        <x:v>0</x:v>
      </x:c>
      <x:c r="F14" s="20" t="n">
        <x:f>D14-E14</x:f>
        <x:v>32082</x:v>
      </x:c>
      <x:c r="G14" s="20" t="n">
        <x:f>SUMIFS($F$7:$F$56,$A$7:$A$56,A14,$B$7:$B$56,"&lt;="&amp;B14)</x:f>
        <x:v>151489</x:v>
      </x:c>
      <x:c r="H14" s="20" t="n">
        <x:v>418</x:v>
      </x:c>
      <x:c r="I14" s="20" t="n">
        <x:v>32500</x:v>
      </x:c>
      <x:c r="J14" s="27" t="n">
        <x:v>1</x:v>
      </x:c>
      <x:c r="K14" s="27" t="n">
        <x:v>5</x:v>
      </x:c>
      <x:c r="L14" s="27" t="n">
        <x:v>5</x:v>
      </x:c>
      <x:c r="M14" s="29" t="str">
        <x:v>対照47場</x:v>
      </x:c>
      <x:c r="N14" s="28" t="n">
        <x:v>417.46666666666664</x:v>
      </x:c>
      <x:c r="O14" s="28" t="n">
        <x:v>40.983333333333334</x:v>
      </x:c>
    </x:row>
    <x:row r="15" ht="22" customHeight="1">
      <x:c r="A15" s="2" t="str">
        <x:v>B5</x:v>
      </x:c>
      <x:c r="B15" s="24" t="d">
        <x:v>2026-09-25T08:45:00.000Z</x:v>
      </x:c>
      <x:c r="C15" s="2" t="str">
        <x:v>デイ</x:v>
      </x:c>
      <x:c r="D15" s="20" t="n">
        <x:v>80583</x:v>
      </x:c>
      <x:c r="E15" s="20" t="n">
        <x:v>0</x:v>
      </x:c>
      <x:c r="F15" s="20" t="n">
        <x:f>D15-E15</x:f>
        <x:v>80583</x:v>
      </x:c>
      <x:c r="G15" s="20" t="n">
        <x:f>SUMIFS($F$7:$F$56,$A$7:$A$56,A15,$B$7:$B$56,"&lt;="&amp;B15)</x:f>
        <x:v>232072</x:v>
      </x:c>
      <x:c r="H15" s="20" t="n">
        <x:v>417</x:v>
      </x:c>
      <x:c r="I15" s="20" t="n">
        <x:v>81000</x:v>
      </x:c>
      <x:c r="J15" s="27" t="n">
        <x:v>1</x:v>
      </x:c>
      <x:c r="K15" s="27" t="n">
        <x:v>5</x:v>
      </x:c>
      <x:c r="L15" s="27" t="n">
        <x:v>5</x:v>
      </x:c>
      <x:c r="M15" s="29" t="str">
        <x:v>対照47場</x:v>
      </x:c>
      <x:c r="N15" s="28" t="n">
        <x:v>86.21666666666667</x:v>
      </x:c>
      <x:c r="O15" s="28" t="n">
        <x:v>323.8</x:v>
      </x:c>
    </x:row>
    <x:row r="16" ht="22" customHeight="1">
      <x:c r="A16" s="2" t="str">
        <x:v>B5</x:v>
      </x:c>
      <x:c r="B16" s="24" t="d">
        <x:v>2026-09-25T17:00:00.000Z</x:v>
      </x:c>
      <x:c r="C16" s="2" t="str">
        <x:v>ナイト</x:v>
      </x:c>
      <x:c r="D16" s="20" t="n">
        <x:v>24582</x:v>
      </x:c>
      <x:c r="E16" s="20" t="n">
        <x:v>20418</x:v>
      </x:c>
      <x:c r="F16" s="20" t="n">
        <x:f>D16-E16</x:f>
        <x:v>4164</x:v>
      </x:c>
      <x:c r="G16" s="20" t="n">
        <x:f>SUMIFS($F$7:$F$56,$A$7:$A$56,A16,$B$7:$B$56,"&lt;="&amp;B16)</x:f>
        <x:v>236236</x:v>
      </x:c>
      <x:c r="H16" s="20" t="n">
        <x:v>836</x:v>
      </x:c>
      <x:c r="I16" s="20" t="n">
        <x:v>5000</x:v>
      </x:c>
      <x:c r="J16" s="27" t="n">
        <x:v>2</x:v>
      </x:c>
      <x:c r="K16" s="27" t="n">
        <x:v>10</x:v>
      </x:c>
      <x:c r="L16" s="27" t="n">
        <x:v>5</x:v>
      </x:c>
      <x:c r="M16" s="29" t="str">
        <x:v>対照47場</x:v>
      </x:c>
      <x:c r="N16" s="28" t="n">
        <x:v>450</x:v>
      </x:c>
      <x:c r="O16" s="28" t="n">
        <x:v>8.316666666666666</x:v>
      </x:c>
    </x:row>
    <x:row r="17" ht="22" customHeight="1">
      <x:c r="A17" s="2" t="str">
        <x:v>B5</x:v>
      </x:c>
      <x:c r="B17" s="24" t="d">
        <x:v>2026-09-28T08:45:00.000Z</x:v>
      </x:c>
      <x:c r="C17" s="2" t="str">
        <x:v>デイ</x:v>
      </x:c>
      <x:c r="D17" s="20" t="n">
        <x:v>129083</x:v>
      </x:c>
      <x:c r="E17" s="20" t="n">
        <x:v>35418</x:v>
      </x:c>
      <x:c r="F17" s="20" t="n">
        <x:f>D17-E17</x:f>
        <x:v>93665</x:v>
      </x:c>
      <x:c r="G17" s="20" t="n">
        <x:f>SUMIFS($F$7:$F$56,$A$7:$A$56,A17,$B$7:$B$56,"&lt;="&amp;B17)</x:f>
        <x:v>329901</x:v>
      </x:c>
      <x:c r="H17" s="20" t="n">
        <x:v>835</x:v>
      </x:c>
      <x:c r="I17" s="20" t="n">
        <x:v>94500</x:v>
      </x:c>
      <x:c r="J17" s="27" t="n">
        <x:v>2</x:v>
      </x:c>
      <x:c r="K17" s="27" t="n">
        <x:v>10</x:v>
      </x:c>
      <x:c r="L17" s="27" t="n">
        <x:v>5</x:v>
      </x:c>
      <x:c r="M17" s="29" t="str">
        <x:v>対照47場</x:v>
      </x:c>
      <x:c r="N17" s="28" t="n">
        <x:v>66.76666666666667</x:v>
      </x:c>
      <x:c r="O17" s="28" t="n">
        <x:v>325.05</x:v>
      </x:c>
    </x:row>
    <x:row r="18" ht="22" customHeight="1">
      <x:c r="A18" s="2" t="str">
        <x:v>B5</x:v>
      </x:c>
      <x:c r="B18" s="24" t="d">
        <x:v>2026-09-28T17:00:00.000Z</x:v>
      </x:c>
      <x:c r="C18" s="2" t="str">
        <x:v>ナイト</x:v>
      </x:c>
      <x:c r="D18" s="20" t="n">
        <x:v>24582</x:v>
      </x:c>
      <x:c r="E18" s="20" t="n">
        <x:v>0</x:v>
      </x:c>
      <x:c r="F18" s="20" t="n">
        <x:f>D18-E18</x:f>
        <x:v>24582</x:v>
      </x:c>
      <x:c r="G18" s="20" t="n">
        <x:f>SUMIFS($F$7:$F$56,$A$7:$A$56,A18,$B$7:$B$56,"&lt;="&amp;B18)</x:f>
        <x:v>354483</x:v>
      </x:c>
      <x:c r="H18" s="20" t="n">
        <x:v>418</x:v>
      </x:c>
      <x:c r="I18" s="20" t="n">
        <x:v>25000</x:v>
      </x:c>
      <x:c r="J18" s="27" t="n">
        <x:v>1</x:v>
      </x:c>
      <x:c r="K18" s="27" t="n">
        <x:v>5</x:v>
      </x:c>
      <x:c r="L18" s="27" t="n">
        <x:v>5</x:v>
      </x:c>
      <x:c r="M18" s="29" t="str">
        <x:v>対照47場</x:v>
      </x:c>
      <x:c r="N18" s="28" t="n">
        <x:v>405.1333333333333</x:v>
      </x:c>
      <x:c r="O18" s="28" t="n">
        <x:v>12.033333333333333</x:v>
      </x:c>
    </x:row>
    <x:row r="19" ht="22" customHeight="1">
      <x:c r="A19" s="2" t="str">
        <x:v>B5</x:v>
      </x:c>
      <x:c r="B19" s="24" t="d">
        <x:v>2026-09-29T08:45:00.000Z</x:v>
      </x:c>
      <x:c r="C19" s="2" t="str">
        <x:v>デイ</x:v>
      </x:c>
      <x:c r="D19" s="20" t="n">
        <x:v>12583</x:v>
      </x:c>
      <x:c r="E19" s="20" t="n">
        <x:v>0</x:v>
      </x:c>
      <x:c r="F19" s="20" t="n">
        <x:f>D19-E19</x:f>
        <x:v>12583</x:v>
      </x:c>
      <x:c r="G19" s="20" t="n">
        <x:f>SUMIFS($F$7:$F$56,$A$7:$A$56,A19,$B$7:$B$56,"&lt;="&amp;B19)</x:f>
        <x:v>367066</x:v>
      </x:c>
      <x:c r="H19" s="20" t="n">
        <x:v>417</x:v>
      </x:c>
      <x:c r="I19" s="20" t="n">
        <x:v>13000</x:v>
      </x:c>
      <x:c r="J19" s="27" t="n">
        <x:v>1</x:v>
      </x:c>
      <x:c r="K19" s="27" t="n">
        <x:v>5</x:v>
      </x:c>
      <x:c r="L19" s="27" t="n">
        <x:v>5</x:v>
      </x:c>
      <x:c r="M19" s="29" t="str">
        <x:v>対照47場</x:v>
      </x:c>
      <x:c r="N19" s="28" t="n">
        <x:v>70.43333333333334</x:v>
      </x:c>
      <x:c r="O19" s="28" t="n">
        <x:v>334.48333333333335</x:v>
      </x:c>
    </x:row>
    <x:row r="20" ht="22" customHeight="1">
      <x:c r="A20" s="2" t="str">
        <x:v>B5</x:v>
      </x:c>
      <x:c r="B20" s="24" t="d">
        <x:v>2026-09-29T17:00:00.000Z</x:v>
      </x:c>
      <x:c r="C20" s="2" t="str">
        <x:v>ナイト</x:v>
      </x:c>
      <x:c r="D20" s="20" t="n">
        <x:v>19582</x:v>
      </x:c>
      <x:c r="E20" s="20" t="n">
        <x:v>0</x:v>
      </x:c>
      <x:c r="F20" s="20" t="n">
        <x:f>D20-E20</x:f>
        <x:v>19582</x:v>
      </x:c>
      <x:c r="G20" s="20" t="n">
        <x:f>SUMIFS($F$7:$F$56,$A$7:$A$56,A20,$B$7:$B$56,"&lt;="&amp;B20)</x:f>
        <x:v>386648</x:v>
      </x:c>
      <x:c r="H20" s="20" t="n">
        <x:v>418</x:v>
      </x:c>
      <x:c r="I20" s="20" t="n">
        <x:v>20000</x:v>
      </x:c>
      <x:c r="J20" s="27" t="n">
        <x:v>1</x:v>
      </x:c>
      <x:c r="K20" s="27" t="n">
        <x:v>5</x:v>
      </x:c>
      <x:c r="L20" s="27" t="n">
        <x:v>5</x:v>
      </x:c>
      <x:c r="M20" s="29" t="str">
        <x:v>対照47場</x:v>
      </x:c>
      <x:c r="N20" s="28" t="n">
        <x:v>428.1666666666667</x:v>
      </x:c>
      <x:c r="O20" s="28" t="n">
        <x:v>21.2</x:v>
      </x:c>
    </x:row>
    <x:row r="21" ht="22" customHeight="1">
      <x:c r="A21" s="2" t="str">
        <x:v>B5</x:v>
      </x:c>
      <x:c r="B21" s="24" t="d">
        <x:v>2026-09-30T08:45:00.000Z</x:v>
      </x:c>
      <x:c r="C21" s="2" t="str">
        <x:v>デイ</x:v>
      </x:c>
      <x:c r="D21" s="20" t="n">
        <x:v>79083</x:v>
      </x:c>
      <x:c r="E21" s="20" t="n">
        <x:v>65836</x:v>
      </x:c>
      <x:c r="F21" s="20" t="n">
        <x:f>D21-E21</x:f>
        <x:v>13247</x:v>
      </x:c>
      <x:c r="G21" s="20" t="n">
        <x:f>SUMIFS($F$7:$F$56,$A$7:$A$56,A21,$B$7:$B$56,"&lt;="&amp;B21)</x:f>
        <x:v>399895</x:v>
      </x:c>
      <x:c r="H21" s="20" t="n">
        <x:v>1253</x:v>
      </x:c>
      <x:c r="I21" s="20" t="n">
        <x:v>14500</x:v>
      </x:c>
      <x:c r="J21" s="27" t="n">
        <x:v>3</x:v>
      </x:c>
      <x:c r="K21" s="27" t="n">
        <x:v>15</x:v>
      </x:c>
      <x:c r="L21" s="27" t="n">
        <x:v>5</x:v>
      </x:c>
      <x:c r="M21" s="29" t="str">
        <x:v>対照47場</x:v>
      </x:c>
      <x:c r="N21" s="28" t="n">
        <x:v>70.08333333333333</x:v>
      </x:c>
      <x:c r="O21" s="28" t="n">
        <x:v>119.16666666666667</x:v>
      </x:c>
    </x:row>
    <x:row r="22" ht="22" customHeight="1">
      <x:c r="A22" s="2" t="str">
        <x:v>B5</x:v>
      </x:c>
      <x:c r="B22" s="24" t="d">
        <x:v>2026-09-30T17:00:00.000Z</x:v>
      </x:c>
      <x:c r="C22" s="2" t="str">
        <x:v>ナイト</x:v>
      </x:c>
      <x:c r="D22" s="20" t="n">
        <x:v>21664</x:v>
      </x:c>
      <x:c r="E22" s="20" t="n">
        <x:v>15418</x:v>
      </x:c>
      <x:c r="F22" s="20" t="n">
        <x:f>D22-E22</x:f>
        <x:v>6246</x:v>
      </x:c>
      <x:c r="G22" s="20" t="n">
        <x:f>SUMIFS($F$7:$F$56,$A$7:$A$56,A22,$B$7:$B$56,"&lt;="&amp;B22)</x:f>
        <x:v>406141</x:v>
      </x:c>
      <x:c r="H22" s="20" t="n">
        <x:v>1254</x:v>
      </x:c>
      <x:c r="I22" s="20" t="n">
        <x:v>7500</x:v>
      </x:c>
      <x:c r="J22" s="27" t="n">
        <x:v>3</x:v>
      </x:c>
      <x:c r="K22" s="27" t="n">
        <x:v>15</x:v>
      </x:c>
      <x:c r="L22" s="27" t="n">
        <x:v>5</x:v>
      </x:c>
      <x:c r="M22" s="29" t="str">
        <x:v>対照47場</x:v>
      </x:c>
      <x:c r="N22" s="28" t="n">
        <x:v>368.18333333333334</x:v>
      </x:c>
      <x:c r="O22" s="28" t="n">
        <x:v>56.5</x:v>
      </x:c>
    </x:row>
    <x:row r="23" ht="22" customHeight="1">
      <x:c r="A23" s="2" t="str">
        <x:v>B5</x:v>
      </x:c>
      <x:c r="B23" s="24" t="d">
        <x:v>2026-10-01T08:45:00.000Z</x:v>
      </x:c>
      <x:c r="C23" s="2" t="str">
        <x:v>デイ</x:v>
      </x:c>
      <x:c r="D23" s="20" t="n">
        <x:v>94084</x:v>
      </x:c>
      <x:c r="E23" s="20" t="n">
        <x:v>0</x:v>
      </x:c>
      <x:c r="F23" s="20" t="n">
        <x:f>D23-E23</x:f>
        <x:v>94084</x:v>
      </x:c>
      <x:c r="G23" s="20" t="n">
        <x:f>SUMIFS($F$7:$F$56,$A$7:$A$56,A23,$B$7:$B$56,"&lt;="&amp;B23)</x:f>
        <x:v>500225</x:v>
      </x:c>
      <x:c r="H23" s="20" t="n">
        <x:v>416</x:v>
      </x:c>
      <x:c r="I23" s="20" t="n">
        <x:v>94500</x:v>
      </x:c>
      <x:c r="J23" s="27" t="n">
        <x:v>1</x:v>
      </x:c>
      <x:c r="K23" s="27" t="n">
        <x:v>5</x:v>
      </x:c>
      <x:c r="L23" s="27" t="n">
        <x:v>5</x:v>
      </x:c>
      <x:c r="M23" s="29" t="str">
        <x:v>対照47場</x:v>
      </x:c>
      <x:c r="N23" s="28" t="n">
        <x:v>87.7</x:v>
      </x:c>
      <x:c r="O23" s="28" t="n">
        <x:v>211.43333333333334</x:v>
      </x:c>
    </x:row>
    <x:row r="24" ht="22" customHeight="1">
      <x:c r="A24" s="2" t="str">
        <x:v>B5</x:v>
      </x:c>
      <x:c r="B24" s="24" t="d">
        <x:v>2026-10-01T17:00:00.000Z</x:v>
      </x:c>
      <x:c r="C24" s="2" t="str">
        <x:v>ナイト</x:v>
      </x:c>
      <x:c r="D24" s="20" t="n">
        <x:v>66246</x:v>
      </x:c>
      <x:c r="E24" s="20" t="n">
        <x:v>45836</x:v>
      </x:c>
      <x:c r="F24" s="20" t="n">
        <x:f>D24-E24</x:f>
        <x:v>20410</x:v>
      </x:c>
      <x:c r="G24" s="20" t="n">
        <x:f>SUMIFS($F$7:$F$56,$A$7:$A$56,A24,$B$7:$B$56,"&lt;="&amp;B24)</x:f>
        <x:v>520635</x:v>
      </x:c>
      <x:c r="H24" s="20" t="n">
        <x:v>2090</x:v>
      </x:c>
      <x:c r="I24" s="20" t="n">
        <x:v>22500</x:v>
      </x:c>
      <x:c r="J24" s="27" t="n">
        <x:v>5</x:v>
      </x:c>
      <x:c r="K24" s="27" t="n">
        <x:v>25</x:v>
      </x:c>
      <x:c r="L24" s="27" t="n">
        <x:v>5</x:v>
      </x:c>
      <x:c r="M24" s="29" t="str">
        <x:v>対照47場</x:v>
      </x:c>
      <x:c r="N24" s="28" t="n">
        <x:v>382.01666666666665</x:v>
      </x:c>
      <x:c r="O24" s="28" t="n">
        <x:v>96.8</x:v>
      </x:c>
    </x:row>
    <x:row r="25" ht="22" customHeight="1">
      <x:c r="A25" s="2" t="str">
        <x:v>B5</x:v>
      </x:c>
      <x:c r="B25" s="24" t="d">
        <x:v>2026-10-02T08:45:00.000Z</x:v>
      </x:c>
      <x:c r="C25" s="2" t="str">
        <x:v>デイ</x:v>
      </x:c>
      <x:c r="D25" s="20" t="n">
        <x:v>0</x:v>
      </x:c>
      <x:c r="E25" s="20" t="n">
        <x:v>53336</x:v>
      </x:c>
      <x:c r="F25" s="20" t="n">
        <x:f>D25-E25</x:f>
        <x:v>-53336</x:v>
      </x:c>
      <x:c r="G25" s="20" t="n">
        <x:f>SUMIFS($F$7:$F$56,$A$7:$A$56,A25,$B$7:$B$56,"&lt;="&amp;B25)</x:f>
        <x:v>467299</x:v>
      </x:c>
      <x:c r="H25" s="20" t="n">
        <x:v>836</x:v>
      </x:c>
      <x:c r="I25" s="20" t="n">
        <x:v>-52500</x:v>
      </x:c>
      <x:c r="J25" s="27" t="n">
        <x:v>2</x:v>
      </x:c>
      <x:c r="K25" s="27" t="n">
        <x:v>10</x:v>
      </x:c>
      <x:c r="L25" s="27" t="n">
        <x:v>5</x:v>
      </x:c>
      <x:c r="M25" s="29" t="str">
        <x:v>対照47場</x:v>
      </x:c>
      <x:c r="N25" s="28" t="n">
        <x:v>72.7</x:v>
      </x:c>
      <x:c r="O25" s="28" t="n">
        <x:v>175.25</x:v>
      </x:c>
    </x:row>
    <x:row r="26" ht="22" customHeight="1">
      <x:c r="A26" s="2" t="str">
        <x:v>B5</x:v>
      </x:c>
      <x:c r="B26" s="24" t="d">
        <x:v>2026-10-02T17:00:00.000Z</x:v>
      </x:c>
      <x:c r="C26" s="2" t="str">
        <x:v>ナイト</x:v>
      </x:c>
      <x:c r="D26" s="20" t="n">
        <x:v>97082</x:v>
      </x:c>
      <x:c r="E26" s="20" t="n">
        <x:v>43336</x:v>
      </x:c>
      <x:c r="F26" s="20" t="n">
        <x:f>D26-E26</x:f>
        <x:v>53746</x:v>
      </x:c>
      <x:c r="G26" s="20" t="n">
        <x:f>SUMIFS($F$7:$F$56,$A$7:$A$56,A26,$B$7:$B$56,"&lt;="&amp;B26)</x:f>
        <x:v>521045</x:v>
      </x:c>
      <x:c r="H26" s="20" t="n">
        <x:v>1254</x:v>
      </x:c>
      <x:c r="I26" s="20" t="n">
        <x:v>55000</x:v>
      </x:c>
      <x:c r="J26" s="27" t="n">
        <x:v>3</x:v>
      </x:c>
      <x:c r="K26" s="27" t="n">
        <x:v>15</x:v>
      </x:c>
      <x:c r="L26" s="27" t="n">
        <x:v>5</x:v>
      </x:c>
      <x:c r="M26" s="29" t="str">
        <x:v>対照47場</x:v>
      </x:c>
      <x:c r="N26" s="28" t="n">
        <x:v>371.03333333333336</x:v>
      </x:c>
      <x:c r="O26" s="28" t="n">
        <x:v>60.8</x:v>
      </x:c>
    </x:row>
    <x:row r="27" ht="22" customHeight="1">
      <x:c r="A27" s="2" t="str">
        <x:v>B5</x:v>
      </x:c>
      <x:c r="B27" s="24" t="d">
        <x:v>2026-10-05T08:45:00.000Z</x:v>
      </x:c>
      <x:c r="C27" s="2" t="str">
        <x:v>デイ</x:v>
      </x:c>
      <x:c r="D27" s="20" t="n">
        <x:v>25583</x:v>
      </x:c>
      <x:c r="E27" s="20" t="n">
        <x:v>81672</x:v>
      </x:c>
      <x:c r="F27" s="20" t="n">
        <x:f>D27-E27</x:f>
        <x:v>-56089</x:v>
      </x:c>
      <x:c r="G27" s="20" t="n">
        <x:f>SUMIFS($F$7:$F$56,$A$7:$A$56,A27,$B$7:$B$56,"&lt;="&amp;B27)</x:f>
        <x:v>464956</x:v>
      </x:c>
      <x:c r="H27" s="20" t="n">
        <x:v>2089</x:v>
      </x:c>
      <x:c r="I27" s="20" t="n">
        <x:v>-54000</x:v>
      </x:c>
      <x:c r="J27" s="27" t="n">
        <x:v>5</x:v>
      </x:c>
      <x:c r="K27" s="27" t="n">
        <x:v>25</x:v>
      </x:c>
      <x:c r="L27" s="27" t="n">
        <x:v>5</x:v>
      </x:c>
      <x:c r="M27" s="29" t="str">
        <x:v>対照47場</x:v>
      </x:c>
      <x:c r="N27" s="28" t="n">
        <x:v>106</x:v>
      </x:c>
      <x:c r="O27" s="28" t="n">
        <x:v>81.85</x:v>
      </x:c>
    </x:row>
    <x:row r="28" ht="22" customHeight="1">
      <x:c r="A28" s="2" t="str">
        <x:v>B5</x:v>
      </x:c>
      <x:c r="B28" s="24" t="d">
        <x:v>2026-10-05T17:00:00.000Z</x:v>
      </x:c>
      <x:c r="C28" s="2" t="str">
        <x:v>ナイト</x:v>
      </x:c>
      <x:c r="D28" s="20" t="n">
        <x:v>0</x:v>
      </x:c>
      <x:c r="E28" s="20" t="n">
        <x:v>53754</x:v>
      </x:c>
      <x:c r="F28" s="20" t="n">
        <x:f>D28-E28</x:f>
        <x:v>-53754</x:v>
      </x:c>
      <x:c r="G28" s="20" t="n">
        <x:f>SUMIFS($F$7:$F$56,$A$7:$A$56,A28,$B$7:$B$56,"&lt;="&amp;B28)</x:f>
        <x:v>411202</x:v>
      </x:c>
      <x:c r="H28" s="20" t="n">
        <x:v>1254</x:v>
      </x:c>
      <x:c r="I28" s="20" t="n">
        <x:v>-52500</x:v>
      </x:c>
      <x:c r="J28" s="27" t="n">
        <x:v>3</x:v>
      </x:c>
      <x:c r="K28" s="27" t="n">
        <x:v>15</x:v>
      </x:c>
      <x:c r="L28" s="27" t="n">
        <x:v>5</x:v>
      </x:c>
      <x:c r="M28" s="29" t="str">
        <x:v>対照47場</x:v>
      </x:c>
      <x:c r="N28" s="28" t="n">
        <x:v>371.4</x:v>
      </x:c>
      <x:c r="O28" s="28" t="n">
        <x:v>76.26666666666667</x:v>
      </x:c>
    </x:row>
    <x:row r="29" ht="22" customHeight="1">
      <x:c r="A29" s="2" t="str">
        <x:v>B5</x:v>
      </x:c>
      <x:c r="B29" s="24" t="d">
        <x:v>2026-10-06T08:45:00.000Z</x:v>
      </x:c>
      <x:c r="C29" s="2" t="str">
        <x:v>デイ</x:v>
      </x:c>
      <x:c r="D29" s="20" t="n">
        <x:v>0</x:v>
      </x:c>
      <x:c r="E29" s="20" t="n">
        <x:v>12918</x:v>
      </x:c>
      <x:c r="F29" s="20" t="n">
        <x:f>D29-E29</x:f>
        <x:v>-12918</x:v>
      </x:c>
      <x:c r="G29" s="20" t="n">
        <x:f>SUMIFS($F$7:$F$56,$A$7:$A$56,A29,$B$7:$B$56,"&lt;="&amp;B29)</x:f>
        <x:v>398284</x:v>
      </x:c>
      <x:c r="H29" s="20" t="n">
        <x:v>418</x:v>
      </x:c>
      <x:c r="I29" s="20" t="n">
        <x:v>-12500</x:v>
      </x:c>
      <x:c r="J29" s="27" t="n">
        <x:v>1</x:v>
      </x:c>
      <x:c r="K29" s="27" t="n">
        <x:v>5</x:v>
      </x:c>
      <x:c r="L29" s="27" t="n">
        <x:v>5</x:v>
      </x:c>
      <x:c r="M29" s="29" t="str">
        <x:v>対照47場</x:v>
      </x:c>
      <x:c r="N29" s="28" t="n">
        <x:v>81.3</x:v>
      </x:c>
      <x:c r="O29" s="28" t="n">
        <x:v>15.183333333333334</x:v>
      </x:c>
    </x:row>
    <x:row r="30" ht="22" customHeight="1">
      <x:c r="A30" s="2" t="str">
        <x:v>B5</x:v>
      </x:c>
      <x:c r="B30" s="24" t="d">
        <x:v>2026-10-06T17:00:00.000Z</x:v>
      </x:c>
      <x:c r="C30" s="2" t="str">
        <x:v>ナイト</x:v>
      </x:c>
      <x:c r="D30" s="20" t="n">
        <x:v>0</x:v>
      </x:c>
      <x:c r="E30" s="20" t="n">
        <x:v>40836</x:v>
      </x:c>
      <x:c r="F30" s="20" t="n">
        <x:f>D30-E30</x:f>
        <x:v>-40836</x:v>
      </x:c>
      <x:c r="G30" s="20" t="n">
        <x:f>SUMIFS($F$7:$F$56,$A$7:$A$56,A30,$B$7:$B$56,"&lt;="&amp;B30)</x:f>
        <x:v>357448</x:v>
      </x:c>
      <x:c r="H30" s="20" t="n">
        <x:v>836</x:v>
      </x:c>
      <x:c r="I30" s="20" t="n">
        <x:v>-40000</x:v>
      </x:c>
      <x:c r="J30" s="27" t="n">
        <x:v>2</x:v>
      </x:c>
      <x:c r="K30" s="27" t="n">
        <x:v>10</x:v>
      </x:c>
      <x:c r="L30" s="27" t="n">
        <x:v>5</x:v>
      </x:c>
      <x:c r="M30" s="29" t="str">
        <x:v>対照47場</x:v>
      </x:c>
      <x:c r="N30" s="28" t="n">
        <x:v>367.5</x:v>
      </x:c>
      <x:c r="O30" s="28" t="n">
        <x:v>23.283333333333335</x:v>
      </x:c>
    </x:row>
    <x:row r="31" ht="22" customHeight="1">
      <x:c r="A31" s="2" t="str">
        <x:v>B5</x:v>
      </x:c>
      <x:c r="B31" s="24" t="d">
        <x:v>2026-10-07T08:45:00.000Z</x:v>
      </x:c>
      <x:c r="C31" s="2" t="str">
        <x:v>デイ</x:v>
      </x:c>
      <x:c r="D31" s="20" t="n">
        <x:v>70083</x:v>
      </x:c>
      <x:c r="E31" s="20" t="n">
        <x:v>0</x:v>
      </x:c>
      <x:c r="F31" s="20" t="n">
        <x:f>D31-E31</x:f>
        <x:v>70083</x:v>
      </x:c>
      <x:c r="G31" s="20" t="n">
        <x:f>SUMIFS($F$7:$F$56,$A$7:$A$56,A31,$B$7:$B$56,"&lt;="&amp;B31)</x:f>
        <x:v>427531</x:v>
      </x:c>
      <x:c r="H31" s="20" t="n">
        <x:v>417</x:v>
      </x:c>
      <x:c r="I31" s="20" t="n">
        <x:v>70500</x:v>
      </x:c>
      <x:c r="J31" s="27" t="n">
        <x:v>1</x:v>
      </x:c>
      <x:c r="K31" s="27" t="n">
        <x:v>5</x:v>
      </x:c>
      <x:c r="L31" s="27" t="n">
        <x:v>5</x:v>
      </x:c>
      <x:c r="M31" s="29" t="str">
        <x:v>対照47場</x:v>
      </x:c>
      <x:c r="N31" s="28" t="n">
        <x:v>70.5</x:v>
      </x:c>
      <x:c r="O31" s="28" t="n">
        <x:v>77.45</x:v>
      </x:c>
    </x:row>
    <x:row r="32" ht="22" customHeight="1">
      <x:c r="A32" s="2" t="str">
        <x:v>B5</x:v>
      </x:c>
      <x:c r="B32" s="24" t="d">
        <x:v>2026-10-07T17:00:00.000Z</x:v>
      </x:c>
      <x:c r="C32" s="2" t="str">
        <x:v>ナイト</x:v>
      </x:c>
      <x:c r="D32" s="20" t="n">
        <x:v>9582</x:v>
      </x:c>
      <x:c r="E32" s="20" t="n">
        <x:v>0</x:v>
      </x:c>
      <x:c r="F32" s="20" t="n">
        <x:f>D32-E32</x:f>
        <x:v>9582</x:v>
      </x:c>
      <x:c r="G32" s="20" t="n">
        <x:f>SUMIFS($F$7:$F$56,$A$7:$A$56,A32,$B$7:$B$56,"&lt;="&amp;B32)</x:f>
        <x:v>437113</x:v>
      </x:c>
      <x:c r="H32" s="20" t="n">
        <x:v>418</x:v>
      </x:c>
      <x:c r="I32" s="20" t="n">
        <x:v>10000</x:v>
      </x:c>
      <x:c r="J32" s="27" t="n">
        <x:v>1</x:v>
      </x:c>
      <x:c r="K32" s="27" t="n">
        <x:v>5</x:v>
      </x:c>
      <x:c r="L32" s="27" t="n">
        <x:v>5</x:v>
      </x:c>
      <x:c r="M32" s="29" t="str">
        <x:v>対照47場</x:v>
      </x:c>
      <x:c r="N32" s="28" t="n">
        <x:v>392.71666666666664</x:v>
      </x:c>
      <x:c r="O32" s="28" t="n">
        <x:v>27.966666666666665</x:v>
      </x:c>
    </x:row>
    <x:row r="33" ht="22" customHeight="1">
      <x:c r="A33" s="2" t="str">
        <x:v>B5</x:v>
      </x:c>
      <x:c r="B33" s="24" t="d">
        <x:v>2026-10-08T08:45:00.000Z</x:v>
      </x:c>
      <x:c r="C33" s="2" t="str">
        <x:v>デイ</x:v>
      </x:c>
      <x:c r="D33" s="20" t="n">
        <x:v>84167</x:v>
      </x:c>
      <x:c r="E33" s="20" t="n">
        <x:v>43336</x:v>
      </x:c>
      <x:c r="F33" s="20" t="n">
        <x:f>D33-E33</x:f>
        <x:v>40831</x:v>
      </x:c>
      <x:c r="G33" s="20" t="n">
        <x:f>SUMIFS($F$7:$F$56,$A$7:$A$56,A33,$B$7:$B$56,"&lt;="&amp;B33)</x:f>
        <x:v>477944</x:v>
      </x:c>
      <x:c r="H33" s="20" t="n">
        <x:v>1669</x:v>
      </x:c>
      <x:c r="I33" s="20" t="n">
        <x:v>42500</x:v>
      </x:c>
      <x:c r="J33" s="27" t="n">
        <x:v>4</x:v>
      </x:c>
      <x:c r="K33" s="27" t="n">
        <x:v>20</x:v>
      </x:c>
      <x:c r="L33" s="27" t="n">
        <x:v>5</x:v>
      </x:c>
      <x:c r="M33" s="29" t="str">
        <x:v>対照47場</x:v>
      </x:c>
      <x:c r="N33" s="28" t="n">
        <x:v>70.2</x:v>
      </x:c>
      <x:c r="O33" s="28" t="n">
        <x:v>169.25</x:v>
      </x:c>
    </x:row>
    <x:row r="34" ht="22" customHeight="1">
      <x:c r="A34" s="2" t="str">
        <x:v>B5</x:v>
      </x:c>
      <x:c r="B34" s="24" t="d">
        <x:v>2026-10-08T17:00:00.000Z</x:v>
      </x:c>
      <x:c r="C34" s="2" t="str">
        <x:v>ナイト</x:v>
      </x:c>
      <x:c r="D34" s="20" t="n">
        <x:v>59164</x:v>
      </x:c>
      <x:c r="E34" s="20" t="n">
        <x:v>17918</x:v>
      </x:c>
      <x:c r="F34" s="20" t="n">
        <x:f>D34-E34</x:f>
        <x:v>41246</x:v>
      </x:c>
      <x:c r="G34" s="20" t="n">
        <x:f>SUMIFS($F$7:$F$56,$A$7:$A$56,A34,$B$7:$B$56,"&lt;="&amp;B34)</x:f>
        <x:v>519190</x:v>
      </x:c>
      <x:c r="H34" s="20" t="n">
        <x:v>1254</x:v>
      </x:c>
      <x:c r="I34" s="20" t="n">
        <x:v>42500</x:v>
      </x:c>
      <x:c r="J34" s="27" t="n">
        <x:v>3</x:v>
      </x:c>
      <x:c r="K34" s="27" t="n">
        <x:v>15</x:v>
      </x:c>
      <x:c r="L34" s="27" t="n">
        <x:v>5</x:v>
      </x:c>
      <x:c r="M34" s="29" t="str">
        <x:v>対照47場</x:v>
      </x:c>
      <x:c r="N34" s="28" t="n">
        <x:v>413.2</x:v>
      </x:c>
      <x:c r="O34" s="28" t="n">
        <x:v>72.38333333333334</x:v>
      </x:c>
    </x:row>
    <x:row r="35" ht="22" customHeight="1">
      <x:c r="A35" s="2" t="str">
        <x:v>B5</x:v>
      </x:c>
      <x:c r="B35" s="24" t="d">
        <x:v>2026-10-09T08:45:00.000Z</x:v>
      </x:c>
      <x:c r="C35" s="2" t="str">
        <x:v>デイ</x:v>
      </x:c>
      <x:c r="D35" s="20" t="n">
        <x:v>69084</x:v>
      </x:c>
      <x:c r="E35" s="20" t="n">
        <x:v>30418</x:v>
      </x:c>
      <x:c r="F35" s="20" t="n">
        <x:f>D35-E35</x:f>
        <x:v>38666</x:v>
      </x:c>
      <x:c r="G35" s="20" t="n">
        <x:f>SUMIFS($F$7:$F$56,$A$7:$A$56,A35,$B$7:$B$56,"&lt;="&amp;B35)</x:f>
        <x:v>557856</x:v>
      </x:c>
      <x:c r="H35" s="20" t="n">
        <x:v>834</x:v>
      </x:c>
      <x:c r="I35" s="20" t="n">
        <x:v>39500</x:v>
      </x:c>
      <x:c r="J35" s="27" t="n">
        <x:v>2</x:v>
      </x:c>
      <x:c r="K35" s="27" t="n">
        <x:v>10</x:v>
      </x:c>
      <x:c r="L35" s="27" t="n">
        <x:v>5</x:v>
      </x:c>
      <x:c r="M35" s="29" t="str">
        <x:v>対照47場</x:v>
      </x:c>
      <x:c r="N35" s="28" t="n">
        <x:v>85.61666666666666</x:v>
      </x:c>
      <x:c r="O35" s="28" t="n">
        <x:v>292.01666666666665</x:v>
      </x:c>
    </x:row>
    <x:row r="36" ht="22" customHeight="1">
      <x:c r="A36" s="2" t="str">
        <x:v>B5</x:v>
      </x:c>
      <x:c r="B36" s="24" t="d">
        <x:v>2026-10-09T17:00:00.000Z</x:v>
      </x:c>
      <x:c r="C36" s="2" t="str">
        <x:v>ナイト</x:v>
      </x:c>
      <x:c r="D36" s="20" t="n">
        <x:v>14582</x:v>
      </x:c>
      <x:c r="E36" s="20" t="n">
        <x:v>0</x:v>
      </x:c>
      <x:c r="F36" s="20" t="n">
        <x:f>D36-E36</x:f>
        <x:v>14582</x:v>
      </x:c>
      <x:c r="G36" s="20" t="n">
        <x:f>SUMIFS($F$7:$F$56,$A$7:$A$56,A36,$B$7:$B$56,"&lt;="&amp;B36)</x:f>
        <x:v>572438</x:v>
      </x:c>
      <x:c r="H36" s="20" t="n">
        <x:v>418</x:v>
      </x:c>
      <x:c r="I36" s="20" t="n">
        <x:v>15000</x:v>
      </x:c>
      <x:c r="J36" s="27" t="n">
        <x:v>1</x:v>
      </x:c>
      <x:c r="K36" s="27" t="n">
        <x:v>5</x:v>
      </x:c>
      <x:c r="L36" s="27" t="n">
        <x:v>5</x:v>
      </x:c>
      <x:c r="M36" s="29" t="str">
        <x:v>対照47場</x:v>
      </x:c>
      <x:c r="N36" s="28" t="n">
        <x:v>450</x:v>
      </x:c>
      <x:c r="O36" s="28" t="n">
        <x:v>52.56666666666667</x:v>
      </x:c>
    </x:row>
    <x:row r="37" ht="22" customHeight="1">
      <x:c r="A37" s="2" t="str">
        <x:v>B5</x:v>
      </x:c>
      <x:c r="B37" s="24" t="d">
        <x:v>2026-10-12T08:45:00.000Z</x:v>
      </x:c>
      <x:c r="C37" s="2" t="str">
        <x:v>デイ</x:v>
      </x:c>
      <x:c r="D37" s="20" t="n">
        <x:v>19582</x:v>
      </x:c>
      <x:c r="E37" s="20" t="n">
        <x:v>0</x:v>
      </x:c>
      <x:c r="F37" s="20" t="n">
        <x:f>D37-E37</x:f>
        <x:v>19582</x:v>
      </x:c>
      <x:c r="G37" s="20" t="n">
        <x:f>SUMIFS($F$7:$F$56,$A$7:$A$56,A37,$B$7:$B$56,"&lt;="&amp;B37)</x:f>
        <x:v>592020</x:v>
      </x:c>
      <x:c r="H37" s="20" t="n">
        <x:v>418</x:v>
      </x:c>
      <x:c r="I37" s="20" t="n">
        <x:v>20000</x:v>
      </x:c>
      <x:c r="J37" s="27" t="n">
        <x:v>1</x:v>
      </x:c>
      <x:c r="K37" s="27" t="n">
        <x:v>5</x:v>
      </x:c>
      <x:c r="L37" s="27" t="n">
        <x:v>5</x:v>
      </x:c>
      <x:c r="M37" s="29" t="str">
        <x:v>対照47場</x:v>
      </x:c>
      <x:c r="N37" s="28" t="n">
        <x:v>256</x:v>
      </x:c>
      <x:c r="O37" s="28" t="n">
        <x:v>107</x:v>
      </x:c>
    </x:row>
    <x:row r="38" ht="22" customHeight="1">
      <x:c r="A38" s="2" t="str">
        <x:v>B5</x:v>
      </x:c>
      <x:c r="B38" s="24" t="d">
        <x:v>2026-10-12T17:00:00.000Z</x:v>
      </x:c>
      <x:c r="C38" s="2" t="str">
        <x:v>ナイト</x:v>
      </x:c>
      <x:c r="D38" s="20" t="n">
        <x:v>2082</x:v>
      </x:c>
      <x:c r="E38" s="20" t="n">
        <x:v>0</x:v>
      </x:c>
      <x:c r="F38" s="20" t="n">
        <x:f>D38-E38</x:f>
        <x:v>2082</x:v>
      </x:c>
      <x:c r="G38" s="20" t="n">
        <x:f>SUMIFS($F$7:$F$56,$A$7:$A$56,A38,$B$7:$B$56,"&lt;="&amp;B38)</x:f>
        <x:v>594102</x:v>
      </x:c>
      <x:c r="H38" s="20" t="n">
        <x:v>418</x:v>
      </x:c>
      <x:c r="I38" s="20" t="n">
        <x:v>2500</x:v>
      </x:c>
      <x:c r="J38" s="27" t="n">
        <x:v>1</x:v>
      </x:c>
      <x:c r="K38" s="27" t="n">
        <x:v>5</x:v>
      </x:c>
      <x:c r="L38" s="27" t="n">
        <x:v>5</x:v>
      </x:c>
      <x:c r="M38" s="29" t="str">
        <x:v>対照47場</x:v>
      </x:c>
      <x:c r="N38" s="28" t="n">
        <x:v>369.23333333333335</x:v>
      </x:c>
      <x:c r="O38" s="28" t="n">
        <x:v>4.55</x:v>
      </x:c>
    </x:row>
    <x:row r="39" ht="22" customHeight="1">
      <x:c r="A39" s="2" t="str">
        <x:v>B5</x:v>
      </x:c>
      <x:c r="B39" s="24" t="d">
        <x:v>2026-10-13T08:45:00.000Z</x:v>
      </x:c>
      <x:c r="C39" s="2" t="str">
        <x:v>デイ</x:v>
      </x:c>
      <x:c r="D39" s="20" t="n">
        <x:v>43084</x:v>
      </x:c>
      <x:c r="E39" s="20" t="n">
        <x:v>42918</x:v>
      </x:c>
      <x:c r="F39" s="20" t="n">
        <x:f>D39-E39</x:f>
        <x:v>166</x:v>
      </x:c>
      <x:c r="G39" s="20" t="n">
        <x:f>SUMIFS($F$7:$F$56,$A$7:$A$56,A39,$B$7:$B$56,"&lt;="&amp;B39)</x:f>
        <x:v>594268</x:v>
      </x:c>
      <x:c r="H39" s="20" t="n">
        <x:v>834</x:v>
      </x:c>
      <x:c r="I39" s="20" t="n">
        <x:v>1000</x:v>
      </x:c>
      <x:c r="J39" s="27" t="n">
        <x:v>2</x:v>
      </x:c>
      <x:c r="K39" s="27" t="n">
        <x:v>10</x:v>
      </x:c>
      <x:c r="L39" s="27" t="n">
        <x:v>5</x:v>
      </x:c>
      <x:c r="M39" s="29" t="str">
        <x:v>対照47場</x:v>
      </x:c>
      <x:c r="N39" s="28" t="n">
        <x:v>66.41666666666667</x:v>
      </x:c>
      <x:c r="O39" s="28" t="n">
        <x:v>307.93333333333334</x:v>
      </x:c>
    </x:row>
    <x:row r="40" ht="22" customHeight="1">
      <x:c r="A40" s="2" t="str">
        <x:v>B5</x:v>
      </x:c>
      <x:c r="B40" s="24" t="d">
        <x:v>2026-10-13T17:00:00.000Z</x:v>
      </x:c>
      <x:c r="C40" s="2" t="str">
        <x:v>ナイト</x:v>
      </x:c>
      <x:c r="D40" s="20" t="n">
        <x:v>4582</x:v>
      </x:c>
      <x:c r="E40" s="20" t="n">
        <x:v>0</x:v>
      </x:c>
      <x:c r="F40" s="20" t="n">
        <x:f>D40-E40</x:f>
        <x:v>4582</x:v>
      </x:c>
      <x:c r="G40" s="20" t="n">
        <x:f>SUMIFS($F$7:$F$56,$A$7:$A$56,A40,$B$7:$B$56,"&lt;="&amp;B40)</x:f>
        <x:v>598850</x:v>
      </x:c>
      <x:c r="H40" s="20" t="n">
        <x:v>418</x:v>
      </x:c>
      <x:c r="I40" s="20" t="n">
        <x:v>5000</x:v>
      </x:c>
      <x:c r="J40" s="27" t="n">
        <x:v>1</x:v>
      </x:c>
      <x:c r="K40" s="27" t="n">
        <x:v>5</x:v>
      </x:c>
      <x:c r="L40" s="27" t="n">
        <x:v>5</x:v>
      </x:c>
      <x:c r="M40" s="29" t="str">
        <x:v>対照47場</x:v>
      </x:c>
      <x:c r="N40" s="28" t="n">
        <x:v>362.95</x:v>
      </x:c>
      <x:c r="O40" s="28" t="n">
        <x:v>60.78333333333333</x:v>
      </x:c>
    </x:row>
    <x:row r="41" ht="22" customHeight="1">
      <x:c r="A41" s="2" t="str">
        <x:v>B5</x:v>
      </x:c>
      <x:c r="B41" s="24" t="d">
        <x:v>2026-10-14T08:45:00.000Z</x:v>
      </x:c>
      <x:c r="C41" s="2" t="str">
        <x:v>デイ</x:v>
      </x:c>
      <x:c r="D41" s="20" t="n">
        <x:v>1083</x:v>
      </x:c>
      <x:c r="E41" s="20" t="n">
        <x:v>20335</x:v>
      </x:c>
      <x:c r="F41" s="20" t="n">
        <x:f>D41-E41</x:f>
        <x:v>-19252</x:v>
      </x:c>
      <x:c r="G41" s="20" t="n">
        <x:f>SUMIFS($F$7:$F$56,$A$7:$A$56,A41,$B$7:$B$56,"&lt;="&amp;B41)</x:f>
        <x:v>579598</x:v>
      </x:c>
      <x:c r="H41" s="20" t="n">
        <x:v>1252</x:v>
      </x:c>
      <x:c r="I41" s="20" t="n">
        <x:v>-18000</x:v>
      </x:c>
      <x:c r="J41" s="27" t="n">
        <x:v>3</x:v>
      </x:c>
      <x:c r="K41" s="27" t="n">
        <x:v>15</x:v>
      </x:c>
      <x:c r="L41" s="27" t="n">
        <x:v>5</x:v>
      </x:c>
      <x:c r="M41" s="29" t="str">
        <x:v>対照47場</x:v>
      </x:c>
      <x:c r="N41" s="28" t="n">
        <x:v>132.93333333333334</x:v>
      </x:c>
      <x:c r="O41" s="28" t="n">
        <x:v>260.25</x:v>
      </x:c>
    </x:row>
    <x:row r="42" ht="22" customHeight="1">
      <x:c r="A42" s="2" t="str">
        <x:v>B5</x:v>
      </x:c>
      <x:c r="B42" s="24" t="d">
        <x:v>2026-10-14T17:00:00.000Z</x:v>
      </x:c>
      <x:c r="C42" s="2" t="str">
        <x:v>ナイト</x:v>
      </x:c>
      <x:c r="D42" s="20" t="n">
        <x:v>64164</x:v>
      </x:c>
      <x:c r="E42" s="20" t="n">
        <x:v>63754</x:v>
      </x:c>
      <x:c r="F42" s="20" t="n">
        <x:f>D42-E42</x:f>
        <x:v>410</x:v>
      </x:c>
      <x:c r="G42" s="20" t="n">
        <x:f>SUMIFS($F$7:$F$56,$A$7:$A$56,A42,$B$7:$B$56,"&lt;="&amp;B42)</x:f>
        <x:v>580008</x:v>
      </x:c>
      <x:c r="H42" s="20" t="n">
        <x:v>2090</x:v>
      </x:c>
      <x:c r="I42" s="20" t="n">
        <x:v>2500</x:v>
      </x:c>
      <x:c r="J42" s="27" t="n">
        <x:v>5</x:v>
      </x:c>
      <x:c r="K42" s="27" t="n">
        <x:v>25</x:v>
      </x:c>
      <x:c r="L42" s="27" t="n">
        <x:v>5</x:v>
      </x:c>
      <x:c r="M42" s="29" t="str">
        <x:v>対照47場</x:v>
      </x:c>
      <x:c r="N42" s="28" t="n">
        <x:v>360.01666666666665</x:v>
      </x:c>
      <x:c r="O42" s="28" t="n">
        <x:v>152.31666666666666</x:v>
      </x:c>
    </x:row>
    <x:row r="43" ht="22" customHeight="1">
      <x:c r="A43" s="2" t="str">
        <x:v>B5</x:v>
      </x:c>
      <x:c r="B43" s="24" t="d">
        <x:v>2026-10-15T08:45:00.000Z</x:v>
      </x:c>
      <x:c r="C43" s="2" t="str">
        <x:v>デイ</x:v>
      </x:c>
      <x:c r="D43" s="20" t="n">
        <x:v>132083</x:v>
      </x:c>
      <x:c r="E43" s="20" t="n">
        <x:v>43336</x:v>
      </x:c>
      <x:c r="F43" s="20" t="n">
        <x:f>D43-E43</x:f>
        <x:v>88747</x:v>
      </x:c>
      <x:c r="G43" s="20" t="n">
        <x:f>SUMIFS($F$7:$F$56,$A$7:$A$56,A43,$B$7:$B$56,"&lt;="&amp;B43)</x:f>
        <x:v>668755</x:v>
      </x:c>
      <x:c r="H43" s="20" t="n">
        <x:v>1253</x:v>
      </x:c>
      <x:c r="I43" s="20" t="n">
        <x:v>90000</x:v>
      </x:c>
      <x:c r="J43" s="27" t="n">
        <x:v>3</x:v>
      </x:c>
      <x:c r="K43" s="27" t="n">
        <x:v>15</x:v>
      </x:c>
      <x:c r="L43" s="27" t="n">
        <x:v>5</x:v>
      </x:c>
      <x:c r="M43" s="29" t="str">
        <x:v>対照47場</x:v>
      </x:c>
      <x:c r="N43" s="28" t="n">
        <x:v>67.7</x:v>
      </x:c>
      <x:c r="O43" s="28" t="n">
        <x:v>210.13333333333333</x:v>
      </x:c>
    </x:row>
    <x:row r="44" ht="22" customHeight="1">
      <x:c r="A44" s="2" t="str">
        <x:v>B5</x:v>
      </x:c>
      <x:c r="B44" s="24" t="d">
        <x:v>2026-10-15T17:00:00.000Z</x:v>
      </x:c>
      <x:c r="C44" s="2" t="str">
        <x:v>ナイト</x:v>
      </x:c>
      <x:c r="D44" s="20" t="n">
        <x:v>61664</x:v>
      </x:c>
      <x:c r="E44" s="20" t="n">
        <x:v>33754</x:v>
      </x:c>
      <x:c r="F44" s="20" t="n">
        <x:f>D44-E44</x:f>
        <x:v>27910</x:v>
      </x:c>
      <x:c r="G44" s="20" t="n">
        <x:f>SUMIFS($F$7:$F$56,$A$7:$A$56,A44,$B$7:$B$56,"&lt;="&amp;B44)</x:f>
        <x:v>696665</x:v>
      </x:c>
      <x:c r="H44" s="20" t="n">
        <x:v>2090</x:v>
      </x:c>
      <x:c r="I44" s="20" t="n">
        <x:v>30000</x:v>
      </x:c>
      <x:c r="J44" s="27" t="n">
        <x:v>5</x:v>
      </x:c>
      <x:c r="K44" s="27" t="n">
        <x:v>25</x:v>
      </x:c>
      <x:c r="L44" s="27" t="n">
        <x:v>5</x:v>
      </x:c>
      <x:c r="M44" s="29" t="str">
        <x:v>対照47場</x:v>
      </x:c>
      <x:c r="N44" s="28" t="n">
        <x:v>400.05</x:v>
      </x:c>
      <x:c r="O44" s="28" t="n">
        <x:v>80.65</x:v>
      </x:c>
    </x:row>
    <x:row r="45" ht="22" customHeight="1">
      <x:c r="A45" s="2" t="str">
        <x:v>B5</x:v>
      </x:c>
      <x:c r="B45" s="24" t="d">
        <x:v>2026-10-16T08:45:00.000Z</x:v>
      </x:c>
      <x:c r="C45" s="2" t="str">
        <x:v>デイ</x:v>
      </x:c>
      <x:c r="D45" s="20" t="n">
        <x:v>0</x:v>
      </x:c>
      <x:c r="E45" s="20" t="n">
        <x:v>79172</x:v>
      </x:c>
      <x:c r="F45" s="20" t="n">
        <x:f>D45-E45</x:f>
        <x:v>-79172</x:v>
      </x:c>
      <x:c r="G45" s="20" t="n">
        <x:f>SUMIFS($F$7:$F$56,$A$7:$A$56,A45,$B$7:$B$56,"&lt;="&amp;B45)</x:f>
        <x:v>617493</x:v>
      </x:c>
      <x:c r="H45" s="20" t="n">
        <x:v>1672</x:v>
      </x:c>
      <x:c r="I45" s="20" t="n">
        <x:v>-77500</x:v>
      </x:c>
      <x:c r="J45" s="27" t="n">
        <x:v>4</x:v>
      </x:c>
      <x:c r="K45" s="27" t="n">
        <x:v>20</x:v>
      </x:c>
      <x:c r="L45" s="27" t="n">
        <x:v>5</x:v>
      </x:c>
      <x:c r="M45" s="29" t="str">
        <x:v>対照47場</x:v>
      </x:c>
      <x:c r="N45" s="28" t="n">
        <x:v>67.33333333333333</x:v>
      </x:c>
      <x:c r="O45" s="28" t="n">
        <x:v>155.38333333333333</x:v>
      </x:c>
    </x:row>
    <x:row r="46" ht="22" customHeight="1">
      <x:c r="A46" s="2" t="str">
        <x:v>B5</x:v>
      </x:c>
      <x:c r="B46" s="24" t="d">
        <x:v>2026-10-16T17:00:00.000Z</x:v>
      </x:c>
      <x:c r="C46" s="2" t="str">
        <x:v>ナイト</x:v>
      </x:c>
      <x:c r="D46" s="20" t="n">
        <x:v>151664</x:v>
      </x:c>
      <x:c r="E46" s="20" t="n">
        <x:v>38336</x:v>
      </x:c>
      <x:c r="F46" s="20" t="n">
        <x:f>D46-E46</x:f>
        <x:v>113328</x:v>
      </x:c>
      <x:c r="G46" s="20" t="n">
        <x:f>SUMIFS($F$7:$F$56,$A$7:$A$56,A46,$B$7:$B$56,"&lt;="&amp;B46)</x:f>
        <x:v>730821</x:v>
      </x:c>
      <x:c r="H46" s="20" t="n">
        <x:v>1672</x:v>
      </x:c>
      <x:c r="I46" s="20" t="n">
        <x:v>115000</x:v>
      </x:c>
      <x:c r="J46" s="27" t="n">
        <x:v>4</x:v>
      </x:c>
      <x:c r="K46" s="27" t="n">
        <x:v>20</x:v>
      </x:c>
      <x:c r="L46" s="27" t="n">
        <x:v>5</x:v>
      </x:c>
      <x:c r="M46" s="29" t="str">
        <x:v>対照47場</x:v>
      </x:c>
      <x:c r="N46" s="28" t="n">
        <x:v>409.15</x:v>
      </x:c>
      <x:c r="O46" s="28" t="n">
        <x:v>95.31666666666666</x:v>
      </x:c>
    </x:row>
    <x:row r="47" ht="22" customHeight="1">
      <x:c r="A47" s="2" t="str">
        <x:v>B5</x:v>
      </x:c>
      <x:c r="B47" s="24" t="d">
        <x:v>2026-10-19T08:45:00.000Z</x:v>
      </x:c>
      <x:c r="C47" s="2" t="str">
        <x:v>デイ</x:v>
      </x:c>
      <x:c r="D47" s="20" t="n">
        <x:v>118083</x:v>
      </x:c>
      <x:c r="E47" s="20" t="n">
        <x:v>47918</x:v>
      </x:c>
      <x:c r="F47" s="20" t="n">
        <x:f>D47-E47</x:f>
        <x:v>70165</x:v>
      </x:c>
      <x:c r="G47" s="20" t="n">
        <x:f>SUMIFS($F$7:$F$56,$A$7:$A$56,A47,$B$7:$B$56,"&lt;="&amp;B47)</x:f>
        <x:v>800986</x:v>
      </x:c>
      <x:c r="H47" s="20" t="n">
        <x:v>835</x:v>
      </x:c>
      <x:c r="I47" s="20" t="n">
        <x:v>71000</x:v>
      </x:c>
      <x:c r="J47" s="27" t="n">
        <x:v>2</x:v>
      </x:c>
      <x:c r="K47" s="27" t="n">
        <x:v>10</x:v>
      </x:c>
      <x:c r="L47" s="27" t="n">
        <x:v>5</x:v>
      </x:c>
      <x:c r="M47" s="29" t="str">
        <x:v>対照47場</x:v>
      </x:c>
      <x:c r="N47" s="28" t="n">
        <x:v>66.71666666666667</x:v>
      </x:c>
      <x:c r="O47" s="28" t="n">
        <x:v>321.96666666666664</x:v>
      </x:c>
    </x:row>
    <x:row r="48" ht="22" customHeight="1">
      <x:c r="A48" s="2" t="str">
        <x:v>B5</x:v>
      </x:c>
      <x:c r="B48" s="24" t="d">
        <x:v>2026-10-19T17:00:00.000Z</x:v>
      </x:c>
      <x:c r="C48" s="2" t="str">
        <x:v>ナイト</x:v>
      </x:c>
      <x:c r="D48" s="20" t="n">
        <x:v>41664</x:v>
      </x:c>
      <x:c r="E48" s="20" t="n">
        <x:v>38336</x:v>
      </x:c>
      <x:c r="F48" s="20" t="n">
        <x:f>D48-E48</x:f>
        <x:v>3328</x:v>
      </x:c>
      <x:c r="G48" s="20" t="n">
        <x:f>SUMIFS($F$7:$F$56,$A$7:$A$56,A48,$B$7:$B$56,"&lt;="&amp;B48)</x:f>
        <x:v>804314</x:v>
      </x:c>
      <x:c r="H48" s="20" t="n">
        <x:v>1672</x:v>
      </x:c>
      <x:c r="I48" s="20" t="n">
        <x:v>5000</x:v>
      </x:c>
      <x:c r="J48" s="27" t="n">
        <x:v>4</x:v>
      </x:c>
      <x:c r="K48" s="27" t="n">
        <x:v>20</x:v>
      </x:c>
      <x:c r="L48" s="27" t="n">
        <x:v>5</x:v>
      </x:c>
      <x:c r="M48" s="29" t="str">
        <x:v>対照47場</x:v>
      </x:c>
      <x:c r="N48" s="28" t="n">
        <x:v>397.3333333333333</x:v>
      </x:c>
      <x:c r="O48" s="28" t="n">
        <x:v>96.4</x:v>
      </x:c>
    </x:row>
    <x:row r="49" ht="22" customHeight="1">
      <x:c r="A49" s="2" t="str">
        <x:v>B5</x:v>
      </x:c>
      <x:c r="B49" s="24" t="d">
        <x:v>2026-10-20T08:45:00.000Z</x:v>
      </x:c>
      <x:c r="C49" s="2" t="str">
        <x:v>デイ</x:v>
      </x:c>
      <x:c r="D49" s="20" t="n">
        <x:v>41583</x:v>
      </x:c>
      <x:c r="E49" s="20" t="n">
        <x:v>58336</x:v>
      </x:c>
      <x:c r="F49" s="20" t="n">
        <x:f>D49-E49</x:f>
        <x:v>-16753</x:v>
      </x:c>
      <x:c r="G49" s="20" t="n">
        <x:f>SUMIFS($F$7:$F$56,$A$7:$A$56,A49,$B$7:$B$56,"&lt;="&amp;B49)</x:f>
        <x:v>787561</x:v>
      </x:c>
      <x:c r="H49" s="20" t="n">
        <x:v>1253</x:v>
      </x:c>
      <x:c r="I49" s="20" t="n">
        <x:v>-15500</x:v>
      </x:c>
      <x:c r="J49" s="27" t="n">
        <x:v>3</x:v>
      </x:c>
      <x:c r="K49" s="27" t="n">
        <x:v>15</x:v>
      </x:c>
      <x:c r="L49" s="27" t="n">
        <x:v>5</x:v>
      </x:c>
      <x:c r="M49" s="29" t="str">
        <x:v>対照47場</x:v>
      </x:c>
      <x:c r="N49" s="28" t="n">
        <x:v>69.8</x:v>
      </x:c>
      <x:c r="O49" s="28" t="n">
        <x:v>73.86666666666666</x:v>
      </x:c>
    </x:row>
    <x:row r="50" ht="22" customHeight="1">
      <x:c r="A50" s="2" t="str">
        <x:v>B5</x:v>
      </x:c>
      <x:c r="B50" s="24" t="d">
        <x:v>2026-10-20T17:00:00.000Z</x:v>
      </x:c>
      <x:c r="C50" s="2" t="str">
        <x:v>ナイト</x:v>
      </x:c>
      <x:c r="D50" s="20" t="n">
        <x:v>84582</x:v>
      </x:c>
      <x:c r="E50" s="20" t="n">
        <x:v>53336</x:v>
      </x:c>
      <x:c r="F50" s="20" t="n">
        <x:f>D50-E50</x:f>
        <x:v>31246</x:v>
      </x:c>
      <x:c r="G50" s="20" t="n">
        <x:f>SUMIFS($F$7:$F$56,$A$7:$A$56,A50,$B$7:$B$56,"&lt;="&amp;B50)</x:f>
        <x:v>818807</x:v>
      </x:c>
      <x:c r="H50" s="20" t="n">
        <x:v>1254</x:v>
      </x:c>
      <x:c r="I50" s="20" t="n">
        <x:v>32500</x:v>
      </x:c>
      <x:c r="J50" s="27" t="n">
        <x:v>3</x:v>
      </x:c>
      <x:c r="K50" s="27" t="n">
        <x:v>15</x:v>
      </x:c>
      <x:c r="L50" s="27" t="n">
        <x:v>5</x:v>
      </x:c>
      <x:c r="M50" s="29" t="str">
        <x:v>対照47場</x:v>
      </x:c>
      <x:c r="N50" s="28" t="n">
        <x:v>367.26666666666665</x:v>
      </x:c>
      <x:c r="O50" s="28" t="n">
        <x:v>55.166666666666664</x:v>
      </x:c>
    </x:row>
    <x:row r="51" ht="22" customHeight="1">
      <x:c r="A51" s="2" t="str">
        <x:v>B5</x:v>
      </x:c>
      <x:c r="B51" s="24" t="d">
        <x:v>2026-10-21T08:45:00.000Z</x:v>
      </x:c>
      <x:c r="C51" s="2" t="str">
        <x:v>デイ</x:v>
      </x:c>
      <x:c r="D51" s="20" t="n">
        <x:v>28083</x:v>
      </x:c>
      <x:c r="E51" s="20" t="n">
        <x:v>71254</x:v>
      </x:c>
      <x:c r="F51" s="20" t="n">
        <x:f>D51-E51</x:f>
        <x:v>-43171</x:v>
      </x:c>
      <x:c r="G51" s="20" t="n">
        <x:f>SUMIFS($F$7:$F$56,$A$7:$A$56,A51,$B$7:$B$56,"&lt;="&amp;B51)</x:f>
        <x:v>775636</x:v>
      </x:c>
      <x:c r="H51" s="20" t="n">
        <x:v>1671</x:v>
      </x:c>
      <x:c r="I51" s="20" t="n">
        <x:v>-41500</x:v>
      </x:c>
      <x:c r="J51" s="27" t="n">
        <x:v>4</x:v>
      </x:c>
      <x:c r="K51" s="27" t="n">
        <x:v>20</x:v>
      </x:c>
      <x:c r="L51" s="27" t="n">
        <x:v>5</x:v>
      </x:c>
      <x:c r="M51" s="29" t="str">
        <x:v>対照47場</x:v>
      </x:c>
      <x:c r="N51" s="28" t="n">
        <x:v>133.28333333333333</x:v>
      </x:c>
      <x:c r="O51" s="28" t="n">
        <x:v>72.51666666666667</x:v>
      </x:c>
    </x:row>
    <x:row r="52" ht="22" customHeight="1">
      <x:c r="A52" s="2" t="str">
        <x:v>B5</x:v>
      </x:c>
      <x:c r="B52" s="24" t="d">
        <x:v>2026-10-21T17:00:00.000Z</x:v>
      </x:c>
      <x:c r="C52" s="2" t="str">
        <x:v>ナイト</x:v>
      </x:c>
      <x:c r="D52" s="20" t="n">
        <x:v>24164</x:v>
      </x:c>
      <x:c r="E52" s="20" t="n">
        <x:v>22918</x:v>
      </x:c>
      <x:c r="F52" s="20" t="n">
        <x:f>D52-E52</x:f>
        <x:v>1246</x:v>
      </x:c>
      <x:c r="G52" s="20" t="n">
        <x:f>SUMIFS($F$7:$F$56,$A$7:$A$56,A52,$B$7:$B$56,"&lt;="&amp;B52)</x:f>
        <x:v>776882</x:v>
      </x:c>
      <x:c r="H52" s="20" t="n">
        <x:v>1254</x:v>
      </x:c>
      <x:c r="I52" s="20" t="n">
        <x:v>2500</x:v>
      </x:c>
      <x:c r="J52" s="27" t="n">
        <x:v>3</x:v>
      </x:c>
      <x:c r="K52" s="27" t="n">
        <x:v>15</x:v>
      </x:c>
      <x:c r="L52" s="27" t="n">
        <x:v>5</x:v>
      </x:c>
      <x:c r="M52" s="29" t="str">
        <x:v>対照47場</x:v>
      </x:c>
      <x:c r="N52" s="28" t="n">
        <x:v>393.3</x:v>
      </x:c>
      <x:c r="O52" s="28" t="n">
        <x:v>121.51666666666667</x:v>
      </x:c>
    </x:row>
    <x:row r="53" ht="22" customHeight="1">
      <x:c r="A53" s="2" t="str">
        <x:v>B5</x:v>
      </x:c>
      <x:c r="B53" s="24" t="d">
        <x:v>2026-10-22T08:45:00.000Z</x:v>
      </x:c>
      <x:c r="C53" s="2" t="str">
        <x:v>デイ</x:v>
      </x:c>
      <x:c r="D53" s="20" t="n">
        <x:v>77583</x:v>
      </x:c>
      <x:c r="E53" s="20" t="n">
        <x:v>30418</x:v>
      </x:c>
      <x:c r="F53" s="20" t="n">
        <x:f>D53-E53</x:f>
        <x:v>47165</x:v>
      </x:c>
      <x:c r="G53" s="20" t="n">
        <x:f>SUMIFS($F$7:$F$56,$A$7:$A$56,A53,$B$7:$B$56,"&lt;="&amp;B53)</x:f>
        <x:v>824047</x:v>
      </x:c>
      <x:c r="H53" s="20" t="n">
        <x:v>835</x:v>
      </x:c>
      <x:c r="I53" s="20" t="n">
        <x:v>48000</x:v>
      </x:c>
      <x:c r="J53" s="27" t="n">
        <x:v>2</x:v>
      </x:c>
      <x:c r="K53" s="27" t="n">
        <x:v>10</x:v>
      </x:c>
      <x:c r="L53" s="27" t="n">
        <x:v>5</x:v>
      </x:c>
      <x:c r="M53" s="29" t="str">
        <x:v>対照47場</x:v>
      </x:c>
      <x:c r="N53" s="28" t="n">
        <x:v>79.76666666666667</x:v>
      </x:c>
      <x:c r="O53" s="28" t="n">
        <x:v>134.06666666666666</x:v>
      </x:c>
    </x:row>
    <x:row r="54" ht="22" customHeight="1">
      <x:c r="A54" s="2" t="str">
        <x:v>B5</x:v>
      </x:c>
      <x:c r="B54" s="24" t="d">
        <x:v>2026-10-22T17:00:00.000Z</x:v>
      </x:c>
      <x:c r="C54" s="2" t="str">
        <x:v>ナイト</x:v>
      </x:c>
      <x:c r="D54" s="20" t="n">
        <x:v>66246</x:v>
      </x:c>
      <x:c r="E54" s="20" t="n">
        <x:v>35836</x:v>
      </x:c>
      <x:c r="F54" s="20" t="n">
        <x:f>D54-E54</x:f>
        <x:v>30410</x:v>
      </x:c>
      <x:c r="G54" s="20" t="n">
        <x:f>SUMIFS($F$7:$F$56,$A$7:$A$56,A54,$B$7:$B$56,"&lt;="&amp;B54)</x:f>
        <x:v>854457</x:v>
      </x:c>
      <x:c r="H54" s="20" t="n">
        <x:v>2090</x:v>
      </x:c>
      <x:c r="I54" s="20" t="n">
        <x:v>32500</x:v>
      </x:c>
      <x:c r="J54" s="27" t="n">
        <x:v>5</x:v>
      </x:c>
      <x:c r="K54" s="27" t="n">
        <x:v>25</x:v>
      </x:c>
      <x:c r="L54" s="27" t="n">
        <x:v>5</x:v>
      </x:c>
      <x:c r="M54" s="29" t="str">
        <x:v>診断3場</x:v>
      </x:c>
      <x:c r="N54" s="28" t="n">
        <x:v>384.01666666666665</x:v>
      </x:c>
      <x:c r="O54" s="28" t="n">
        <x:v>44.15</x:v>
      </x:c>
    </x:row>
    <x:row r="55" ht="22" customHeight="1">
      <x:c r="A55" s="2" t="str">
        <x:v>B5</x:v>
      </x:c>
      <x:c r="B55" s="24" t="d">
        <x:v>2026-10-23T08:45:00.000Z</x:v>
      </x:c>
      <x:c r="C55" s="2" t="str">
        <x:v>デイ</x:v>
      </x:c>
      <x:c r="D55" s="20" t="n">
        <x:v>0</x:v>
      </x:c>
      <x:c r="E55" s="20" t="n">
        <x:v>131254</x:v>
      </x:c>
      <x:c r="F55" s="20" t="n">
        <x:f>D55-E55</x:f>
        <x:v>-131254</x:v>
      </x:c>
      <x:c r="G55" s="20" t="n">
        <x:f>SUMIFS($F$7:$F$56,$A$7:$A$56,A55,$B$7:$B$56,"&lt;="&amp;B55)</x:f>
        <x:v>723203</x:v>
      </x:c>
      <x:c r="H55" s="20" t="n">
        <x:v>1254</x:v>
      </x:c>
      <x:c r="I55" s="20" t="n">
        <x:v>-130000</x:v>
      </x:c>
      <x:c r="J55" s="27" t="n">
        <x:v>3</x:v>
      </x:c>
      <x:c r="K55" s="27" t="n">
        <x:v>15</x:v>
      </x:c>
      <x:c r="L55" s="27" t="n">
        <x:v>5</x:v>
      </x:c>
      <x:c r="M55" s="29" t="str">
        <x:v>診断3場</x:v>
      </x:c>
      <x:c r="N55" s="28" t="n">
        <x:v>92.38333333333334</x:v>
      </x:c>
      <x:c r="O55" s="28" t="n">
        <x:v>54</x:v>
      </x:c>
    </x:row>
    <x:row r="56" ht="22" customHeight="1">
      <x:c r="A56" s="2" t="str">
        <x:v>B5</x:v>
      </x:c>
      <x:c r="B56" s="24" t="d">
        <x:v>2026-10-23T17:00:00.000Z</x:v>
      </x:c>
      <x:c r="C56" s="2" t="str">
        <x:v>ナイト</x:v>
      </x:c>
      <x:c r="D56" s="20" t="n">
        <x:v>32082</x:v>
      </x:c>
      <x:c r="E56" s="20" t="n">
        <x:v>0</x:v>
      </x:c>
      <x:c r="F56" s="20" t="n">
        <x:f>D56-E56</x:f>
        <x:v>32082</x:v>
      </x:c>
      <x:c r="G56" s="20" t="n">
        <x:f>SUMIFS($F$7:$F$56,$A$7:$A$56,A56,$B$7:$B$56,"&lt;="&amp;B56)</x:f>
        <x:v>755285</x:v>
      </x:c>
      <x:c r="H56" s="20" t="n">
        <x:v>418</x:v>
      </x:c>
      <x:c r="I56" s="20" t="n">
        <x:v>32500</x:v>
      </x:c>
      <x:c r="J56" s="27" t="n">
        <x:v>1</x:v>
      </x:c>
      <x:c r="K56" s="27" t="n">
        <x:v>5</x:v>
      </x:c>
      <x:c r="L56" s="27" t="n">
        <x:v>5</x:v>
      </x:c>
      <x:c r="M56" s="29" t="str">
        <x:v>診断3場</x:v>
      </x:c>
      <x:c r="N56" s="28" t="n">
        <x:v>399.23333333333335</x:v>
      </x:c>
      <x:c r="O56" s="28" t="n">
        <x:v>58.11666666666667</x:v>
      </x:c>
    </x:row>
  </x:sheetData>
  <x:conditionalFormatting sqref="D7:I56">
    <x:cfRule type="cellIs" dxfId="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604f8c70e4c447f"/>
  </x:tableParts>
</x:worksheet>
</file>

<file path=xl/worksheets/sheet9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4" t="str">
        <x:v>TOPIXmini C33 セッション損益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</x:row>
    <x:row r="3" ht="22" customHeight="1">
      <x:c r="A3" s="7" t="str">
        <x:v>片方向上限10枚。金額は円・手数料後。利益と損失は完結した一組の収支を正負に分類。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A4" s="7" t="str">
        <x:v>昼：C33／夜：C33。対照47場：9/21～10/22デイ。診断3場：10/22ナイト～10/23ナイト。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A5" s="7" t="str">
        <x:v>前回の反転を先着併用。出典：00141保存会計。診断3場は原因分析と改善に使用した期間です。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4" customHeight="1">
      <x:c r="A6" s="16" t="str">
        <x:v>手法ID</x:v>
      </x:c>
      <x:c r="B6" s="17" t="str">
        <x:v>開始日時</x:v>
      </x:c>
      <x:c r="C6" s="17" t="str">
        <x:v>セッション</x:v>
      </x:c>
      <x:c r="D6" s="17" t="str">
        <x:v>利益（円）</x:v>
      </x:c>
      <x:c r="E6" s="17" t="str">
        <x:v>損失（円）</x:v>
      </x:c>
      <x:c r="F6" s="17" t="str">
        <x:v>収支（円）</x:v>
      </x:c>
      <x:c r="G6" s="17" t="str">
        <x:v>累計（円）</x:v>
      </x:c>
      <x:c r="H6" s="17" t="str">
        <x:v>内数手数料（円）</x:v>
      </x:c>
      <x:c r="I6" s="17" t="str">
        <x:v>費用前収支（円）</x:v>
      </x:c>
      <x:c r="J6" s="17" t="str">
        <x:v>新規回数</x:v>
      </x:c>
      <x:c r="K6" s="17" t="str">
        <x:v>新規枚数</x:v>
      </x:c>
      <x:c r="L6" s="17" t="str">
        <x:v>最大片方向保有</x:v>
      </x:c>
      <x:c r="M6" s="17" t="str">
        <x:v>評価区分</x:v>
      </x:c>
      <x:c r="N6" s="17" t="str">
        <x:v>初回まで（分）</x:v>
      </x:c>
      <x:c r="O6" s="18" t="str">
        <x:v>保有（分）</x:v>
      </x:c>
    </x:row>
    <x:row r="7" ht="22" customHeight="1">
      <x:c r="A7" s="2" t="str">
        <x:v>C33</x:v>
      </x:c>
      <x:c r="B7" s="24" t="d">
        <x:v>2026-09-21T08:45:00.000Z</x:v>
      </x:c>
      <x:c r="C7" s="2" t="str">
        <x:v>デイ</x:v>
      </x:c>
      <x:c r="D7" s="20" t="n">
        <x:v>0</x:v>
      </x:c>
      <x:c r="E7" s="20" t="n">
        <x:v>20418</x:v>
      </x:c>
      <x:c r="F7" s="20" t="n">
        <x:f>D7-E7</x:f>
        <x:v>-20418</x:v>
      </x:c>
      <x:c r="G7" s="20" t="n">
        <x:f>SUMIFS($F$7:$F$56,$A$7:$A$56,A7,$B$7:$B$56,"&lt;="&amp;B7)</x:f>
        <x:v>-20418</x:v>
      </x:c>
      <x:c r="H7" s="20" t="n">
        <x:v>418</x:v>
      </x:c>
      <x:c r="I7" s="20" t="n">
        <x:v>-20000</x:v>
      </x:c>
      <x:c r="J7" s="27" t="n">
        <x:v>1</x:v>
      </x:c>
      <x:c r="K7" s="27" t="n">
        <x:v>5</x:v>
      </x:c>
      <x:c r="L7" s="27" t="n">
        <x:v>5</x:v>
      </x:c>
      <x:c r="M7" s="29" t="str">
        <x:v>対照47場</x:v>
      </x:c>
      <x:c r="N7" s="28" t="n">
        <x:v>363.18333333333334</x:v>
      </x:c>
      <x:c r="O7" s="28" t="n">
        <x:v>9.033333333333333</x:v>
      </x:c>
    </x:row>
    <x:row r="8" ht="22" customHeight="1">
      <x:c r="A8" s="2" t="str">
        <x:v>C33</x:v>
      </x:c>
      <x:c r="B8" s="24" t="d">
        <x:v>2026-09-21T17:00:00.000Z</x:v>
      </x:c>
      <x:c r="C8" s="2" t="str">
        <x:v>ナイト</x:v>
      </x:c>
      <x:c r="D8" s="20" t="n">
        <x:v>7082</x:v>
      </x:c>
      <x:c r="E8" s="20" t="n">
        <x:v>0</x:v>
      </x:c>
      <x:c r="F8" s="20" t="n">
        <x:f>D8-E8</x:f>
        <x:v>7082</x:v>
      </x:c>
      <x:c r="G8" s="20" t="n">
        <x:f>SUMIFS($F$7:$F$56,$A$7:$A$56,A8,$B$7:$B$56,"&lt;="&amp;B8)</x:f>
        <x:v>-13336</x:v>
      </x:c>
      <x:c r="H8" s="20" t="n">
        <x:v>418</x:v>
      </x:c>
      <x:c r="I8" s="20" t="n">
        <x:v>7500</x:v>
      </x:c>
      <x:c r="J8" s="27" t="n">
        <x:v>1</x:v>
      </x:c>
      <x:c r="K8" s="27" t="n">
        <x:v>5</x:v>
      </x:c>
      <x:c r="L8" s="27" t="n">
        <x:v>5</x:v>
      </x:c>
      <x:c r="M8" s="29" t="str">
        <x:v>対照47場</x:v>
      </x:c>
      <x:c r="N8" s="28" t="n">
        <x:v>385.95</x:v>
      </x:c>
      <x:c r="O8" s="28" t="n">
        <x:v>8.5</x:v>
      </x:c>
    </x:row>
    <x:row r="9" ht="22" customHeight="1">
      <x:c r="A9" s="2" t="str">
        <x:v>C33</x:v>
      </x:c>
      <x:c r="B9" s="24" t="d">
        <x:v>2026-09-22T08:45:00.000Z</x:v>
      </x:c>
      <x:c r="C9" s="2" t="str">
        <x:v>デイ</x:v>
      </x:c>
      <x:c r="D9" s="20" t="n">
        <x:v>20584</x:v>
      </x:c>
      <x:c r="E9" s="20" t="n">
        <x:v>20418</x:v>
      </x:c>
      <x:c r="F9" s="20" t="n">
        <x:f>D9-E9</x:f>
        <x:v>166</x:v>
      </x:c>
      <x:c r="G9" s="20" t="n">
        <x:f>SUMIFS($F$7:$F$56,$A$7:$A$56,A9,$B$7:$B$56,"&lt;="&amp;B9)</x:f>
        <x:v>-13170</x:v>
      </x:c>
      <x:c r="H9" s="20" t="n">
        <x:v>834</x:v>
      </x:c>
      <x:c r="I9" s="20" t="n">
        <x:v>1000</x:v>
      </x:c>
      <x:c r="J9" s="27" t="n">
        <x:v>2</x:v>
      </x:c>
      <x:c r="K9" s="27" t="n">
        <x:v>10</x:v>
      </x:c>
      <x:c r="L9" s="27" t="n">
        <x:v>5</x:v>
      </x:c>
      <x:c r="M9" s="29" t="str">
        <x:v>対照47場</x:v>
      </x:c>
      <x:c r="N9" s="28" t="n">
        <x:v>100.41666666666667</x:v>
      </x:c>
      <x:c r="O9" s="28" t="n">
        <x:v>18.416666666666668</x:v>
      </x:c>
    </x:row>
    <x:row r="10" ht="22" customHeight="1">
      <x:c r="A10" s="2" t="str">
        <x:v>C33</x:v>
      </x:c>
      <x:c r="B10" s="24" t="d">
        <x:v>2026-09-22T17:00:00.000Z</x:v>
      </x:c>
      <x:c r="C10" s="2" t="str">
        <x:v>ナイト</x:v>
      </x:c>
      <x:c r="D10" s="20" t="n">
        <x:v>15668</x:v>
      </x:c>
      <x:c r="E10" s="20" t="n">
        <x:v>53754</x:v>
      </x:c>
      <x:c r="F10" s="20" t="n">
        <x:f>D10-E10</x:f>
        <x:v>-38086</x:v>
      </x:c>
      <x:c r="G10" s="20" t="n">
        <x:f>SUMIFS($F$7:$F$56,$A$7:$A$56,A10,$B$7:$B$56,"&lt;="&amp;B10)</x:f>
        <x:v>-51256</x:v>
      </x:c>
      <x:c r="H10" s="20" t="n">
        <x:v>1586</x:v>
      </x:c>
      <x:c r="I10" s="20" t="n">
        <x:v>-36500</x:v>
      </x:c>
      <x:c r="J10" s="27" t="n">
        <x:v>5</x:v>
      </x:c>
      <x:c r="K10" s="27" t="n">
        <x:v>19</x:v>
      </x:c>
      <x:c r="L10" s="27" t="n">
        <x:v>5</x:v>
      </x:c>
      <x:c r="M10" s="29" t="str">
        <x:v>対照47場</x:v>
      </x:c>
      <x:c r="N10" s="28" t="n">
        <x:v>43.5</x:v>
      </x:c>
      <x:c r="O10" s="28" t="n">
        <x:v>75.31666666666666</x:v>
      </x:c>
    </x:row>
    <x:row r="11" ht="22" customHeight="1">
      <x:c r="A11" s="2" t="str">
        <x:v>C33</x:v>
      </x:c>
      <x:c r="B11" s="24" t="d">
        <x:v>2026-09-23T08:45:00.000Z</x:v>
      </x:c>
      <x:c r="C11" s="2" t="str">
        <x:v>デイ</x:v>
      </x:c>
      <x:c r="D11" s="20" t="n">
        <x:v>77584</x:v>
      </x:c>
      <x:c r="E11" s="20" t="n">
        <x:v>0</x:v>
      </x:c>
      <x:c r="F11" s="20" t="n">
        <x:f>D11-E11</x:f>
        <x:v>77584</x:v>
      </x:c>
      <x:c r="G11" s="20" t="n">
        <x:f>SUMIFS($F$7:$F$56,$A$7:$A$56,A11,$B$7:$B$56,"&lt;="&amp;B11)</x:f>
        <x:v>26328</x:v>
      </x:c>
      <x:c r="H11" s="20" t="n">
        <x:v>416</x:v>
      </x:c>
      <x:c r="I11" s="20" t="n">
        <x:v>78000</x:v>
      </x:c>
      <x:c r="J11" s="27" t="n">
        <x:v>1</x:v>
      </x:c>
      <x:c r="K11" s="27" t="n">
        <x:v>5</x:v>
      </x:c>
      <x:c r="L11" s="27" t="n">
        <x:v>5</x:v>
      </x:c>
      <x:c r="M11" s="29" t="str">
        <x:v>対照47場</x:v>
      </x:c>
      <x:c r="N11" s="28" t="n">
        <x:v>68.45</x:v>
      </x:c>
      <x:c r="O11" s="28" t="n">
        <x:v>158.21666666666667</x:v>
      </x:c>
    </x:row>
    <x:row r="12" ht="22" customHeight="1">
      <x:c r="A12" s="2" t="str">
        <x:v>C33</x:v>
      </x:c>
      <x:c r="B12" s="24" t="d">
        <x:v>2026-09-23T17:00:00.000Z</x:v>
      </x:c>
      <x:c r="C12" s="2" t="str">
        <x:v>ナイト</x:v>
      </x:c>
      <x:c r="D12" s="20" t="n">
        <x:v>29164</x:v>
      </x:c>
      <x:c r="E12" s="20" t="n">
        <x:v>0</x:v>
      </x:c>
      <x:c r="F12" s="20" t="n">
        <x:f>D12-E12</x:f>
        <x:v>29164</x:v>
      </x:c>
      <x:c r="G12" s="20" t="n">
        <x:f>SUMIFS($F$7:$F$56,$A$7:$A$56,A12,$B$7:$B$56,"&lt;="&amp;B12)</x:f>
        <x:v>55492</x:v>
      </x:c>
      <x:c r="H12" s="20" t="n">
        <x:v>836</x:v>
      </x:c>
      <x:c r="I12" s="20" t="n">
        <x:v>30000</x:v>
      </x:c>
      <x:c r="J12" s="27" t="n">
        <x:v>2</x:v>
      </x:c>
      <x:c r="K12" s="27" t="n">
        <x:v>10</x:v>
      </x:c>
      <x:c r="L12" s="27" t="n">
        <x:v>5</x:v>
      </x:c>
      <x:c r="M12" s="29" t="str">
        <x:v>対照47場</x:v>
      </x:c>
      <x:c r="N12" s="28" t="n">
        <x:v>450.01666666666665</x:v>
      </x:c>
      <x:c r="O12" s="28" t="n">
        <x:v>52.3</x:v>
      </x:c>
    </x:row>
    <x:row r="13" ht="22" customHeight="1">
      <x:c r="A13" s="2" t="str">
        <x:v>C33</x:v>
      </x:c>
      <x:c r="B13" s="24" t="d">
        <x:v>2026-09-24T08:45:00.000Z</x:v>
      </x:c>
      <x:c r="C13" s="2" t="str">
        <x:v>デイ</x:v>
      </x:c>
      <x:c r="D13" s="20" t="n">
        <x:v>38502</x:v>
      </x:c>
      <x:c r="E13" s="20" t="n">
        <x:v>0</x:v>
      </x:c>
      <x:c r="F13" s="20" t="n">
        <x:f>D13-E13</x:f>
        <x:v>38502</x:v>
      </x:c>
      <x:c r="G13" s="20" t="n">
        <x:f>SUMIFS($F$7:$F$56,$A$7:$A$56,A13,$B$7:$B$56,"&lt;="&amp;B13)</x:f>
        <x:v>93994</x:v>
      </x:c>
      <x:c r="H13" s="20" t="n">
        <x:v>498</x:v>
      </x:c>
      <x:c r="I13" s="20" t="n">
        <x:v>39000</x:v>
      </x:c>
      <x:c r="J13" s="27" t="n">
        <x:v>3</x:v>
      </x:c>
      <x:c r="K13" s="27" t="n">
        <x:v>6</x:v>
      </x:c>
      <x:c r="L13" s="27" t="n">
        <x:v>2</x:v>
      </x:c>
      <x:c r="M13" s="29" t="str">
        <x:v>対照47場</x:v>
      </x:c>
      <x:c r="N13" s="28" t="n">
        <x:v>55.5</x:v>
      </x:c>
      <x:c r="O13" s="28" t="n">
        <x:v>253</x:v>
      </x:c>
    </x:row>
    <x:row r="14" ht="22" customHeight="1">
      <x:c r="A14" s="2" t="str">
        <x:v>C33</x:v>
      </x:c>
      <x:c r="B14" s="24" t="d">
        <x:v>2026-09-24T17:00:00.000Z</x:v>
      </x:c>
      <x:c r="C14" s="2" t="str">
        <x:v>ナイト</x:v>
      </x:c>
      <x:c r="D14" s="20" t="n">
        <x:v>32082</x:v>
      </x:c>
      <x:c r="E14" s="20" t="n">
        <x:v>0</x:v>
      </x:c>
      <x:c r="F14" s="20" t="n">
        <x:f>D14-E14</x:f>
        <x:v>32082</x:v>
      </x:c>
      <x:c r="G14" s="20" t="n">
        <x:f>SUMIFS($F$7:$F$56,$A$7:$A$56,A14,$B$7:$B$56,"&lt;="&amp;B14)</x:f>
        <x:v>126076</x:v>
      </x:c>
      <x:c r="H14" s="20" t="n">
        <x:v>418</x:v>
      </x:c>
      <x:c r="I14" s="20" t="n">
        <x:v>32500</x:v>
      </x:c>
      <x:c r="J14" s="27" t="n">
        <x:v>1</x:v>
      </x:c>
      <x:c r="K14" s="27" t="n">
        <x:v>5</x:v>
      </x:c>
      <x:c r="L14" s="27" t="n">
        <x:v>5</x:v>
      </x:c>
      <x:c r="M14" s="29" t="str">
        <x:v>対照47場</x:v>
      </x:c>
      <x:c r="N14" s="28" t="n">
        <x:v>417.46666666666664</x:v>
      </x:c>
      <x:c r="O14" s="28" t="n">
        <x:v>40.983333333333334</x:v>
      </x:c>
    </x:row>
    <x:row r="15" ht="22" customHeight="1">
      <x:c r="A15" s="2" t="str">
        <x:v>C33</x:v>
      </x:c>
      <x:c r="B15" s="24" t="d">
        <x:v>2026-09-25T08:45:00.000Z</x:v>
      </x:c>
      <x:c r="C15" s="2" t="str">
        <x:v>デイ</x:v>
      </x:c>
      <x:c r="D15" s="20" t="n">
        <x:v>80583</x:v>
      </x:c>
      <x:c r="E15" s="20" t="n">
        <x:v>0</x:v>
      </x:c>
      <x:c r="F15" s="20" t="n">
        <x:f>D15-E15</x:f>
        <x:v>80583</x:v>
      </x:c>
      <x:c r="G15" s="20" t="n">
        <x:f>SUMIFS($F$7:$F$56,$A$7:$A$56,A15,$B$7:$B$56,"&lt;="&amp;B15)</x:f>
        <x:v>206659</x:v>
      </x:c>
      <x:c r="H15" s="20" t="n">
        <x:v>417</x:v>
      </x:c>
      <x:c r="I15" s="20" t="n">
        <x:v>81000</x:v>
      </x:c>
      <x:c r="J15" s="27" t="n">
        <x:v>1</x:v>
      </x:c>
      <x:c r="K15" s="27" t="n">
        <x:v>5</x:v>
      </x:c>
      <x:c r="L15" s="27" t="n">
        <x:v>5</x:v>
      </x:c>
      <x:c r="M15" s="29" t="str">
        <x:v>対照47場</x:v>
      </x:c>
      <x:c r="N15" s="28" t="n">
        <x:v>86.21666666666667</x:v>
      </x:c>
      <x:c r="O15" s="28" t="n">
        <x:v>323.8</x:v>
      </x:c>
    </x:row>
    <x:row r="16" ht="22" customHeight="1">
      <x:c r="A16" s="2" t="str">
        <x:v>C33</x:v>
      </x:c>
      <x:c r="B16" s="24" t="d">
        <x:v>2026-09-25T17:00:00.000Z</x:v>
      </x:c>
      <x:c r="C16" s="2" t="str">
        <x:v>ナイト</x:v>
      </x:c>
      <x:c r="D16" s="20" t="n">
        <x:v>24582</x:v>
      </x:c>
      <x:c r="E16" s="20" t="n">
        <x:v>20418</x:v>
      </x:c>
      <x:c r="F16" s="20" t="n">
        <x:f>D16-E16</x:f>
        <x:v>4164</x:v>
      </x:c>
      <x:c r="G16" s="20" t="n">
        <x:f>SUMIFS($F$7:$F$56,$A$7:$A$56,A16,$B$7:$B$56,"&lt;="&amp;B16)</x:f>
        <x:v>210823</x:v>
      </x:c>
      <x:c r="H16" s="20" t="n">
        <x:v>836</x:v>
      </x:c>
      <x:c r="I16" s="20" t="n">
        <x:v>5000</x:v>
      </x:c>
      <x:c r="J16" s="27" t="n">
        <x:v>2</x:v>
      </x:c>
      <x:c r="K16" s="27" t="n">
        <x:v>10</x:v>
      </x:c>
      <x:c r="L16" s="27" t="n">
        <x:v>5</x:v>
      </x:c>
      <x:c r="M16" s="29" t="str">
        <x:v>対照47場</x:v>
      </x:c>
      <x:c r="N16" s="28" t="n">
        <x:v>450</x:v>
      </x:c>
      <x:c r="O16" s="28" t="n">
        <x:v>8.316666666666666</x:v>
      </x:c>
    </x:row>
    <x:row r="17" ht="22" customHeight="1">
      <x:c r="A17" s="2" t="str">
        <x:v>C33</x:v>
      </x:c>
      <x:c r="B17" s="24" t="d">
        <x:v>2026-09-28T08:45:00.000Z</x:v>
      </x:c>
      <x:c r="C17" s="2" t="str">
        <x:v>デイ</x:v>
      </x:c>
      <x:c r="D17" s="20" t="n">
        <x:v>138917</x:v>
      </x:c>
      <x:c r="E17" s="20" t="n">
        <x:v>0</x:v>
      </x:c>
      <x:c r="F17" s="20" t="n">
        <x:f>D17-E17</x:f>
        <x:v>138917</x:v>
      </x:c>
      <x:c r="G17" s="20" t="n">
        <x:f>SUMIFS($F$7:$F$56,$A$7:$A$56,A17,$B$7:$B$56,"&lt;="&amp;B17)</x:f>
        <x:v>349740</x:v>
      </x:c>
      <x:c r="H17" s="20" t="n">
        <x:v>583</x:v>
      </x:c>
      <x:c r="I17" s="20" t="n">
        <x:v>139500</x:v>
      </x:c>
      <x:c r="J17" s="27" t="n">
        <x:v>2</x:v>
      </x:c>
      <x:c r="K17" s="27" t="n">
        <x:v>7</x:v>
      </x:c>
      <x:c r="L17" s="27" t="n">
        <x:v>5</x:v>
      </x:c>
      <x:c r="M17" s="29" t="str">
        <x:v>対照47場</x:v>
      </x:c>
      <x:c r="N17" s="28" t="n">
        <x:v>48.45</x:v>
      </x:c>
      <x:c r="O17" s="28" t="n">
        <x:v>350.31666666666666</x:v>
      </x:c>
    </x:row>
    <x:row r="18" ht="22" customHeight="1">
      <x:c r="A18" s="2" t="str">
        <x:v>C33</x:v>
      </x:c>
      <x:c r="B18" s="24" t="d">
        <x:v>2026-09-28T17:00:00.000Z</x:v>
      </x:c>
      <x:c r="C18" s="2" t="str">
        <x:v>ナイト</x:v>
      </x:c>
      <x:c r="D18" s="20" t="n">
        <x:v>26416</x:v>
      </x:c>
      <x:c r="E18" s="20" t="n">
        <x:v>8166</x:v>
      </x:c>
      <x:c r="F18" s="20" t="n">
        <x:f>D18-E18</x:f>
        <x:v>18250</x:v>
      </x:c>
      <x:c r="G18" s="20" t="n">
        <x:f>SUMIFS($F$7:$F$56,$A$7:$A$56,A18,$B$7:$B$56,"&lt;="&amp;B18)</x:f>
        <x:v>367990</x:v>
      </x:c>
      <x:c r="H18" s="20" t="n">
        <x:v>750</x:v>
      </x:c>
      <x:c r="I18" s="20" t="n">
        <x:v>19000</x:v>
      </x:c>
      <x:c r="J18" s="27" t="n">
        <x:v>3</x:v>
      </x:c>
      <x:c r="K18" s="27" t="n">
        <x:v>9</x:v>
      </x:c>
      <x:c r="L18" s="27" t="n">
        <x:v>5</x:v>
      </x:c>
      <x:c r="M18" s="29" t="str">
        <x:v>対照47場</x:v>
      </x:c>
      <x:c r="N18" s="28" t="n">
        <x:v>135.48333333333332</x:v>
      </x:c>
      <x:c r="O18" s="28" t="n">
        <x:v>36.95</x:v>
      </x:c>
    </x:row>
    <x:row r="19" ht="22" customHeight="1">
      <x:c r="A19" s="2" t="str">
        <x:v>C33</x:v>
      </x:c>
      <x:c r="B19" s="24" t="d">
        <x:v>2026-09-29T08:45:00.000Z</x:v>
      </x:c>
      <x:c r="C19" s="2" t="str">
        <x:v>デイ</x:v>
      </x:c>
      <x:c r="D19" s="20" t="n">
        <x:v>12583</x:v>
      </x:c>
      <x:c r="E19" s="20" t="n">
        <x:v>0</x:v>
      </x:c>
      <x:c r="F19" s="20" t="n">
        <x:f>D19-E19</x:f>
        <x:v>12583</x:v>
      </x:c>
      <x:c r="G19" s="20" t="n">
        <x:f>SUMIFS($F$7:$F$56,$A$7:$A$56,A19,$B$7:$B$56,"&lt;="&amp;B19)</x:f>
        <x:v>380573</x:v>
      </x:c>
      <x:c r="H19" s="20" t="n">
        <x:v>417</x:v>
      </x:c>
      <x:c r="I19" s="20" t="n">
        <x:v>13000</x:v>
      </x:c>
      <x:c r="J19" s="27" t="n">
        <x:v>1</x:v>
      </x:c>
      <x:c r="K19" s="27" t="n">
        <x:v>5</x:v>
      </x:c>
      <x:c r="L19" s="27" t="n">
        <x:v>5</x:v>
      </x:c>
      <x:c r="M19" s="29" t="str">
        <x:v>対照47場</x:v>
      </x:c>
      <x:c r="N19" s="28" t="n">
        <x:v>70.43333333333334</x:v>
      </x:c>
      <x:c r="O19" s="28" t="n">
        <x:v>334.48333333333335</x:v>
      </x:c>
    </x:row>
    <x:row r="20" ht="22" customHeight="1">
      <x:c r="A20" s="2" t="str">
        <x:v>C33</x:v>
      </x:c>
      <x:c r="B20" s="24" t="d">
        <x:v>2026-09-29T17:00:00.000Z</x:v>
      </x:c>
      <x:c r="C20" s="2" t="str">
        <x:v>ナイト</x:v>
      </x:c>
      <x:c r="D20" s="20" t="n">
        <x:v>22834</x:v>
      </x:c>
      <x:c r="E20" s="20" t="n">
        <x:v>9166</x:v>
      </x:c>
      <x:c r="F20" s="20" t="n">
        <x:f>D20-E20</x:f>
        <x:v>13668</x:v>
      </x:c>
      <x:c r="G20" s="20" t="n">
        <x:f>SUMIFS($F$7:$F$56,$A$7:$A$56,A20,$B$7:$B$56,"&lt;="&amp;B20)</x:f>
        <x:v>394241</x:v>
      </x:c>
      <x:c r="H20" s="20" t="n">
        <x:v>332</x:v>
      </x:c>
      <x:c r="I20" s="20" t="n">
        <x:v>14000</x:v>
      </x:c>
      <x:c r="J20" s="27" t="n">
        <x:v>2</x:v>
      </x:c>
      <x:c r="K20" s="27" t="n">
        <x:v>4</x:v>
      </x:c>
      <x:c r="L20" s="27" t="n">
        <x:v>2</x:v>
      </x:c>
      <x:c r="M20" s="29" t="str">
        <x:v>対照47場</x:v>
      </x:c>
      <x:c r="N20" s="28" t="n">
        <x:v>381.1333333333333</x:v>
      </x:c>
      <x:c r="O20" s="28" t="n">
        <x:v>43.583333333333336</x:v>
      </x:c>
    </x:row>
    <x:row r="21" ht="22" customHeight="1">
      <x:c r="A21" s="2" t="str">
        <x:v>C33</x:v>
      </x:c>
      <x:c r="B21" s="24" t="d">
        <x:v>2026-09-30T08:45:00.000Z</x:v>
      </x:c>
      <x:c r="C21" s="2" t="str">
        <x:v>デイ</x:v>
      </x:c>
      <x:c r="D21" s="20" t="n">
        <x:v>80917</x:v>
      </x:c>
      <x:c r="E21" s="20" t="n">
        <x:v>78002</x:v>
      </x:c>
      <x:c r="F21" s="20" t="n">
        <x:f>D21-E21</x:f>
        <x:v>2915</x:v>
      </x:c>
      <x:c r="G21" s="20" t="n">
        <x:f>SUMIFS($F$7:$F$56,$A$7:$A$56,A21,$B$7:$B$56,"&lt;="&amp;B21)</x:f>
        <x:v>397156</x:v>
      </x:c>
      <x:c r="H21" s="20" t="n">
        <x:v>1585</x:v>
      </x:c>
      <x:c r="I21" s="20" t="n">
        <x:v>4500</x:v>
      </x:c>
      <x:c r="J21" s="27" t="n">
        <x:v>5</x:v>
      </x:c>
      <x:c r="K21" s="27" t="n">
        <x:v>19</x:v>
      </x:c>
      <x:c r="L21" s="27" t="n">
        <x:v>5</x:v>
      </x:c>
      <x:c r="M21" s="29" t="str">
        <x:v>対照47場</x:v>
      </x:c>
      <x:c r="N21" s="28" t="n">
        <x:v>70.08333333333333</x:v>
      </x:c>
      <x:c r="O21" s="28" t="n">
        <x:v>162.26666666666668</x:v>
      </x:c>
    </x:row>
    <x:row r="22" ht="22" customHeight="1">
      <x:c r="A22" s="2" t="str">
        <x:v>C33</x:v>
      </x:c>
      <x:c r="B22" s="24" t="d">
        <x:v>2026-09-30T17:00:00.000Z</x:v>
      </x:c>
      <x:c r="C22" s="2" t="str">
        <x:v>ナイト</x:v>
      </x:c>
      <x:c r="D22" s="20" t="n">
        <x:v>28498</x:v>
      </x:c>
      <x:c r="E22" s="20" t="n">
        <x:v>15418</x:v>
      </x:c>
      <x:c r="F22" s="20" t="n">
        <x:f>D22-E22</x:f>
        <x:v>13080</x:v>
      </x:c>
      <x:c r="G22" s="20" t="n">
        <x:f>SUMIFS($F$7:$F$56,$A$7:$A$56,A22,$B$7:$B$56,"&lt;="&amp;B22)</x:f>
        <x:v>410236</x:v>
      </x:c>
      <x:c r="H22" s="20" t="n">
        <x:v>1420</x:v>
      </x:c>
      <x:c r="I22" s="20" t="n">
        <x:v>14500</x:v>
      </x:c>
      <x:c r="J22" s="27" t="n">
        <x:v>4</x:v>
      </x:c>
      <x:c r="K22" s="27" t="n">
        <x:v>17</x:v>
      </x:c>
      <x:c r="L22" s="27" t="n">
        <x:v>5</x:v>
      </x:c>
      <x:c r="M22" s="29" t="str">
        <x:v>対照47場</x:v>
      </x:c>
      <x:c r="N22" s="28" t="n">
        <x:v>368.18333333333334</x:v>
      </x:c>
      <x:c r="O22" s="28" t="n">
        <x:v>120.66666666666667</x:v>
      </x:c>
    </x:row>
    <x:row r="23" ht="22" customHeight="1">
      <x:c r="A23" s="2" t="str">
        <x:v>C33</x:v>
      </x:c>
      <x:c r="B23" s="24" t="d">
        <x:v>2026-10-01T08:45:00.000Z</x:v>
      </x:c>
      <x:c r="C23" s="2" t="str">
        <x:v>デイ</x:v>
      </x:c>
      <x:c r="D23" s="20" t="n">
        <x:v>94084</x:v>
      </x:c>
      <x:c r="E23" s="20" t="n">
        <x:v>8166</x:v>
      </x:c>
      <x:c r="F23" s="20" t="n">
        <x:f>D23-E23</x:f>
        <x:v>85918</x:v>
      </x:c>
      <x:c r="G23" s="20" t="n">
        <x:f>SUMIFS($F$7:$F$56,$A$7:$A$56,A23,$B$7:$B$56,"&lt;="&amp;B23)</x:f>
        <x:v>496154</x:v>
      </x:c>
      <x:c r="H23" s="20" t="n">
        <x:v>582</x:v>
      </x:c>
      <x:c r="I23" s="20" t="n">
        <x:v>86500</x:v>
      </x:c>
      <x:c r="J23" s="27" t="n">
        <x:v>2</x:v>
      </x:c>
      <x:c r="K23" s="27" t="n">
        <x:v>7</x:v>
      </x:c>
      <x:c r="L23" s="27" t="n">
        <x:v>5</x:v>
      </x:c>
      <x:c r="M23" s="29" t="str">
        <x:v>対照47場</x:v>
      </x:c>
      <x:c r="N23" s="28" t="n">
        <x:v>87.7</x:v>
      </x:c>
      <x:c r="O23" s="28" t="n">
        <x:v>216.85</x:v>
      </x:c>
    </x:row>
    <x:row r="24" ht="22" customHeight="1">
      <x:c r="A24" s="2" t="str">
        <x:v>C33</x:v>
      </x:c>
      <x:c r="B24" s="24" t="d">
        <x:v>2026-10-01T17:00:00.000Z</x:v>
      </x:c>
      <x:c r="C24" s="2" t="str">
        <x:v>ナイト</x:v>
      </x:c>
      <x:c r="D24" s="20" t="n">
        <x:v>69080</x:v>
      </x:c>
      <x:c r="E24" s="20" t="n">
        <x:v>45836</x:v>
      </x:c>
      <x:c r="F24" s="20" t="n">
        <x:f>D24-E24</x:f>
        <x:v>23244</x:v>
      </x:c>
      <x:c r="G24" s="20" t="n">
        <x:f>SUMIFS($F$7:$F$56,$A$7:$A$56,A24,$B$7:$B$56,"&lt;="&amp;B24)</x:f>
        <x:v>519398</x:v>
      </x:c>
      <x:c r="H24" s="20" t="n">
        <x:v>2256</x:v>
      </x:c>
      <x:c r="I24" s="20" t="n">
        <x:v>25500</x:v>
      </x:c>
      <x:c r="J24" s="27" t="n">
        <x:v>6</x:v>
      </x:c>
      <x:c r="K24" s="27" t="n">
        <x:v>27</x:v>
      </x:c>
      <x:c r="L24" s="27" t="n">
        <x:v>5</x:v>
      </x:c>
      <x:c r="M24" s="29" t="str">
        <x:v>対照47場</x:v>
      </x:c>
      <x:c r="N24" s="28" t="n">
        <x:v>127.45</x:v>
      </x:c>
      <x:c r="O24" s="28" t="n">
        <x:v>105.16666666666667</x:v>
      </x:c>
    </x:row>
    <x:row r="25" ht="22" customHeight="1">
      <x:c r="A25" s="2" t="str">
        <x:v>C33</x:v>
      </x:c>
      <x:c r="B25" s="24" t="d">
        <x:v>2026-10-02T08:45:00.000Z</x:v>
      </x:c>
      <x:c r="C25" s="2" t="str">
        <x:v>デイ</x:v>
      </x:c>
      <x:c r="D25" s="20" t="n">
        <x:v>6834</x:v>
      </x:c>
      <x:c r="E25" s="20" t="n">
        <x:v>37084</x:v>
      </x:c>
      <x:c r="F25" s="20" t="n">
        <x:f>D25-E25</x:f>
        <x:v>-30250</x:v>
      </x:c>
      <x:c r="G25" s="20" t="n">
        <x:f>SUMIFS($F$7:$F$56,$A$7:$A$56,A25,$B$7:$B$56,"&lt;="&amp;B25)</x:f>
        <x:v>489148</x:v>
      </x:c>
      <x:c r="H25" s="20" t="n">
        <x:v>750</x:v>
      </x:c>
      <x:c r="I25" s="20" t="n">
        <x:v>-29500</x:v>
      </x:c>
      <x:c r="J25" s="27" t="n">
        <x:v>3</x:v>
      </x:c>
      <x:c r="K25" s="27" t="n">
        <x:v>9</x:v>
      </x:c>
      <x:c r="L25" s="27" t="n">
        <x:v>5</x:v>
      </x:c>
      <x:c r="M25" s="29" t="str">
        <x:v>対照47場</x:v>
      </x:c>
      <x:c r="N25" s="28" t="n">
        <x:v>68.03333333333333</x:v>
      </x:c>
      <x:c r="O25" s="28" t="n">
        <x:v>207.2</x:v>
      </x:c>
    </x:row>
    <x:row r="26" ht="22" customHeight="1">
      <x:c r="A26" s="2" t="str">
        <x:v>C33</x:v>
      </x:c>
      <x:c r="B26" s="24" t="d">
        <x:v>2026-10-02T17:00:00.000Z</x:v>
      </x:c>
      <x:c r="C26" s="2" t="str">
        <x:v>ナイト</x:v>
      </x:c>
      <x:c r="D26" s="20" t="n">
        <x:v>100916</x:v>
      </x:c>
      <x:c r="E26" s="20" t="n">
        <x:v>67668</x:v>
      </x:c>
      <x:c r="F26" s="20" t="n">
        <x:f>D26-E26</x:f>
        <x:v>33248</x:v>
      </x:c>
      <x:c r="G26" s="20" t="n">
        <x:f>SUMIFS($F$7:$F$56,$A$7:$A$56,A26,$B$7:$B$56,"&lt;="&amp;B26)</x:f>
        <x:v>522396</x:v>
      </x:c>
      <x:c r="H26" s="20" t="n">
        <x:v>1752</x:v>
      </x:c>
      <x:c r="I26" s="20" t="n">
        <x:v>35000</x:v>
      </x:c>
      <x:c r="J26" s="27" t="n">
        <x:v>6</x:v>
      </x:c>
      <x:c r="K26" s="27" t="n">
        <x:v>21</x:v>
      </x:c>
      <x:c r="L26" s="27" t="n">
        <x:v>5</x:v>
      </x:c>
      <x:c r="M26" s="29" t="str">
        <x:v>対照47場</x:v>
      </x:c>
      <x:c r="N26" s="28" t="n">
        <x:v>103.81666666666666</x:v>
      </x:c>
      <x:c r="O26" s="28" t="n">
        <x:v>76.71666666666667</x:v>
      </x:c>
    </x:row>
    <x:row r="27" ht="22" customHeight="1">
      <x:c r="A27" s="2" t="str">
        <x:v>C33</x:v>
      </x:c>
      <x:c r="B27" s="24" t="d">
        <x:v>2026-10-05T08:45:00.000Z</x:v>
      </x:c>
      <x:c r="C27" s="2" t="str">
        <x:v>デイ</x:v>
      </x:c>
      <x:c r="D27" s="20" t="n">
        <x:v>33251</x:v>
      </x:c>
      <x:c r="E27" s="20" t="n">
        <x:v>33336</x:v>
      </x:c>
      <x:c r="F27" s="20" t="n">
        <x:f>D27-E27</x:f>
        <x:v>-85</x:v>
      </x:c>
      <x:c r="G27" s="20" t="n">
        <x:f>SUMIFS($F$7:$F$56,$A$7:$A$56,A27,$B$7:$B$56,"&lt;="&amp;B27)</x:f>
        <x:v>522311</x:v>
      </x:c>
      <x:c r="H27" s="20" t="n">
        <x:v>1585</x:v>
      </x:c>
      <x:c r="I27" s="20" t="n">
        <x:v>1500</x:v>
      </x:c>
      <x:c r="J27" s="27" t="n">
        <x:v>5</x:v>
      </x:c>
      <x:c r="K27" s="27" t="n">
        <x:v>19</x:v>
      </x:c>
      <x:c r="L27" s="27" t="n">
        <x:v>5</x:v>
      </x:c>
      <x:c r="M27" s="29" t="str">
        <x:v>対照47場</x:v>
      </x:c>
      <x:c r="N27" s="28" t="n">
        <x:v>81.33333333333333</x:v>
      </x:c>
      <x:c r="O27" s="28" t="n">
        <x:v>178.61666666666667</x:v>
      </x:c>
    </x:row>
    <x:row r="28" ht="22" customHeight="1">
      <x:c r="A28" s="2" t="str">
        <x:v>C33</x:v>
      </x:c>
      <x:c r="B28" s="24" t="d">
        <x:v>2026-10-05T17:00:00.000Z</x:v>
      </x:c>
      <x:c r="C28" s="2" t="str">
        <x:v>ナイト</x:v>
      </x:c>
      <x:c r="D28" s="20" t="n">
        <x:v>9668</x:v>
      </x:c>
      <x:c r="E28" s="20" t="n">
        <x:v>53754</x:v>
      </x:c>
      <x:c r="F28" s="20" t="n">
        <x:f>D28-E28</x:f>
        <x:v>-44086</x:v>
      </x:c>
      <x:c r="G28" s="20" t="n">
        <x:f>SUMIFS($F$7:$F$56,$A$7:$A$56,A28,$B$7:$B$56,"&lt;="&amp;B28)</x:f>
        <x:v>478225</x:v>
      </x:c>
      <x:c r="H28" s="20" t="n">
        <x:v>1586</x:v>
      </x:c>
      <x:c r="I28" s="20" t="n">
        <x:v>-42500</x:v>
      </x:c>
      <x:c r="J28" s="27" t="n">
        <x:v>5</x:v>
      </x:c>
      <x:c r="K28" s="27" t="n">
        <x:v>19</x:v>
      </x:c>
      <x:c r="L28" s="27" t="n">
        <x:v>5</x:v>
      </x:c>
      <x:c r="M28" s="29" t="str">
        <x:v>対照47場</x:v>
      </x:c>
      <x:c r="N28" s="28" t="n">
        <x:v>49.28333333333333</x:v>
      </x:c>
      <x:c r="O28" s="28" t="n">
        <x:v>216.03333333333333</x:v>
      </x:c>
    </x:row>
    <x:row r="29" ht="22" customHeight="1">
      <x:c r="A29" s="2" t="str">
        <x:v>C33</x:v>
      </x:c>
      <x:c r="B29" s="24" t="d">
        <x:v>2026-10-06T08:45:00.000Z</x:v>
      </x:c>
      <x:c r="C29" s="2" t="str">
        <x:v>デイ</x:v>
      </x:c>
      <x:c r="D29" s="20" t="n">
        <x:v>12502</x:v>
      </x:c>
      <x:c r="E29" s="20" t="n">
        <x:v>53582</x:v>
      </x:c>
      <x:c r="F29" s="20" t="n">
        <x:f>D29-E29</x:f>
        <x:v>-41080</x:v>
      </x:c>
      <x:c r="G29" s="20" t="n">
        <x:f>SUMIFS($F$7:$F$56,$A$7:$A$56,A29,$B$7:$B$56,"&lt;="&amp;B29)</x:f>
        <x:v>437145</x:v>
      </x:c>
      <x:c r="H29" s="20" t="n">
        <x:v>1580</x:v>
      </x:c>
      <x:c r="I29" s="20" t="n">
        <x:v>-39500</x:v>
      </x:c>
      <x:c r="J29" s="27" t="n">
        <x:v>8</x:v>
      </x:c>
      <x:c r="K29" s="27" t="n">
        <x:v>19</x:v>
      </x:c>
      <x:c r="L29" s="27" t="n">
        <x:v>5</x:v>
      </x:c>
      <x:c r="M29" s="29" t="str">
        <x:v>対照47場</x:v>
      </x:c>
      <x:c r="N29" s="28" t="n">
        <x:v>49.166666666666664</x:v>
      </x:c>
      <x:c r="O29" s="28" t="n">
        <x:v>119.63333333333334</x:v>
      </x:c>
    </x:row>
    <x:row r="30" ht="22" customHeight="1">
      <x:c r="A30" s="2" t="str">
        <x:v>C33</x:v>
      </x:c>
      <x:c r="B30" s="24" t="d">
        <x:v>2026-10-06T17:00:00.000Z</x:v>
      </x:c>
      <x:c r="C30" s="2" t="str">
        <x:v>ナイト</x:v>
      </x:c>
      <x:c r="D30" s="20" t="n">
        <x:v>0</x:v>
      </x:c>
      <x:c r="E30" s="20" t="n">
        <x:v>40836</x:v>
      </x:c>
      <x:c r="F30" s="20" t="n">
        <x:f>D30-E30</x:f>
        <x:v>-40836</x:v>
      </x:c>
      <x:c r="G30" s="20" t="n">
        <x:f>SUMIFS($F$7:$F$56,$A$7:$A$56,A30,$B$7:$B$56,"&lt;="&amp;B30)</x:f>
        <x:v>396309</x:v>
      </x:c>
      <x:c r="H30" s="20" t="n">
        <x:v>836</x:v>
      </x:c>
      <x:c r="I30" s="20" t="n">
        <x:v>-40000</x:v>
      </x:c>
      <x:c r="J30" s="27" t="n">
        <x:v>2</x:v>
      </x:c>
      <x:c r="K30" s="27" t="n">
        <x:v>10</x:v>
      </x:c>
      <x:c r="L30" s="27" t="n">
        <x:v>5</x:v>
      </x:c>
      <x:c r="M30" s="29" t="str">
        <x:v>対照47場</x:v>
      </x:c>
      <x:c r="N30" s="28" t="n">
        <x:v>367.5</x:v>
      </x:c>
      <x:c r="O30" s="28" t="n">
        <x:v>23.283333333333335</x:v>
      </x:c>
    </x:row>
    <x:row r="31" ht="22" customHeight="1">
      <x:c r="A31" s="2" t="str">
        <x:v>C33</x:v>
      </x:c>
      <x:c r="B31" s="24" t="d">
        <x:v>2026-10-07T08:45:00.000Z</x:v>
      </x:c>
      <x:c r="C31" s="2" t="str">
        <x:v>デイ</x:v>
      </x:c>
      <x:c r="D31" s="20" t="n">
        <x:v>80751</x:v>
      </x:c>
      <x:c r="E31" s="20" t="n">
        <x:v>0</x:v>
      </x:c>
      <x:c r="F31" s="20" t="n">
        <x:f>D31-E31</x:f>
        <x:v>80751</x:v>
      </x:c>
      <x:c r="G31" s="20" t="n">
        <x:f>SUMIFS($F$7:$F$56,$A$7:$A$56,A31,$B$7:$B$56,"&lt;="&amp;B31)</x:f>
        <x:v>477060</x:v>
      </x:c>
      <x:c r="H31" s="20" t="n">
        <x:v>749</x:v>
      </x:c>
      <x:c r="I31" s="20" t="n">
        <x:v>81500</x:v>
      </x:c>
      <x:c r="J31" s="27" t="n">
        <x:v>3</x:v>
      </x:c>
      <x:c r="K31" s="27" t="n">
        <x:v>9</x:v>
      </x:c>
      <x:c r="L31" s="27" t="n">
        <x:v>5</x:v>
      </x:c>
      <x:c r="M31" s="29" t="str">
        <x:v>対照47場</x:v>
      </x:c>
      <x:c r="N31" s="28" t="n">
        <x:v>70.5</x:v>
      </x:c>
      <x:c r="O31" s="28" t="n">
        <x:v>194.3</x:v>
      </x:c>
    </x:row>
    <x:row r="32" ht="22" customHeight="1">
      <x:c r="A32" s="2" t="str">
        <x:v>C33</x:v>
      </x:c>
      <x:c r="B32" s="24" t="d">
        <x:v>2026-10-07T17:00:00.000Z</x:v>
      </x:c>
      <x:c r="C32" s="2" t="str">
        <x:v>ナイト</x:v>
      </x:c>
      <x:c r="D32" s="20" t="n">
        <x:v>23250</x:v>
      </x:c>
      <x:c r="E32" s="20" t="n">
        <x:v>22332</x:v>
      </x:c>
      <x:c r="F32" s="20" t="n">
        <x:f>D32-E32</x:f>
        <x:v>918</x:v>
      </x:c>
      <x:c r="G32" s="20" t="n">
        <x:f>SUMIFS($F$7:$F$56,$A$7:$A$56,A32,$B$7:$B$56,"&lt;="&amp;B32)</x:f>
        <x:v>477978</x:v>
      </x:c>
      <x:c r="H32" s="20" t="n">
        <x:v>1082</x:v>
      </x:c>
      <x:c r="I32" s="20" t="n">
        <x:v>2000</x:v>
      </x:c>
      <x:c r="J32" s="27" t="n">
        <x:v>5</x:v>
      </x:c>
      <x:c r="K32" s="27" t="n">
        <x:v>13</x:v>
      </x:c>
      <x:c r="L32" s="27" t="n">
        <x:v>5</x:v>
      </x:c>
      <x:c r="M32" s="29" t="str">
        <x:v>対照47場</x:v>
      </x:c>
      <x:c r="N32" s="28" t="n">
        <x:v>263.9166666666667</x:v>
      </x:c>
      <x:c r="O32" s="28" t="n">
        <x:v>68.88333333333334</x:v>
      </x:c>
    </x:row>
    <x:row r="33" ht="22" customHeight="1">
      <x:c r="A33" s="2" t="str">
        <x:v>C33</x:v>
      </x:c>
      <x:c r="B33" s="24" t="d">
        <x:v>2026-10-08T08:45:00.000Z</x:v>
      </x:c>
      <x:c r="C33" s="2" t="str">
        <x:v>デイ</x:v>
      </x:c>
      <x:c r="D33" s="20" t="n">
        <x:v>94669</x:v>
      </x:c>
      <x:c r="E33" s="20" t="n">
        <x:v>32584</x:v>
      </x:c>
      <x:c r="F33" s="20" t="n">
        <x:f>D33-E33</x:f>
        <x:v>62085</x:v>
      </x:c>
      <x:c r="G33" s="20" t="n">
        <x:f>SUMIFS($F$7:$F$56,$A$7:$A$56,A33,$B$7:$B$56,"&lt;="&amp;B33)</x:f>
        <x:v>540063</x:v>
      </x:c>
      <x:c r="H33" s="20" t="n">
        <x:v>1915</x:v>
      </x:c>
      <x:c r="I33" s="20" t="n">
        <x:v>64000</x:v>
      </x:c>
      <x:c r="J33" s="27" t="n">
        <x:v>7</x:v>
      </x:c>
      <x:c r="K33" s="27" t="n">
        <x:v>23</x:v>
      </x:c>
      <x:c r="L33" s="27" t="n">
        <x:v>5</x:v>
      </x:c>
      <x:c r="M33" s="29" t="str">
        <x:v>対照47場</x:v>
      </x:c>
      <x:c r="N33" s="28" t="n">
        <x:v>68.13333333333334</x:v>
      </x:c>
      <x:c r="O33" s="28" t="n">
        <x:v>115.66666666666667</x:v>
      </x:c>
    </x:row>
    <x:row r="34" ht="22" customHeight="1">
      <x:c r="A34" s="2" t="str">
        <x:v>C33</x:v>
      </x:c>
      <x:c r="B34" s="24" t="d">
        <x:v>2026-10-08T17:00:00.000Z</x:v>
      </x:c>
      <x:c r="C34" s="2" t="str">
        <x:v>ナイト</x:v>
      </x:c>
      <x:c r="D34" s="20" t="n">
        <x:v>41584</x:v>
      </x:c>
      <x:c r="E34" s="20" t="n">
        <x:v>17918</x:v>
      </x:c>
      <x:c r="F34" s="20" t="n">
        <x:f>D34-E34</x:f>
        <x:v>23666</x:v>
      </x:c>
      <x:c r="G34" s="20" t="n">
        <x:f>SUMIFS($F$7:$F$56,$A$7:$A$56,A34,$B$7:$B$56,"&lt;="&amp;B34)</x:f>
        <x:v>563729</x:v>
      </x:c>
      <x:c r="H34" s="20" t="n">
        <x:v>1334</x:v>
      </x:c>
      <x:c r="I34" s="20" t="n">
        <x:v>25000</x:v>
      </x:c>
      <x:c r="J34" s="27" t="n">
        <x:v>5</x:v>
      </x:c>
      <x:c r="K34" s="27" t="n">
        <x:v>16</x:v>
      </x:c>
      <x:c r="L34" s="27" t="n">
        <x:v>5</x:v>
      </x:c>
      <x:c r="M34" s="29" t="str">
        <x:v>対照47場</x:v>
      </x:c>
      <x:c r="N34" s="28" t="n">
        <x:v>288.85</x:v>
      </x:c>
      <x:c r="O34" s="28" t="n">
        <x:v>86.95</x:v>
      </x:c>
    </x:row>
    <x:row r="35" ht="22" customHeight="1">
      <x:c r="A35" s="2" t="str">
        <x:v>C33</x:v>
      </x:c>
      <x:c r="B35" s="24" t="d">
        <x:v>2026-10-09T08:45:00.000Z</x:v>
      </x:c>
      <x:c r="C35" s="2" t="str">
        <x:v>デイ</x:v>
      </x:c>
      <x:c r="D35" s="20" t="n">
        <x:v>69084</x:v>
      </x:c>
      <x:c r="E35" s="20" t="n">
        <x:v>30418</x:v>
      </x:c>
      <x:c r="F35" s="20" t="n">
        <x:f>D35-E35</x:f>
        <x:v>38666</x:v>
      </x:c>
      <x:c r="G35" s="20" t="n">
        <x:f>SUMIFS($F$7:$F$56,$A$7:$A$56,A35,$B$7:$B$56,"&lt;="&amp;B35)</x:f>
        <x:v>602395</x:v>
      </x:c>
      <x:c r="H35" s="20" t="n">
        <x:v>834</x:v>
      </x:c>
      <x:c r="I35" s="20" t="n">
        <x:v>39500</x:v>
      </x:c>
      <x:c r="J35" s="27" t="n">
        <x:v>2</x:v>
      </x:c>
      <x:c r="K35" s="27" t="n">
        <x:v>10</x:v>
      </x:c>
      <x:c r="L35" s="27" t="n">
        <x:v>5</x:v>
      </x:c>
      <x:c r="M35" s="29" t="str">
        <x:v>対照47場</x:v>
      </x:c>
      <x:c r="N35" s="28" t="n">
        <x:v>85.61666666666666</x:v>
      </x:c>
      <x:c r="O35" s="28" t="n">
        <x:v>292.01666666666665</x:v>
      </x:c>
    </x:row>
    <x:row r="36" ht="22" customHeight="1">
      <x:c r="A36" s="2" t="str">
        <x:v>C33</x:v>
      </x:c>
      <x:c r="B36" s="24" t="d">
        <x:v>2026-10-09T17:00:00.000Z</x:v>
      </x:c>
      <x:c r="C36" s="2" t="str">
        <x:v>ナイト</x:v>
      </x:c>
      <x:c r="D36" s="20" t="n">
        <x:v>14582</x:v>
      </x:c>
      <x:c r="E36" s="20" t="n">
        <x:v>0</x:v>
      </x:c>
      <x:c r="F36" s="20" t="n">
        <x:f>D36-E36</x:f>
        <x:v>14582</x:v>
      </x:c>
      <x:c r="G36" s="20" t="n">
        <x:f>SUMIFS($F$7:$F$56,$A$7:$A$56,A36,$B$7:$B$56,"&lt;="&amp;B36)</x:f>
        <x:v>616977</x:v>
      </x:c>
      <x:c r="H36" s="20" t="n">
        <x:v>418</x:v>
      </x:c>
      <x:c r="I36" s="20" t="n">
        <x:v>15000</x:v>
      </x:c>
      <x:c r="J36" s="27" t="n">
        <x:v>1</x:v>
      </x:c>
      <x:c r="K36" s="27" t="n">
        <x:v>5</x:v>
      </x:c>
      <x:c r="L36" s="27" t="n">
        <x:v>5</x:v>
      </x:c>
      <x:c r="M36" s="29" t="str">
        <x:v>対照47場</x:v>
      </x:c>
      <x:c r="N36" s="28" t="n">
        <x:v>450</x:v>
      </x:c>
      <x:c r="O36" s="28" t="n">
        <x:v>52.56666666666667</x:v>
      </x:c>
    </x:row>
    <x:row r="37" ht="22" customHeight="1">
      <x:c r="A37" s="2" t="str">
        <x:v>C33</x:v>
      </x:c>
      <x:c r="B37" s="24" t="d">
        <x:v>2026-10-12T08:45:00.000Z</x:v>
      </x:c>
      <x:c r="C37" s="2" t="str">
        <x:v>デイ</x:v>
      </x:c>
      <x:c r="D37" s="20" t="n">
        <x:v>19582</x:v>
      </x:c>
      <x:c r="E37" s="20" t="n">
        <x:v>0</x:v>
      </x:c>
      <x:c r="F37" s="20" t="n">
        <x:f>D37-E37</x:f>
        <x:v>19582</x:v>
      </x:c>
      <x:c r="G37" s="20" t="n">
        <x:f>SUMIFS($F$7:$F$56,$A$7:$A$56,A37,$B$7:$B$56,"&lt;="&amp;B37)</x:f>
        <x:v>636559</x:v>
      </x:c>
      <x:c r="H37" s="20" t="n">
        <x:v>418</x:v>
      </x:c>
      <x:c r="I37" s="20" t="n">
        <x:v>20000</x:v>
      </x:c>
      <x:c r="J37" s="27" t="n">
        <x:v>1</x:v>
      </x:c>
      <x:c r="K37" s="27" t="n">
        <x:v>5</x:v>
      </x:c>
      <x:c r="L37" s="27" t="n">
        <x:v>5</x:v>
      </x:c>
      <x:c r="M37" s="29" t="str">
        <x:v>対照47場</x:v>
      </x:c>
      <x:c r="N37" s="28" t="n">
        <x:v>256</x:v>
      </x:c>
      <x:c r="O37" s="28" t="n">
        <x:v>107</x:v>
      </x:c>
    </x:row>
    <x:row r="38" ht="22" customHeight="1">
      <x:c r="A38" s="2" t="str">
        <x:v>C33</x:v>
      </x:c>
      <x:c r="B38" s="24" t="d">
        <x:v>2026-10-12T17:00:00.000Z</x:v>
      </x:c>
      <x:c r="C38" s="2" t="str">
        <x:v>ナイト</x:v>
      </x:c>
      <x:c r="D38" s="20" t="n">
        <x:v>2082</x:v>
      </x:c>
      <x:c r="E38" s="20" t="n">
        <x:v>0</x:v>
      </x:c>
      <x:c r="F38" s="20" t="n">
        <x:f>D38-E38</x:f>
        <x:v>2082</x:v>
      </x:c>
      <x:c r="G38" s="20" t="n">
        <x:f>SUMIFS($F$7:$F$56,$A$7:$A$56,A38,$B$7:$B$56,"&lt;="&amp;B38)</x:f>
        <x:v>638641</x:v>
      </x:c>
      <x:c r="H38" s="20" t="n">
        <x:v>418</x:v>
      </x:c>
      <x:c r="I38" s="20" t="n">
        <x:v>2500</x:v>
      </x:c>
      <x:c r="J38" s="27" t="n">
        <x:v>1</x:v>
      </x:c>
      <x:c r="K38" s="27" t="n">
        <x:v>5</x:v>
      </x:c>
      <x:c r="L38" s="27" t="n">
        <x:v>5</x:v>
      </x:c>
      <x:c r="M38" s="29" t="str">
        <x:v>対照47場</x:v>
      </x:c>
      <x:c r="N38" s="28" t="n">
        <x:v>369.23333333333335</x:v>
      </x:c>
      <x:c r="O38" s="28" t="n">
        <x:v>4.55</x:v>
      </x:c>
    </x:row>
    <x:row r="39" ht="22" customHeight="1">
      <x:c r="A39" s="2" t="str">
        <x:v>C33</x:v>
      </x:c>
      <x:c r="B39" s="24" t="d">
        <x:v>2026-10-13T08:45:00.000Z</x:v>
      </x:c>
      <x:c r="C39" s="2" t="str">
        <x:v>デイ</x:v>
      </x:c>
      <x:c r="D39" s="20" t="n">
        <x:v>43084</x:v>
      </x:c>
      <x:c r="E39" s="20" t="n">
        <x:v>42918</x:v>
      </x:c>
      <x:c r="F39" s="20" t="n">
        <x:f>D39-E39</x:f>
        <x:v>166</x:v>
      </x:c>
      <x:c r="G39" s="20" t="n">
        <x:f>SUMIFS($F$7:$F$56,$A$7:$A$56,A39,$B$7:$B$56,"&lt;="&amp;B39)</x:f>
        <x:v>638807</x:v>
      </x:c>
      <x:c r="H39" s="20" t="n">
        <x:v>834</x:v>
      </x:c>
      <x:c r="I39" s="20" t="n">
        <x:v>1000</x:v>
      </x:c>
      <x:c r="J39" s="27" t="n">
        <x:v>2</x:v>
      </x:c>
      <x:c r="K39" s="27" t="n">
        <x:v>10</x:v>
      </x:c>
      <x:c r="L39" s="27" t="n">
        <x:v>5</x:v>
      </x:c>
      <x:c r="M39" s="29" t="str">
        <x:v>対照47場</x:v>
      </x:c>
      <x:c r="N39" s="28" t="n">
        <x:v>66.41666666666667</x:v>
      </x:c>
      <x:c r="O39" s="28" t="n">
        <x:v>307.93333333333334</x:v>
      </x:c>
    </x:row>
    <x:row r="40" ht="22" customHeight="1">
      <x:c r="A40" s="2" t="str">
        <x:v>C33</x:v>
      </x:c>
      <x:c r="B40" s="24" t="d">
        <x:v>2026-10-13T17:00:00.000Z</x:v>
      </x:c>
      <x:c r="C40" s="2" t="str">
        <x:v>ナイト</x:v>
      </x:c>
      <x:c r="D40" s="20" t="n">
        <x:v>4582</x:v>
      </x:c>
      <x:c r="E40" s="20" t="n">
        <x:v>0</x:v>
      </x:c>
      <x:c r="F40" s="20" t="n">
        <x:f>D40-E40</x:f>
        <x:v>4582</x:v>
      </x:c>
      <x:c r="G40" s="20" t="n">
        <x:f>SUMIFS($F$7:$F$56,$A$7:$A$56,A40,$B$7:$B$56,"&lt;="&amp;B40)</x:f>
        <x:v>643389</x:v>
      </x:c>
      <x:c r="H40" s="20" t="n">
        <x:v>418</x:v>
      </x:c>
      <x:c r="I40" s="20" t="n">
        <x:v>5000</x:v>
      </x:c>
      <x:c r="J40" s="27" t="n">
        <x:v>1</x:v>
      </x:c>
      <x:c r="K40" s="27" t="n">
        <x:v>5</x:v>
      </x:c>
      <x:c r="L40" s="27" t="n">
        <x:v>5</x:v>
      </x:c>
      <x:c r="M40" s="29" t="str">
        <x:v>対照47場</x:v>
      </x:c>
      <x:c r="N40" s="28" t="n">
        <x:v>362.95</x:v>
      </x:c>
      <x:c r="O40" s="28" t="n">
        <x:v>60.78333333333333</x:v>
      </x:c>
    </x:row>
    <x:row r="41" ht="22" customHeight="1">
      <x:c r="A41" s="2" t="str">
        <x:v>C33</x:v>
      </x:c>
      <x:c r="B41" s="24" t="d">
        <x:v>2026-10-14T08:45:00.000Z</x:v>
      </x:c>
      <x:c r="C41" s="2" t="str">
        <x:v>デイ</x:v>
      </x:c>
      <x:c r="D41" s="20" t="n">
        <x:v>18419</x:v>
      </x:c>
      <x:c r="E41" s="20" t="n">
        <x:v>17918</x:v>
      </x:c>
      <x:c r="F41" s="20" t="n">
        <x:f>D41-E41</x:f>
        <x:v>501</x:v>
      </x:c>
      <x:c r="G41" s="20" t="n">
        <x:f>SUMIFS($F$7:$F$56,$A$7:$A$56,A41,$B$7:$B$56,"&lt;="&amp;B41)</x:f>
        <x:v>643890</x:v>
      </x:c>
      <x:c r="H41" s="20" t="n">
        <x:v>1499</x:v>
      </x:c>
      <x:c r="I41" s="20" t="n">
        <x:v>2000</x:v>
      </x:c>
      <x:c r="J41" s="27" t="n">
        <x:v>6</x:v>
      </x:c>
      <x:c r="K41" s="27" t="n">
        <x:v>18</x:v>
      </x:c>
      <x:c r="L41" s="27" t="n">
        <x:v>5</x:v>
      </x:c>
      <x:c r="M41" s="29" t="str">
        <x:v>対照47場</x:v>
      </x:c>
      <x:c r="N41" s="28" t="n">
        <x:v>44.916666666666664</x:v>
      </x:c>
      <x:c r="O41" s="28" t="n">
        <x:v>285.0833333333333</x:v>
      </x:c>
    </x:row>
    <x:row r="42" ht="22" customHeight="1">
      <x:c r="A42" s="2" t="str">
        <x:v>C33</x:v>
      </x:c>
      <x:c r="B42" s="24" t="d">
        <x:v>2026-10-14T17:00:00.000Z</x:v>
      </x:c>
      <x:c r="C42" s="2" t="str">
        <x:v>ナイト</x:v>
      </x:c>
      <x:c r="D42" s="20" t="n">
        <x:v>64164</x:v>
      </x:c>
      <x:c r="E42" s="20" t="n">
        <x:v>63754</x:v>
      </x:c>
      <x:c r="F42" s="20" t="n">
        <x:f>D42-E42</x:f>
        <x:v>410</x:v>
      </x:c>
      <x:c r="G42" s="20" t="n">
        <x:f>SUMIFS($F$7:$F$56,$A$7:$A$56,A42,$B$7:$B$56,"&lt;="&amp;B42)</x:f>
        <x:v>644300</x:v>
      </x:c>
      <x:c r="H42" s="20" t="n">
        <x:v>2090</x:v>
      </x:c>
      <x:c r="I42" s="20" t="n">
        <x:v>2500</x:v>
      </x:c>
      <x:c r="J42" s="27" t="n">
        <x:v>5</x:v>
      </x:c>
      <x:c r="K42" s="27" t="n">
        <x:v>25</x:v>
      </x:c>
      <x:c r="L42" s="27" t="n">
        <x:v>5</x:v>
      </x:c>
      <x:c r="M42" s="29" t="str">
        <x:v>対照47場</x:v>
      </x:c>
      <x:c r="N42" s="28" t="n">
        <x:v>360.01666666666665</x:v>
      </x:c>
      <x:c r="O42" s="28" t="n">
        <x:v>152.31666666666666</x:v>
      </x:c>
    </x:row>
    <x:row r="43" ht="22" customHeight="1">
      <x:c r="A43" s="2" t="str">
        <x:v>C33</x:v>
      </x:c>
      <x:c r="B43" s="24" t="d">
        <x:v>2026-10-15T08:45:00.000Z</x:v>
      </x:c>
      <x:c r="C43" s="2" t="str">
        <x:v>デイ</x:v>
      </x:c>
      <x:c r="D43" s="20" t="n">
        <x:v>139917</x:v>
      </x:c>
      <x:c r="E43" s="20" t="n">
        <x:v>52502</x:v>
      </x:c>
      <x:c r="F43" s="20" t="n">
        <x:f>D43-E43</x:f>
        <x:v>87415</x:v>
      </x:c>
      <x:c r="G43" s="20" t="n">
        <x:f>SUMIFS($F$7:$F$56,$A$7:$A$56,A43,$B$7:$B$56,"&lt;="&amp;B43)</x:f>
        <x:v>731715</x:v>
      </x:c>
      <x:c r="H43" s="20" t="n">
        <x:v>1585</x:v>
      </x:c>
      <x:c r="I43" s="20" t="n">
        <x:v>89000</x:v>
      </x:c>
      <x:c r="J43" s="27" t="n">
        <x:v>5</x:v>
      </x:c>
      <x:c r="K43" s="27" t="n">
        <x:v>19</x:v>
      </x:c>
      <x:c r="L43" s="27" t="n">
        <x:v>5</x:v>
      </x:c>
      <x:c r="M43" s="29" t="str">
        <x:v>対照47場</x:v>
      </x:c>
      <x:c r="N43" s="28" t="n">
        <x:v>67.7</x:v>
      </x:c>
      <x:c r="O43" s="28" t="n">
        <x:v>234.36666666666667</x:v>
      </x:c>
    </x:row>
    <x:row r="44" ht="22" customHeight="1">
      <x:c r="A44" s="2" t="str">
        <x:v>C33</x:v>
      </x:c>
      <x:c r="B44" s="24" t="d">
        <x:v>2026-10-15T17:00:00.000Z</x:v>
      </x:c>
      <x:c r="C44" s="2" t="str">
        <x:v>ナイト</x:v>
      </x:c>
      <x:c r="D44" s="20" t="n">
        <x:v>80498</x:v>
      </x:c>
      <x:c r="E44" s="20" t="n">
        <x:v>52920</x:v>
      </x:c>
      <x:c r="F44" s="20" t="n">
        <x:f>D44-E44</x:f>
        <x:v>27578</x:v>
      </x:c>
      <x:c r="G44" s="20" t="n">
        <x:f>SUMIFS($F$7:$F$56,$A$7:$A$56,A44,$B$7:$B$56,"&lt;="&amp;B44)</x:f>
        <x:v>759293</x:v>
      </x:c>
      <x:c r="H44" s="20" t="n">
        <x:v>2422</x:v>
      </x:c>
      <x:c r="I44" s="20" t="n">
        <x:v>30000</x:v>
      </x:c>
      <x:c r="J44" s="27" t="n">
        <x:v>7</x:v>
      </x:c>
      <x:c r="K44" s="27" t="n">
        <x:v>29</x:v>
      </x:c>
      <x:c r="L44" s="27" t="n">
        <x:v>5</x:v>
      </x:c>
      <x:c r="M44" s="29" t="str">
        <x:v>対照47場</x:v>
      </x:c>
      <x:c r="N44" s="28" t="n">
        <x:v>361.3333333333333</x:v>
      </x:c>
      <x:c r="O44" s="28" t="n">
        <x:v>113.58333333333333</x:v>
      </x:c>
    </x:row>
    <x:row r="45" ht="22" customHeight="1">
      <x:c r="A45" s="2" t="str">
        <x:v>C33</x:v>
      </x:c>
      <x:c r="B45" s="24" t="d">
        <x:v>2026-10-16T08:45:00.000Z</x:v>
      </x:c>
      <x:c r="C45" s="2" t="str">
        <x:v>デイ</x:v>
      </x:c>
      <x:c r="D45" s="20" t="n">
        <x:v>0</x:v>
      </x:c>
      <x:c r="E45" s="20" t="n">
        <x:v>16166</x:v>
      </x:c>
      <x:c r="F45" s="20" t="n">
        <x:f>D45-E45</x:f>
        <x:v>-16166</x:v>
      </x:c>
      <x:c r="G45" s="20" t="n">
        <x:f>SUMIFS($F$7:$F$56,$A$7:$A$56,A45,$B$7:$B$56,"&lt;="&amp;B45)</x:f>
        <x:v>743127</x:v>
      </x:c>
      <x:c r="H45" s="20" t="n">
        <x:v>166</x:v>
      </x:c>
      <x:c r="I45" s="20" t="n">
        <x:v>-16000</x:v>
      </x:c>
      <x:c r="J45" s="27" t="n">
        <x:v>1</x:v>
      </x:c>
      <x:c r="K45" s="27" t="n">
        <x:v>2</x:v>
      </x:c>
      <x:c r="L45" s="27" t="n">
        <x:v>2</x:v>
      </x:c>
      <x:c r="M45" s="29" t="str">
        <x:v>対照47場</x:v>
      </x:c>
      <x:c r="N45" s="28" t="n">
        <x:v>55.86666666666667</x:v>
      </x:c>
      <x:c r="O45" s="28" t="n">
        <x:v>354.1333333333333</x:v>
      </x:c>
    </x:row>
    <x:row r="46" ht="22" customHeight="1">
      <x:c r="A46" s="2" t="str">
        <x:v>C33</x:v>
      </x:c>
      <x:c r="B46" s="24" t="d">
        <x:v>2026-10-16T17:00:00.000Z</x:v>
      </x:c>
      <x:c r="C46" s="2" t="str">
        <x:v>ナイト</x:v>
      </x:c>
      <x:c r="D46" s="20" t="n">
        <x:v>192834</x:v>
      </x:c>
      <x:c r="E46" s="20" t="n">
        <x:v>37084</x:v>
      </x:c>
      <x:c r="F46" s="20" t="n">
        <x:f>D46-E46</x:f>
        <x:v>155750</x:v>
      </x:c>
      <x:c r="G46" s="20" t="n">
        <x:f>SUMIFS($F$7:$F$56,$A$7:$A$56,A46,$B$7:$B$56,"&lt;="&amp;B46)</x:f>
        <x:v>898877</x:v>
      </x:c>
      <x:c r="H46" s="20" t="n">
        <x:v>2250</x:v>
      </x:c>
      <x:c r="I46" s="20" t="n">
        <x:v>158000</x:v>
      </x:c>
      <x:c r="J46" s="27" t="n">
        <x:v>9</x:v>
      </x:c>
      <x:c r="K46" s="27" t="n">
        <x:v>27</x:v>
      </x:c>
      <x:c r="L46" s="27" t="n">
        <x:v>5</x:v>
      </x:c>
      <x:c r="M46" s="29" t="str">
        <x:v>対照47場</x:v>
      </x:c>
      <x:c r="N46" s="28" t="n">
        <x:v>63.266666666666666</x:v>
      </x:c>
      <x:c r="O46" s="28" t="n">
        <x:v>219.21666666666667</x:v>
      </x:c>
    </x:row>
    <x:row r="47" ht="22" customHeight="1">
      <x:c r="A47" s="2" t="str">
        <x:v>C33</x:v>
      </x:c>
      <x:c r="B47" s="24" t="d">
        <x:v>2026-10-19T08:45:00.000Z</x:v>
      </x:c>
      <x:c r="C47" s="2" t="str">
        <x:v>デイ</x:v>
      </x:c>
      <x:c r="D47" s="20" t="n">
        <x:v>118083</x:v>
      </x:c>
      <x:c r="E47" s="20" t="n">
        <x:v>47918</x:v>
      </x:c>
      <x:c r="F47" s="20" t="n">
        <x:f>D47-E47</x:f>
        <x:v>70165</x:v>
      </x:c>
      <x:c r="G47" s="20" t="n">
        <x:f>SUMIFS($F$7:$F$56,$A$7:$A$56,A47,$B$7:$B$56,"&lt;="&amp;B47)</x:f>
        <x:v>969042</x:v>
      </x:c>
      <x:c r="H47" s="20" t="n">
        <x:v>835</x:v>
      </x:c>
      <x:c r="I47" s="20" t="n">
        <x:v>71000</x:v>
      </x:c>
      <x:c r="J47" s="27" t="n">
        <x:v>2</x:v>
      </x:c>
      <x:c r="K47" s="27" t="n">
        <x:v>10</x:v>
      </x:c>
      <x:c r="L47" s="27" t="n">
        <x:v>5</x:v>
      </x:c>
      <x:c r="M47" s="29" t="str">
        <x:v>対照47場</x:v>
      </x:c>
      <x:c r="N47" s="28" t="n">
        <x:v>66.71666666666667</x:v>
      </x:c>
      <x:c r="O47" s="28" t="n">
        <x:v>321.96666666666664</x:v>
      </x:c>
    </x:row>
    <x:row r="48" ht="22" customHeight="1">
      <x:c r="A48" s="2" t="str">
        <x:v>C33</x:v>
      </x:c>
      <x:c r="B48" s="24" t="d">
        <x:v>2026-10-19T17:00:00.000Z</x:v>
      </x:c>
      <x:c r="C48" s="2" t="str">
        <x:v>ナイト</x:v>
      </x:c>
      <x:c r="D48" s="20" t="n">
        <x:v>46498</x:v>
      </x:c>
      <x:c r="E48" s="20" t="n">
        <x:v>46502</x:v>
      </x:c>
      <x:c r="F48" s="20" t="n">
        <x:f>D48-E48</x:f>
        <x:v>-4</x:v>
      </x:c>
      <x:c r="G48" s="20" t="n">
        <x:f>SUMIFS($F$7:$F$56,$A$7:$A$56,A48,$B$7:$B$56,"&lt;="&amp;B48)</x:f>
        <x:v>969038</x:v>
      </x:c>
      <x:c r="H48" s="20" t="n">
        <x:v>2004</x:v>
      </x:c>
      <x:c r="I48" s="20" t="n">
        <x:v>2000</x:v>
      </x:c>
      <x:c r="J48" s="27" t="n">
        <x:v>6</x:v>
      </x:c>
      <x:c r="K48" s="27" t="n">
        <x:v>24</x:v>
      </x:c>
      <x:c r="L48" s="27" t="n">
        <x:v>5</x:v>
      </x:c>
      <x:c r="M48" s="29" t="str">
        <x:v>対照47場</x:v>
      </x:c>
      <x:c r="N48" s="28" t="n">
        <x:v>352.01666666666665</x:v>
      </x:c>
      <x:c r="O48" s="28" t="n">
        <x:v>111.88333333333334</x:v>
      </x:c>
    </x:row>
    <x:row r="49" ht="22" customHeight="1">
      <x:c r="A49" s="2" t="str">
        <x:v>C33</x:v>
      </x:c>
      <x:c r="B49" s="24" t="d">
        <x:v>2026-10-20T08:45:00.000Z</x:v>
      </x:c>
      <x:c r="C49" s="2" t="str">
        <x:v>デイ</x:v>
      </x:c>
      <x:c r="D49" s="20" t="n">
        <x:v>52502</x:v>
      </x:c>
      <x:c r="E49" s="20" t="n">
        <x:v>85834</x:v>
      </x:c>
      <x:c r="F49" s="20" t="n">
        <x:f>D49-E49</x:f>
        <x:v>-33332</x:v>
      </x:c>
      <x:c r="G49" s="20" t="n">
        <x:f>SUMIFS($F$7:$F$56,$A$7:$A$56,A49,$B$7:$B$56,"&lt;="&amp;B49)</x:f>
        <x:v>935706</x:v>
      </x:c>
      <x:c r="H49" s="20" t="n">
        <x:v>1832</x:v>
      </x:c>
      <x:c r="I49" s="20" t="n">
        <x:v>-31500</x:v>
      </x:c>
      <x:c r="J49" s="27" t="n">
        <x:v>8</x:v>
      </x:c>
      <x:c r="K49" s="27" t="n">
        <x:v>22</x:v>
      </x:c>
      <x:c r="L49" s="27" t="n">
        <x:v>5</x:v>
      </x:c>
      <x:c r="M49" s="29" t="str">
        <x:v>対照47場</x:v>
      </x:c>
      <x:c r="N49" s="28" t="n">
        <x:v>69.8</x:v>
      </x:c>
      <x:c r="O49" s="28" t="n">
        <x:v>167.01666666666668</x:v>
      </x:c>
    </x:row>
    <x:row r="50" ht="22" customHeight="1">
      <x:c r="A50" s="2" t="str">
        <x:v>C33</x:v>
      </x:c>
      <x:c r="B50" s="24" t="d">
        <x:v>2026-10-20T17:00:00.000Z</x:v>
      </x:c>
      <x:c r="C50" s="2" t="str">
        <x:v>ナイト</x:v>
      </x:c>
      <x:c r="D50" s="20" t="n">
        <x:v>84582</x:v>
      </x:c>
      <x:c r="E50" s="20" t="n">
        <x:v>75668</x:v>
      </x:c>
      <x:c r="F50" s="20" t="n">
        <x:f>D50-E50</x:f>
        <x:v>8914</x:v>
      </x:c>
      <x:c r="G50" s="20" t="n">
        <x:f>SUMIFS($F$7:$F$56,$A$7:$A$56,A50,$B$7:$B$56,"&lt;="&amp;B50)</x:f>
        <x:v>944620</x:v>
      </x:c>
      <x:c r="H50" s="20" t="n">
        <x:v>1586</x:v>
      </x:c>
      <x:c r="I50" s="20" t="n">
        <x:v>10500</x:v>
      </x:c>
      <x:c r="J50" s="27" t="n">
        <x:v>5</x:v>
      </x:c>
      <x:c r="K50" s="27" t="n">
        <x:v>19</x:v>
      </x:c>
      <x:c r="L50" s="27" t="n">
        <x:v>5</x:v>
      </x:c>
      <x:c r="M50" s="29" t="str">
        <x:v>対照47場</x:v>
      </x:c>
      <x:c r="N50" s="28" t="n">
        <x:v>351.26666666666665</x:v>
      </x:c>
      <x:c r="O50" s="28" t="n">
        <x:v>71.41666666666667</x:v>
      </x:c>
    </x:row>
    <x:row r="51" ht="22" customHeight="1">
      <x:c r="A51" s="2" t="str">
        <x:v>C33</x:v>
      </x:c>
      <x:c r="B51" s="24" t="d">
        <x:v>2026-10-21T08:45:00.000Z</x:v>
      </x:c>
      <x:c r="C51" s="2" t="str">
        <x:v>デイ</x:v>
      </x:c>
      <x:c r="D51" s="20" t="n">
        <x:v>54253</x:v>
      </x:c>
      <x:c r="E51" s="20" t="n">
        <x:v>46250</x:v>
      </x:c>
      <x:c r="F51" s="20" t="n">
        <x:f>D51-E51</x:f>
        <x:v>8003</x:v>
      </x:c>
      <x:c r="G51" s="20" t="n">
        <x:f>SUMIFS($F$7:$F$56,$A$7:$A$56,A51,$B$7:$B$56,"&lt;="&amp;B51)</x:f>
        <x:v>952623</x:v>
      </x:c>
      <x:c r="H51" s="20" t="n">
        <x:v>1997</x:v>
      </x:c>
      <x:c r="I51" s="20" t="n">
        <x:v>10000</x:v>
      </x:c>
      <x:c r="J51" s="27" t="n">
        <x:v>9</x:v>
      </x:c>
      <x:c r="K51" s="27" t="n">
        <x:v>24</x:v>
      </x:c>
      <x:c r="L51" s="27" t="n">
        <x:v>5</x:v>
      </x:c>
      <x:c r="M51" s="29" t="str">
        <x:v>対照47場</x:v>
      </x:c>
      <x:c r="N51" s="28" t="n">
        <x:v>50.083333333333336</x:v>
      </x:c>
      <x:c r="O51" s="28" t="n">
        <x:v>191.18333333333334</x:v>
      </x:c>
    </x:row>
    <x:row r="52" ht="22" customHeight="1">
      <x:c r="A52" s="2" t="str">
        <x:v>C33</x:v>
      </x:c>
      <x:c r="B52" s="24" t="d">
        <x:v>2026-10-21T17:00:00.000Z</x:v>
      </x:c>
      <x:c r="C52" s="2" t="str">
        <x:v>ナイト</x:v>
      </x:c>
      <x:c r="D52" s="20" t="n">
        <x:v>24164</x:v>
      </x:c>
      <x:c r="E52" s="20" t="n">
        <x:v>22918</x:v>
      </x:c>
      <x:c r="F52" s="20" t="n">
        <x:f>D52-E52</x:f>
        <x:v>1246</x:v>
      </x:c>
      <x:c r="G52" s="20" t="n">
        <x:f>SUMIFS($F$7:$F$56,$A$7:$A$56,A52,$B$7:$B$56,"&lt;="&amp;B52)</x:f>
        <x:v>953869</x:v>
      </x:c>
      <x:c r="H52" s="20" t="n">
        <x:v>1254</x:v>
      </x:c>
      <x:c r="I52" s="20" t="n">
        <x:v>2500</x:v>
      </x:c>
      <x:c r="J52" s="27" t="n">
        <x:v>3</x:v>
      </x:c>
      <x:c r="K52" s="27" t="n">
        <x:v>15</x:v>
      </x:c>
      <x:c r="L52" s="27" t="n">
        <x:v>5</x:v>
      </x:c>
      <x:c r="M52" s="29" t="str">
        <x:v>対照47場</x:v>
      </x:c>
      <x:c r="N52" s="28" t="n">
        <x:v>393.3</x:v>
      </x:c>
      <x:c r="O52" s="28" t="n">
        <x:v>121.51666666666667</x:v>
      </x:c>
    </x:row>
    <x:row r="53" ht="22" customHeight="1">
      <x:c r="A53" s="2" t="str">
        <x:v>C33</x:v>
      </x:c>
      <x:c r="B53" s="24" t="d">
        <x:v>2026-10-22T08:45:00.000Z</x:v>
      </x:c>
      <x:c r="C53" s="2" t="str">
        <x:v>デイ</x:v>
      </x:c>
      <x:c r="D53" s="20" t="n">
        <x:v>87417</x:v>
      </x:c>
      <x:c r="E53" s="20" t="n">
        <x:v>62750</x:v>
      </x:c>
      <x:c r="F53" s="20" t="n">
        <x:f>D53-E53</x:f>
        <x:v>24667</x:v>
      </x:c>
      <x:c r="G53" s="20" t="n">
        <x:f>SUMIFS($F$7:$F$56,$A$7:$A$56,A53,$B$7:$B$56,"&lt;="&amp;B53)</x:f>
        <x:v>978536</x:v>
      </x:c>
      <x:c r="H53" s="20" t="n">
        <x:v>1333</x:v>
      </x:c>
      <x:c r="I53" s="20" t="n">
        <x:v>26000</x:v>
      </x:c>
      <x:c r="J53" s="27" t="n">
        <x:v>5</x:v>
      </x:c>
      <x:c r="K53" s="27" t="n">
        <x:v>16</x:v>
      </x:c>
      <x:c r="L53" s="27" t="n">
        <x:v>5</x:v>
      </x:c>
      <x:c r="M53" s="29" t="str">
        <x:v>対照47場</x:v>
      </x:c>
      <x:c r="N53" s="28" t="n">
        <x:v>79.76666666666667</x:v>
      </x:c>
      <x:c r="O53" s="28" t="n">
        <x:v>217.73333333333332</x:v>
      </x:c>
    </x:row>
    <x:row r="54" ht="22" customHeight="1">
      <x:c r="A54" s="2" t="str">
        <x:v>C33</x:v>
      </x:c>
      <x:c r="B54" s="24" t="d">
        <x:v>2026-10-22T17:00:00.000Z</x:v>
      </x:c>
      <x:c r="C54" s="2" t="str">
        <x:v>ナイト</x:v>
      </x:c>
      <x:c r="D54" s="20" t="n">
        <x:v>88748</x:v>
      </x:c>
      <x:c r="E54" s="20" t="n">
        <x:v>35836</x:v>
      </x:c>
      <x:c r="F54" s="20" t="n">
        <x:f>D54-E54</x:f>
        <x:v>52912</x:v>
      </x:c>
      <x:c r="G54" s="20" t="n">
        <x:f>SUMIFS($F$7:$F$56,$A$7:$A$56,A54,$B$7:$B$56,"&lt;="&amp;B54)</x:f>
        <x:v>1031448</x:v>
      </x:c>
      <x:c r="H54" s="20" t="n">
        <x:v>2588</x:v>
      </x:c>
      <x:c r="I54" s="20" t="n">
        <x:v>55500</x:v>
      </x:c>
      <x:c r="J54" s="27" t="n">
        <x:v>8</x:v>
      </x:c>
      <x:c r="K54" s="27" t="n">
        <x:v>31</x:v>
      </x:c>
      <x:c r="L54" s="27" t="n">
        <x:v>5</x:v>
      </x:c>
      <x:c r="M54" s="29" t="str">
        <x:v>診断3場</x:v>
      </x:c>
      <x:c r="N54" s="28" t="n">
        <x:v>70.93333333333334</x:v>
      </x:c>
      <x:c r="O54" s="28" t="n">
        <x:v>84.23333333333333</x:v>
      </x:c>
    </x:row>
    <x:row r="55" ht="22" customHeight="1">
      <x:c r="A55" s="2" t="str">
        <x:v>C33</x:v>
      </x:c>
      <x:c r="B55" s="24" t="d">
        <x:v>2026-10-23T08:45:00.000Z</x:v>
      </x:c>
      <x:c r="C55" s="2" t="str">
        <x:v>デイ</x:v>
      </x:c>
      <x:c r="D55" s="20" t="n">
        <x:v>59336</x:v>
      </x:c>
      <x:c r="E55" s="20" t="n">
        <x:v>127664</x:v>
      </x:c>
      <x:c r="F55" s="20" t="n">
        <x:f>D55-E55</x:f>
        <x:v>-68328</x:v>
      </x:c>
      <x:c r="G55" s="20" t="n">
        <x:f>SUMIFS($F$7:$F$56,$A$7:$A$56,A55,$B$7:$B$56,"&lt;="&amp;B55)</x:f>
        <x:v>963120</x:v>
      </x:c>
      <x:c r="H55" s="20" t="n">
        <x:v>1828</x:v>
      </x:c>
      <x:c r="I55" s="20" t="n">
        <x:v>-66500</x:v>
      </x:c>
      <x:c r="J55" s="27" t="n">
        <x:v>10</x:v>
      </x:c>
      <x:c r="K55" s="27" t="n">
        <x:v>22</x:v>
      </x:c>
      <x:c r="L55" s="27" t="n">
        <x:v>5</x:v>
      </x:c>
      <x:c r="M55" s="29" t="str">
        <x:v>診断3場</x:v>
      </x:c>
      <x:c r="N55" s="28" t="n">
        <x:v>43.95</x:v>
      </x:c>
      <x:c r="O55" s="28" t="n">
        <x:v>194.26666666666668</x:v>
      </x:c>
    </x:row>
    <x:row r="56" ht="22" customHeight="1">
      <x:c r="A56" s="2" t="str">
        <x:v>C33</x:v>
      </x:c>
      <x:c r="B56" s="24" t="d">
        <x:v>2026-10-23T17:00:00.000Z</x:v>
      </x:c>
      <x:c r="C56" s="2" t="str">
        <x:v>ナイト</x:v>
      </x:c>
      <x:c r="D56" s="20" t="n">
        <x:v>40750</x:v>
      </x:c>
      <x:c r="E56" s="20" t="n">
        <x:v>18166</x:v>
      </x:c>
      <x:c r="F56" s="20" t="n">
        <x:f>D56-E56</x:f>
        <x:v>22584</x:v>
      </x:c>
      <x:c r="G56" s="20" t="n">
        <x:f>SUMIFS($F$7:$F$56,$A$7:$A$56,A56,$B$7:$B$56,"&lt;="&amp;B56)</x:f>
        <x:v>985704</x:v>
      </x:c>
      <x:c r="H56" s="20" t="n">
        <x:v>916</x:v>
      </x:c>
      <x:c r="I56" s="20" t="n">
        <x:v>23500</x:v>
      </x:c>
      <x:c r="J56" s="27" t="n">
        <x:v>4</x:v>
      </x:c>
      <x:c r="K56" s="27" t="n">
        <x:v>11</x:v>
      </x:c>
      <x:c r="L56" s="27" t="n">
        <x:v>5</x:v>
      </x:c>
      <x:c r="M56" s="29" t="str">
        <x:v>診断3場</x:v>
      </x:c>
      <x:c r="N56" s="28" t="n">
        <x:v>125.63333333333334</x:v>
      </x:c>
      <x:c r="O56" s="28" t="n">
        <x:v>75.2</x:v>
      </x:c>
    </x:row>
  </x:sheetData>
  <x:conditionalFormatting sqref="D7:I56">
    <x:cfRule type="cellIs" dxfId="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54ec45118e14279"/>
  </x:tableParts>
</x:worksheet>
</file>

<file path=xl/worksheets/sheet10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4" t="str">
        <x:v>TOPIXmini M1 セッション損益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</x:row>
    <x:row r="3" ht="22" customHeight="1">
      <x:c r="A3" s="7" t="str">
        <x:v>片方向上限10枚。金額は円・手数料後。利益と損失は完結した一組の収支を正負に分類。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A4" s="7" t="str">
        <x:v>昼：G06／夜：H02。対照47場：9/21～10/22デイ。診断3場：10/22ナイト～10/23ナイト。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A5" s="7" t="str">
        <x:v>今回の損失削減を重視する昼夜別案。出典：00141保存会計。診断3場は原因分析と改善に使用した期間です。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4" customHeight="1">
      <x:c r="A6" s="16" t="str">
        <x:v>手法ID</x:v>
      </x:c>
      <x:c r="B6" s="17" t="str">
        <x:v>開始日時</x:v>
      </x:c>
      <x:c r="C6" s="17" t="str">
        <x:v>セッション</x:v>
      </x:c>
      <x:c r="D6" s="17" t="str">
        <x:v>利益（円）</x:v>
      </x:c>
      <x:c r="E6" s="17" t="str">
        <x:v>損失（円）</x:v>
      </x:c>
      <x:c r="F6" s="17" t="str">
        <x:v>収支（円）</x:v>
      </x:c>
      <x:c r="G6" s="17" t="str">
        <x:v>累計（円）</x:v>
      </x:c>
      <x:c r="H6" s="17" t="str">
        <x:v>内数手数料（円）</x:v>
      </x:c>
      <x:c r="I6" s="17" t="str">
        <x:v>費用前収支（円）</x:v>
      </x:c>
      <x:c r="J6" s="17" t="str">
        <x:v>新規回数</x:v>
      </x:c>
      <x:c r="K6" s="17" t="str">
        <x:v>新規枚数</x:v>
      </x:c>
      <x:c r="L6" s="17" t="str">
        <x:v>最大片方向保有</x:v>
      </x:c>
      <x:c r="M6" s="17" t="str">
        <x:v>評価区分</x:v>
      </x:c>
      <x:c r="N6" s="17" t="str">
        <x:v>初回まで（分）</x:v>
      </x:c>
      <x:c r="O6" s="18" t="str">
        <x:v>保有（分）</x:v>
      </x:c>
    </x:row>
    <x:row r="7" ht="22" customHeight="1">
      <x:c r="A7" s="2" t="str">
        <x:v>M1</x:v>
      </x:c>
      <x:c r="B7" s="24" t="d">
        <x:v>2026-09-21T08:45:00.000Z</x:v>
      </x:c>
      <x:c r="C7" s="2" t="str">
        <x:v>デイ</x:v>
      </x:c>
      <x:c r="D7" s="20" t="n">
        <x:v>0</x:v>
      </x:c>
      <x:c r="E7" s="20" t="n">
        <x:v>20418</x:v>
      </x:c>
      <x:c r="F7" s="20" t="n">
        <x:f>D7-E7</x:f>
        <x:v>-20418</x:v>
      </x:c>
      <x:c r="G7" s="20" t="n">
        <x:f>SUMIFS($F$7:$F$56,$A$7:$A$56,A7,$B$7:$B$56,"&lt;="&amp;B7)</x:f>
        <x:v>-20418</x:v>
      </x:c>
      <x:c r="H7" s="20" t="n">
        <x:v>418</x:v>
      </x:c>
      <x:c r="I7" s="20" t="n">
        <x:v>-20000</x:v>
      </x:c>
      <x:c r="J7" s="27" t="n">
        <x:v>1</x:v>
      </x:c>
      <x:c r="K7" s="27" t="n">
        <x:v>5</x:v>
      </x:c>
      <x:c r="L7" s="27" t="n">
        <x:v>5</x:v>
      </x:c>
      <x:c r="M7" s="29" t="str">
        <x:v>対照47場</x:v>
      </x:c>
      <x:c r="N7" s="28" t="n">
        <x:v>363.18333333333334</x:v>
      </x:c>
      <x:c r="O7" s="28" t="n">
        <x:v>9.033333333333333</x:v>
      </x:c>
    </x:row>
    <x:row r="8" ht="22" customHeight="1">
      <x:c r="A8" s="2" t="str">
        <x:v>M1</x:v>
      </x:c>
      <x:c r="B8" s="24" t="d">
        <x:v>2026-09-21T17:00:00.000Z</x:v>
      </x:c>
      <x:c r="C8" s="2" t="str">
        <x:v>ナイト</x:v>
      </x:c>
      <x:c r="D8" s="20" t="n">
        <x:v>7082</x:v>
      </x:c>
      <x:c r="E8" s="20" t="n">
        <x:v>0</x:v>
      </x:c>
      <x:c r="F8" s="20" t="n">
        <x:f>D8-E8</x:f>
        <x:v>7082</x:v>
      </x:c>
      <x:c r="G8" s="20" t="n">
        <x:f>SUMIFS($F$7:$F$56,$A$7:$A$56,A8,$B$7:$B$56,"&lt;="&amp;B8)</x:f>
        <x:v>-13336</x:v>
      </x:c>
      <x:c r="H8" s="20" t="n">
        <x:v>418</x:v>
      </x:c>
      <x:c r="I8" s="20" t="n">
        <x:v>7500</x:v>
      </x:c>
      <x:c r="J8" s="27" t="n">
        <x:v>1</x:v>
      </x:c>
      <x:c r="K8" s="27" t="n">
        <x:v>5</x:v>
      </x:c>
      <x:c r="L8" s="27" t="n">
        <x:v>5</x:v>
      </x:c>
      <x:c r="M8" s="29" t="str">
        <x:v>対照47場</x:v>
      </x:c>
      <x:c r="N8" s="28" t="n">
        <x:v>385.95</x:v>
      </x:c>
      <x:c r="O8" s="28" t="n">
        <x:v>8.5</x:v>
      </x:c>
    </x:row>
    <x:row r="9" ht="22" customHeight="1">
      <x:c r="A9" s="2" t="str">
        <x:v>M1</x:v>
      </x:c>
      <x:c r="B9" s="24" t="d">
        <x:v>2026-09-22T08:45:00.000Z</x:v>
      </x:c>
      <x:c r="C9" s="2" t="str">
        <x:v>デイ</x:v>
      </x:c>
      <x:c r="D9" s="20" t="n">
        <x:v>20584</x:v>
      </x:c>
      <x:c r="E9" s="20" t="n">
        <x:v>20418</x:v>
      </x:c>
      <x:c r="F9" s="20" t="n">
        <x:f>D9-E9</x:f>
        <x:v>166</x:v>
      </x:c>
      <x:c r="G9" s="20" t="n">
        <x:f>SUMIFS($F$7:$F$56,$A$7:$A$56,A9,$B$7:$B$56,"&lt;="&amp;B9)</x:f>
        <x:v>-13170</x:v>
      </x:c>
      <x:c r="H9" s="20" t="n">
        <x:v>834</x:v>
      </x:c>
      <x:c r="I9" s="20" t="n">
        <x:v>1000</x:v>
      </x:c>
      <x:c r="J9" s="27" t="n">
        <x:v>2</x:v>
      </x:c>
      <x:c r="K9" s="27" t="n">
        <x:v>10</x:v>
      </x:c>
      <x:c r="L9" s="27" t="n">
        <x:v>5</x:v>
      </x:c>
      <x:c r="M9" s="29" t="str">
        <x:v>対照47場</x:v>
      </x:c>
      <x:c r="N9" s="28" t="n">
        <x:v>100.41666666666667</x:v>
      </x:c>
      <x:c r="O9" s="28" t="n">
        <x:v>18.416666666666668</x:v>
      </x:c>
    </x:row>
    <x:row r="10" ht="22" customHeight="1">
      <x:c r="A10" s="2" t="str">
        <x:v>M1</x:v>
      </x:c>
      <x:c r="B10" s="24" t="d">
        <x:v>2026-09-22T17:00:00.000Z</x:v>
      </x:c>
      <x:c r="C10" s="2" t="str">
        <x:v>ナイト</x:v>
      </x:c>
      <x:c r="D10" s="20" t="n">
        <x:v>13834</x:v>
      </x:c>
      <x:c r="E10" s="20" t="n">
        <x:v>53754</x:v>
      </x:c>
      <x:c r="F10" s="20" t="n">
        <x:f>D10-E10</x:f>
        <x:v>-39920</x:v>
      </x:c>
      <x:c r="G10" s="20" t="n">
        <x:f>SUMIFS($F$7:$F$56,$A$7:$A$56,A10,$B$7:$B$56,"&lt;="&amp;B10)</x:f>
        <x:v>-53090</x:v>
      </x:c>
      <x:c r="H10" s="20" t="n">
        <x:v>1420</x:v>
      </x:c>
      <x:c r="I10" s="20" t="n">
        <x:v>-38500</x:v>
      </x:c>
      <x:c r="J10" s="27" t="n">
        <x:v>4</x:v>
      </x:c>
      <x:c r="K10" s="27" t="n">
        <x:v>17</x:v>
      </x:c>
      <x:c r="L10" s="27" t="n">
        <x:v>5</x:v>
      </x:c>
      <x:c r="M10" s="29" t="str">
        <x:v>対照47場</x:v>
      </x:c>
      <x:c r="N10" s="28" t="n">
        <x:v>43.68333333333333</x:v>
      </x:c>
      <x:c r="O10" s="28" t="n">
        <x:v>50.81666666666667</x:v>
      </x:c>
    </x:row>
    <x:row r="11" ht="22" customHeight="1">
      <x:c r="A11" s="2" t="str">
        <x:v>M1</x:v>
      </x:c>
      <x:c r="B11" s="24" t="d">
        <x:v>2026-09-23T08:45:00.000Z</x:v>
      </x:c>
      <x:c r="C11" s="2" t="str">
        <x:v>デイ</x:v>
      </x:c>
      <x:c r="D11" s="20" t="n">
        <x:v>77584</x:v>
      </x:c>
      <x:c r="E11" s="20" t="n">
        <x:v>0</x:v>
      </x:c>
      <x:c r="F11" s="20" t="n">
        <x:f>D11-E11</x:f>
        <x:v>77584</x:v>
      </x:c>
      <x:c r="G11" s="20" t="n">
        <x:f>SUMIFS($F$7:$F$56,$A$7:$A$56,A11,$B$7:$B$56,"&lt;="&amp;B11)</x:f>
        <x:v>24494</x:v>
      </x:c>
      <x:c r="H11" s="20" t="n">
        <x:v>416</x:v>
      </x:c>
      <x:c r="I11" s="20" t="n">
        <x:v>78000</x:v>
      </x:c>
      <x:c r="J11" s="27" t="n">
        <x:v>1</x:v>
      </x:c>
      <x:c r="K11" s="27" t="n">
        <x:v>5</x:v>
      </x:c>
      <x:c r="L11" s="27" t="n">
        <x:v>5</x:v>
      </x:c>
      <x:c r="M11" s="29" t="str">
        <x:v>対照47場</x:v>
      </x:c>
      <x:c r="N11" s="28" t="n">
        <x:v>68.45</x:v>
      </x:c>
      <x:c r="O11" s="28" t="n">
        <x:v>158.21666666666667</x:v>
      </x:c>
    </x:row>
    <x:row r="12" ht="22" customHeight="1">
      <x:c r="A12" s="2" t="str">
        <x:v>M1</x:v>
      </x:c>
      <x:c r="B12" s="24" t="d">
        <x:v>2026-09-23T17:00:00.000Z</x:v>
      </x:c>
      <x:c r="C12" s="2" t="str">
        <x:v>ナイト</x:v>
      </x:c>
      <x:c r="D12" s="20" t="n">
        <x:v>29164</x:v>
      </x:c>
      <x:c r="E12" s="20" t="n">
        <x:v>0</x:v>
      </x:c>
      <x:c r="F12" s="20" t="n">
        <x:f>D12-E12</x:f>
        <x:v>29164</x:v>
      </x:c>
      <x:c r="G12" s="20" t="n">
        <x:f>SUMIFS($F$7:$F$56,$A$7:$A$56,A12,$B$7:$B$56,"&lt;="&amp;B12)</x:f>
        <x:v>53658</x:v>
      </x:c>
      <x:c r="H12" s="20" t="n">
        <x:v>836</x:v>
      </x:c>
      <x:c r="I12" s="20" t="n">
        <x:v>30000</x:v>
      </x:c>
      <x:c r="J12" s="27" t="n">
        <x:v>2</x:v>
      </x:c>
      <x:c r="K12" s="27" t="n">
        <x:v>10</x:v>
      </x:c>
      <x:c r="L12" s="27" t="n">
        <x:v>5</x:v>
      </x:c>
      <x:c r="M12" s="29" t="str">
        <x:v>対照47場</x:v>
      </x:c>
      <x:c r="N12" s="28" t="n">
        <x:v>450.01666666666665</x:v>
      </x:c>
      <x:c r="O12" s="28" t="n">
        <x:v>52.3</x:v>
      </x:c>
    </x:row>
    <x:row r="13" ht="22" customHeight="1">
      <x:c r="A13" s="2" t="str">
        <x:v>M1</x:v>
      </x:c>
      <x:c r="B13" s="24" t="d">
        <x:v>2026-09-24T08:45:00.000Z</x:v>
      </x:c>
      <x:c r="C13" s="2" t="str">
        <x:v>デイ</x:v>
      </x:c>
      <x:c r="D13" s="20" t="n">
        <x:v>83417</x:v>
      </x:c>
      <x:c r="E13" s="20" t="n">
        <x:v>166</x:v>
      </x:c>
      <x:c r="F13" s="20" t="n">
        <x:f>D13-E13</x:f>
        <x:v>83251</x:v>
      </x:c>
      <x:c r="G13" s="20" t="n">
        <x:f>SUMIFS($F$7:$F$56,$A$7:$A$56,A13,$B$7:$B$56,"&lt;="&amp;B13)</x:f>
        <x:v>136909</x:v>
      </x:c>
      <x:c r="H13" s="20" t="n">
        <x:v>749</x:v>
      </x:c>
      <x:c r="I13" s="20" t="n">
        <x:v>84000</x:v>
      </x:c>
      <x:c r="J13" s="27" t="n">
        <x:v>3</x:v>
      </x:c>
      <x:c r="K13" s="27" t="n">
        <x:v>9</x:v>
      </x:c>
      <x:c r="L13" s="27" t="n">
        <x:v>5</x:v>
      </x:c>
      <x:c r="M13" s="29" t="str">
        <x:v>対照47場</x:v>
      </x:c>
      <x:c r="N13" s="28" t="n">
        <x:v>55.5</x:v>
      </x:c>
      <x:c r="O13" s="28" t="n">
        <x:v>309.56666666666666</x:v>
      </x:c>
    </x:row>
    <x:row r="14" ht="22" customHeight="1">
      <x:c r="A14" s="2" t="str">
        <x:v>M1</x:v>
      </x:c>
      <x:c r="B14" s="24" t="d">
        <x:v>2026-09-24T17:00:00.000Z</x:v>
      </x:c>
      <x:c r="C14" s="2" t="str">
        <x:v>ナイト</x:v>
      </x:c>
      <x:c r="D14" s="20" t="n">
        <x:v>32082</x:v>
      </x:c>
      <x:c r="E14" s="20" t="n">
        <x:v>0</x:v>
      </x:c>
      <x:c r="F14" s="20" t="n">
        <x:f>D14-E14</x:f>
        <x:v>32082</x:v>
      </x:c>
      <x:c r="G14" s="20" t="n">
        <x:f>SUMIFS($F$7:$F$56,$A$7:$A$56,A14,$B$7:$B$56,"&lt;="&amp;B14)</x:f>
        <x:v>168991</x:v>
      </x:c>
      <x:c r="H14" s="20" t="n">
        <x:v>418</x:v>
      </x:c>
      <x:c r="I14" s="20" t="n">
        <x:v>32500</x:v>
      </x:c>
      <x:c r="J14" s="27" t="n">
        <x:v>1</x:v>
      </x:c>
      <x:c r="K14" s="27" t="n">
        <x:v>5</x:v>
      </x:c>
      <x:c r="L14" s="27" t="n">
        <x:v>5</x:v>
      </x:c>
      <x:c r="M14" s="29" t="str">
        <x:v>対照47場</x:v>
      </x:c>
      <x:c r="N14" s="28" t="n">
        <x:v>417.46666666666664</x:v>
      </x:c>
      <x:c r="O14" s="28" t="n">
        <x:v>40.983333333333334</x:v>
      </x:c>
    </x:row>
    <x:row r="15" ht="22" customHeight="1">
      <x:c r="A15" s="2" t="str">
        <x:v>M1</x:v>
      </x:c>
      <x:c r="B15" s="24" t="d">
        <x:v>2026-09-25T08:45:00.000Z</x:v>
      </x:c>
      <x:c r="C15" s="2" t="str">
        <x:v>デイ</x:v>
      </x:c>
      <x:c r="D15" s="20" t="n">
        <x:v>80583</x:v>
      </x:c>
      <x:c r="E15" s="20" t="n">
        <x:v>0</x:v>
      </x:c>
      <x:c r="F15" s="20" t="n">
        <x:f>D15-E15</x:f>
        <x:v>80583</x:v>
      </x:c>
      <x:c r="G15" s="20" t="n">
        <x:f>SUMIFS($F$7:$F$56,$A$7:$A$56,A15,$B$7:$B$56,"&lt;="&amp;B15)</x:f>
        <x:v>249574</x:v>
      </x:c>
      <x:c r="H15" s="20" t="n">
        <x:v>417</x:v>
      </x:c>
      <x:c r="I15" s="20" t="n">
        <x:v>81000</x:v>
      </x:c>
      <x:c r="J15" s="27" t="n">
        <x:v>1</x:v>
      </x:c>
      <x:c r="K15" s="27" t="n">
        <x:v>5</x:v>
      </x:c>
      <x:c r="L15" s="27" t="n">
        <x:v>5</x:v>
      </x:c>
      <x:c r="M15" s="29" t="str">
        <x:v>対照47場</x:v>
      </x:c>
      <x:c r="N15" s="28" t="n">
        <x:v>86.21666666666667</x:v>
      </x:c>
      <x:c r="O15" s="28" t="n">
        <x:v>323.8</x:v>
      </x:c>
    </x:row>
    <x:row r="16" ht="22" customHeight="1">
      <x:c r="A16" s="2" t="str">
        <x:v>M1</x:v>
      </x:c>
      <x:c r="B16" s="24" t="d">
        <x:v>2026-09-25T17:00:00.000Z</x:v>
      </x:c>
      <x:c r="C16" s="2" t="str">
        <x:v>ナイト</x:v>
      </x:c>
      <x:c r="D16" s="20" t="n">
        <x:v>24582</x:v>
      </x:c>
      <x:c r="E16" s="20" t="n">
        <x:v>20418</x:v>
      </x:c>
      <x:c r="F16" s="20" t="n">
        <x:f>D16-E16</x:f>
        <x:v>4164</x:v>
      </x:c>
      <x:c r="G16" s="20" t="n">
        <x:f>SUMIFS($F$7:$F$56,$A$7:$A$56,A16,$B$7:$B$56,"&lt;="&amp;B16)</x:f>
        <x:v>253738</x:v>
      </x:c>
      <x:c r="H16" s="20" t="n">
        <x:v>836</x:v>
      </x:c>
      <x:c r="I16" s="20" t="n">
        <x:v>5000</x:v>
      </x:c>
      <x:c r="J16" s="27" t="n">
        <x:v>2</x:v>
      </x:c>
      <x:c r="K16" s="27" t="n">
        <x:v>10</x:v>
      </x:c>
      <x:c r="L16" s="27" t="n">
        <x:v>5</x:v>
      </x:c>
      <x:c r="M16" s="29" t="str">
        <x:v>対照47場</x:v>
      </x:c>
      <x:c r="N16" s="28" t="n">
        <x:v>450</x:v>
      </x:c>
      <x:c r="O16" s="28" t="n">
        <x:v>8.316666666666666</x:v>
      </x:c>
    </x:row>
    <x:row r="17" ht="22" customHeight="1">
      <x:c r="A17" s="2" t="str">
        <x:v>M1</x:v>
      </x:c>
      <x:c r="B17" s="24" t="d">
        <x:v>2026-09-28T08:45:00.000Z</x:v>
      </x:c>
      <x:c r="C17" s="2" t="str">
        <x:v>デイ</x:v>
      </x:c>
      <x:c r="D17" s="20" t="n">
        <x:v>144917</x:v>
      </x:c>
      <x:c r="E17" s="20" t="n">
        <x:v>6166</x:v>
      </x:c>
      <x:c r="F17" s="20" t="n">
        <x:f>D17-E17</x:f>
        <x:v>138751</x:v>
      </x:c>
      <x:c r="G17" s="20" t="n">
        <x:f>SUMIFS($F$7:$F$56,$A$7:$A$56,A17,$B$7:$B$56,"&lt;="&amp;B17)</x:f>
        <x:v>392489</x:v>
      </x:c>
      <x:c r="H17" s="20" t="n">
        <x:v>749</x:v>
      </x:c>
      <x:c r="I17" s="20" t="n">
        <x:v>139500</x:v>
      </x:c>
      <x:c r="J17" s="27" t="n">
        <x:v>3</x:v>
      </x:c>
      <x:c r="K17" s="27" t="n">
        <x:v>9</x:v>
      </x:c>
      <x:c r="L17" s="27" t="n">
        <x:v>5</x:v>
      </x:c>
      <x:c r="M17" s="29" t="str">
        <x:v>対照47場</x:v>
      </x:c>
      <x:c r="N17" s="28" t="n">
        <x:v>48.45</x:v>
      </x:c>
      <x:c r="O17" s="28" t="n">
        <x:v>340.1333333333333</x:v>
      </x:c>
    </x:row>
    <x:row r="18" ht="22" customHeight="1">
      <x:c r="A18" s="2" t="str">
        <x:v>M1</x:v>
      </x:c>
      <x:c r="B18" s="24" t="d">
        <x:v>2026-09-28T17:00:00.000Z</x:v>
      </x:c>
      <x:c r="C18" s="2" t="str">
        <x:v>ナイト</x:v>
      </x:c>
      <x:c r="D18" s="20" t="n">
        <x:v>24582</x:v>
      </x:c>
      <x:c r="E18" s="20" t="n">
        <x:v>14831</x:v>
      </x:c>
      <x:c r="F18" s="20" t="n">
        <x:f>D18-E18</x:f>
        <x:v>9751</x:v>
      </x:c>
      <x:c r="G18" s="20" t="n">
        <x:f>SUMIFS($F$7:$F$56,$A$7:$A$56,A18,$B$7:$B$56,"&lt;="&amp;B18)</x:f>
        <x:v>402240</x:v>
      </x:c>
      <x:c r="H18" s="20" t="n">
        <x:v>749</x:v>
      </x:c>
      <x:c r="I18" s="20" t="n">
        <x:v>10500</x:v>
      </x:c>
      <x:c r="J18" s="27" t="n">
        <x:v>3</x:v>
      </x:c>
      <x:c r="K18" s="27" t="n">
        <x:v>9</x:v>
      </x:c>
      <x:c r="L18" s="27" t="n">
        <x:v>5</x:v>
      </x:c>
      <x:c r="M18" s="29" t="str">
        <x:v>対照47場</x:v>
      </x:c>
      <x:c r="N18" s="28" t="n">
        <x:v>351.8333333333333</x:v>
      </x:c>
      <x:c r="O18" s="28" t="n">
        <x:v>16.516666666666666</x:v>
      </x:c>
    </x:row>
    <x:row r="19" ht="22" customHeight="1">
      <x:c r="A19" s="2" t="str">
        <x:v>M1</x:v>
      </x:c>
      <x:c r="B19" s="24" t="d">
        <x:v>2026-09-29T08:45:00.000Z</x:v>
      </x:c>
      <x:c r="C19" s="2" t="str">
        <x:v>デイ</x:v>
      </x:c>
      <x:c r="D19" s="20" t="n">
        <x:v>12583</x:v>
      </x:c>
      <x:c r="E19" s="20" t="n">
        <x:v>0</x:v>
      </x:c>
      <x:c r="F19" s="20" t="n">
        <x:f>D19-E19</x:f>
        <x:v>12583</x:v>
      </x:c>
      <x:c r="G19" s="20" t="n">
        <x:f>SUMIFS($F$7:$F$56,$A$7:$A$56,A19,$B$7:$B$56,"&lt;="&amp;B19)</x:f>
        <x:v>414823</x:v>
      </x:c>
      <x:c r="H19" s="20" t="n">
        <x:v>417</x:v>
      </x:c>
      <x:c r="I19" s="20" t="n">
        <x:v>13000</x:v>
      </x:c>
      <x:c r="J19" s="27" t="n">
        <x:v>1</x:v>
      </x:c>
      <x:c r="K19" s="27" t="n">
        <x:v>5</x:v>
      </x:c>
      <x:c r="L19" s="27" t="n">
        <x:v>5</x:v>
      </x:c>
      <x:c r="M19" s="29" t="str">
        <x:v>対照47場</x:v>
      </x:c>
      <x:c r="N19" s="28" t="n">
        <x:v>70.43333333333334</x:v>
      </x:c>
      <x:c r="O19" s="28" t="n">
        <x:v>334.48333333333335</x:v>
      </x:c>
    </x:row>
    <x:row r="20" ht="22" customHeight="1">
      <x:c r="A20" s="2" t="str">
        <x:v>M1</x:v>
      </x:c>
      <x:c r="B20" s="24" t="d">
        <x:v>2026-09-29T17:00:00.000Z</x:v>
      </x:c>
      <x:c r="C20" s="2" t="str">
        <x:v>ナイト</x:v>
      </x:c>
      <x:c r="D20" s="20" t="n">
        <x:v>18834</x:v>
      </x:c>
      <x:c r="E20" s="20" t="n">
        <x:v>0</x:v>
      </x:c>
      <x:c r="F20" s="20" t="n">
        <x:f>D20-E20</x:f>
        <x:v>18834</x:v>
      </x:c>
      <x:c r="G20" s="20" t="n">
        <x:f>SUMIFS($F$7:$F$56,$A$7:$A$56,A20,$B$7:$B$56,"&lt;="&amp;B20)</x:f>
        <x:v>433657</x:v>
      </x:c>
      <x:c r="H20" s="20" t="n">
        <x:v>166</x:v>
      </x:c>
      <x:c r="I20" s="20" t="n">
        <x:v>19000</x:v>
      </x:c>
      <x:c r="J20" s="27" t="n">
        <x:v>1</x:v>
      </x:c>
      <x:c r="K20" s="27" t="n">
        <x:v>2</x:v>
      </x:c>
      <x:c r="L20" s="27" t="n">
        <x:v>2</x:v>
      </x:c>
      <x:c r="M20" s="29" t="str">
        <x:v>対照47場</x:v>
      </x:c>
      <x:c r="N20" s="28" t="n">
        <x:v>416.1</x:v>
      </x:c>
      <x:c r="O20" s="28" t="n">
        <x:v>18.866666666666667</x:v>
      </x:c>
    </x:row>
    <x:row r="21" ht="22" customHeight="1">
      <x:c r="A21" s="2" t="str">
        <x:v>M1</x:v>
      </x:c>
      <x:c r="B21" s="24" t="d">
        <x:v>2026-09-30T08:45:00.000Z</x:v>
      </x:c>
      <x:c r="C21" s="2" t="str">
        <x:v>デイ</x:v>
      </x:c>
      <x:c r="D21" s="20" t="n">
        <x:v>79083</x:v>
      </x:c>
      <x:c r="E21" s="20" t="n">
        <x:v>81168</x:v>
      </x:c>
      <x:c r="F21" s="20" t="n">
        <x:f>D21-E21</x:f>
        <x:v>-2085</x:v>
      </x:c>
      <x:c r="G21" s="20" t="n">
        <x:f>SUMIFS($F$7:$F$56,$A$7:$A$56,A21,$B$7:$B$56,"&lt;="&amp;B21)</x:f>
        <x:v>431572</x:v>
      </x:c>
      <x:c r="H21" s="20" t="n">
        <x:v>1585</x:v>
      </x:c>
      <x:c r="I21" s="20" t="n">
        <x:v>-500</x:v>
      </x:c>
      <x:c r="J21" s="27" t="n">
        <x:v>5</x:v>
      </x:c>
      <x:c r="K21" s="27" t="n">
        <x:v>19</x:v>
      </x:c>
      <x:c r="L21" s="27" t="n">
        <x:v>5</x:v>
      </x:c>
      <x:c r="M21" s="29" t="str">
        <x:v>対照47場</x:v>
      </x:c>
      <x:c r="N21" s="28" t="n">
        <x:v>70.08333333333333</x:v>
      </x:c>
      <x:c r="O21" s="28" t="n">
        <x:v>143.15</x:v>
      </x:c>
    </x:row>
    <x:row r="22" ht="22" customHeight="1">
      <x:c r="A22" s="2" t="str">
        <x:v>M1</x:v>
      </x:c>
      <x:c r="B22" s="24" t="d">
        <x:v>2026-09-30T17:00:00.000Z</x:v>
      </x:c>
      <x:c r="C22" s="2" t="str">
        <x:v>ナイト</x:v>
      </x:c>
      <x:c r="D22" s="20" t="n">
        <x:v>21664</x:v>
      </x:c>
      <x:c r="E22" s="20" t="n">
        <x:v>15418</x:v>
      </x:c>
      <x:c r="F22" s="20" t="n">
        <x:f>D22-E22</x:f>
        <x:v>6246</x:v>
      </x:c>
      <x:c r="G22" s="20" t="n">
        <x:f>SUMIFS($F$7:$F$56,$A$7:$A$56,A22,$B$7:$B$56,"&lt;="&amp;B22)</x:f>
        <x:v>437818</x:v>
      </x:c>
      <x:c r="H22" s="20" t="n">
        <x:v>1254</x:v>
      </x:c>
      <x:c r="I22" s="20" t="n">
        <x:v>7500</x:v>
      </x:c>
      <x:c r="J22" s="27" t="n">
        <x:v>3</x:v>
      </x:c>
      <x:c r="K22" s="27" t="n">
        <x:v>15</x:v>
      </x:c>
      <x:c r="L22" s="27" t="n">
        <x:v>5</x:v>
      </x:c>
      <x:c r="M22" s="29" t="str">
        <x:v>対照47場</x:v>
      </x:c>
      <x:c r="N22" s="28" t="n">
        <x:v>368.18333333333334</x:v>
      </x:c>
      <x:c r="O22" s="28" t="n">
        <x:v>56.5</x:v>
      </x:c>
    </x:row>
    <x:row r="23" ht="22" customHeight="1">
      <x:c r="A23" s="2" t="str">
        <x:v>M1</x:v>
      </x:c>
      <x:c r="B23" s="24" t="d">
        <x:v>2026-10-01T08:45:00.000Z</x:v>
      </x:c>
      <x:c r="C23" s="2" t="str">
        <x:v>デイ</x:v>
      </x:c>
      <x:c r="D23" s="20" t="n">
        <x:v>94084</x:v>
      </x:c>
      <x:c r="E23" s="20" t="n">
        <x:v>13332</x:v>
      </x:c>
      <x:c r="F23" s="20" t="n">
        <x:f>D23-E23</x:f>
        <x:v>80752</x:v>
      </x:c>
      <x:c r="G23" s="20" t="n">
        <x:f>SUMIFS($F$7:$F$56,$A$7:$A$56,A23,$B$7:$B$56,"&lt;="&amp;B23)</x:f>
        <x:v>518570</x:v>
      </x:c>
      <x:c r="H23" s="20" t="n">
        <x:v>748</x:v>
      </x:c>
      <x:c r="I23" s="20" t="n">
        <x:v>81500</x:v>
      </x:c>
      <x:c r="J23" s="27" t="n">
        <x:v>3</x:v>
      </x:c>
      <x:c r="K23" s="27" t="n">
        <x:v>9</x:v>
      </x:c>
      <x:c r="L23" s="27" t="n">
        <x:v>5</x:v>
      </x:c>
      <x:c r="M23" s="29" t="str">
        <x:v>対照47場</x:v>
      </x:c>
      <x:c r="N23" s="28" t="n">
        <x:v>87.7</x:v>
      </x:c>
      <x:c r="O23" s="28" t="n">
        <x:v>218.9</x:v>
      </x:c>
    </x:row>
    <x:row r="24" ht="22" customHeight="1">
      <x:c r="A24" s="2" t="str">
        <x:v>M1</x:v>
      </x:c>
      <x:c r="B24" s="24" t="d">
        <x:v>2026-10-01T17:00:00.000Z</x:v>
      </x:c>
      <x:c r="C24" s="2" t="str">
        <x:v>ナイト</x:v>
      </x:c>
      <x:c r="D24" s="20" t="n">
        <x:v>69080</x:v>
      </x:c>
      <x:c r="E24" s="20" t="n">
        <x:v>45836</x:v>
      </x:c>
      <x:c r="F24" s="20" t="n">
        <x:f>D24-E24</x:f>
        <x:v>23244</x:v>
      </x:c>
      <x:c r="G24" s="20" t="n">
        <x:f>SUMIFS($F$7:$F$56,$A$7:$A$56,A24,$B$7:$B$56,"&lt;="&amp;B24)</x:f>
        <x:v>541814</x:v>
      </x:c>
      <x:c r="H24" s="20" t="n">
        <x:v>2256</x:v>
      </x:c>
      <x:c r="I24" s="20" t="n">
        <x:v>25500</x:v>
      </x:c>
      <x:c r="J24" s="27" t="n">
        <x:v>6</x:v>
      </x:c>
      <x:c r="K24" s="27" t="n">
        <x:v>27</x:v>
      </x:c>
      <x:c r="L24" s="27" t="n">
        <x:v>5</x:v>
      </x:c>
      <x:c r="M24" s="29" t="str">
        <x:v>対照47場</x:v>
      </x:c>
      <x:c r="N24" s="28" t="n">
        <x:v>127.45</x:v>
      </x:c>
      <x:c r="O24" s="28" t="n">
        <x:v>105.16666666666667</x:v>
      </x:c>
    </x:row>
    <x:row r="25" ht="22" customHeight="1">
      <x:c r="A25" s="2" t="str">
        <x:v>M1</x:v>
      </x:c>
      <x:c r="B25" s="24" t="d">
        <x:v>2026-10-02T08:45:00.000Z</x:v>
      </x:c>
      <x:c r="C25" s="2" t="str">
        <x:v>デイ</x:v>
      </x:c>
      <x:c r="D25" s="20" t="n">
        <x:v>15502</x:v>
      </x:c>
      <x:c r="E25" s="20" t="n">
        <x:v>30416</x:v>
      </x:c>
      <x:c r="F25" s="20" t="n">
        <x:f>D25-E25</x:f>
        <x:v>-14914</x:v>
      </x:c>
      <x:c r="G25" s="20" t="n">
        <x:f>SUMIFS($F$7:$F$56,$A$7:$A$56,A25,$B$7:$B$56,"&lt;="&amp;B25)</x:f>
        <x:v>526900</x:v>
      </x:c>
      <x:c r="H25" s="20" t="n">
        <x:v>1414</x:v>
      </x:c>
      <x:c r="I25" s="20" t="n">
        <x:v>-13500</x:v>
      </x:c>
      <x:c r="J25" s="27" t="n">
        <x:v>7</x:v>
      </x:c>
      <x:c r="K25" s="27" t="n">
        <x:v>17</x:v>
      </x:c>
      <x:c r="L25" s="27" t="n">
        <x:v>5</x:v>
      </x:c>
      <x:c r="M25" s="29" t="str">
        <x:v>対照47場</x:v>
      </x:c>
      <x:c r="N25" s="28" t="n">
        <x:v>68.03333333333333</x:v>
      </x:c>
      <x:c r="O25" s="28" t="n">
        <x:v>218.68333333333334</x:v>
      </x:c>
    </x:row>
    <x:row r="26" ht="22" customHeight="1">
      <x:c r="A26" s="2" t="str">
        <x:v>M1</x:v>
      </x:c>
      <x:c r="B26" s="24" t="d">
        <x:v>2026-10-02T17:00:00.000Z</x:v>
      </x:c>
      <x:c r="C26" s="2" t="str">
        <x:v>ナイト</x:v>
      </x:c>
      <x:c r="D26" s="20" t="n">
        <x:v>97082</x:v>
      </x:c>
      <x:c r="E26" s="20" t="n">
        <x:v>66167</x:v>
      </x:c>
      <x:c r="F26" s="20" t="n">
        <x:f>D26-E26</x:f>
        <x:v>30915</x:v>
      </x:c>
      <x:c r="G26" s="20" t="n">
        <x:f>SUMIFS($F$7:$F$56,$A$7:$A$56,A26,$B$7:$B$56,"&lt;="&amp;B26)</x:f>
        <x:v>557815</x:v>
      </x:c>
      <x:c r="H26" s="20" t="n">
        <x:v>1585</x:v>
      </x:c>
      <x:c r="I26" s="20" t="n">
        <x:v>32500</x:v>
      </x:c>
      <x:c r="J26" s="27" t="n">
        <x:v>5</x:v>
      </x:c>
      <x:c r="K26" s="27" t="n">
        <x:v>19</x:v>
      </x:c>
      <x:c r="L26" s="27" t="n">
        <x:v>5</x:v>
      </x:c>
      <x:c r="M26" s="29" t="str">
        <x:v>対照47場</x:v>
      </x:c>
      <x:c r="N26" s="28" t="n">
        <x:v>104.26666666666667</x:v>
      </x:c>
      <x:c r="O26" s="28" t="n">
        <x:v>73.05</x:v>
      </x:c>
    </x:row>
    <x:row r="27" ht="22" customHeight="1">
      <x:c r="A27" s="2" t="str">
        <x:v>M1</x:v>
      </x:c>
      <x:c r="B27" s="24" t="d">
        <x:v>2026-10-05T08:45:00.000Z</x:v>
      </x:c>
      <x:c r="C27" s="2" t="str">
        <x:v>デイ</x:v>
      </x:c>
      <x:c r="D27" s="20" t="n">
        <x:v>39251</x:v>
      </x:c>
      <x:c r="E27" s="20" t="n">
        <x:v>93170</x:v>
      </x:c>
      <x:c r="F27" s="20" t="n">
        <x:f>D27-E27</x:f>
        <x:v>-53919</x:v>
      </x:c>
      <x:c r="G27" s="20" t="n">
        <x:f>SUMIFS($F$7:$F$56,$A$7:$A$56,A27,$B$7:$B$56,"&lt;="&amp;B27)</x:f>
        <x:v>503896</x:v>
      </x:c>
      <x:c r="H27" s="20" t="n">
        <x:v>2919</x:v>
      </x:c>
      <x:c r="I27" s="20" t="n">
        <x:v>-51000</x:v>
      </x:c>
      <x:c r="J27" s="27" t="n">
        <x:v>10</x:v>
      </x:c>
      <x:c r="K27" s="27" t="n">
        <x:v>35</x:v>
      </x:c>
      <x:c r="L27" s="27" t="n">
        <x:v>5</x:v>
      </x:c>
      <x:c r="M27" s="29" t="str">
        <x:v>対照47場</x:v>
      </x:c>
      <x:c r="N27" s="28" t="n">
        <x:v>81.33333333333333</x:v>
      </x:c>
      <x:c r="O27" s="28" t="n">
        <x:v>128.53333333333333</x:v>
      </x:c>
    </x:row>
    <x:row r="28" ht="22" customHeight="1">
      <x:c r="A28" s="2" t="str">
        <x:v>M1</x:v>
      </x:c>
      <x:c r="B28" s="24" t="d">
        <x:v>2026-10-05T17:00:00.000Z</x:v>
      </x:c>
      <x:c r="C28" s="2" t="str">
        <x:v>ナイト</x:v>
      </x:c>
      <x:c r="D28" s="20" t="n">
        <x:v>18834</x:v>
      </x:c>
      <x:c r="E28" s="20" t="n">
        <x:v>53754</x:v>
      </x:c>
      <x:c r="F28" s="20" t="n">
        <x:f>D28-E28</x:f>
        <x:v>-34920</x:v>
      </x:c>
      <x:c r="G28" s="20" t="n">
        <x:f>SUMIFS($F$7:$F$56,$A$7:$A$56,A28,$B$7:$B$56,"&lt;="&amp;B28)</x:f>
        <x:v>468976</x:v>
      </x:c>
      <x:c r="H28" s="20" t="n">
        <x:v>1420</x:v>
      </x:c>
      <x:c r="I28" s="20" t="n">
        <x:v>-33500</x:v>
      </x:c>
      <x:c r="J28" s="27" t="n">
        <x:v>4</x:v>
      </x:c>
      <x:c r="K28" s="27" t="n">
        <x:v>17</x:v>
      </x:c>
      <x:c r="L28" s="27" t="n">
        <x:v>5</x:v>
      </x:c>
      <x:c r="M28" s="29" t="str">
        <x:v>対照47場</x:v>
      </x:c>
      <x:c r="N28" s="28" t="n">
        <x:v>49.68333333333333</x:v>
      </x:c>
      <x:c r="O28" s="28" t="n">
        <x:v>234.81666666666666</x:v>
      </x:c>
    </x:row>
    <x:row r="29" ht="22" customHeight="1">
      <x:c r="A29" s="2" t="str">
        <x:v>M1</x:v>
      </x:c>
      <x:c r="B29" s="24" t="d">
        <x:v>2026-10-06T08:45:00.000Z</x:v>
      </x:c>
      <x:c r="C29" s="2" t="str">
        <x:v>デイ</x:v>
      </x:c>
      <x:c r="D29" s="20" t="n">
        <x:v>3668</x:v>
      </x:c>
      <x:c r="E29" s="20" t="n">
        <x:v>42914</x:v>
      </x:c>
      <x:c r="F29" s="20" t="n">
        <x:f>D29-E29</x:f>
        <x:v>-39246</x:v>
      </x:c>
      <x:c r="G29" s="20" t="n">
        <x:f>SUMIFS($F$7:$F$56,$A$7:$A$56,A29,$B$7:$B$56,"&lt;="&amp;B29)</x:f>
        <x:v>429730</x:v>
      </x:c>
      <x:c r="H29" s="20" t="n">
        <x:v>1746</x:v>
      </x:c>
      <x:c r="I29" s="20" t="n">
        <x:v>-37500</x:v>
      </x:c>
      <x:c r="J29" s="27" t="n">
        <x:v>9</x:v>
      </x:c>
      <x:c r="K29" s="27" t="n">
        <x:v>21</x:v>
      </x:c>
      <x:c r="L29" s="27" t="n">
        <x:v>5</x:v>
      </x:c>
      <x:c r="M29" s="29" t="str">
        <x:v>対照47場</x:v>
      </x:c>
      <x:c r="N29" s="28" t="n">
        <x:v>49.166666666666664</x:v>
      </x:c>
      <x:c r="O29" s="28" t="n">
        <x:v>73.38333333333334</x:v>
      </x:c>
    </x:row>
    <x:row r="30" ht="22" customHeight="1">
      <x:c r="A30" s="2" t="str">
        <x:v>M1</x:v>
      </x:c>
      <x:c r="B30" s="24" t="d">
        <x:v>2026-10-06T17:00:00.000Z</x:v>
      </x:c>
      <x:c r="C30" s="2" t="str">
        <x:v>ナイト</x:v>
      </x:c>
      <x:c r="D30" s="20" t="n">
        <x:v>0</x:v>
      </x:c>
      <x:c r="E30" s="20" t="n">
        <x:v>40836</x:v>
      </x:c>
      <x:c r="F30" s="20" t="n">
        <x:f>D30-E30</x:f>
        <x:v>-40836</x:v>
      </x:c>
      <x:c r="G30" s="20" t="n">
        <x:f>SUMIFS($F$7:$F$56,$A$7:$A$56,A30,$B$7:$B$56,"&lt;="&amp;B30)</x:f>
        <x:v>388894</x:v>
      </x:c>
      <x:c r="H30" s="20" t="n">
        <x:v>836</x:v>
      </x:c>
      <x:c r="I30" s="20" t="n">
        <x:v>-40000</x:v>
      </x:c>
      <x:c r="J30" s="27" t="n">
        <x:v>2</x:v>
      </x:c>
      <x:c r="K30" s="27" t="n">
        <x:v>10</x:v>
      </x:c>
      <x:c r="L30" s="27" t="n">
        <x:v>5</x:v>
      </x:c>
      <x:c r="M30" s="29" t="str">
        <x:v>対照47場</x:v>
      </x:c>
      <x:c r="N30" s="28" t="n">
        <x:v>367.5</x:v>
      </x:c>
      <x:c r="O30" s="28" t="n">
        <x:v>23.283333333333335</x:v>
      </x:c>
    </x:row>
    <x:row r="31" ht="22" customHeight="1">
      <x:c r="A31" s="2" t="str">
        <x:v>M1</x:v>
      </x:c>
      <x:c r="B31" s="24" t="d">
        <x:v>2026-10-07T08:45:00.000Z</x:v>
      </x:c>
      <x:c r="C31" s="2" t="str">
        <x:v>デイ</x:v>
      </x:c>
      <x:c r="D31" s="20" t="n">
        <x:v>72917</x:v>
      </x:c>
      <x:c r="E31" s="20" t="n">
        <x:v>2332</x:v>
      </x:c>
      <x:c r="F31" s="20" t="n">
        <x:f>D31-E31</x:f>
        <x:v>70585</x:v>
      </x:c>
      <x:c r="G31" s="20" t="n">
        <x:f>SUMIFS($F$7:$F$56,$A$7:$A$56,A31,$B$7:$B$56,"&lt;="&amp;B31)</x:f>
        <x:v>459479</x:v>
      </x:c>
      <x:c r="H31" s="20" t="n">
        <x:v>915</x:v>
      </x:c>
      <x:c r="I31" s="20" t="n">
        <x:v>71500</x:v>
      </x:c>
      <x:c r="J31" s="27" t="n">
        <x:v>4</x:v>
      </x:c>
      <x:c r="K31" s="27" t="n">
        <x:v>11</x:v>
      </x:c>
      <x:c r="L31" s="27" t="n">
        <x:v>5</x:v>
      </x:c>
      <x:c r="M31" s="29" t="str">
        <x:v>対照47場</x:v>
      </x:c>
      <x:c r="N31" s="28" t="n">
        <x:v>70.5</x:v>
      </x:c>
      <x:c r="O31" s="28" t="n">
        <x:v>109.18333333333334</x:v>
      </x:c>
    </x:row>
    <x:row r="32" ht="22" customHeight="1">
      <x:c r="A32" s="2" t="str">
        <x:v>M1</x:v>
      </x:c>
      <x:c r="B32" s="24" t="d">
        <x:v>2026-10-07T17:00:00.000Z</x:v>
      </x:c>
      <x:c r="C32" s="2" t="str">
        <x:v>ナイト</x:v>
      </x:c>
      <x:c r="D32" s="20" t="n">
        <x:v>20250</x:v>
      </x:c>
      <x:c r="E32" s="20" t="n">
        <x:v>0</x:v>
      </x:c>
      <x:c r="F32" s="20" t="n">
        <x:f>D32-E32</x:f>
        <x:v>20250</x:v>
      </x:c>
      <x:c r="G32" s="20" t="n">
        <x:f>SUMIFS($F$7:$F$56,$A$7:$A$56,A32,$B$7:$B$56,"&lt;="&amp;B32)</x:f>
        <x:v>479729</x:v>
      </x:c>
      <x:c r="H32" s="20" t="n">
        <x:v>750</x:v>
      </x:c>
      <x:c r="I32" s="20" t="n">
        <x:v>21000</x:v>
      </x:c>
      <x:c r="J32" s="27" t="n">
        <x:v>3</x:v>
      </x:c>
      <x:c r="K32" s="27" t="n">
        <x:v>9</x:v>
      </x:c>
      <x:c r="L32" s="27" t="n">
        <x:v>5</x:v>
      </x:c>
      <x:c r="M32" s="29" t="str">
        <x:v>対照47場</x:v>
      </x:c>
      <x:c r="N32" s="28" t="n">
        <x:v>270.65</x:v>
      </x:c>
      <x:c r="O32" s="28" t="n">
        <x:v>41.5</x:v>
      </x:c>
    </x:row>
    <x:row r="33" ht="22" customHeight="1">
      <x:c r="A33" s="2" t="str">
        <x:v>M1</x:v>
      </x:c>
      <x:c r="B33" s="24" t="d">
        <x:v>2026-10-08T08:45:00.000Z</x:v>
      </x:c>
      <x:c r="C33" s="2" t="str">
        <x:v>デイ</x:v>
      </x:c>
      <x:c r="D33" s="20" t="n">
        <x:v>94669</x:v>
      </x:c>
      <x:c r="E33" s="20" t="n">
        <x:v>22584</x:v>
      </x:c>
      <x:c r="F33" s="20" t="n">
        <x:f>D33-E33</x:f>
        <x:v>72085</x:v>
      </x:c>
      <x:c r="G33" s="20" t="n">
        <x:f>SUMIFS($F$7:$F$56,$A$7:$A$56,A33,$B$7:$B$56,"&lt;="&amp;B33)</x:f>
        <x:v>551814</x:v>
      </x:c>
      <x:c r="H33" s="20" t="n">
        <x:v>1915</x:v>
      </x:c>
      <x:c r="I33" s="20" t="n">
        <x:v>74000</x:v>
      </x:c>
      <x:c r="J33" s="27" t="n">
        <x:v>7</x:v>
      </x:c>
      <x:c r="K33" s="27" t="n">
        <x:v>23</x:v>
      </x:c>
      <x:c r="L33" s="27" t="n">
        <x:v>5</x:v>
      </x:c>
      <x:c r="M33" s="29" t="str">
        <x:v>対照47場</x:v>
      </x:c>
      <x:c r="N33" s="28" t="n">
        <x:v>68.13333333333334</x:v>
      </x:c>
      <x:c r="O33" s="28" t="n">
        <x:v>105.61666666666666</x:v>
      </x:c>
    </x:row>
    <x:row r="34" ht="22" customHeight="1">
      <x:c r="A34" s="2" t="str">
        <x:v>M1</x:v>
      </x:c>
      <x:c r="B34" s="24" t="d">
        <x:v>2026-10-08T17:00:00.000Z</x:v>
      </x:c>
      <x:c r="C34" s="2" t="str">
        <x:v>ナイト</x:v>
      </x:c>
      <x:c r="D34" s="20" t="n">
        <x:v>59164</x:v>
      </x:c>
      <x:c r="E34" s="20" t="n">
        <x:v>17918</x:v>
      </x:c>
      <x:c r="F34" s="20" t="n">
        <x:f>D34-E34</x:f>
        <x:v>41246</x:v>
      </x:c>
      <x:c r="G34" s="20" t="n">
        <x:f>SUMIFS($F$7:$F$56,$A$7:$A$56,A34,$B$7:$B$56,"&lt;="&amp;B34)</x:f>
        <x:v>593060</x:v>
      </x:c>
      <x:c r="H34" s="20" t="n">
        <x:v>1254</x:v>
      </x:c>
      <x:c r="I34" s="20" t="n">
        <x:v>42500</x:v>
      </x:c>
      <x:c r="J34" s="27" t="n">
        <x:v>3</x:v>
      </x:c>
      <x:c r="K34" s="27" t="n">
        <x:v>15</x:v>
      </x:c>
      <x:c r="L34" s="27" t="n">
        <x:v>5</x:v>
      </x:c>
      <x:c r="M34" s="29" t="str">
        <x:v>対照47場</x:v>
      </x:c>
      <x:c r="N34" s="28" t="n">
        <x:v>413.2</x:v>
      </x:c>
      <x:c r="O34" s="28" t="n">
        <x:v>72.38333333333334</x:v>
      </x:c>
    </x:row>
    <x:row r="35" ht="22" customHeight="1">
      <x:c r="A35" s="2" t="str">
        <x:v>M1</x:v>
      </x:c>
      <x:c r="B35" s="24" t="d">
        <x:v>2026-10-09T08:45:00.000Z</x:v>
      </x:c>
      <x:c r="C35" s="2" t="str">
        <x:v>デイ</x:v>
      </x:c>
      <x:c r="D35" s="20" t="n">
        <x:v>69084</x:v>
      </x:c>
      <x:c r="E35" s="20" t="n">
        <x:v>36584</x:v>
      </x:c>
      <x:c r="F35" s="20" t="n">
        <x:f>D35-E35</x:f>
        <x:v>32500</x:v>
      </x:c>
      <x:c r="G35" s="20" t="n">
        <x:f>SUMIFS($F$7:$F$56,$A$7:$A$56,A35,$B$7:$B$56,"&lt;="&amp;B35)</x:f>
        <x:v>625560</x:v>
      </x:c>
      <x:c r="H35" s="20" t="n">
        <x:v>1000</x:v>
      </x:c>
      <x:c r="I35" s="20" t="n">
        <x:v>33500</x:v>
      </x:c>
      <x:c r="J35" s="27" t="n">
        <x:v>3</x:v>
      </x:c>
      <x:c r="K35" s="27" t="n">
        <x:v>12</x:v>
      </x:c>
      <x:c r="L35" s="27" t="n">
        <x:v>5</x:v>
      </x:c>
      <x:c r="M35" s="29" t="str">
        <x:v>対照47場</x:v>
      </x:c>
      <x:c r="N35" s="28" t="n">
        <x:v>85.61666666666666</x:v>
      </x:c>
      <x:c r="O35" s="28" t="n">
        <x:v>296.76666666666665</x:v>
      </x:c>
    </x:row>
    <x:row r="36" ht="22" customHeight="1">
      <x:c r="A36" s="2" t="str">
        <x:v>M1</x:v>
      </x:c>
      <x:c r="B36" s="24" t="d">
        <x:v>2026-10-09T17:00:00.000Z</x:v>
      </x:c>
      <x:c r="C36" s="2" t="str">
        <x:v>ナイト</x:v>
      </x:c>
      <x:c r="D36" s="20" t="n">
        <x:v>14582</x:v>
      </x:c>
      <x:c r="E36" s="20" t="n">
        <x:v>0</x:v>
      </x:c>
      <x:c r="F36" s="20" t="n">
        <x:f>D36-E36</x:f>
        <x:v>14582</x:v>
      </x:c>
      <x:c r="G36" s="20" t="n">
        <x:f>SUMIFS($F$7:$F$56,$A$7:$A$56,A36,$B$7:$B$56,"&lt;="&amp;B36)</x:f>
        <x:v>640142</x:v>
      </x:c>
      <x:c r="H36" s="20" t="n">
        <x:v>418</x:v>
      </x:c>
      <x:c r="I36" s="20" t="n">
        <x:v>15000</x:v>
      </x:c>
      <x:c r="J36" s="27" t="n">
        <x:v>1</x:v>
      </x:c>
      <x:c r="K36" s="27" t="n">
        <x:v>5</x:v>
      </x:c>
      <x:c r="L36" s="27" t="n">
        <x:v>5</x:v>
      </x:c>
      <x:c r="M36" s="29" t="str">
        <x:v>対照47場</x:v>
      </x:c>
      <x:c r="N36" s="28" t="n">
        <x:v>450</x:v>
      </x:c>
      <x:c r="O36" s="28" t="n">
        <x:v>52.56666666666667</x:v>
      </x:c>
    </x:row>
    <x:row r="37" ht="22" customHeight="1">
      <x:c r="A37" s="2" t="str">
        <x:v>M1</x:v>
      </x:c>
      <x:c r="B37" s="24" t="d">
        <x:v>2026-10-12T08:45:00.000Z</x:v>
      </x:c>
      <x:c r="C37" s="2" t="str">
        <x:v>デイ</x:v>
      </x:c>
      <x:c r="D37" s="20" t="n">
        <x:v>19582</x:v>
      </x:c>
      <x:c r="E37" s="20" t="n">
        <x:v>0</x:v>
      </x:c>
      <x:c r="F37" s="20" t="n">
        <x:f>D37-E37</x:f>
        <x:v>19582</x:v>
      </x:c>
      <x:c r="G37" s="20" t="n">
        <x:f>SUMIFS($F$7:$F$56,$A$7:$A$56,A37,$B$7:$B$56,"&lt;="&amp;B37)</x:f>
        <x:v>659724</x:v>
      </x:c>
      <x:c r="H37" s="20" t="n">
        <x:v>418</x:v>
      </x:c>
      <x:c r="I37" s="20" t="n">
        <x:v>20000</x:v>
      </x:c>
      <x:c r="J37" s="27" t="n">
        <x:v>1</x:v>
      </x:c>
      <x:c r="K37" s="27" t="n">
        <x:v>5</x:v>
      </x:c>
      <x:c r="L37" s="27" t="n">
        <x:v>5</x:v>
      </x:c>
      <x:c r="M37" s="29" t="str">
        <x:v>対照47場</x:v>
      </x:c>
      <x:c r="N37" s="28" t="n">
        <x:v>256</x:v>
      </x:c>
      <x:c r="O37" s="28" t="n">
        <x:v>107</x:v>
      </x:c>
    </x:row>
    <x:row r="38" ht="22" customHeight="1">
      <x:c r="A38" s="2" t="str">
        <x:v>M1</x:v>
      </x:c>
      <x:c r="B38" s="24" t="d">
        <x:v>2026-10-12T17:00:00.000Z</x:v>
      </x:c>
      <x:c r="C38" s="2" t="str">
        <x:v>ナイト</x:v>
      </x:c>
      <x:c r="D38" s="20" t="n">
        <x:v>2082</x:v>
      </x:c>
      <x:c r="E38" s="20" t="n">
        <x:v>0</x:v>
      </x:c>
      <x:c r="F38" s="20" t="n">
        <x:f>D38-E38</x:f>
        <x:v>2082</x:v>
      </x:c>
      <x:c r="G38" s="20" t="n">
        <x:f>SUMIFS($F$7:$F$56,$A$7:$A$56,A38,$B$7:$B$56,"&lt;="&amp;B38)</x:f>
        <x:v>661806</x:v>
      </x:c>
      <x:c r="H38" s="20" t="n">
        <x:v>418</x:v>
      </x:c>
      <x:c r="I38" s="20" t="n">
        <x:v>2500</x:v>
      </x:c>
      <x:c r="J38" s="27" t="n">
        <x:v>1</x:v>
      </x:c>
      <x:c r="K38" s="27" t="n">
        <x:v>5</x:v>
      </x:c>
      <x:c r="L38" s="27" t="n">
        <x:v>5</x:v>
      </x:c>
      <x:c r="M38" s="29" t="str">
        <x:v>対照47場</x:v>
      </x:c>
      <x:c r="N38" s="28" t="n">
        <x:v>369.23333333333335</x:v>
      </x:c>
      <x:c r="O38" s="28" t="n">
        <x:v>4.55</x:v>
      </x:c>
    </x:row>
    <x:row r="39" ht="22" customHeight="1">
      <x:c r="A39" s="2" t="str">
        <x:v>M1</x:v>
      </x:c>
      <x:c r="B39" s="24" t="d">
        <x:v>2026-10-13T08:45:00.000Z</x:v>
      </x:c>
      <x:c r="C39" s="2" t="str">
        <x:v>デイ</x:v>
      </x:c>
      <x:c r="D39" s="20" t="n">
        <x:v>43084</x:v>
      </x:c>
      <x:c r="E39" s="20" t="n">
        <x:v>42918</x:v>
      </x:c>
      <x:c r="F39" s="20" t="n">
        <x:f>D39-E39</x:f>
        <x:v>166</x:v>
      </x:c>
      <x:c r="G39" s="20" t="n">
        <x:f>SUMIFS($F$7:$F$56,$A$7:$A$56,A39,$B$7:$B$56,"&lt;="&amp;B39)</x:f>
        <x:v>661972</x:v>
      </x:c>
      <x:c r="H39" s="20" t="n">
        <x:v>834</x:v>
      </x:c>
      <x:c r="I39" s="20" t="n">
        <x:v>1000</x:v>
      </x:c>
      <x:c r="J39" s="27" t="n">
        <x:v>2</x:v>
      </x:c>
      <x:c r="K39" s="27" t="n">
        <x:v>10</x:v>
      </x:c>
      <x:c r="L39" s="27" t="n">
        <x:v>5</x:v>
      </x:c>
      <x:c r="M39" s="29" t="str">
        <x:v>対照47場</x:v>
      </x:c>
      <x:c r="N39" s="28" t="n">
        <x:v>66.41666666666667</x:v>
      </x:c>
      <x:c r="O39" s="28" t="n">
        <x:v>307.93333333333334</x:v>
      </x:c>
    </x:row>
    <x:row r="40" ht="22" customHeight="1">
      <x:c r="A40" s="2" t="str">
        <x:v>M1</x:v>
      </x:c>
      <x:c r="B40" s="24" t="d">
        <x:v>2026-10-13T17:00:00.000Z</x:v>
      </x:c>
      <x:c r="C40" s="2" t="str">
        <x:v>ナイト</x:v>
      </x:c>
      <x:c r="D40" s="20" t="n">
        <x:v>4582</x:v>
      </x:c>
      <x:c r="E40" s="20" t="n">
        <x:v>0</x:v>
      </x:c>
      <x:c r="F40" s="20" t="n">
        <x:f>D40-E40</x:f>
        <x:v>4582</x:v>
      </x:c>
      <x:c r="G40" s="20" t="n">
        <x:f>SUMIFS($F$7:$F$56,$A$7:$A$56,A40,$B$7:$B$56,"&lt;="&amp;B40)</x:f>
        <x:v>666554</x:v>
      </x:c>
      <x:c r="H40" s="20" t="n">
        <x:v>418</x:v>
      </x:c>
      <x:c r="I40" s="20" t="n">
        <x:v>5000</x:v>
      </x:c>
      <x:c r="J40" s="27" t="n">
        <x:v>1</x:v>
      </x:c>
      <x:c r="K40" s="27" t="n">
        <x:v>5</x:v>
      </x:c>
      <x:c r="L40" s="27" t="n">
        <x:v>5</x:v>
      </x:c>
      <x:c r="M40" s="29" t="str">
        <x:v>対照47場</x:v>
      </x:c>
      <x:c r="N40" s="28" t="n">
        <x:v>362.95</x:v>
      </x:c>
      <x:c r="O40" s="28" t="n">
        <x:v>60.78333333333333</x:v>
      </x:c>
    </x:row>
    <x:row r="41" ht="22" customHeight="1">
      <x:c r="A41" s="2" t="str">
        <x:v>M1</x:v>
      </x:c>
      <x:c r="B41" s="24" t="d">
        <x:v>2026-10-14T08:45:00.000Z</x:v>
      </x:c>
      <x:c r="C41" s="2" t="str">
        <x:v>デイ</x:v>
      </x:c>
      <x:c r="D41" s="20" t="n">
        <x:v>16585</x:v>
      </x:c>
      <x:c r="E41" s="20" t="n">
        <x:v>46748</x:v>
      </x:c>
      <x:c r="F41" s="20" t="n">
        <x:f>D41-E41</x:f>
        <x:v>-30163</x:v>
      </x:c>
      <x:c r="G41" s="20" t="n">
        <x:f>SUMIFS($F$7:$F$56,$A$7:$A$56,A41,$B$7:$B$56,"&lt;="&amp;B41)</x:f>
        <x:v>636391</x:v>
      </x:c>
      <x:c r="H41" s="20" t="n">
        <x:v>2163</x:v>
      </x:c>
      <x:c r="I41" s="20" t="n">
        <x:v>-28000</x:v>
      </x:c>
      <x:c r="J41" s="27" t="n">
        <x:v>10</x:v>
      </x:c>
      <x:c r="K41" s="27" t="n">
        <x:v>26</x:v>
      </x:c>
      <x:c r="L41" s="27" t="n">
        <x:v>5</x:v>
      </x:c>
      <x:c r="M41" s="29" t="str">
        <x:v>対照47場</x:v>
      </x:c>
      <x:c r="N41" s="28" t="n">
        <x:v>44.916666666666664</x:v>
      </x:c>
      <x:c r="O41" s="28" t="n">
        <x:v>118.65</x:v>
      </x:c>
    </x:row>
    <x:row r="42" ht="22" customHeight="1">
      <x:c r="A42" s="2" t="str">
        <x:v>M1</x:v>
      </x:c>
      <x:c r="B42" s="24" t="d">
        <x:v>2026-10-14T17:00:00.000Z</x:v>
      </x:c>
      <x:c r="C42" s="2" t="str">
        <x:v>ナイト</x:v>
      </x:c>
      <x:c r="D42" s="20" t="n">
        <x:v>64164</x:v>
      </x:c>
      <x:c r="E42" s="20" t="n">
        <x:v>63754</x:v>
      </x:c>
      <x:c r="F42" s="20" t="n">
        <x:f>D42-E42</x:f>
        <x:v>410</x:v>
      </x:c>
      <x:c r="G42" s="20" t="n">
        <x:f>SUMIFS($F$7:$F$56,$A$7:$A$56,A42,$B$7:$B$56,"&lt;="&amp;B42)</x:f>
        <x:v>636801</x:v>
      </x:c>
      <x:c r="H42" s="20" t="n">
        <x:v>2090</x:v>
      </x:c>
      <x:c r="I42" s="20" t="n">
        <x:v>2500</x:v>
      </x:c>
      <x:c r="J42" s="27" t="n">
        <x:v>5</x:v>
      </x:c>
      <x:c r="K42" s="27" t="n">
        <x:v>25</x:v>
      </x:c>
      <x:c r="L42" s="27" t="n">
        <x:v>5</x:v>
      </x:c>
      <x:c r="M42" s="29" t="str">
        <x:v>対照47場</x:v>
      </x:c>
      <x:c r="N42" s="28" t="n">
        <x:v>360.01666666666665</x:v>
      </x:c>
      <x:c r="O42" s="28" t="n">
        <x:v>152.31666666666666</x:v>
      </x:c>
    </x:row>
    <x:row r="43" ht="22" customHeight="1">
      <x:c r="A43" s="2" t="str">
        <x:v>M1</x:v>
      </x:c>
      <x:c r="B43" s="24" t="d">
        <x:v>2026-10-15T08:45:00.000Z</x:v>
      </x:c>
      <x:c r="C43" s="2" t="str">
        <x:v>デイ</x:v>
      </x:c>
      <x:c r="D43" s="20" t="n">
        <x:v>132083</x:v>
      </x:c>
      <x:c r="E43" s="20" t="n">
        <x:v>58668</x:v>
      </x:c>
      <x:c r="F43" s="20" t="n">
        <x:f>D43-E43</x:f>
        <x:v>73415</x:v>
      </x:c>
      <x:c r="G43" s="20" t="n">
        <x:f>SUMIFS($F$7:$F$56,$A$7:$A$56,A43,$B$7:$B$56,"&lt;="&amp;B43)</x:f>
        <x:v>710216</x:v>
      </x:c>
      <x:c r="H43" s="20" t="n">
        <x:v>1585</x:v>
      </x:c>
      <x:c r="I43" s="20" t="n">
        <x:v>75000</x:v>
      </x:c>
      <x:c r="J43" s="27" t="n">
        <x:v>5</x:v>
      </x:c>
      <x:c r="K43" s="27" t="n">
        <x:v>19</x:v>
      </x:c>
      <x:c r="L43" s="27" t="n">
        <x:v>5</x:v>
      </x:c>
      <x:c r="M43" s="29" t="str">
        <x:v>対照47場</x:v>
      </x:c>
      <x:c r="N43" s="28" t="n">
        <x:v>67.7</x:v>
      </x:c>
      <x:c r="O43" s="28" t="n">
        <x:v>217.33333333333334</x:v>
      </x:c>
    </x:row>
    <x:row r="44" ht="22" customHeight="1">
      <x:c r="A44" s="2" t="str">
        <x:v>M1</x:v>
      </x:c>
      <x:c r="B44" s="24" t="d">
        <x:v>2026-10-15T17:00:00.000Z</x:v>
      </x:c>
      <x:c r="C44" s="2" t="str">
        <x:v>ナイト</x:v>
      </x:c>
      <x:c r="D44" s="20" t="n">
        <x:v>80498</x:v>
      </x:c>
      <x:c r="E44" s="20" t="n">
        <x:v>33754</x:v>
      </x:c>
      <x:c r="F44" s="20" t="n">
        <x:f>D44-E44</x:f>
        <x:v>46744</x:v>
      </x:c>
      <x:c r="G44" s="20" t="n">
        <x:f>SUMIFS($F$7:$F$56,$A$7:$A$56,A44,$B$7:$B$56,"&lt;="&amp;B44)</x:f>
        <x:v>756960</x:v>
      </x:c>
      <x:c r="H44" s="20" t="n">
        <x:v>2256</x:v>
      </x:c>
      <x:c r="I44" s="20" t="n">
        <x:v>49000</x:v>
      </x:c>
      <x:c r="J44" s="27" t="n">
        <x:v>6</x:v>
      </x:c>
      <x:c r="K44" s="27" t="n">
        <x:v>27</x:v>
      </x:c>
      <x:c r="L44" s="27" t="n">
        <x:v>5</x:v>
      </x:c>
      <x:c r="M44" s="29" t="str">
        <x:v>対照47場</x:v>
      </x:c>
      <x:c r="N44" s="28" t="n">
        <x:v>361.3333333333333</x:v>
      </x:c>
      <x:c r="O44" s="28" t="n">
        <x:v>87.93333333333334</x:v>
      </x:c>
    </x:row>
    <x:row r="45" ht="22" customHeight="1">
      <x:c r="A45" s="2" t="str">
        <x:v>M1</x:v>
      </x:c>
      <x:c r="B45" s="24" t="d">
        <x:v>2026-10-16T08:45:00.000Z</x:v>
      </x:c>
      <x:c r="C45" s="2" t="str">
        <x:v>デイ</x:v>
      </x:c>
      <x:c r="D45" s="20" t="n">
        <x:v>17336</x:v>
      </x:c>
      <x:c r="E45" s="20" t="n">
        <x:v>59832</x:v>
      </x:c>
      <x:c r="F45" s="20" t="n">
        <x:f>D45-E45</x:f>
        <x:v>-42496</x:v>
      </x:c>
      <x:c r="G45" s="20" t="n">
        <x:f>SUMIFS($F$7:$F$56,$A$7:$A$56,A45,$B$7:$B$56,"&lt;="&amp;B45)</x:f>
        <x:v>714464</x:v>
      </x:c>
      <x:c r="H45" s="20" t="n">
        <x:v>2496</x:v>
      </x:c>
      <x:c r="I45" s="20" t="n">
        <x:v>-40000</x:v>
      </x:c>
      <x:c r="J45" s="27" t="n">
        <x:v>12</x:v>
      </x:c>
      <x:c r="K45" s="27" t="n">
        <x:v>30</x:v>
      </x:c>
      <x:c r="L45" s="27" t="n">
        <x:v>5</x:v>
      </x:c>
      <x:c r="M45" s="29" t="str">
        <x:v>対照47場</x:v>
      </x:c>
      <x:c r="N45" s="28" t="n">
        <x:v>55.86666666666667</x:v>
      </x:c>
      <x:c r="O45" s="28" t="n">
        <x:v>234.18333333333334</x:v>
      </x:c>
    </x:row>
    <x:row r="46" ht="22" customHeight="1">
      <x:c r="A46" s="2" t="str">
        <x:v>M1</x:v>
      </x:c>
      <x:c r="B46" s="24" t="d">
        <x:v>2026-10-16T17:00:00.000Z</x:v>
      </x:c>
      <x:c r="C46" s="2" t="str">
        <x:v>ナイト</x:v>
      </x:c>
      <x:c r="D46" s="20" t="n">
        <x:v>151664</x:v>
      </x:c>
      <x:c r="E46" s="20" t="n">
        <x:v>38249</x:v>
      </x:c>
      <x:c r="F46" s="20" t="n">
        <x:f>D46-E46</x:f>
        <x:v>113415</x:v>
      </x:c>
      <x:c r="G46" s="20" t="n">
        <x:f>SUMIFS($F$7:$F$56,$A$7:$A$56,A46,$B$7:$B$56,"&lt;="&amp;B46)</x:f>
        <x:v>827879</x:v>
      </x:c>
      <x:c r="H46" s="20" t="n">
        <x:v>1585</x:v>
      </x:c>
      <x:c r="I46" s="20" t="n">
        <x:v>115000</x:v>
      </x:c>
      <x:c r="J46" s="27" t="n">
        <x:v>5</x:v>
      </x:c>
      <x:c r="K46" s="27" t="n">
        <x:v>19</x:v>
      </x:c>
      <x:c r="L46" s="27" t="n">
        <x:v>5</x:v>
      </x:c>
      <x:c r="M46" s="29" t="str">
        <x:v>対照47場</x:v>
      </x:c>
      <x:c r="N46" s="28" t="n">
        <x:v>355.5833333333333</x:v>
      </x:c>
      <x:c r="O46" s="28" t="n">
        <x:v>131.03333333333333</x:v>
      </x:c>
    </x:row>
    <x:row r="47" ht="22" customHeight="1">
      <x:c r="A47" s="2" t="str">
        <x:v>M1</x:v>
      </x:c>
      <x:c r="B47" s="24" t="d">
        <x:v>2026-10-19T08:45:00.000Z</x:v>
      </x:c>
      <x:c r="C47" s="2" t="str">
        <x:v>デイ</x:v>
      </x:c>
      <x:c r="D47" s="20" t="n">
        <x:v>118083</x:v>
      </x:c>
      <x:c r="E47" s="20" t="n">
        <x:v>47918</x:v>
      </x:c>
      <x:c r="F47" s="20" t="n">
        <x:f>D47-E47</x:f>
        <x:v>70165</x:v>
      </x:c>
      <x:c r="G47" s="20" t="n">
        <x:f>SUMIFS($F$7:$F$56,$A$7:$A$56,A47,$B$7:$B$56,"&lt;="&amp;B47)</x:f>
        <x:v>898044</x:v>
      </x:c>
      <x:c r="H47" s="20" t="n">
        <x:v>835</x:v>
      </x:c>
      <x:c r="I47" s="20" t="n">
        <x:v>71000</x:v>
      </x:c>
      <x:c r="J47" s="27" t="n">
        <x:v>2</x:v>
      </x:c>
      <x:c r="K47" s="27" t="n">
        <x:v>10</x:v>
      </x:c>
      <x:c r="L47" s="27" t="n">
        <x:v>5</x:v>
      </x:c>
      <x:c r="M47" s="29" t="str">
        <x:v>対照47場</x:v>
      </x:c>
      <x:c r="N47" s="28" t="n">
        <x:v>66.71666666666667</x:v>
      </x:c>
      <x:c r="O47" s="28" t="n">
        <x:v>321.96666666666664</x:v>
      </x:c>
    </x:row>
    <x:row r="48" ht="22" customHeight="1">
      <x:c r="A48" s="2" t="str">
        <x:v>M1</x:v>
      </x:c>
      <x:c r="B48" s="24" t="d">
        <x:v>2026-10-19T17:00:00.000Z</x:v>
      </x:c>
      <x:c r="C48" s="2" t="str">
        <x:v>ナイト</x:v>
      </x:c>
      <x:c r="D48" s="20" t="n">
        <x:v>42499</x:v>
      </x:c>
      <x:c r="E48" s="20" t="n">
        <x:v>38336</x:v>
      </x:c>
      <x:c r="F48" s="20" t="n">
        <x:f>D48-E48</x:f>
        <x:v>4163</x:v>
      </x:c>
      <x:c r="G48" s="20" t="n">
        <x:f>SUMIFS($F$7:$F$56,$A$7:$A$56,A48,$B$7:$B$56,"&lt;="&amp;B48)</x:f>
        <x:v>902207</x:v>
      </x:c>
      <x:c r="H48" s="20" t="n">
        <x:v>1837</x:v>
      </x:c>
      <x:c r="I48" s="20" t="n">
        <x:v>6000</x:v>
      </x:c>
      <x:c r="J48" s="27" t="n">
        <x:v>5</x:v>
      </x:c>
      <x:c r="K48" s="27" t="n">
        <x:v>22</x:v>
      </x:c>
      <x:c r="L48" s="27" t="n">
        <x:v>5</x:v>
      </x:c>
      <x:c r="M48" s="29" t="str">
        <x:v>対照47場</x:v>
      </x:c>
      <x:c r="N48" s="28" t="n">
        <x:v>352.01666666666665</x:v>
      </x:c>
      <x:c r="O48" s="28" t="n">
        <x:v>109.6</x:v>
      </x:c>
    </x:row>
    <x:row r="49" ht="22" customHeight="1">
      <x:c r="A49" s="2" t="str">
        <x:v>M1</x:v>
      </x:c>
      <x:c r="B49" s="24" t="d">
        <x:v>2026-10-20T08:45:00.000Z</x:v>
      </x:c>
      <x:c r="C49" s="2" t="str">
        <x:v>デイ</x:v>
      </x:c>
      <x:c r="D49" s="20" t="n">
        <x:v>56251</x:v>
      </x:c>
      <x:c r="E49" s="20" t="n">
        <x:v>86000</x:v>
      </x:c>
      <x:c r="F49" s="20" t="n">
        <x:f>D49-E49</x:f>
        <x:v>-29749</x:v>
      </x:c>
      <x:c r="G49" s="20" t="n">
        <x:f>SUMIFS($F$7:$F$56,$A$7:$A$56,A49,$B$7:$B$56,"&lt;="&amp;B49)</x:f>
        <x:v>872458</x:v>
      </x:c>
      <x:c r="H49" s="20" t="n">
        <x:v>2249</x:v>
      </x:c>
      <x:c r="I49" s="20" t="n">
        <x:v>-27500</x:v>
      </x:c>
      <x:c r="J49" s="27" t="n">
        <x:v>9</x:v>
      </x:c>
      <x:c r="K49" s="27" t="n">
        <x:v>27</x:v>
      </x:c>
      <x:c r="L49" s="27" t="n">
        <x:v>5</x:v>
      </x:c>
      <x:c r="M49" s="29" t="str">
        <x:v>対照47場</x:v>
      </x:c>
      <x:c r="N49" s="28" t="n">
        <x:v>69.8</x:v>
      </x:c>
      <x:c r="O49" s="28" t="n">
        <x:v>100.71666666666667</x:v>
      </x:c>
    </x:row>
    <x:row r="50" ht="22" customHeight="1">
      <x:c r="A50" s="2" t="str">
        <x:v>M1</x:v>
      </x:c>
      <x:c r="B50" s="24" t="d">
        <x:v>2026-10-20T17:00:00.000Z</x:v>
      </x:c>
      <x:c r="C50" s="2" t="str">
        <x:v>ナイト</x:v>
      </x:c>
      <x:c r="D50" s="20" t="n">
        <x:v>84582</x:v>
      </x:c>
      <x:c r="E50" s="20" t="n">
        <x:v>61001</x:v>
      </x:c>
      <x:c r="F50" s="20" t="n">
        <x:f>D50-E50</x:f>
        <x:v>23581</x:v>
      </x:c>
      <x:c r="G50" s="20" t="n">
        <x:f>SUMIFS($F$7:$F$56,$A$7:$A$56,A50,$B$7:$B$56,"&lt;="&amp;B50)</x:f>
        <x:v>896039</x:v>
      </x:c>
      <x:c r="H50" s="20" t="n">
        <x:v>1419</x:v>
      </x:c>
      <x:c r="I50" s="20" t="n">
        <x:v>25000</x:v>
      </x:c>
      <x:c r="J50" s="27" t="n">
        <x:v>4</x:v>
      </x:c>
      <x:c r="K50" s="27" t="n">
        <x:v>17</x:v>
      </x:c>
      <x:c r="L50" s="27" t="n">
        <x:v>5</x:v>
      </x:c>
      <x:c r="M50" s="29" t="str">
        <x:v>対照47場</x:v>
      </x:c>
      <x:c r="N50" s="28" t="n">
        <x:v>367.26666666666665</x:v>
      </x:c>
      <x:c r="O50" s="28" t="n">
        <x:v>66.35</x:v>
      </x:c>
    </x:row>
    <x:row r="51" ht="22" customHeight="1">
      <x:c r="A51" s="2" t="str">
        <x:v>M1</x:v>
      </x:c>
      <x:c r="B51" s="24" t="d">
        <x:v>2026-10-21T08:45:00.000Z</x:v>
      </x:c>
      <x:c r="C51" s="2" t="str">
        <x:v>デイ</x:v>
      </x:c>
      <x:c r="D51" s="20" t="n">
        <x:v>48585</x:v>
      </x:c>
      <x:c r="E51" s="20" t="n">
        <x:v>38748</x:v>
      </x:c>
      <x:c r="F51" s="20" t="n">
        <x:f>D51-E51</x:f>
        <x:v>9837</x:v>
      </x:c>
      <x:c r="G51" s="20" t="n">
        <x:f>SUMIFS($F$7:$F$56,$A$7:$A$56,A51,$B$7:$B$56,"&lt;="&amp;B51)</x:f>
        <x:v>905876</x:v>
      </x:c>
      <x:c r="H51" s="20" t="n">
        <x:v>2163</x:v>
      </x:c>
      <x:c r="I51" s="20" t="n">
        <x:v>12000</x:v>
      </x:c>
      <x:c r="J51" s="27" t="n">
        <x:v>10</x:v>
      </x:c>
      <x:c r="K51" s="27" t="n">
        <x:v>26</x:v>
      </x:c>
      <x:c r="L51" s="27" t="n">
        <x:v>5</x:v>
      </x:c>
      <x:c r="M51" s="29" t="str">
        <x:v>対照47場</x:v>
      </x:c>
      <x:c r="N51" s="28" t="n">
        <x:v>50.083333333333336</x:v>
      </x:c>
      <x:c r="O51" s="28" t="n">
        <x:v>126.01666666666667</x:v>
      </x:c>
    </x:row>
    <x:row r="52" ht="22" customHeight="1">
      <x:c r="A52" s="2" t="str">
        <x:v>M1</x:v>
      </x:c>
      <x:c r="B52" s="24" t="d">
        <x:v>2026-10-21T17:00:00.000Z</x:v>
      </x:c>
      <x:c r="C52" s="2" t="str">
        <x:v>ナイト</x:v>
      </x:c>
      <x:c r="D52" s="20" t="n">
        <x:v>24164</x:v>
      </x:c>
      <x:c r="E52" s="20" t="n">
        <x:v>22918</x:v>
      </x:c>
      <x:c r="F52" s="20" t="n">
        <x:f>D52-E52</x:f>
        <x:v>1246</x:v>
      </x:c>
      <x:c r="G52" s="20" t="n">
        <x:f>SUMIFS($F$7:$F$56,$A$7:$A$56,A52,$B$7:$B$56,"&lt;="&amp;B52)</x:f>
        <x:v>907122</x:v>
      </x:c>
      <x:c r="H52" s="20" t="n">
        <x:v>1254</x:v>
      </x:c>
      <x:c r="I52" s="20" t="n">
        <x:v>2500</x:v>
      </x:c>
      <x:c r="J52" s="27" t="n">
        <x:v>3</x:v>
      </x:c>
      <x:c r="K52" s="27" t="n">
        <x:v>15</x:v>
      </x:c>
      <x:c r="L52" s="27" t="n">
        <x:v>5</x:v>
      </x:c>
      <x:c r="M52" s="29" t="str">
        <x:v>対照47場</x:v>
      </x:c>
      <x:c r="N52" s="28" t="n">
        <x:v>393.3</x:v>
      </x:c>
      <x:c r="O52" s="28" t="n">
        <x:v>121.51666666666667</x:v>
      </x:c>
    </x:row>
    <x:row r="53" ht="22" customHeight="1">
      <x:c r="A53" s="2" t="str">
        <x:v>M1</x:v>
      </x:c>
      <x:c r="B53" s="24" t="d">
        <x:v>2026-10-22T08:45:00.000Z</x:v>
      </x:c>
      <x:c r="C53" s="2" t="str">
        <x:v>デイ</x:v>
      </x:c>
      <x:c r="D53" s="20" t="n">
        <x:v>96251</x:v>
      </x:c>
      <x:c r="E53" s="20" t="n">
        <x:v>48082</x:v>
      </x:c>
      <x:c r="F53" s="20" t="n">
        <x:f>D53-E53</x:f>
        <x:v>48169</x:v>
      </x:c>
      <x:c r="G53" s="20" t="n">
        <x:f>SUMIFS($F$7:$F$56,$A$7:$A$56,A53,$B$7:$B$56,"&lt;="&amp;B53)</x:f>
        <x:v>955291</x:v>
      </x:c>
      <x:c r="H53" s="20" t="n">
        <x:v>1831</x:v>
      </x:c>
      <x:c r="I53" s="20" t="n">
        <x:v>50000</x:v>
      </x:c>
      <x:c r="J53" s="27" t="n">
        <x:v>8</x:v>
      </x:c>
      <x:c r="K53" s="27" t="n">
        <x:v>22</x:v>
      </x:c>
      <x:c r="L53" s="27" t="n">
        <x:v>5</x:v>
      </x:c>
      <x:c r="M53" s="29" t="str">
        <x:v>対照47場</x:v>
      </x:c>
      <x:c r="N53" s="28" t="n">
        <x:v>79.76666666666667</x:v>
      </x:c>
      <x:c r="O53" s="28" t="n">
        <x:v>173.68333333333334</x:v>
      </x:c>
    </x:row>
    <x:row r="54" ht="22" customHeight="1">
      <x:c r="A54" s="2" t="str">
        <x:v>M1</x:v>
      </x:c>
      <x:c r="B54" s="24" t="d">
        <x:v>2026-10-22T17:00:00.000Z</x:v>
      </x:c>
      <x:c r="C54" s="2" t="str">
        <x:v>ナイト</x:v>
      </x:c>
      <x:c r="D54" s="20" t="n">
        <x:v>77915</x:v>
      </x:c>
      <x:c r="E54" s="20" t="n">
        <x:v>43501</x:v>
      </x:c>
      <x:c r="F54" s="20" t="n">
        <x:f>D54-E54</x:f>
        <x:v>34414</x:v>
      </x:c>
      <x:c r="G54" s="20" t="n">
        <x:f>SUMIFS($F$7:$F$56,$A$7:$A$56,A54,$B$7:$B$56,"&lt;="&amp;B54)</x:f>
        <x:v>989705</x:v>
      </x:c>
      <x:c r="H54" s="20" t="n">
        <x:v>2586</x:v>
      </x:c>
      <x:c r="I54" s="20" t="n">
        <x:v>37000</x:v>
      </x:c>
      <x:c r="J54" s="27" t="n">
        <x:v>8</x:v>
      </x:c>
      <x:c r="K54" s="27" t="n">
        <x:v>31</x:v>
      </x:c>
      <x:c r="L54" s="27" t="n">
        <x:v>5</x:v>
      </x:c>
      <x:c r="M54" s="29" t="str">
        <x:v>診断3場</x:v>
      </x:c>
      <x:c r="N54" s="28" t="n">
        <x:v>71.33333333333333</x:v>
      </x:c>
      <x:c r="O54" s="28" t="n">
        <x:v>83.48333333333333</x:v>
      </x:c>
    </x:row>
    <x:row r="55" ht="22" customHeight="1">
      <x:c r="A55" s="2" t="str">
        <x:v>M1</x:v>
      </x:c>
      <x:c r="B55" s="24" t="d">
        <x:v>2026-10-23T08:45:00.000Z</x:v>
      </x:c>
      <x:c r="C55" s="2" t="str">
        <x:v>デイ</x:v>
      </x:c>
      <x:c r="D55" s="20" t="n">
        <x:v>82422</x:v>
      </x:c>
      <x:c r="E55" s="20" t="n">
        <x:v>109996</x:v>
      </x:c>
      <x:c r="F55" s="20" t="n">
        <x:f>D55-E55</x:f>
        <x:v>-27574</x:v>
      </x:c>
      <x:c r="G55" s="20" t="n">
        <x:f>SUMIFS($F$7:$F$56,$A$7:$A$56,A55,$B$7:$B$56,"&lt;="&amp;B55)</x:f>
        <x:v>962131</x:v>
      </x:c>
      <x:c r="H55" s="20" t="n">
        <x:v>2574</x:v>
      </x:c>
      <x:c r="I55" s="20" t="n">
        <x:v>-25000</x:v>
      </x:c>
      <x:c r="J55" s="27" t="n">
        <x:v>15</x:v>
      </x:c>
      <x:c r="K55" s="27" t="n">
        <x:v>31</x:v>
      </x:c>
      <x:c r="L55" s="27" t="n">
        <x:v>5</x:v>
      </x:c>
      <x:c r="M55" s="29" t="str">
        <x:v>診断3場</x:v>
      </x:c>
      <x:c r="N55" s="28" t="n">
        <x:v>43.95</x:v>
      </x:c>
      <x:c r="O55" s="28" t="n">
        <x:v>122.2</x:v>
      </x:c>
    </x:row>
    <x:row r="56" ht="22" customHeight="1">
      <x:c r="A56" s="2" t="str">
        <x:v>M1</x:v>
      </x:c>
      <x:c r="B56" s="24" t="d">
        <x:v>2026-10-23T17:00:00.000Z</x:v>
      </x:c>
      <x:c r="C56" s="2" t="str">
        <x:v>ナイト</x:v>
      </x:c>
      <x:c r="D56" s="20" t="n">
        <x:v>39750</x:v>
      </x:c>
      <x:c r="E56" s="20" t="n">
        <x:v>12165</x:v>
      </x:c>
      <x:c r="F56" s="20" t="n">
        <x:f>D56-E56</x:f>
        <x:v>27585</x:v>
      </x:c>
      <x:c r="G56" s="20" t="n">
        <x:f>SUMIFS($F$7:$F$56,$A$7:$A$56,A56,$B$7:$B$56,"&lt;="&amp;B56)</x:f>
        <x:v>989716</x:v>
      </x:c>
      <x:c r="H56" s="20" t="n">
        <x:v>915</x:v>
      </x:c>
      <x:c r="I56" s="20" t="n">
        <x:v>28500</x:v>
      </x:c>
      <x:c r="J56" s="27" t="n">
        <x:v>4</x:v>
      </x:c>
      <x:c r="K56" s="27" t="n">
        <x:v>11</x:v>
      </x:c>
      <x:c r="L56" s="27" t="n">
        <x:v>5</x:v>
      </x:c>
      <x:c r="M56" s="29" t="str">
        <x:v>診断3場</x:v>
      </x:c>
      <x:c r="N56" s="28" t="n">
        <x:v>125.96666666666667</x:v>
      </x:c>
      <x:c r="O56" s="28" t="n">
        <x:v>74.86666666666666</x:v>
      </x:c>
    </x:row>
  </x:sheetData>
  <x:conditionalFormatting sqref="D7:I56">
    <x:cfRule type="cellIs" dxfId="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1488c89aa6e4ab3"/>
  </x:tableParts>
</x:worksheet>
</file>

<file path=xl/worksheets/sheet11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4" t="str">
        <x:v>TOPIXmini M2 セッション損益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</x:row>
    <x:row r="3" ht="22" customHeight="1">
      <x:c r="A3" s="7" t="str">
        <x:v>片方向上限10枚。金額は円・手数料後。利益と損失は完結した一組の収支を正負に分類。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A4" s="7" t="str">
        <x:v>昼：C33／夜：G02。対照47場：9/21～10/22デイ。診断3場：10/22ナイト～10/23ナイト。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A5" s="7" t="str">
        <x:v>異なる優先順位の昼夜別案。出典：00141保存会計。診断3場は原因分析と改善に使用した期間です。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4" customHeight="1">
      <x:c r="A6" s="16" t="str">
        <x:v>手法ID</x:v>
      </x:c>
      <x:c r="B6" s="17" t="str">
        <x:v>開始日時</x:v>
      </x:c>
      <x:c r="C6" s="17" t="str">
        <x:v>セッション</x:v>
      </x:c>
      <x:c r="D6" s="17" t="str">
        <x:v>利益（円）</x:v>
      </x:c>
      <x:c r="E6" s="17" t="str">
        <x:v>損失（円）</x:v>
      </x:c>
      <x:c r="F6" s="17" t="str">
        <x:v>収支（円）</x:v>
      </x:c>
      <x:c r="G6" s="17" t="str">
        <x:v>累計（円）</x:v>
      </x:c>
      <x:c r="H6" s="17" t="str">
        <x:v>内数手数料（円）</x:v>
      </x:c>
      <x:c r="I6" s="17" t="str">
        <x:v>費用前収支（円）</x:v>
      </x:c>
      <x:c r="J6" s="17" t="str">
        <x:v>新規回数</x:v>
      </x:c>
      <x:c r="K6" s="17" t="str">
        <x:v>新規枚数</x:v>
      </x:c>
      <x:c r="L6" s="17" t="str">
        <x:v>最大片方向保有</x:v>
      </x:c>
      <x:c r="M6" s="17" t="str">
        <x:v>評価区分</x:v>
      </x:c>
      <x:c r="N6" s="17" t="str">
        <x:v>初回まで（分）</x:v>
      </x:c>
      <x:c r="O6" s="18" t="str">
        <x:v>保有（分）</x:v>
      </x:c>
    </x:row>
    <x:row r="7" ht="22" customHeight="1">
      <x:c r="A7" s="2" t="str">
        <x:v>M2</x:v>
      </x:c>
      <x:c r="B7" s="24" t="d">
        <x:v>2026-09-21T08:45:00.000Z</x:v>
      </x:c>
      <x:c r="C7" s="2" t="str">
        <x:v>デイ</x:v>
      </x:c>
      <x:c r="D7" s="20" t="n">
        <x:v>0</x:v>
      </x:c>
      <x:c r="E7" s="20" t="n">
        <x:v>20418</x:v>
      </x:c>
      <x:c r="F7" s="20" t="n">
        <x:f>D7-E7</x:f>
        <x:v>-20418</x:v>
      </x:c>
      <x:c r="G7" s="20" t="n">
        <x:f>SUMIFS($F$7:$F$56,$A$7:$A$56,A7,$B$7:$B$56,"&lt;="&amp;B7)</x:f>
        <x:v>-20418</x:v>
      </x:c>
      <x:c r="H7" s="20" t="n">
        <x:v>418</x:v>
      </x:c>
      <x:c r="I7" s="20" t="n">
        <x:v>-20000</x:v>
      </x:c>
      <x:c r="J7" s="27" t="n">
        <x:v>1</x:v>
      </x:c>
      <x:c r="K7" s="27" t="n">
        <x:v>5</x:v>
      </x:c>
      <x:c r="L7" s="27" t="n">
        <x:v>5</x:v>
      </x:c>
      <x:c r="M7" s="29" t="str">
        <x:v>対照47場</x:v>
      </x:c>
      <x:c r="N7" s="28" t="n">
        <x:v>363.18333333333334</x:v>
      </x:c>
      <x:c r="O7" s="28" t="n">
        <x:v>9.033333333333333</x:v>
      </x:c>
    </x:row>
    <x:row r="8" ht="22" customHeight="1">
      <x:c r="A8" s="2" t="str">
        <x:v>M2</x:v>
      </x:c>
      <x:c r="B8" s="24" t="d">
        <x:v>2026-09-21T17:00:00.000Z</x:v>
      </x:c>
      <x:c r="C8" s="2" t="str">
        <x:v>ナイト</x:v>
      </x:c>
      <x:c r="D8" s="20" t="n">
        <x:v>7082</x:v>
      </x:c>
      <x:c r="E8" s="20" t="n">
        <x:v>0</x:v>
      </x:c>
      <x:c r="F8" s="20" t="n">
        <x:f>D8-E8</x:f>
        <x:v>7082</x:v>
      </x:c>
      <x:c r="G8" s="20" t="n">
        <x:f>SUMIFS($F$7:$F$56,$A$7:$A$56,A8,$B$7:$B$56,"&lt;="&amp;B8)</x:f>
        <x:v>-13336</x:v>
      </x:c>
      <x:c r="H8" s="20" t="n">
        <x:v>418</x:v>
      </x:c>
      <x:c r="I8" s="20" t="n">
        <x:v>7500</x:v>
      </x:c>
      <x:c r="J8" s="27" t="n">
        <x:v>1</x:v>
      </x:c>
      <x:c r="K8" s="27" t="n">
        <x:v>5</x:v>
      </x:c>
      <x:c r="L8" s="27" t="n">
        <x:v>5</x:v>
      </x:c>
      <x:c r="M8" s="29" t="str">
        <x:v>対照47場</x:v>
      </x:c>
      <x:c r="N8" s="28" t="n">
        <x:v>385.95</x:v>
      </x:c>
      <x:c r="O8" s="28" t="n">
        <x:v>8.5</x:v>
      </x:c>
    </x:row>
    <x:row r="9" ht="22" customHeight="1">
      <x:c r="A9" s="2" t="str">
        <x:v>M2</x:v>
      </x:c>
      <x:c r="B9" s="24" t="d">
        <x:v>2026-09-22T08:45:00.000Z</x:v>
      </x:c>
      <x:c r="C9" s="2" t="str">
        <x:v>デイ</x:v>
      </x:c>
      <x:c r="D9" s="20" t="n">
        <x:v>20584</x:v>
      </x:c>
      <x:c r="E9" s="20" t="n">
        <x:v>20418</x:v>
      </x:c>
      <x:c r="F9" s="20" t="n">
        <x:f>D9-E9</x:f>
        <x:v>166</x:v>
      </x:c>
      <x:c r="G9" s="20" t="n">
        <x:f>SUMIFS($F$7:$F$56,$A$7:$A$56,A9,$B$7:$B$56,"&lt;="&amp;B9)</x:f>
        <x:v>-13170</x:v>
      </x:c>
      <x:c r="H9" s="20" t="n">
        <x:v>834</x:v>
      </x:c>
      <x:c r="I9" s="20" t="n">
        <x:v>1000</x:v>
      </x:c>
      <x:c r="J9" s="27" t="n">
        <x:v>2</x:v>
      </x:c>
      <x:c r="K9" s="27" t="n">
        <x:v>10</x:v>
      </x:c>
      <x:c r="L9" s="27" t="n">
        <x:v>5</x:v>
      </x:c>
      <x:c r="M9" s="29" t="str">
        <x:v>対照47場</x:v>
      </x:c>
      <x:c r="N9" s="28" t="n">
        <x:v>100.41666666666667</x:v>
      </x:c>
      <x:c r="O9" s="28" t="n">
        <x:v>18.416666666666668</x:v>
      </x:c>
    </x:row>
    <x:row r="10" ht="22" customHeight="1">
      <x:c r="A10" s="2" t="str">
        <x:v>M2</x:v>
      </x:c>
      <x:c r="B10" s="24" t="d">
        <x:v>2026-09-22T17:00:00.000Z</x:v>
      </x:c>
      <x:c r="C10" s="2" t="str">
        <x:v>ナイト</x:v>
      </x:c>
      <x:c r="D10" s="20" t="n">
        <x:v>13834</x:v>
      </x:c>
      <x:c r="E10" s="20" t="n">
        <x:v>53754</x:v>
      </x:c>
      <x:c r="F10" s="20" t="n">
        <x:f>D10-E10</x:f>
        <x:v>-39920</x:v>
      </x:c>
      <x:c r="G10" s="20" t="n">
        <x:f>SUMIFS($F$7:$F$56,$A$7:$A$56,A10,$B$7:$B$56,"&lt;="&amp;B10)</x:f>
        <x:v>-53090</x:v>
      </x:c>
      <x:c r="H10" s="20" t="n">
        <x:v>1420</x:v>
      </x:c>
      <x:c r="I10" s="20" t="n">
        <x:v>-38500</x:v>
      </x:c>
      <x:c r="J10" s="27" t="n">
        <x:v>4</x:v>
      </x:c>
      <x:c r="K10" s="27" t="n">
        <x:v>17</x:v>
      </x:c>
      <x:c r="L10" s="27" t="n">
        <x:v>5</x:v>
      </x:c>
      <x:c r="M10" s="29" t="str">
        <x:v>対照47場</x:v>
      </x:c>
      <x:c r="N10" s="28" t="n">
        <x:v>43.68333333333333</x:v>
      </x:c>
      <x:c r="O10" s="28" t="n">
        <x:v>50.81666666666667</x:v>
      </x:c>
    </x:row>
    <x:row r="11" ht="22" customHeight="1">
      <x:c r="A11" s="2" t="str">
        <x:v>M2</x:v>
      </x:c>
      <x:c r="B11" s="24" t="d">
        <x:v>2026-09-23T08:45:00.000Z</x:v>
      </x:c>
      <x:c r="C11" s="2" t="str">
        <x:v>デイ</x:v>
      </x:c>
      <x:c r="D11" s="20" t="n">
        <x:v>77584</x:v>
      </x:c>
      <x:c r="E11" s="20" t="n">
        <x:v>0</x:v>
      </x:c>
      <x:c r="F11" s="20" t="n">
        <x:f>D11-E11</x:f>
        <x:v>77584</x:v>
      </x:c>
      <x:c r="G11" s="20" t="n">
        <x:f>SUMIFS($F$7:$F$56,$A$7:$A$56,A11,$B$7:$B$56,"&lt;="&amp;B11)</x:f>
        <x:v>24494</x:v>
      </x:c>
      <x:c r="H11" s="20" t="n">
        <x:v>416</x:v>
      </x:c>
      <x:c r="I11" s="20" t="n">
        <x:v>78000</x:v>
      </x:c>
      <x:c r="J11" s="27" t="n">
        <x:v>1</x:v>
      </x:c>
      <x:c r="K11" s="27" t="n">
        <x:v>5</x:v>
      </x:c>
      <x:c r="L11" s="27" t="n">
        <x:v>5</x:v>
      </x:c>
      <x:c r="M11" s="29" t="str">
        <x:v>対照47場</x:v>
      </x:c>
      <x:c r="N11" s="28" t="n">
        <x:v>68.45</x:v>
      </x:c>
      <x:c r="O11" s="28" t="n">
        <x:v>158.21666666666667</x:v>
      </x:c>
    </x:row>
    <x:row r="12" ht="22" customHeight="1">
      <x:c r="A12" s="2" t="str">
        <x:v>M2</x:v>
      </x:c>
      <x:c r="B12" s="24" t="d">
        <x:v>2026-09-23T17:00:00.000Z</x:v>
      </x:c>
      <x:c r="C12" s="2" t="str">
        <x:v>ナイト</x:v>
      </x:c>
      <x:c r="D12" s="20" t="n">
        <x:v>29164</x:v>
      </x:c>
      <x:c r="E12" s="20" t="n">
        <x:v>0</x:v>
      </x:c>
      <x:c r="F12" s="20" t="n">
        <x:f>D12-E12</x:f>
        <x:v>29164</x:v>
      </x:c>
      <x:c r="G12" s="20" t="n">
        <x:f>SUMIFS($F$7:$F$56,$A$7:$A$56,A12,$B$7:$B$56,"&lt;="&amp;B12)</x:f>
        <x:v>53658</x:v>
      </x:c>
      <x:c r="H12" s="20" t="n">
        <x:v>836</x:v>
      </x:c>
      <x:c r="I12" s="20" t="n">
        <x:v>30000</x:v>
      </x:c>
      <x:c r="J12" s="27" t="n">
        <x:v>2</x:v>
      </x:c>
      <x:c r="K12" s="27" t="n">
        <x:v>10</x:v>
      </x:c>
      <x:c r="L12" s="27" t="n">
        <x:v>5</x:v>
      </x:c>
      <x:c r="M12" s="29" t="str">
        <x:v>対照47場</x:v>
      </x:c>
      <x:c r="N12" s="28" t="n">
        <x:v>450.01666666666665</x:v>
      </x:c>
      <x:c r="O12" s="28" t="n">
        <x:v>52.3</x:v>
      </x:c>
    </x:row>
    <x:row r="13" ht="22" customHeight="1">
      <x:c r="A13" s="2" t="str">
        <x:v>M2</x:v>
      </x:c>
      <x:c r="B13" s="24" t="d">
        <x:v>2026-09-24T08:45:00.000Z</x:v>
      </x:c>
      <x:c r="C13" s="2" t="str">
        <x:v>デイ</x:v>
      </x:c>
      <x:c r="D13" s="20" t="n">
        <x:v>38502</x:v>
      </x:c>
      <x:c r="E13" s="20" t="n">
        <x:v>0</x:v>
      </x:c>
      <x:c r="F13" s="20" t="n">
        <x:f>D13-E13</x:f>
        <x:v>38502</x:v>
      </x:c>
      <x:c r="G13" s="20" t="n">
        <x:f>SUMIFS($F$7:$F$56,$A$7:$A$56,A13,$B$7:$B$56,"&lt;="&amp;B13)</x:f>
        <x:v>92160</x:v>
      </x:c>
      <x:c r="H13" s="20" t="n">
        <x:v>498</x:v>
      </x:c>
      <x:c r="I13" s="20" t="n">
        <x:v>39000</x:v>
      </x:c>
      <x:c r="J13" s="27" t="n">
        <x:v>3</x:v>
      </x:c>
      <x:c r="K13" s="27" t="n">
        <x:v>6</x:v>
      </x:c>
      <x:c r="L13" s="27" t="n">
        <x:v>2</x:v>
      </x:c>
      <x:c r="M13" s="29" t="str">
        <x:v>対照47場</x:v>
      </x:c>
      <x:c r="N13" s="28" t="n">
        <x:v>55.5</x:v>
      </x:c>
      <x:c r="O13" s="28" t="n">
        <x:v>253</x:v>
      </x:c>
    </x:row>
    <x:row r="14" ht="22" customHeight="1">
      <x:c r="A14" s="2" t="str">
        <x:v>M2</x:v>
      </x:c>
      <x:c r="B14" s="24" t="d">
        <x:v>2026-09-24T17:00:00.000Z</x:v>
      </x:c>
      <x:c r="C14" s="2" t="str">
        <x:v>ナイト</x:v>
      </x:c>
      <x:c r="D14" s="20" t="n">
        <x:v>32082</x:v>
      </x:c>
      <x:c r="E14" s="20" t="n">
        <x:v>0</x:v>
      </x:c>
      <x:c r="F14" s="20" t="n">
        <x:f>D14-E14</x:f>
        <x:v>32082</x:v>
      </x:c>
      <x:c r="G14" s="20" t="n">
        <x:f>SUMIFS($F$7:$F$56,$A$7:$A$56,A14,$B$7:$B$56,"&lt;="&amp;B14)</x:f>
        <x:v>124242</x:v>
      </x:c>
      <x:c r="H14" s="20" t="n">
        <x:v>418</x:v>
      </x:c>
      <x:c r="I14" s="20" t="n">
        <x:v>32500</x:v>
      </x:c>
      <x:c r="J14" s="27" t="n">
        <x:v>1</x:v>
      </x:c>
      <x:c r="K14" s="27" t="n">
        <x:v>5</x:v>
      </x:c>
      <x:c r="L14" s="27" t="n">
        <x:v>5</x:v>
      </x:c>
      <x:c r="M14" s="29" t="str">
        <x:v>対照47場</x:v>
      </x:c>
      <x:c r="N14" s="28" t="n">
        <x:v>417.46666666666664</x:v>
      </x:c>
      <x:c r="O14" s="28" t="n">
        <x:v>40.983333333333334</x:v>
      </x:c>
    </x:row>
    <x:row r="15" ht="22" customHeight="1">
      <x:c r="A15" s="2" t="str">
        <x:v>M2</x:v>
      </x:c>
      <x:c r="B15" s="24" t="d">
        <x:v>2026-09-25T08:45:00.000Z</x:v>
      </x:c>
      <x:c r="C15" s="2" t="str">
        <x:v>デイ</x:v>
      </x:c>
      <x:c r="D15" s="20" t="n">
        <x:v>80583</x:v>
      </x:c>
      <x:c r="E15" s="20" t="n">
        <x:v>0</x:v>
      </x:c>
      <x:c r="F15" s="20" t="n">
        <x:f>D15-E15</x:f>
        <x:v>80583</x:v>
      </x:c>
      <x:c r="G15" s="20" t="n">
        <x:f>SUMIFS($F$7:$F$56,$A$7:$A$56,A15,$B$7:$B$56,"&lt;="&amp;B15)</x:f>
        <x:v>204825</x:v>
      </x:c>
      <x:c r="H15" s="20" t="n">
        <x:v>417</x:v>
      </x:c>
      <x:c r="I15" s="20" t="n">
        <x:v>81000</x:v>
      </x:c>
      <x:c r="J15" s="27" t="n">
        <x:v>1</x:v>
      </x:c>
      <x:c r="K15" s="27" t="n">
        <x:v>5</x:v>
      </x:c>
      <x:c r="L15" s="27" t="n">
        <x:v>5</x:v>
      </x:c>
      <x:c r="M15" s="29" t="str">
        <x:v>対照47場</x:v>
      </x:c>
      <x:c r="N15" s="28" t="n">
        <x:v>86.21666666666667</x:v>
      </x:c>
      <x:c r="O15" s="28" t="n">
        <x:v>323.8</x:v>
      </x:c>
    </x:row>
    <x:row r="16" ht="22" customHeight="1">
      <x:c r="A16" s="2" t="str">
        <x:v>M2</x:v>
      </x:c>
      <x:c r="B16" s="24" t="d">
        <x:v>2026-09-25T17:00:00.000Z</x:v>
      </x:c>
      <x:c r="C16" s="2" t="str">
        <x:v>ナイト</x:v>
      </x:c>
      <x:c r="D16" s="20" t="n">
        <x:v>24582</x:v>
      </x:c>
      <x:c r="E16" s="20" t="n">
        <x:v>20418</x:v>
      </x:c>
      <x:c r="F16" s="20" t="n">
        <x:f>D16-E16</x:f>
        <x:v>4164</x:v>
      </x:c>
      <x:c r="G16" s="20" t="n">
        <x:f>SUMIFS($F$7:$F$56,$A$7:$A$56,A16,$B$7:$B$56,"&lt;="&amp;B16)</x:f>
        <x:v>208989</x:v>
      </x:c>
      <x:c r="H16" s="20" t="n">
        <x:v>836</x:v>
      </x:c>
      <x:c r="I16" s="20" t="n">
        <x:v>5000</x:v>
      </x:c>
      <x:c r="J16" s="27" t="n">
        <x:v>2</x:v>
      </x:c>
      <x:c r="K16" s="27" t="n">
        <x:v>10</x:v>
      </x:c>
      <x:c r="L16" s="27" t="n">
        <x:v>5</x:v>
      </x:c>
      <x:c r="M16" s="29" t="str">
        <x:v>対照47場</x:v>
      </x:c>
      <x:c r="N16" s="28" t="n">
        <x:v>450</x:v>
      </x:c>
      <x:c r="O16" s="28" t="n">
        <x:v>8.316666666666666</x:v>
      </x:c>
    </x:row>
    <x:row r="17" ht="22" customHeight="1">
      <x:c r="A17" s="2" t="str">
        <x:v>M2</x:v>
      </x:c>
      <x:c r="B17" s="24" t="d">
        <x:v>2026-09-28T08:45:00.000Z</x:v>
      </x:c>
      <x:c r="C17" s="2" t="str">
        <x:v>デイ</x:v>
      </x:c>
      <x:c r="D17" s="20" t="n">
        <x:v>138917</x:v>
      </x:c>
      <x:c r="E17" s="20" t="n">
        <x:v>0</x:v>
      </x:c>
      <x:c r="F17" s="20" t="n">
        <x:f>D17-E17</x:f>
        <x:v>138917</x:v>
      </x:c>
      <x:c r="G17" s="20" t="n">
        <x:f>SUMIFS($F$7:$F$56,$A$7:$A$56,A17,$B$7:$B$56,"&lt;="&amp;B17)</x:f>
        <x:v>347906</x:v>
      </x:c>
      <x:c r="H17" s="20" t="n">
        <x:v>583</x:v>
      </x:c>
      <x:c r="I17" s="20" t="n">
        <x:v>139500</x:v>
      </x:c>
      <x:c r="J17" s="27" t="n">
        <x:v>2</x:v>
      </x:c>
      <x:c r="K17" s="27" t="n">
        <x:v>7</x:v>
      </x:c>
      <x:c r="L17" s="27" t="n">
        <x:v>5</x:v>
      </x:c>
      <x:c r="M17" s="29" t="str">
        <x:v>対照47場</x:v>
      </x:c>
      <x:c r="N17" s="28" t="n">
        <x:v>48.45</x:v>
      </x:c>
      <x:c r="O17" s="28" t="n">
        <x:v>350.31666666666666</x:v>
      </x:c>
    </x:row>
    <x:row r="18" ht="22" customHeight="1">
      <x:c r="A18" s="2" t="str">
        <x:v>M2</x:v>
      </x:c>
      <x:c r="B18" s="24" t="d">
        <x:v>2026-09-28T17:00:00.000Z</x:v>
      </x:c>
      <x:c r="C18" s="2" t="str">
        <x:v>ナイト</x:v>
      </x:c>
      <x:c r="D18" s="20" t="n">
        <x:v>24582</x:v>
      </x:c>
      <x:c r="E18" s="20" t="n">
        <x:v>16332</x:v>
      </x:c>
      <x:c r="F18" s="20" t="n">
        <x:f>D18-E18</x:f>
        <x:v>8250</x:v>
      </x:c>
      <x:c r="G18" s="20" t="n">
        <x:f>SUMIFS($F$7:$F$56,$A$7:$A$56,A18,$B$7:$B$56,"&lt;="&amp;B18)</x:f>
        <x:v>356156</x:v>
      </x:c>
      <x:c r="H18" s="20" t="n">
        <x:v>750</x:v>
      </x:c>
      <x:c r="I18" s="20" t="n">
        <x:v>9000</x:v>
      </x:c>
      <x:c r="J18" s="27" t="n">
        <x:v>3</x:v>
      </x:c>
      <x:c r="K18" s="27" t="n">
        <x:v>9</x:v>
      </x:c>
      <x:c r="L18" s="27" t="n">
        <x:v>5</x:v>
      </x:c>
      <x:c r="M18" s="29" t="str">
        <x:v>対照47場</x:v>
      </x:c>
      <x:c r="N18" s="28" t="n">
        <x:v>351.8333333333333</x:v>
      </x:c>
      <x:c r="O18" s="28" t="n">
        <x:v>16.516666666666666</x:v>
      </x:c>
    </x:row>
    <x:row r="19" ht="22" customHeight="1">
      <x:c r="A19" s="2" t="str">
        <x:v>M2</x:v>
      </x:c>
      <x:c r="B19" s="24" t="d">
        <x:v>2026-09-29T08:45:00.000Z</x:v>
      </x:c>
      <x:c r="C19" s="2" t="str">
        <x:v>デイ</x:v>
      </x:c>
      <x:c r="D19" s="20" t="n">
        <x:v>12583</x:v>
      </x:c>
      <x:c r="E19" s="20" t="n">
        <x:v>0</x:v>
      </x:c>
      <x:c r="F19" s="20" t="n">
        <x:f>D19-E19</x:f>
        <x:v>12583</x:v>
      </x:c>
      <x:c r="G19" s="20" t="n">
        <x:f>SUMIFS($F$7:$F$56,$A$7:$A$56,A19,$B$7:$B$56,"&lt;="&amp;B19)</x:f>
        <x:v>368739</x:v>
      </x:c>
      <x:c r="H19" s="20" t="n">
        <x:v>417</x:v>
      </x:c>
      <x:c r="I19" s="20" t="n">
        <x:v>13000</x:v>
      </x:c>
      <x:c r="J19" s="27" t="n">
        <x:v>1</x:v>
      </x:c>
      <x:c r="K19" s="27" t="n">
        <x:v>5</x:v>
      </x:c>
      <x:c r="L19" s="27" t="n">
        <x:v>5</x:v>
      </x:c>
      <x:c r="M19" s="29" t="str">
        <x:v>対照47場</x:v>
      </x:c>
      <x:c r="N19" s="28" t="n">
        <x:v>70.43333333333334</x:v>
      </x:c>
      <x:c r="O19" s="28" t="n">
        <x:v>334.48333333333335</x:v>
      </x:c>
    </x:row>
    <x:row r="20" ht="22" customHeight="1">
      <x:c r="A20" s="2" t="str">
        <x:v>M2</x:v>
      </x:c>
      <x:c r="B20" s="24" t="d">
        <x:v>2026-09-29T17:00:00.000Z</x:v>
      </x:c>
      <x:c r="C20" s="2" t="str">
        <x:v>ナイト</x:v>
      </x:c>
      <x:c r="D20" s="20" t="n">
        <x:v>18834</x:v>
      </x:c>
      <x:c r="E20" s="20" t="n">
        <x:v>0</x:v>
      </x:c>
      <x:c r="F20" s="20" t="n">
        <x:f>D20-E20</x:f>
        <x:v>18834</x:v>
      </x:c>
      <x:c r="G20" s="20" t="n">
        <x:f>SUMIFS($F$7:$F$56,$A$7:$A$56,A20,$B$7:$B$56,"&lt;="&amp;B20)</x:f>
        <x:v>387573</x:v>
      </x:c>
      <x:c r="H20" s="20" t="n">
        <x:v>166</x:v>
      </x:c>
      <x:c r="I20" s="20" t="n">
        <x:v>19000</x:v>
      </x:c>
      <x:c r="J20" s="27" t="n">
        <x:v>1</x:v>
      </x:c>
      <x:c r="K20" s="27" t="n">
        <x:v>2</x:v>
      </x:c>
      <x:c r="L20" s="27" t="n">
        <x:v>2</x:v>
      </x:c>
      <x:c r="M20" s="29" t="str">
        <x:v>対照47場</x:v>
      </x:c>
      <x:c r="N20" s="28" t="n">
        <x:v>416.1</x:v>
      </x:c>
      <x:c r="O20" s="28" t="n">
        <x:v>18.866666666666667</x:v>
      </x:c>
    </x:row>
    <x:row r="21" ht="22" customHeight="1">
      <x:c r="A21" s="2" t="str">
        <x:v>M2</x:v>
      </x:c>
      <x:c r="B21" s="24" t="d">
        <x:v>2026-09-30T08:45:00.000Z</x:v>
      </x:c>
      <x:c r="C21" s="2" t="str">
        <x:v>デイ</x:v>
      </x:c>
      <x:c r="D21" s="20" t="n">
        <x:v>80917</x:v>
      </x:c>
      <x:c r="E21" s="20" t="n">
        <x:v>78002</x:v>
      </x:c>
      <x:c r="F21" s="20" t="n">
        <x:f>D21-E21</x:f>
        <x:v>2915</x:v>
      </x:c>
      <x:c r="G21" s="20" t="n">
        <x:f>SUMIFS($F$7:$F$56,$A$7:$A$56,A21,$B$7:$B$56,"&lt;="&amp;B21)</x:f>
        <x:v>390488</x:v>
      </x:c>
      <x:c r="H21" s="20" t="n">
        <x:v>1585</x:v>
      </x:c>
      <x:c r="I21" s="20" t="n">
        <x:v>4500</x:v>
      </x:c>
      <x:c r="J21" s="27" t="n">
        <x:v>5</x:v>
      </x:c>
      <x:c r="K21" s="27" t="n">
        <x:v>19</x:v>
      </x:c>
      <x:c r="L21" s="27" t="n">
        <x:v>5</x:v>
      </x:c>
      <x:c r="M21" s="29" t="str">
        <x:v>対照47場</x:v>
      </x:c>
      <x:c r="N21" s="28" t="n">
        <x:v>70.08333333333333</x:v>
      </x:c>
      <x:c r="O21" s="28" t="n">
        <x:v>162.26666666666668</x:v>
      </x:c>
    </x:row>
    <x:row r="22" ht="22" customHeight="1">
      <x:c r="A22" s="2" t="str">
        <x:v>M2</x:v>
      </x:c>
      <x:c r="B22" s="24" t="d">
        <x:v>2026-09-30T17:00:00.000Z</x:v>
      </x:c>
      <x:c r="C22" s="2" t="str">
        <x:v>ナイト</x:v>
      </x:c>
      <x:c r="D22" s="20" t="n">
        <x:v>21664</x:v>
      </x:c>
      <x:c r="E22" s="20" t="n">
        <x:v>15418</x:v>
      </x:c>
      <x:c r="F22" s="20" t="n">
        <x:f>D22-E22</x:f>
        <x:v>6246</x:v>
      </x:c>
      <x:c r="G22" s="20" t="n">
        <x:f>SUMIFS($F$7:$F$56,$A$7:$A$56,A22,$B$7:$B$56,"&lt;="&amp;B22)</x:f>
        <x:v>396734</x:v>
      </x:c>
      <x:c r="H22" s="20" t="n">
        <x:v>1254</x:v>
      </x:c>
      <x:c r="I22" s="20" t="n">
        <x:v>7500</x:v>
      </x:c>
      <x:c r="J22" s="27" t="n">
        <x:v>3</x:v>
      </x:c>
      <x:c r="K22" s="27" t="n">
        <x:v>15</x:v>
      </x:c>
      <x:c r="L22" s="27" t="n">
        <x:v>5</x:v>
      </x:c>
      <x:c r="M22" s="29" t="str">
        <x:v>対照47場</x:v>
      </x:c>
      <x:c r="N22" s="28" t="n">
        <x:v>368.18333333333334</x:v>
      </x:c>
      <x:c r="O22" s="28" t="n">
        <x:v>56.5</x:v>
      </x:c>
    </x:row>
    <x:row r="23" ht="22" customHeight="1">
      <x:c r="A23" s="2" t="str">
        <x:v>M2</x:v>
      </x:c>
      <x:c r="B23" s="24" t="d">
        <x:v>2026-10-01T08:45:00.000Z</x:v>
      </x:c>
      <x:c r="C23" s="2" t="str">
        <x:v>デイ</x:v>
      </x:c>
      <x:c r="D23" s="20" t="n">
        <x:v>94084</x:v>
      </x:c>
      <x:c r="E23" s="20" t="n">
        <x:v>8166</x:v>
      </x:c>
      <x:c r="F23" s="20" t="n">
        <x:f>D23-E23</x:f>
        <x:v>85918</x:v>
      </x:c>
      <x:c r="G23" s="20" t="n">
        <x:f>SUMIFS($F$7:$F$56,$A$7:$A$56,A23,$B$7:$B$56,"&lt;="&amp;B23)</x:f>
        <x:v>482652</x:v>
      </x:c>
      <x:c r="H23" s="20" t="n">
        <x:v>582</x:v>
      </x:c>
      <x:c r="I23" s="20" t="n">
        <x:v>86500</x:v>
      </x:c>
      <x:c r="J23" s="27" t="n">
        <x:v>2</x:v>
      </x:c>
      <x:c r="K23" s="27" t="n">
        <x:v>7</x:v>
      </x:c>
      <x:c r="L23" s="27" t="n">
        <x:v>5</x:v>
      </x:c>
      <x:c r="M23" s="29" t="str">
        <x:v>対照47場</x:v>
      </x:c>
      <x:c r="N23" s="28" t="n">
        <x:v>87.7</x:v>
      </x:c>
      <x:c r="O23" s="28" t="n">
        <x:v>216.85</x:v>
      </x:c>
    </x:row>
    <x:row r="24" ht="22" customHeight="1">
      <x:c r="A24" s="2" t="str">
        <x:v>M2</x:v>
      </x:c>
      <x:c r="B24" s="24" t="d">
        <x:v>2026-10-01T17:00:00.000Z</x:v>
      </x:c>
      <x:c r="C24" s="2" t="str">
        <x:v>ナイト</x:v>
      </x:c>
      <x:c r="D24" s="20" t="n">
        <x:v>69080</x:v>
      </x:c>
      <x:c r="E24" s="20" t="n">
        <x:v>45836</x:v>
      </x:c>
      <x:c r="F24" s="20" t="n">
        <x:f>D24-E24</x:f>
        <x:v>23244</x:v>
      </x:c>
      <x:c r="G24" s="20" t="n">
        <x:f>SUMIFS($F$7:$F$56,$A$7:$A$56,A24,$B$7:$B$56,"&lt;="&amp;B24)</x:f>
        <x:v>505896</x:v>
      </x:c>
      <x:c r="H24" s="20" t="n">
        <x:v>2256</x:v>
      </x:c>
      <x:c r="I24" s="20" t="n">
        <x:v>25500</x:v>
      </x:c>
      <x:c r="J24" s="27" t="n">
        <x:v>6</x:v>
      </x:c>
      <x:c r="K24" s="27" t="n">
        <x:v>27</x:v>
      </x:c>
      <x:c r="L24" s="27" t="n">
        <x:v>5</x:v>
      </x:c>
      <x:c r="M24" s="29" t="str">
        <x:v>対照47場</x:v>
      </x:c>
      <x:c r="N24" s="28" t="n">
        <x:v>127.45</x:v>
      </x:c>
      <x:c r="O24" s="28" t="n">
        <x:v>105.16666666666667</x:v>
      </x:c>
    </x:row>
    <x:row r="25" ht="22" customHeight="1">
      <x:c r="A25" s="2" t="str">
        <x:v>M2</x:v>
      </x:c>
      <x:c r="B25" s="24" t="d">
        <x:v>2026-10-02T08:45:00.000Z</x:v>
      </x:c>
      <x:c r="C25" s="2" t="str">
        <x:v>デイ</x:v>
      </x:c>
      <x:c r="D25" s="20" t="n">
        <x:v>6834</x:v>
      </x:c>
      <x:c r="E25" s="20" t="n">
        <x:v>37084</x:v>
      </x:c>
      <x:c r="F25" s="20" t="n">
        <x:f>D25-E25</x:f>
        <x:v>-30250</x:v>
      </x:c>
      <x:c r="G25" s="20" t="n">
        <x:f>SUMIFS($F$7:$F$56,$A$7:$A$56,A25,$B$7:$B$56,"&lt;="&amp;B25)</x:f>
        <x:v>475646</x:v>
      </x:c>
      <x:c r="H25" s="20" t="n">
        <x:v>750</x:v>
      </x:c>
      <x:c r="I25" s="20" t="n">
        <x:v>-29500</x:v>
      </x:c>
      <x:c r="J25" s="27" t="n">
        <x:v>3</x:v>
      </x:c>
      <x:c r="K25" s="27" t="n">
        <x:v>9</x:v>
      </x:c>
      <x:c r="L25" s="27" t="n">
        <x:v>5</x:v>
      </x:c>
      <x:c r="M25" s="29" t="str">
        <x:v>対照47場</x:v>
      </x:c>
      <x:c r="N25" s="28" t="n">
        <x:v>68.03333333333333</x:v>
      </x:c>
      <x:c r="O25" s="28" t="n">
        <x:v>207.2</x:v>
      </x:c>
    </x:row>
    <x:row r="26" ht="22" customHeight="1">
      <x:c r="A26" s="2" t="str">
        <x:v>M2</x:v>
      </x:c>
      <x:c r="B26" s="24" t="d">
        <x:v>2026-10-02T17:00:00.000Z</x:v>
      </x:c>
      <x:c r="C26" s="2" t="str">
        <x:v>ナイト</x:v>
      </x:c>
      <x:c r="D26" s="20" t="n">
        <x:v>97082</x:v>
      </x:c>
      <x:c r="E26" s="20" t="n">
        <x:v>67668</x:v>
      </x:c>
      <x:c r="F26" s="20" t="n">
        <x:f>D26-E26</x:f>
        <x:v>29414</x:v>
      </x:c>
      <x:c r="G26" s="20" t="n">
        <x:f>SUMIFS($F$7:$F$56,$A$7:$A$56,A26,$B$7:$B$56,"&lt;="&amp;B26)</x:f>
        <x:v>505060</x:v>
      </x:c>
      <x:c r="H26" s="20" t="n">
        <x:v>1586</x:v>
      </x:c>
      <x:c r="I26" s="20" t="n">
        <x:v>31000</x:v>
      </x:c>
      <x:c r="J26" s="27" t="n">
        <x:v>5</x:v>
      </x:c>
      <x:c r="K26" s="27" t="n">
        <x:v>19</x:v>
      </x:c>
      <x:c r="L26" s="27" t="n">
        <x:v>5</x:v>
      </x:c>
      <x:c r="M26" s="29" t="str">
        <x:v>対照47場</x:v>
      </x:c>
      <x:c r="N26" s="28" t="n">
        <x:v>104.26666666666667</x:v>
      </x:c>
      <x:c r="O26" s="28" t="n">
        <x:v>73.05</x:v>
      </x:c>
    </x:row>
    <x:row r="27" ht="22" customHeight="1">
      <x:c r="A27" s="2" t="str">
        <x:v>M2</x:v>
      </x:c>
      <x:c r="B27" s="24" t="d">
        <x:v>2026-10-05T08:45:00.000Z</x:v>
      </x:c>
      <x:c r="C27" s="2" t="str">
        <x:v>デイ</x:v>
      </x:c>
      <x:c r="D27" s="20" t="n">
        <x:v>33251</x:v>
      </x:c>
      <x:c r="E27" s="20" t="n">
        <x:v>33336</x:v>
      </x:c>
      <x:c r="F27" s="20" t="n">
        <x:f>D27-E27</x:f>
        <x:v>-85</x:v>
      </x:c>
      <x:c r="G27" s="20" t="n">
        <x:f>SUMIFS($F$7:$F$56,$A$7:$A$56,A27,$B$7:$B$56,"&lt;="&amp;B27)</x:f>
        <x:v>504975</x:v>
      </x:c>
      <x:c r="H27" s="20" t="n">
        <x:v>1585</x:v>
      </x:c>
      <x:c r="I27" s="20" t="n">
        <x:v>1500</x:v>
      </x:c>
      <x:c r="J27" s="27" t="n">
        <x:v>5</x:v>
      </x:c>
      <x:c r="K27" s="27" t="n">
        <x:v>19</x:v>
      </x:c>
      <x:c r="L27" s="27" t="n">
        <x:v>5</x:v>
      </x:c>
      <x:c r="M27" s="29" t="str">
        <x:v>対照47場</x:v>
      </x:c>
      <x:c r="N27" s="28" t="n">
        <x:v>81.33333333333333</x:v>
      </x:c>
      <x:c r="O27" s="28" t="n">
        <x:v>178.61666666666667</x:v>
      </x:c>
    </x:row>
    <x:row r="28" ht="22" customHeight="1">
      <x:c r="A28" s="2" t="str">
        <x:v>M2</x:v>
      </x:c>
      <x:c r="B28" s="24" t="d">
        <x:v>2026-10-05T17:00:00.000Z</x:v>
      </x:c>
      <x:c r="C28" s="2" t="str">
        <x:v>ナイト</x:v>
      </x:c>
      <x:c r="D28" s="20" t="n">
        <x:v>18834</x:v>
      </x:c>
      <x:c r="E28" s="20" t="n">
        <x:v>53754</x:v>
      </x:c>
      <x:c r="F28" s="20" t="n">
        <x:f>D28-E28</x:f>
        <x:v>-34920</x:v>
      </x:c>
      <x:c r="G28" s="20" t="n">
        <x:f>SUMIFS($F$7:$F$56,$A$7:$A$56,A28,$B$7:$B$56,"&lt;="&amp;B28)</x:f>
        <x:v>470055</x:v>
      </x:c>
      <x:c r="H28" s="20" t="n">
        <x:v>1420</x:v>
      </x:c>
      <x:c r="I28" s="20" t="n">
        <x:v>-33500</x:v>
      </x:c>
      <x:c r="J28" s="27" t="n">
        <x:v>4</x:v>
      </x:c>
      <x:c r="K28" s="27" t="n">
        <x:v>17</x:v>
      </x:c>
      <x:c r="L28" s="27" t="n">
        <x:v>5</x:v>
      </x:c>
      <x:c r="M28" s="29" t="str">
        <x:v>対照47場</x:v>
      </x:c>
      <x:c r="N28" s="28" t="n">
        <x:v>49.68333333333333</x:v>
      </x:c>
      <x:c r="O28" s="28" t="n">
        <x:v>234.81666666666666</x:v>
      </x:c>
    </x:row>
    <x:row r="29" ht="22" customHeight="1">
      <x:c r="A29" s="2" t="str">
        <x:v>M2</x:v>
      </x:c>
      <x:c r="B29" s="24" t="d">
        <x:v>2026-10-06T08:45:00.000Z</x:v>
      </x:c>
      <x:c r="C29" s="2" t="str">
        <x:v>デイ</x:v>
      </x:c>
      <x:c r="D29" s="20" t="n">
        <x:v>12502</x:v>
      </x:c>
      <x:c r="E29" s="20" t="n">
        <x:v>53582</x:v>
      </x:c>
      <x:c r="F29" s="20" t="n">
        <x:f>D29-E29</x:f>
        <x:v>-41080</x:v>
      </x:c>
      <x:c r="G29" s="20" t="n">
        <x:f>SUMIFS($F$7:$F$56,$A$7:$A$56,A29,$B$7:$B$56,"&lt;="&amp;B29)</x:f>
        <x:v>428975</x:v>
      </x:c>
      <x:c r="H29" s="20" t="n">
        <x:v>1580</x:v>
      </x:c>
      <x:c r="I29" s="20" t="n">
        <x:v>-39500</x:v>
      </x:c>
      <x:c r="J29" s="27" t="n">
        <x:v>8</x:v>
      </x:c>
      <x:c r="K29" s="27" t="n">
        <x:v>19</x:v>
      </x:c>
      <x:c r="L29" s="27" t="n">
        <x:v>5</x:v>
      </x:c>
      <x:c r="M29" s="29" t="str">
        <x:v>対照47場</x:v>
      </x:c>
      <x:c r="N29" s="28" t="n">
        <x:v>49.166666666666664</x:v>
      </x:c>
      <x:c r="O29" s="28" t="n">
        <x:v>119.63333333333334</x:v>
      </x:c>
    </x:row>
    <x:row r="30" ht="22" customHeight="1">
      <x:c r="A30" s="2" t="str">
        <x:v>M2</x:v>
      </x:c>
      <x:c r="B30" s="24" t="d">
        <x:v>2026-10-06T17:00:00.000Z</x:v>
      </x:c>
      <x:c r="C30" s="2" t="str">
        <x:v>ナイト</x:v>
      </x:c>
      <x:c r="D30" s="20" t="n">
        <x:v>0</x:v>
      </x:c>
      <x:c r="E30" s="20" t="n">
        <x:v>40836</x:v>
      </x:c>
      <x:c r="F30" s="20" t="n">
        <x:f>D30-E30</x:f>
        <x:v>-40836</x:v>
      </x:c>
      <x:c r="G30" s="20" t="n">
        <x:f>SUMIFS($F$7:$F$56,$A$7:$A$56,A30,$B$7:$B$56,"&lt;="&amp;B30)</x:f>
        <x:v>388139</x:v>
      </x:c>
      <x:c r="H30" s="20" t="n">
        <x:v>836</x:v>
      </x:c>
      <x:c r="I30" s="20" t="n">
        <x:v>-40000</x:v>
      </x:c>
      <x:c r="J30" s="27" t="n">
        <x:v>2</x:v>
      </x:c>
      <x:c r="K30" s="27" t="n">
        <x:v>10</x:v>
      </x:c>
      <x:c r="L30" s="27" t="n">
        <x:v>5</x:v>
      </x:c>
      <x:c r="M30" s="29" t="str">
        <x:v>対照47場</x:v>
      </x:c>
      <x:c r="N30" s="28" t="n">
        <x:v>367.5</x:v>
      </x:c>
      <x:c r="O30" s="28" t="n">
        <x:v>23.283333333333335</x:v>
      </x:c>
    </x:row>
    <x:row r="31" ht="22" customHeight="1">
      <x:c r="A31" s="2" t="str">
        <x:v>M2</x:v>
      </x:c>
      <x:c r="B31" s="24" t="d">
        <x:v>2026-10-07T08:45:00.000Z</x:v>
      </x:c>
      <x:c r="C31" s="2" t="str">
        <x:v>デイ</x:v>
      </x:c>
      <x:c r="D31" s="20" t="n">
        <x:v>80751</x:v>
      </x:c>
      <x:c r="E31" s="20" t="n">
        <x:v>0</x:v>
      </x:c>
      <x:c r="F31" s="20" t="n">
        <x:f>D31-E31</x:f>
        <x:v>80751</x:v>
      </x:c>
      <x:c r="G31" s="20" t="n">
        <x:f>SUMIFS($F$7:$F$56,$A$7:$A$56,A31,$B$7:$B$56,"&lt;="&amp;B31)</x:f>
        <x:v>468890</x:v>
      </x:c>
      <x:c r="H31" s="20" t="n">
        <x:v>749</x:v>
      </x:c>
      <x:c r="I31" s="20" t="n">
        <x:v>81500</x:v>
      </x:c>
      <x:c r="J31" s="27" t="n">
        <x:v>3</x:v>
      </x:c>
      <x:c r="K31" s="27" t="n">
        <x:v>9</x:v>
      </x:c>
      <x:c r="L31" s="27" t="n">
        <x:v>5</x:v>
      </x:c>
      <x:c r="M31" s="29" t="str">
        <x:v>対照47場</x:v>
      </x:c>
      <x:c r="N31" s="28" t="n">
        <x:v>70.5</x:v>
      </x:c>
      <x:c r="O31" s="28" t="n">
        <x:v>194.3</x:v>
      </x:c>
    </x:row>
    <x:row r="32" ht="22" customHeight="1">
      <x:c r="A32" s="2" t="str">
        <x:v>M2</x:v>
      </x:c>
      <x:c r="B32" s="24" t="d">
        <x:v>2026-10-07T17:00:00.000Z</x:v>
      </x:c>
      <x:c r="C32" s="2" t="str">
        <x:v>ナイト</x:v>
      </x:c>
      <x:c r="D32" s="20" t="n">
        <x:v>20250</x:v>
      </x:c>
      <x:c r="E32" s="20" t="n">
        <x:v>0</x:v>
      </x:c>
      <x:c r="F32" s="20" t="n">
        <x:f>D32-E32</x:f>
        <x:v>20250</x:v>
      </x:c>
      <x:c r="G32" s="20" t="n">
        <x:f>SUMIFS($F$7:$F$56,$A$7:$A$56,A32,$B$7:$B$56,"&lt;="&amp;B32)</x:f>
        <x:v>489140</x:v>
      </x:c>
      <x:c r="H32" s="20" t="n">
        <x:v>750</x:v>
      </x:c>
      <x:c r="I32" s="20" t="n">
        <x:v>21000</x:v>
      </x:c>
      <x:c r="J32" s="27" t="n">
        <x:v>3</x:v>
      </x:c>
      <x:c r="K32" s="27" t="n">
        <x:v>9</x:v>
      </x:c>
      <x:c r="L32" s="27" t="n">
        <x:v>5</x:v>
      </x:c>
      <x:c r="M32" s="29" t="str">
        <x:v>対照47場</x:v>
      </x:c>
      <x:c r="N32" s="28" t="n">
        <x:v>270.65</x:v>
      </x:c>
      <x:c r="O32" s="28" t="n">
        <x:v>41.5</x:v>
      </x:c>
    </x:row>
    <x:row r="33" ht="22" customHeight="1">
      <x:c r="A33" s="2" t="str">
        <x:v>M2</x:v>
      </x:c>
      <x:c r="B33" s="24" t="d">
        <x:v>2026-10-08T08:45:00.000Z</x:v>
      </x:c>
      <x:c r="C33" s="2" t="str">
        <x:v>デイ</x:v>
      </x:c>
      <x:c r="D33" s="20" t="n">
        <x:v>94669</x:v>
      </x:c>
      <x:c r="E33" s="20" t="n">
        <x:v>32584</x:v>
      </x:c>
      <x:c r="F33" s="20" t="n">
        <x:f>D33-E33</x:f>
        <x:v>62085</x:v>
      </x:c>
      <x:c r="G33" s="20" t="n">
        <x:f>SUMIFS($F$7:$F$56,$A$7:$A$56,A33,$B$7:$B$56,"&lt;="&amp;B33)</x:f>
        <x:v>551225</x:v>
      </x:c>
      <x:c r="H33" s="20" t="n">
        <x:v>1915</x:v>
      </x:c>
      <x:c r="I33" s="20" t="n">
        <x:v>64000</x:v>
      </x:c>
      <x:c r="J33" s="27" t="n">
        <x:v>7</x:v>
      </x:c>
      <x:c r="K33" s="27" t="n">
        <x:v>23</x:v>
      </x:c>
      <x:c r="L33" s="27" t="n">
        <x:v>5</x:v>
      </x:c>
      <x:c r="M33" s="29" t="str">
        <x:v>対照47場</x:v>
      </x:c>
      <x:c r="N33" s="28" t="n">
        <x:v>68.13333333333334</x:v>
      </x:c>
      <x:c r="O33" s="28" t="n">
        <x:v>115.66666666666667</x:v>
      </x:c>
    </x:row>
    <x:row r="34" ht="22" customHeight="1">
      <x:c r="A34" s="2" t="str">
        <x:v>M2</x:v>
      </x:c>
      <x:c r="B34" s="24" t="d">
        <x:v>2026-10-08T17:00:00.000Z</x:v>
      </x:c>
      <x:c r="C34" s="2" t="str">
        <x:v>ナイト</x:v>
      </x:c>
      <x:c r="D34" s="20" t="n">
        <x:v>59164</x:v>
      </x:c>
      <x:c r="E34" s="20" t="n">
        <x:v>17918</x:v>
      </x:c>
      <x:c r="F34" s="20" t="n">
        <x:f>D34-E34</x:f>
        <x:v>41246</x:v>
      </x:c>
      <x:c r="G34" s="20" t="n">
        <x:f>SUMIFS($F$7:$F$56,$A$7:$A$56,A34,$B$7:$B$56,"&lt;="&amp;B34)</x:f>
        <x:v>592471</x:v>
      </x:c>
      <x:c r="H34" s="20" t="n">
        <x:v>1254</x:v>
      </x:c>
      <x:c r="I34" s="20" t="n">
        <x:v>42500</x:v>
      </x:c>
      <x:c r="J34" s="27" t="n">
        <x:v>3</x:v>
      </x:c>
      <x:c r="K34" s="27" t="n">
        <x:v>15</x:v>
      </x:c>
      <x:c r="L34" s="27" t="n">
        <x:v>5</x:v>
      </x:c>
      <x:c r="M34" s="29" t="str">
        <x:v>対照47場</x:v>
      </x:c>
      <x:c r="N34" s="28" t="n">
        <x:v>413.2</x:v>
      </x:c>
      <x:c r="O34" s="28" t="n">
        <x:v>72.38333333333334</x:v>
      </x:c>
    </x:row>
    <x:row r="35" ht="22" customHeight="1">
      <x:c r="A35" s="2" t="str">
        <x:v>M2</x:v>
      </x:c>
      <x:c r="B35" s="24" t="d">
        <x:v>2026-10-09T08:45:00.000Z</x:v>
      </x:c>
      <x:c r="C35" s="2" t="str">
        <x:v>デイ</x:v>
      </x:c>
      <x:c r="D35" s="20" t="n">
        <x:v>69084</x:v>
      </x:c>
      <x:c r="E35" s="20" t="n">
        <x:v>30418</x:v>
      </x:c>
      <x:c r="F35" s="20" t="n">
        <x:f>D35-E35</x:f>
        <x:v>38666</x:v>
      </x:c>
      <x:c r="G35" s="20" t="n">
        <x:f>SUMIFS($F$7:$F$56,$A$7:$A$56,A35,$B$7:$B$56,"&lt;="&amp;B35)</x:f>
        <x:v>631137</x:v>
      </x:c>
      <x:c r="H35" s="20" t="n">
        <x:v>834</x:v>
      </x:c>
      <x:c r="I35" s="20" t="n">
        <x:v>39500</x:v>
      </x:c>
      <x:c r="J35" s="27" t="n">
        <x:v>2</x:v>
      </x:c>
      <x:c r="K35" s="27" t="n">
        <x:v>10</x:v>
      </x:c>
      <x:c r="L35" s="27" t="n">
        <x:v>5</x:v>
      </x:c>
      <x:c r="M35" s="29" t="str">
        <x:v>対照47場</x:v>
      </x:c>
      <x:c r="N35" s="28" t="n">
        <x:v>85.61666666666666</x:v>
      </x:c>
      <x:c r="O35" s="28" t="n">
        <x:v>292.01666666666665</x:v>
      </x:c>
    </x:row>
    <x:row r="36" ht="22" customHeight="1">
      <x:c r="A36" s="2" t="str">
        <x:v>M2</x:v>
      </x:c>
      <x:c r="B36" s="24" t="d">
        <x:v>2026-10-09T17:00:00.000Z</x:v>
      </x:c>
      <x:c r="C36" s="2" t="str">
        <x:v>ナイト</x:v>
      </x:c>
      <x:c r="D36" s="20" t="n">
        <x:v>14582</x:v>
      </x:c>
      <x:c r="E36" s="20" t="n">
        <x:v>0</x:v>
      </x:c>
      <x:c r="F36" s="20" t="n">
        <x:f>D36-E36</x:f>
        <x:v>14582</x:v>
      </x:c>
      <x:c r="G36" s="20" t="n">
        <x:f>SUMIFS($F$7:$F$56,$A$7:$A$56,A36,$B$7:$B$56,"&lt;="&amp;B36)</x:f>
        <x:v>645719</x:v>
      </x:c>
      <x:c r="H36" s="20" t="n">
        <x:v>418</x:v>
      </x:c>
      <x:c r="I36" s="20" t="n">
        <x:v>15000</x:v>
      </x:c>
      <x:c r="J36" s="27" t="n">
        <x:v>1</x:v>
      </x:c>
      <x:c r="K36" s="27" t="n">
        <x:v>5</x:v>
      </x:c>
      <x:c r="L36" s="27" t="n">
        <x:v>5</x:v>
      </x:c>
      <x:c r="M36" s="29" t="str">
        <x:v>対照47場</x:v>
      </x:c>
      <x:c r="N36" s="28" t="n">
        <x:v>450</x:v>
      </x:c>
      <x:c r="O36" s="28" t="n">
        <x:v>52.56666666666667</x:v>
      </x:c>
    </x:row>
    <x:row r="37" ht="22" customHeight="1">
      <x:c r="A37" s="2" t="str">
        <x:v>M2</x:v>
      </x:c>
      <x:c r="B37" s="24" t="d">
        <x:v>2026-10-12T08:45:00.000Z</x:v>
      </x:c>
      <x:c r="C37" s="2" t="str">
        <x:v>デイ</x:v>
      </x:c>
      <x:c r="D37" s="20" t="n">
        <x:v>19582</x:v>
      </x:c>
      <x:c r="E37" s="20" t="n">
        <x:v>0</x:v>
      </x:c>
      <x:c r="F37" s="20" t="n">
        <x:f>D37-E37</x:f>
        <x:v>19582</x:v>
      </x:c>
      <x:c r="G37" s="20" t="n">
        <x:f>SUMIFS($F$7:$F$56,$A$7:$A$56,A37,$B$7:$B$56,"&lt;="&amp;B37)</x:f>
        <x:v>665301</x:v>
      </x:c>
      <x:c r="H37" s="20" t="n">
        <x:v>418</x:v>
      </x:c>
      <x:c r="I37" s="20" t="n">
        <x:v>20000</x:v>
      </x:c>
      <x:c r="J37" s="27" t="n">
        <x:v>1</x:v>
      </x:c>
      <x:c r="K37" s="27" t="n">
        <x:v>5</x:v>
      </x:c>
      <x:c r="L37" s="27" t="n">
        <x:v>5</x:v>
      </x:c>
      <x:c r="M37" s="29" t="str">
        <x:v>対照47場</x:v>
      </x:c>
      <x:c r="N37" s="28" t="n">
        <x:v>256</x:v>
      </x:c>
      <x:c r="O37" s="28" t="n">
        <x:v>107</x:v>
      </x:c>
    </x:row>
    <x:row r="38" ht="22" customHeight="1">
      <x:c r="A38" s="2" t="str">
        <x:v>M2</x:v>
      </x:c>
      <x:c r="B38" s="24" t="d">
        <x:v>2026-10-12T17:00:00.000Z</x:v>
      </x:c>
      <x:c r="C38" s="2" t="str">
        <x:v>ナイト</x:v>
      </x:c>
      <x:c r="D38" s="20" t="n">
        <x:v>2082</x:v>
      </x:c>
      <x:c r="E38" s="20" t="n">
        <x:v>0</x:v>
      </x:c>
      <x:c r="F38" s="20" t="n">
        <x:f>D38-E38</x:f>
        <x:v>2082</x:v>
      </x:c>
      <x:c r="G38" s="20" t="n">
        <x:f>SUMIFS($F$7:$F$56,$A$7:$A$56,A38,$B$7:$B$56,"&lt;="&amp;B38)</x:f>
        <x:v>667383</x:v>
      </x:c>
      <x:c r="H38" s="20" t="n">
        <x:v>418</x:v>
      </x:c>
      <x:c r="I38" s="20" t="n">
        <x:v>2500</x:v>
      </x:c>
      <x:c r="J38" s="27" t="n">
        <x:v>1</x:v>
      </x:c>
      <x:c r="K38" s="27" t="n">
        <x:v>5</x:v>
      </x:c>
      <x:c r="L38" s="27" t="n">
        <x:v>5</x:v>
      </x:c>
      <x:c r="M38" s="29" t="str">
        <x:v>対照47場</x:v>
      </x:c>
      <x:c r="N38" s="28" t="n">
        <x:v>369.23333333333335</x:v>
      </x:c>
      <x:c r="O38" s="28" t="n">
        <x:v>4.55</x:v>
      </x:c>
    </x:row>
    <x:row r="39" ht="22" customHeight="1">
      <x:c r="A39" s="2" t="str">
        <x:v>M2</x:v>
      </x:c>
      <x:c r="B39" s="24" t="d">
        <x:v>2026-10-13T08:45:00.000Z</x:v>
      </x:c>
      <x:c r="C39" s="2" t="str">
        <x:v>デイ</x:v>
      </x:c>
      <x:c r="D39" s="20" t="n">
        <x:v>43084</x:v>
      </x:c>
      <x:c r="E39" s="20" t="n">
        <x:v>42918</x:v>
      </x:c>
      <x:c r="F39" s="20" t="n">
        <x:f>D39-E39</x:f>
        <x:v>166</x:v>
      </x:c>
      <x:c r="G39" s="20" t="n">
        <x:f>SUMIFS($F$7:$F$56,$A$7:$A$56,A39,$B$7:$B$56,"&lt;="&amp;B39)</x:f>
        <x:v>667549</x:v>
      </x:c>
      <x:c r="H39" s="20" t="n">
        <x:v>834</x:v>
      </x:c>
      <x:c r="I39" s="20" t="n">
        <x:v>1000</x:v>
      </x:c>
      <x:c r="J39" s="27" t="n">
        <x:v>2</x:v>
      </x:c>
      <x:c r="K39" s="27" t="n">
        <x:v>10</x:v>
      </x:c>
      <x:c r="L39" s="27" t="n">
        <x:v>5</x:v>
      </x:c>
      <x:c r="M39" s="29" t="str">
        <x:v>対照47場</x:v>
      </x:c>
      <x:c r="N39" s="28" t="n">
        <x:v>66.41666666666667</x:v>
      </x:c>
      <x:c r="O39" s="28" t="n">
        <x:v>307.93333333333334</x:v>
      </x:c>
    </x:row>
    <x:row r="40" ht="22" customHeight="1">
      <x:c r="A40" s="2" t="str">
        <x:v>M2</x:v>
      </x:c>
      <x:c r="B40" s="24" t="d">
        <x:v>2026-10-13T17:00:00.000Z</x:v>
      </x:c>
      <x:c r="C40" s="2" t="str">
        <x:v>ナイト</x:v>
      </x:c>
      <x:c r="D40" s="20" t="n">
        <x:v>4582</x:v>
      </x:c>
      <x:c r="E40" s="20" t="n">
        <x:v>0</x:v>
      </x:c>
      <x:c r="F40" s="20" t="n">
        <x:f>D40-E40</x:f>
        <x:v>4582</x:v>
      </x:c>
      <x:c r="G40" s="20" t="n">
        <x:f>SUMIFS($F$7:$F$56,$A$7:$A$56,A40,$B$7:$B$56,"&lt;="&amp;B40)</x:f>
        <x:v>672131</x:v>
      </x:c>
      <x:c r="H40" s="20" t="n">
        <x:v>418</x:v>
      </x:c>
      <x:c r="I40" s="20" t="n">
        <x:v>5000</x:v>
      </x:c>
      <x:c r="J40" s="27" t="n">
        <x:v>1</x:v>
      </x:c>
      <x:c r="K40" s="27" t="n">
        <x:v>5</x:v>
      </x:c>
      <x:c r="L40" s="27" t="n">
        <x:v>5</x:v>
      </x:c>
      <x:c r="M40" s="29" t="str">
        <x:v>対照47場</x:v>
      </x:c>
      <x:c r="N40" s="28" t="n">
        <x:v>362.95</x:v>
      </x:c>
      <x:c r="O40" s="28" t="n">
        <x:v>60.78333333333333</x:v>
      </x:c>
    </x:row>
    <x:row r="41" ht="22" customHeight="1">
      <x:c r="A41" s="2" t="str">
        <x:v>M2</x:v>
      </x:c>
      <x:c r="B41" s="24" t="d">
        <x:v>2026-10-14T08:45:00.000Z</x:v>
      </x:c>
      <x:c r="C41" s="2" t="str">
        <x:v>デイ</x:v>
      </x:c>
      <x:c r="D41" s="20" t="n">
        <x:v>18419</x:v>
      </x:c>
      <x:c r="E41" s="20" t="n">
        <x:v>17918</x:v>
      </x:c>
      <x:c r="F41" s="20" t="n">
        <x:f>D41-E41</x:f>
        <x:v>501</x:v>
      </x:c>
      <x:c r="G41" s="20" t="n">
        <x:f>SUMIFS($F$7:$F$56,$A$7:$A$56,A41,$B$7:$B$56,"&lt;="&amp;B41)</x:f>
        <x:v>672632</x:v>
      </x:c>
      <x:c r="H41" s="20" t="n">
        <x:v>1499</x:v>
      </x:c>
      <x:c r="I41" s="20" t="n">
        <x:v>2000</x:v>
      </x:c>
      <x:c r="J41" s="27" t="n">
        <x:v>6</x:v>
      </x:c>
      <x:c r="K41" s="27" t="n">
        <x:v>18</x:v>
      </x:c>
      <x:c r="L41" s="27" t="n">
        <x:v>5</x:v>
      </x:c>
      <x:c r="M41" s="29" t="str">
        <x:v>対照47場</x:v>
      </x:c>
      <x:c r="N41" s="28" t="n">
        <x:v>44.916666666666664</x:v>
      </x:c>
      <x:c r="O41" s="28" t="n">
        <x:v>285.0833333333333</x:v>
      </x:c>
    </x:row>
    <x:row r="42" ht="22" customHeight="1">
      <x:c r="A42" s="2" t="str">
        <x:v>M2</x:v>
      </x:c>
      <x:c r="B42" s="24" t="d">
        <x:v>2026-10-14T17:00:00.000Z</x:v>
      </x:c>
      <x:c r="C42" s="2" t="str">
        <x:v>ナイト</x:v>
      </x:c>
      <x:c r="D42" s="20" t="n">
        <x:v>64164</x:v>
      </x:c>
      <x:c r="E42" s="20" t="n">
        <x:v>63754</x:v>
      </x:c>
      <x:c r="F42" s="20" t="n">
        <x:f>D42-E42</x:f>
        <x:v>410</x:v>
      </x:c>
      <x:c r="G42" s="20" t="n">
        <x:f>SUMIFS($F$7:$F$56,$A$7:$A$56,A42,$B$7:$B$56,"&lt;="&amp;B42)</x:f>
        <x:v>673042</x:v>
      </x:c>
      <x:c r="H42" s="20" t="n">
        <x:v>2090</x:v>
      </x:c>
      <x:c r="I42" s="20" t="n">
        <x:v>2500</x:v>
      </x:c>
      <x:c r="J42" s="27" t="n">
        <x:v>5</x:v>
      </x:c>
      <x:c r="K42" s="27" t="n">
        <x:v>25</x:v>
      </x:c>
      <x:c r="L42" s="27" t="n">
        <x:v>5</x:v>
      </x:c>
      <x:c r="M42" s="29" t="str">
        <x:v>対照47場</x:v>
      </x:c>
      <x:c r="N42" s="28" t="n">
        <x:v>360.01666666666665</x:v>
      </x:c>
      <x:c r="O42" s="28" t="n">
        <x:v>152.31666666666666</x:v>
      </x:c>
    </x:row>
    <x:row r="43" ht="22" customHeight="1">
      <x:c r="A43" s="2" t="str">
        <x:v>M2</x:v>
      </x:c>
      <x:c r="B43" s="24" t="d">
        <x:v>2026-10-15T08:45:00.000Z</x:v>
      </x:c>
      <x:c r="C43" s="2" t="str">
        <x:v>デイ</x:v>
      </x:c>
      <x:c r="D43" s="20" t="n">
        <x:v>139917</x:v>
      </x:c>
      <x:c r="E43" s="20" t="n">
        <x:v>52502</x:v>
      </x:c>
      <x:c r="F43" s="20" t="n">
        <x:f>D43-E43</x:f>
        <x:v>87415</x:v>
      </x:c>
      <x:c r="G43" s="20" t="n">
        <x:f>SUMIFS($F$7:$F$56,$A$7:$A$56,A43,$B$7:$B$56,"&lt;="&amp;B43)</x:f>
        <x:v>760457</x:v>
      </x:c>
      <x:c r="H43" s="20" t="n">
        <x:v>1585</x:v>
      </x:c>
      <x:c r="I43" s="20" t="n">
        <x:v>89000</x:v>
      </x:c>
      <x:c r="J43" s="27" t="n">
        <x:v>5</x:v>
      </x:c>
      <x:c r="K43" s="27" t="n">
        <x:v>19</x:v>
      </x:c>
      <x:c r="L43" s="27" t="n">
        <x:v>5</x:v>
      </x:c>
      <x:c r="M43" s="29" t="str">
        <x:v>対照47場</x:v>
      </x:c>
      <x:c r="N43" s="28" t="n">
        <x:v>67.7</x:v>
      </x:c>
      <x:c r="O43" s="28" t="n">
        <x:v>234.36666666666667</x:v>
      </x:c>
    </x:row>
    <x:row r="44" ht="22" customHeight="1">
      <x:c r="A44" s="2" t="str">
        <x:v>M2</x:v>
      </x:c>
      <x:c r="B44" s="24" t="d">
        <x:v>2026-10-15T17:00:00.000Z</x:v>
      </x:c>
      <x:c r="C44" s="2" t="str">
        <x:v>ナイト</x:v>
      </x:c>
      <x:c r="D44" s="20" t="n">
        <x:v>80498</x:v>
      </x:c>
      <x:c r="E44" s="20" t="n">
        <x:v>33754</x:v>
      </x:c>
      <x:c r="F44" s="20" t="n">
        <x:f>D44-E44</x:f>
        <x:v>46744</x:v>
      </x:c>
      <x:c r="G44" s="20" t="n">
        <x:f>SUMIFS($F$7:$F$56,$A$7:$A$56,A44,$B$7:$B$56,"&lt;="&amp;B44)</x:f>
        <x:v>807201</x:v>
      </x:c>
      <x:c r="H44" s="20" t="n">
        <x:v>2256</x:v>
      </x:c>
      <x:c r="I44" s="20" t="n">
        <x:v>49000</x:v>
      </x:c>
      <x:c r="J44" s="27" t="n">
        <x:v>6</x:v>
      </x:c>
      <x:c r="K44" s="27" t="n">
        <x:v>27</x:v>
      </x:c>
      <x:c r="L44" s="27" t="n">
        <x:v>5</x:v>
      </x:c>
      <x:c r="M44" s="29" t="str">
        <x:v>対照47場</x:v>
      </x:c>
      <x:c r="N44" s="28" t="n">
        <x:v>361.3333333333333</x:v>
      </x:c>
      <x:c r="O44" s="28" t="n">
        <x:v>87.93333333333334</x:v>
      </x:c>
    </x:row>
    <x:row r="45" ht="22" customHeight="1">
      <x:c r="A45" s="2" t="str">
        <x:v>M2</x:v>
      </x:c>
      <x:c r="B45" s="24" t="d">
        <x:v>2026-10-16T08:45:00.000Z</x:v>
      </x:c>
      <x:c r="C45" s="2" t="str">
        <x:v>デイ</x:v>
      </x:c>
      <x:c r="D45" s="20" t="n">
        <x:v>0</x:v>
      </x:c>
      <x:c r="E45" s="20" t="n">
        <x:v>16166</x:v>
      </x:c>
      <x:c r="F45" s="20" t="n">
        <x:f>D45-E45</x:f>
        <x:v>-16166</x:v>
      </x:c>
      <x:c r="G45" s="20" t="n">
        <x:f>SUMIFS($F$7:$F$56,$A$7:$A$56,A45,$B$7:$B$56,"&lt;="&amp;B45)</x:f>
        <x:v>791035</x:v>
      </x:c>
      <x:c r="H45" s="20" t="n">
        <x:v>166</x:v>
      </x:c>
      <x:c r="I45" s="20" t="n">
        <x:v>-16000</x:v>
      </x:c>
      <x:c r="J45" s="27" t="n">
        <x:v>1</x:v>
      </x:c>
      <x:c r="K45" s="27" t="n">
        <x:v>2</x:v>
      </x:c>
      <x:c r="L45" s="27" t="n">
        <x:v>2</x:v>
      </x:c>
      <x:c r="M45" s="29" t="str">
        <x:v>対照47場</x:v>
      </x:c>
      <x:c r="N45" s="28" t="n">
        <x:v>55.86666666666667</x:v>
      </x:c>
      <x:c r="O45" s="28" t="n">
        <x:v>354.1333333333333</x:v>
      </x:c>
    </x:row>
    <x:row r="46" ht="22" customHeight="1">
      <x:c r="A46" s="2" t="str">
        <x:v>M2</x:v>
      </x:c>
      <x:c r="B46" s="24" t="d">
        <x:v>2026-10-16T17:00:00.000Z</x:v>
      </x:c>
      <x:c r="C46" s="2" t="str">
        <x:v>ナイト</x:v>
      </x:c>
      <x:c r="D46" s="20" t="n">
        <x:v>155498</x:v>
      </x:c>
      <x:c r="E46" s="20" t="n">
        <x:v>37084</x:v>
      </x:c>
      <x:c r="F46" s="20" t="n">
        <x:f>D46-E46</x:f>
        <x:v>118414</x:v>
      </x:c>
      <x:c r="G46" s="20" t="n">
        <x:f>SUMIFS($F$7:$F$56,$A$7:$A$56,A46,$B$7:$B$56,"&lt;="&amp;B46)</x:f>
        <x:v>909449</x:v>
      </x:c>
      <x:c r="H46" s="20" t="n">
        <x:v>1586</x:v>
      </x:c>
      <x:c r="I46" s="20" t="n">
        <x:v>120000</x:v>
      </x:c>
      <x:c r="J46" s="27" t="n">
        <x:v>5</x:v>
      </x:c>
      <x:c r="K46" s="27" t="n">
        <x:v>19</x:v>
      </x:c>
      <x:c r="L46" s="27" t="n">
        <x:v>5</x:v>
      </x:c>
      <x:c r="M46" s="29" t="str">
        <x:v>対照47場</x:v>
      </x:c>
      <x:c r="N46" s="28" t="n">
        <x:v>355.5833333333333</x:v>
      </x:c>
      <x:c r="O46" s="28" t="n">
        <x:v>131.03333333333333</x:v>
      </x:c>
    </x:row>
    <x:row r="47" ht="22" customHeight="1">
      <x:c r="A47" s="2" t="str">
        <x:v>M2</x:v>
      </x:c>
      <x:c r="B47" s="24" t="d">
        <x:v>2026-10-19T08:45:00.000Z</x:v>
      </x:c>
      <x:c r="C47" s="2" t="str">
        <x:v>デイ</x:v>
      </x:c>
      <x:c r="D47" s="20" t="n">
        <x:v>118083</x:v>
      </x:c>
      <x:c r="E47" s="20" t="n">
        <x:v>47918</x:v>
      </x:c>
      <x:c r="F47" s="20" t="n">
        <x:f>D47-E47</x:f>
        <x:v>70165</x:v>
      </x:c>
      <x:c r="G47" s="20" t="n">
        <x:f>SUMIFS($F$7:$F$56,$A$7:$A$56,A47,$B$7:$B$56,"&lt;="&amp;B47)</x:f>
        <x:v>979614</x:v>
      </x:c>
      <x:c r="H47" s="20" t="n">
        <x:v>835</x:v>
      </x:c>
      <x:c r="I47" s="20" t="n">
        <x:v>71000</x:v>
      </x:c>
      <x:c r="J47" s="27" t="n">
        <x:v>2</x:v>
      </x:c>
      <x:c r="K47" s="27" t="n">
        <x:v>10</x:v>
      </x:c>
      <x:c r="L47" s="27" t="n">
        <x:v>5</x:v>
      </x:c>
      <x:c r="M47" s="29" t="str">
        <x:v>対照47場</x:v>
      </x:c>
      <x:c r="N47" s="28" t="n">
        <x:v>66.71666666666667</x:v>
      </x:c>
      <x:c r="O47" s="28" t="n">
        <x:v>321.96666666666664</x:v>
      </x:c>
    </x:row>
    <x:row r="48" ht="22" customHeight="1">
      <x:c r="A48" s="2" t="str">
        <x:v>M2</x:v>
      </x:c>
      <x:c r="B48" s="24" t="d">
        <x:v>2026-10-19T17:00:00.000Z</x:v>
      </x:c>
      <x:c r="C48" s="2" t="str">
        <x:v>ナイト</x:v>
      </x:c>
      <x:c r="D48" s="20" t="n">
        <x:v>46498</x:v>
      </x:c>
      <x:c r="E48" s="20" t="n">
        <x:v>38336</x:v>
      </x:c>
      <x:c r="F48" s="20" t="n">
        <x:f>D48-E48</x:f>
        <x:v>8162</x:v>
      </x:c>
      <x:c r="G48" s="20" t="n">
        <x:f>SUMIFS($F$7:$F$56,$A$7:$A$56,A48,$B$7:$B$56,"&lt;="&amp;B48)</x:f>
        <x:v>987776</x:v>
      </x:c>
      <x:c r="H48" s="20" t="n">
        <x:v>1838</x:v>
      </x:c>
      <x:c r="I48" s="20" t="n">
        <x:v>10000</x:v>
      </x:c>
      <x:c r="J48" s="27" t="n">
        <x:v>5</x:v>
      </x:c>
      <x:c r="K48" s="27" t="n">
        <x:v>22</x:v>
      </x:c>
      <x:c r="L48" s="27" t="n">
        <x:v>5</x:v>
      </x:c>
      <x:c r="M48" s="29" t="str">
        <x:v>対照47場</x:v>
      </x:c>
      <x:c r="N48" s="28" t="n">
        <x:v>352.01666666666665</x:v>
      </x:c>
      <x:c r="O48" s="28" t="n">
        <x:v>109.6</x:v>
      </x:c>
    </x:row>
    <x:row r="49" ht="22" customHeight="1">
      <x:c r="A49" s="2" t="str">
        <x:v>M2</x:v>
      </x:c>
      <x:c r="B49" s="24" t="d">
        <x:v>2026-10-20T08:45:00.000Z</x:v>
      </x:c>
      <x:c r="C49" s="2" t="str">
        <x:v>デイ</x:v>
      </x:c>
      <x:c r="D49" s="20" t="n">
        <x:v>52502</x:v>
      </x:c>
      <x:c r="E49" s="20" t="n">
        <x:v>85834</x:v>
      </x:c>
      <x:c r="F49" s="20" t="n">
        <x:f>D49-E49</x:f>
        <x:v>-33332</x:v>
      </x:c>
      <x:c r="G49" s="20" t="n">
        <x:f>SUMIFS($F$7:$F$56,$A$7:$A$56,A49,$B$7:$B$56,"&lt;="&amp;B49)</x:f>
        <x:v>954444</x:v>
      </x:c>
      <x:c r="H49" s="20" t="n">
        <x:v>1832</x:v>
      </x:c>
      <x:c r="I49" s="20" t="n">
        <x:v>-31500</x:v>
      </x:c>
      <x:c r="J49" s="27" t="n">
        <x:v>8</x:v>
      </x:c>
      <x:c r="K49" s="27" t="n">
        <x:v>22</x:v>
      </x:c>
      <x:c r="L49" s="27" t="n">
        <x:v>5</x:v>
      </x:c>
      <x:c r="M49" s="29" t="str">
        <x:v>対照47場</x:v>
      </x:c>
      <x:c r="N49" s="28" t="n">
        <x:v>69.8</x:v>
      </x:c>
      <x:c r="O49" s="28" t="n">
        <x:v>167.01666666666668</x:v>
      </x:c>
    </x:row>
    <x:row r="50" ht="22" customHeight="1">
      <x:c r="A50" s="2" t="str">
        <x:v>M2</x:v>
      </x:c>
      <x:c r="B50" s="24" t="d">
        <x:v>2026-10-20T17:00:00.000Z</x:v>
      </x:c>
      <x:c r="C50" s="2" t="str">
        <x:v>ナイト</x:v>
      </x:c>
      <x:c r="D50" s="20" t="n">
        <x:v>84582</x:v>
      </x:c>
      <x:c r="E50" s="20" t="n">
        <x:v>66502</x:v>
      </x:c>
      <x:c r="F50" s="20" t="n">
        <x:f>D50-E50</x:f>
        <x:v>18080</x:v>
      </x:c>
      <x:c r="G50" s="20" t="n">
        <x:f>SUMIFS($F$7:$F$56,$A$7:$A$56,A50,$B$7:$B$56,"&lt;="&amp;B50)</x:f>
        <x:v>972524</x:v>
      </x:c>
      <x:c r="H50" s="20" t="n">
        <x:v>1420</x:v>
      </x:c>
      <x:c r="I50" s="20" t="n">
        <x:v>19500</x:v>
      </x:c>
      <x:c r="J50" s="27" t="n">
        <x:v>4</x:v>
      </x:c>
      <x:c r="K50" s="27" t="n">
        <x:v>17</x:v>
      </x:c>
      <x:c r="L50" s="27" t="n">
        <x:v>5</x:v>
      </x:c>
      <x:c r="M50" s="29" t="str">
        <x:v>対照47場</x:v>
      </x:c>
      <x:c r="N50" s="28" t="n">
        <x:v>367.26666666666665</x:v>
      </x:c>
      <x:c r="O50" s="28" t="n">
        <x:v>66.35</x:v>
      </x:c>
    </x:row>
    <x:row r="51" ht="22" customHeight="1">
      <x:c r="A51" s="2" t="str">
        <x:v>M2</x:v>
      </x:c>
      <x:c r="B51" s="24" t="d">
        <x:v>2026-10-21T08:45:00.000Z</x:v>
      </x:c>
      <x:c r="C51" s="2" t="str">
        <x:v>デイ</x:v>
      </x:c>
      <x:c r="D51" s="20" t="n">
        <x:v>54253</x:v>
      </x:c>
      <x:c r="E51" s="20" t="n">
        <x:v>46250</x:v>
      </x:c>
      <x:c r="F51" s="20" t="n">
        <x:f>D51-E51</x:f>
        <x:v>8003</x:v>
      </x:c>
      <x:c r="G51" s="20" t="n">
        <x:f>SUMIFS($F$7:$F$56,$A$7:$A$56,A51,$B$7:$B$56,"&lt;="&amp;B51)</x:f>
        <x:v>980527</x:v>
      </x:c>
      <x:c r="H51" s="20" t="n">
        <x:v>1997</x:v>
      </x:c>
      <x:c r="I51" s="20" t="n">
        <x:v>10000</x:v>
      </x:c>
      <x:c r="J51" s="27" t="n">
        <x:v>9</x:v>
      </x:c>
      <x:c r="K51" s="27" t="n">
        <x:v>24</x:v>
      </x:c>
      <x:c r="L51" s="27" t="n">
        <x:v>5</x:v>
      </x:c>
      <x:c r="M51" s="29" t="str">
        <x:v>対照47場</x:v>
      </x:c>
      <x:c r="N51" s="28" t="n">
        <x:v>50.083333333333336</x:v>
      </x:c>
      <x:c r="O51" s="28" t="n">
        <x:v>191.18333333333334</x:v>
      </x:c>
    </x:row>
    <x:row r="52" ht="22" customHeight="1">
      <x:c r="A52" s="2" t="str">
        <x:v>M2</x:v>
      </x:c>
      <x:c r="B52" s="24" t="d">
        <x:v>2026-10-21T17:00:00.000Z</x:v>
      </x:c>
      <x:c r="C52" s="2" t="str">
        <x:v>ナイト</x:v>
      </x:c>
      <x:c r="D52" s="20" t="n">
        <x:v>24164</x:v>
      </x:c>
      <x:c r="E52" s="20" t="n">
        <x:v>22918</x:v>
      </x:c>
      <x:c r="F52" s="20" t="n">
        <x:f>D52-E52</x:f>
        <x:v>1246</x:v>
      </x:c>
      <x:c r="G52" s="20" t="n">
        <x:f>SUMIFS($F$7:$F$56,$A$7:$A$56,A52,$B$7:$B$56,"&lt;="&amp;B52)</x:f>
        <x:v>981773</x:v>
      </x:c>
      <x:c r="H52" s="20" t="n">
        <x:v>1254</x:v>
      </x:c>
      <x:c r="I52" s="20" t="n">
        <x:v>2500</x:v>
      </x:c>
      <x:c r="J52" s="27" t="n">
        <x:v>3</x:v>
      </x:c>
      <x:c r="K52" s="27" t="n">
        <x:v>15</x:v>
      </x:c>
      <x:c r="L52" s="27" t="n">
        <x:v>5</x:v>
      </x:c>
      <x:c r="M52" s="29" t="str">
        <x:v>対照47場</x:v>
      </x:c>
      <x:c r="N52" s="28" t="n">
        <x:v>393.3</x:v>
      </x:c>
      <x:c r="O52" s="28" t="n">
        <x:v>121.51666666666667</x:v>
      </x:c>
    </x:row>
    <x:row r="53" ht="22" customHeight="1">
      <x:c r="A53" s="2" t="str">
        <x:v>M2</x:v>
      </x:c>
      <x:c r="B53" s="24" t="d">
        <x:v>2026-10-22T08:45:00.000Z</x:v>
      </x:c>
      <x:c r="C53" s="2" t="str">
        <x:v>デイ</x:v>
      </x:c>
      <x:c r="D53" s="20" t="n">
        <x:v>87417</x:v>
      </x:c>
      <x:c r="E53" s="20" t="n">
        <x:v>62750</x:v>
      </x:c>
      <x:c r="F53" s="20" t="n">
        <x:f>D53-E53</x:f>
        <x:v>24667</x:v>
      </x:c>
      <x:c r="G53" s="20" t="n">
        <x:f>SUMIFS($F$7:$F$56,$A$7:$A$56,A53,$B$7:$B$56,"&lt;="&amp;B53)</x:f>
        <x:v>1006440</x:v>
      </x:c>
      <x:c r="H53" s="20" t="n">
        <x:v>1333</x:v>
      </x:c>
      <x:c r="I53" s="20" t="n">
        <x:v>26000</x:v>
      </x:c>
      <x:c r="J53" s="27" t="n">
        <x:v>5</x:v>
      </x:c>
      <x:c r="K53" s="27" t="n">
        <x:v>16</x:v>
      </x:c>
      <x:c r="L53" s="27" t="n">
        <x:v>5</x:v>
      </x:c>
      <x:c r="M53" s="29" t="str">
        <x:v>対照47場</x:v>
      </x:c>
      <x:c r="N53" s="28" t="n">
        <x:v>79.76666666666667</x:v>
      </x:c>
      <x:c r="O53" s="28" t="n">
        <x:v>217.73333333333332</x:v>
      </x:c>
    </x:row>
    <x:row r="54" ht="22" customHeight="1">
      <x:c r="A54" s="2" t="str">
        <x:v>M2</x:v>
      </x:c>
      <x:c r="B54" s="24" t="d">
        <x:v>2026-10-22T17:00:00.000Z</x:v>
      </x:c>
      <x:c r="C54" s="2" t="str">
        <x:v>ナイト</x:v>
      </x:c>
      <x:c r="D54" s="20" t="n">
        <x:v>82914</x:v>
      </x:c>
      <x:c r="E54" s="20" t="n">
        <x:v>46002</x:v>
      </x:c>
      <x:c r="F54" s="20" t="n">
        <x:f>D54-E54</x:f>
        <x:v>36912</x:v>
      </x:c>
      <x:c r="G54" s="20" t="n">
        <x:f>SUMIFS($F$7:$F$56,$A$7:$A$56,A54,$B$7:$B$56,"&lt;="&amp;B54)</x:f>
        <x:v>1043352</x:v>
      </x:c>
      <x:c r="H54" s="20" t="n">
        <x:v>2588</x:v>
      </x:c>
      <x:c r="I54" s="20" t="n">
        <x:v>39500</x:v>
      </x:c>
      <x:c r="J54" s="27" t="n">
        <x:v>8</x:v>
      </x:c>
      <x:c r="K54" s="27" t="n">
        <x:v>31</x:v>
      </x:c>
      <x:c r="L54" s="27" t="n">
        <x:v>5</x:v>
      </x:c>
      <x:c r="M54" s="29" t="str">
        <x:v>診断3場</x:v>
      </x:c>
      <x:c r="N54" s="28" t="n">
        <x:v>71.33333333333333</x:v>
      </x:c>
      <x:c r="O54" s="28" t="n">
        <x:v>83.48333333333333</x:v>
      </x:c>
    </x:row>
    <x:row r="55" ht="22" customHeight="1">
      <x:c r="A55" s="2" t="str">
        <x:v>M2</x:v>
      </x:c>
      <x:c r="B55" s="24" t="d">
        <x:v>2026-10-23T08:45:00.000Z</x:v>
      </x:c>
      <x:c r="C55" s="2" t="str">
        <x:v>デイ</x:v>
      </x:c>
      <x:c r="D55" s="20" t="n">
        <x:v>59336</x:v>
      </x:c>
      <x:c r="E55" s="20" t="n">
        <x:v>127664</x:v>
      </x:c>
      <x:c r="F55" s="20" t="n">
        <x:f>D55-E55</x:f>
        <x:v>-68328</x:v>
      </x:c>
      <x:c r="G55" s="20" t="n">
        <x:f>SUMIFS($F$7:$F$56,$A$7:$A$56,A55,$B$7:$B$56,"&lt;="&amp;B55)</x:f>
        <x:v>975024</x:v>
      </x:c>
      <x:c r="H55" s="20" t="n">
        <x:v>1828</x:v>
      </x:c>
      <x:c r="I55" s="20" t="n">
        <x:v>-66500</x:v>
      </x:c>
      <x:c r="J55" s="27" t="n">
        <x:v>10</x:v>
      </x:c>
      <x:c r="K55" s="27" t="n">
        <x:v>22</x:v>
      </x:c>
      <x:c r="L55" s="27" t="n">
        <x:v>5</x:v>
      </x:c>
      <x:c r="M55" s="29" t="str">
        <x:v>診断3場</x:v>
      </x:c>
      <x:c r="N55" s="28" t="n">
        <x:v>43.95</x:v>
      </x:c>
      <x:c r="O55" s="28" t="n">
        <x:v>194.26666666666668</x:v>
      </x:c>
    </x:row>
    <x:row r="56" ht="22" customHeight="1">
      <x:c r="A56" s="2" t="str">
        <x:v>M2</x:v>
      </x:c>
      <x:c r="B56" s="24" t="d">
        <x:v>2026-10-23T17:00:00.000Z</x:v>
      </x:c>
      <x:c r="C56" s="2" t="str">
        <x:v>ナイト</x:v>
      </x:c>
      <x:c r="D56" s="20" t="n">
        <x:v>39750</x:v>
      </x:c>
      <x:c r="E56" s="20" t="n">
        <x:v>18166</x:v>
      </x:c>
      <x:c r="F56" s="20" t="n">
        <x:f>D56-E56</x:f>
        <x:v>21584</x:v>
      </x:c>
      <x:c r="G56" s="20" t="n">
        <x:f>SUMIFS($F$7:$F$56,$A$7:$A$56,A56,$B$7:$B$56,"&lt;="&amp;B56)</x:f>
        <x:v>996608</x:v>
      </x:c>
      <x:c r="H56" s="20" t="n">
        <x:v>916</x:v>
      </x:c>
      <x:c r="I56" s="20" t="n">
        <x:v>22500</x:v>
      </x:c>
      <x:c r="J56" s="27" t="n">
        <x:v>4</x:v>
      </x:c>
      <x:c r="K56" s="27" t="n">
        <x:v>11</x:v>
      </x:c>
      <x:c r="L56" s="27" t="n">
        <x:v>5</x:v>
      </x:c>
      <x:c r="M56" s="29" t="str">
        <x:v>診断3場</x:v>
      </x:c>
      <x:c r="N56" s="28" t="n">
        <x:v>125.96666666666667</x:v>
      </x:c>
      <x:c r="O56" s="28" t="n">
        <x:v>74.86666666666666</x:v>
      </x:c>
    </x:row>
  </x:sheetData>
  <x:conditionalFormatting sqref="D7:I56">
    <x:cfRule type="cellIs" dxfId="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b85648756d547d5"/>
  </x:tableParts>
</x:worksheet>
</file>