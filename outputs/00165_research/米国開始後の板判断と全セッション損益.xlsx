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84c84625a4e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9b48d9e08a40419c"/>
    <x:sheet xmlns:r="http://schemas.openxmlformats.org/officeDocument/2006/relationships" name="日経_U164_00" sheetId="2" r:id="Re030cb45602646b1"/>
    <x:sheet xmlns:r="http://schemas.openxmlformats.org/officeDocument/2006/relationships" name="日経_U165_01" sheetId="3" r:id="R74acd0ee110546fd"/>
    <x:sheet xmlns:r="http://schemas.openxmlformats.org/officeDocument/2006/relationships" name="日経_U165_02" sheetId="4" r:id="R36e34e6d59174a6a"/>
    <x:sheet xmlns:r="http://schemas.openxmlformats.org/officeDocument/2006/relationships" name="日経_U165_03" sheetId="5" r:id="Rb841f5d1e1dc483f"/>
    <x:sheet xmlns:r="http://schemas.openxmlformats.org/officeDocument/2006/relationships" name="日経_U165_04" sheetId="6" r:id="R73dc9869d59f4f2b"/>
    <x:sheet xmlns:r="http://schemas.openxmlformats.org/officeDocument/2006/relationships" name="日経_U165_05" sheetId="7" r:id="Re66a285a147e4a8e"/>
    <x:sheet xmlns:r="http://schemas.openxmlformats.org/officeDocument/2006/relationships" name="日経_U165_06" sheetId="8" r:id="R7460c2df937f49fa"/>
    <x:sheet xmlns:r="http://schemas.openxmlformats.org/officeDocument/2006/relationships" name="日経_U165_07" sheetId="9" r:id="R022b80cb69ee4a93"/>
    <x:sheet xmlns:r="http://schemas.openxmlformats.org/officeDocument/2006/relationships" name="日経_U165_08" sheetId="10" r:id="Rdffc800e4e4844c2"/>
    <x:sheet xmlns:r="http://schemas.openxmlformats.org/officeDocument/2006/relationships" name="日経_U165_09" sheetId="11" r:id="Re0be33dce05f44df"/>
    <x:sheet xmlns:r="http://schemas.openxmlformats.org/officeDocument/2006/relationships" name="日経_U165_10" sheetId="12" r:id="R31d2c2345239497d"/>
    <x:sheet xmlns:r="http://schemas.openxmlformats.org/officeDocument/2006/relationships" name="日経_U165_11" sheetId="13" r:id="Rc007fb471e1b4416"/>
    <x:sheet xmlns:r="http://schemas.openxmlformats.org/officeDocument/2006/relationships" name="日経_U165_12" sheetId="14" r:id="R049a2fee8268488a"/>
    <x:sheet xmlns:r="http://schemas.openxmlformats.org/officeDocument/2006/relationships" name="日経_U165_13" sheetId="15" r:id="R387c9e2bc99640d7"/>
    <x:sheet xmlns:r="http://schemas.openxmlformats.org/officeDocument/2006/relationships" name="日経_U165_14" sheetId="16" r:id="R50d85633107c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&quot;—&quot;"/>
    <x:numFmt numFmtId="201" formatCode="#,##0"/>
    <x:numFmt numFmtId="202" formatCode="0.0;[Red](0.0);&quot;—&quot;"/>
    <x:numFmt numFmtId="203" formatCode="0.0%"/>
  </x:numFmts>
  <x:fonts count="7">
    <x:font>
      <x:sz val="11"/>
      <x:name val="Carlito"/>
    </x:font>
    <x:font>
      <x:sz val="10"/>
      <x:color rgb="FF20384D"/>
      <x:name val="Yu Gothic"/>
    </x:font>
    <x:font>
      <x:b/>
      <x:sz val="14"/>
      <x:color rgb="FF20384D"/>
      <x:name val="Yu Gothic"/>
    </x:font>
    <x:font>
      <x:sz val="10"/>
      <x:color rgb="FF536B80"/>
      <x:name val="Yu Gothic"/>
    </x:font>
    <x:font>
      <x:b/>
      <x:sz val="10"/>
      <x:color rgb="FF20384D"/>
      <x:name val="Yu Gothic"/>
    </x:font>
    <x:font>
      <x:b/>
      <x:sz val="10"/>
      <x:color rgb="FFFFFFFF"/>
      <x:name val="Yu Gothic"/>
    </x:font>
    <x:font>
      <x:b/>
      <x:sz val="12"/>
      <x:color rgb="FF20384D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64D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/>
    </x:xf>
    <x:xf numFmtId="200" fontId="5" fillId="2" borderId="0" xfId="0" applyNumberFormat="1" applyFont="1" applyFill="1" applyBorder="1" applyAlignment="1">
      <x:alignment horizontal="right"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9"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  <x:dxf>
      <x:font>
        <x:color rgb="FF9C2632"/>
      </x:font>
      <x:fill>
        <x:patternFill patternType="solid">
          <x:bgColor rgb="FFFBE9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f748bf0554389" /><Relationship Type="http://schemas.openxmlformats.org/officeDocument/2006/relationships/theme" Target="/xl/theme/theme1.xml" Id="Rfb47518c5f7048a2" /><Relationship Type="http://schemas.openxmlformats.org/officeDocument/2006/relationships/sharedStrings" Target="/xl/sharedStrings.xml" Id="Rf15734f9b8e745ee" /><Relationship Type="http://schemas.openxmlformats.org/officeDocument/2006/relationships/worksheet" Target="/xl/worksheets/sheet1.xml" Id="R9b48d9e08a40419c" /><Relationship Type="http://schemas.openxmlformats.org/officeDocument/2006/relationships/worksheet" Target="/xl/worksheets/sheet2.xml" Id="Re030cb45602646b1" /><Relationship Type="http://schemas.openxmlformats.org/officeDocument/2006/relationships/worksheet" Target="/xl/worksheets/sheet3.xml" Id="R74acd0ee110546fd" /><Relationship Type="http://schemas.openxmlformats.org/officeDocument/2006/relationships/worksheet" Target="/xl/worksheets/sheet4.xml" Id="R36e34e6d59174a6a" /><Relationship Type="http://schemas.openxmlformats.org/officeDocument/2006/relationships/worksheet" Target="/xl/worksheets/sheet5.xml" Id="Rb841f5d1e1dc483f" /><Relationship Type="http://schemas.openxmlformats.org/officeDocument/2006/relationships/worksheet" Target="/xl/worksheets/sheet6.xml" Id="R73dc9869d59f4f2b" /><Relationship Type="http://schemas.openxmlformats.org/officeDocument/2006/relationships/worksheet" Target="/xl/worksheets/sheet7.xml" Id="Re66a285a147e4a8e" /><Relationship Type="http://schemas.openxmlformats.org/officeDocument/2006/relationships/worksheet" Target="/xl/worksheets/sheet8.xml" Id="R7460c2df937f49fa" /><Relationship Type="http://schemas.openxmlformats.org/officeDocument/2006/relationships/worksheet" Target="/xl/worksheets/sheet9.xml" Id="R022b80cb69ee4a93" /><Relationship Type="http://schemas.openxmlformats.org/officeDocument/2006/relationships/worksheet" Target="/xl/worksheets/sheet10.xml" Id="Rdffc800e4e4844c2" /><Relationship Type="http://schemas.openxmlformats.org/officeDocument/2006/relationships/worksheet" Target="/xl/worksheets/sheet11.xml" Id="Re0be33dce05f44df" /><Relationship Type="http://schemas.openxmlformats.org/officeDocument/2006/relationships/worksheet" Target="/xl/worksheets/sheet12.xml" Id="R31d2c2345239497d" /><Relationship Type="http://schemas.openxmlformats.org/officeDocument/2006/relationships/worksheet" Target="/xl/worksheets/sheet13.xml" Id="Rc007fb471e1b4416" /><Relationship Type="http://schemas.openxmlformats.org/officeDocument/2006/relationships/worksheet" Target="/xl/worksheets/sheet14.xml" Id="R049a2fee8268488a" /><Relationship Type="http://schemas.openxmlformats.org/officeDocument/2006/relationships/worksheet" Target="/xl/worksheets/sheet15.xml" Id="R387c9e2bc99640d7" /><Relationship Type="http://schemas.openxmlformats.org/officeDocument/2006/relationships/worksheet" Target="/xl/worksheets/sheet16.xml" Id="R50d85633107c4f50" /></Relationships>
</file>

<file path=xl/tables/table1.xml><?xml version="1.0" encoding="utf-8"?>
<x:table xmlns:x="http://schemas.openxmlformats.org/spreadsheetml/2006/main" id="16" name="R165_comparison_5" displayName="R165_comparison_5" ref="A5:N20" headerRowCount="1" totalsRowCount="0" totalsRowShown="0">
  <x:autoFilter ref="A5:N20"/>
  <x:tableColumns count="14">
    <x:tableColumn id="1" name="手法ID"/>
    <x:tableColumn id="2" name="区分"/>
    <x:tableColumn id="3" name="利益（円）"/>
    <x:tableColumn id="4" name="損失（円）"/>
    <x:tableColumn id="5" name="収支（円）"/>
    <x:tableColumn id="6" name="赤字場数"/>
    <x:tableColumn id="7" name="無取引場数"/>
    <x:tableColumn id="8" name="平均赤字（円）"/>
    <x:tableColumn id="9" name="最大赤字（円）"/>
    <x:tableColumn id="10" name="場内最悪収支（円）"/>
    <x:tableColumn id="11" name="最大下落額（円）"/>
    <x:tableColumn id="12" name="損失割合"/>
    <x:tableColumn id="13" name="返済1枚平均（pt）"/>
    <x:tableColumn id="14" name="大勝ち3場除外（円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7" name="R165_comparison_24" displayName="R165_comparison_24" ref="A24:N39" headerRowCount="1" totalsRowCount="0" totalsRowShown="0">
  <x:autoFilter ref="A24:N39"/>
  <x:tableColumns count="14">
    <x:tableColumn id="1" name="手法ID"/>
    <x:tableColumn id="2" name="区分"/>
    <x:tableColumn id="3" name="利益（円）"/>
    <x:tableColumn id="4" name="損失（円）"/>
    <x:tableColumn id="5" name="収支（円）"/>
    <x:tableColumn id="6" name="赤字場数"/>
    <x:tableColumn id="7" name="無取引場数"/>
    <x:tableColumn id="8" name="平均赤字（円）"/>
    <x:tableColumn id="9" name="最大赤字（円）"/>
    <x:tableColumn id="10" name="場内最悪収支（円）"/>
    <x:tableColumn id="11" name="最大下落額（円）"/>
    <x:tableColumn id="12" name="損失割合"/>
    <x:tableColumn id="13" name="返済1枚平均（pt）"/>
    <x:tableColumn id="14" name="大勝ち3場除外（円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8" name="R165_comparison_43" displayName="R165_comparison_43" ref="A43:N58" headerRowCount="1" totalsRowCount="0" totalsRowShown="0">
  <x:autoFilter ref="A43:N58"/>
  <x:tableColumns count="14">
    <x:tableColumn id="1" name="手法ID"/>
    <x:tableColumn id="2" name="区分"/>
    <x:tableColumn id="3" name="利益（円）"/>
    <x:tableColumn id="4" name="損失（円）"/>
    <x:tableColumn id="5" name="収支（円）"/>
    <x:tableColumn id="6" name="赤字場数"/>
    <x:tableColumn id="7" name="無取引場数"/>
    <x:tableColumn id="8" name="平均赤字（円）"/>
    <x:tableColumn id="9" name="最大赤字（円）"/>
    <x:tableColumn id="10" name="場内最悪収支（円）"/>
    <x:tableColumn id="11" name="最大下落額（円）"/>
    <x:tableColumn id="12" name="損失割合"/>
    <x:tableColumn id="13" name="返済1枚平均（pt）"/>
    <x:tableColumn id="14" name="大勝ち3場除外（円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165_NK225_U164_00" displayName="R165_NK225_U164_00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R165_NK225_U165_01" displayName="R165_NK225_U165_01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165_NK225_U165_02" displayName="R165_NK225_U165_02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R165_NK225_U165_03" displayName="R165_NK225_U165_03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R165_NK225_U165_04" displayName="R165_NK225_U165_04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R165_NK225_U165_05" displayName="R165_NK225_U165_05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R165_NK225_U165_06" displayName="R165_NK225_U165_06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R165_NK225_U165_07" displayName="R165_NK225_U165_07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9" name="R165_NK225_U165_08" displayName="R165_NK225_U165_08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0" name="R165_NK225_U165_09" displayName="R165_NK225_U165_09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1" name="R165_NK225_U165_10" displayName="R165_NK225_U165_10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2" name="R165_NK225_U165_11" displayName="R165_NK225_U165_11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3" name="R165_NK225_U165_12" displayName="R165_NK225_U165_12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4" name="R165_NK225_U165_13" displayName="R165_NK225_U165_13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5" name="R165_NK225_U165_14" displayName="R165_NK225_U165_14" ref="A5:M32" headerRowCount="1" totalsRowCount="0" totalsRowShown="0">
  <x:autoFilter ref="A5:M32"/>
  <x:tableColumns count="13">
    <x:tableColumn id="1" name="セッション"/>
    <x:tableColumn id="2" name="資料区分"/>
    <x:tableColumn id="3" name="利益（円）"/>
    <x:tableColumn id="4" name="損失（円）"/>
    <x:tableColumn id="5" name="収支（円）"/>
    <x:tableColumn id="6" name="累計（円）"/>
    <x:tableColumn id="7" name="場内最悪収支（円）"/>
    <x:tableColumn id="8" name="最大下落額（円）"/>
    <x:tableColumn id="9" name="新規回数"/>
    <x:tableColumn id="10" name="無取引"/>
    <x:tableColumn id="11" name="返済micro枚数"/>
    <x:tableColumn id="12" name="返済1枚平均（pt）"/>
    <x:tableColumn id="13" name="保有時間（分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fbfd55ce54476b" /><Relationship Type="http://schemas.openxmlformats.org/officeDocument/2006/relationships/table" Target="/xl/tables/table2.xml" Id="R30cb3cb4259e4141" /><Relationship Type="http://schemas.openxmlformats.org/officeDocument/2006/relationships/table" Target="/xl/tables/table3.xml" Id="R9c749ebd8d7043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4ba824a857454d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85c259c2073040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c2c018ec90f1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813424b8014648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ea6c413945fb4f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e9a5b4f592444d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d3c628f232a74b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774393712fd143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1862fe71cb4648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2fa210e01b4c4b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f456b8f4b03344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5.xml" Id="R6636141a5fb9418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8b59fcab037248c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c70d824ee611450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3e0bd08178c44a94" /></Relationships>
</file>

<file path=xl/worksheets/sheet1.xml><?xml version="1.0" encoding="utf-8"?>
<x:worksheet xmlns:x="http://schemas.openxmlformats.org/spreadsheetml/2006/main">
  <x:sheetPr>
    <x:tabColor rgb="FF264D7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1" hidden="0" customWidth="1"/>
    <x:col min="7" max="7" width="11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3" hidden="0" customWidth="1"/>
    <x:col min="13" max="13" width="19" hidden="0" customWidth="1"/>
    <x:col min="14" max="14" width="1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米国開始後の板判断　15手法の比較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5" customHeight="1">
      <x:c r="A3" s="4" t="str">
        <x:v>全27夜は既知資料です。前20夜で候補を固定し、後7夜で選び直していません。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4" t="str">
        <x:v>全27夜。損失割合＝損失÷（利益＋損失）。損失は正額、場内最悪は確定＋含み。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3" customHeight="1">
      <x:c r="A5" s="16" t="str">
        <x:v>手法ID</x:v>
      </x:c>
      <x:c r="B5" s="16" t="str">
        <x:v>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赤字場数</x:v>
      </x:c>
      <x:c r="G5" s="16" t="str">
        <x:v>無取引場数</x:v>
      </x:c>
      <x:c r="H5" s="16" t="str">
        <x:v>平均赤字（円）</x:v>
      </x:c>
      <x:c r="I5" s="16" t="str">
        <x:v>最大赤字（円）</x:v>
      </x:c>
      <x:c r="J5" s="16" t="str">
        <x:v>場内最悪収支（円）</x:v>
      </x:c>
      <x:c r="K5" s="16" t="str">
        <x:v>最大下落額（円）</x:v>
      </x:c>
      <x:c r="L5" s="16" t="str">
        <x:v>損失割合</x:v>
      </x:c>
      <x:c r="M5" s="16" t="str">
        <x:v>返済1枚平均（pt）</x:v>
      </x:c>
      <x:c r="N5" s="16" t="str">
        <x:v>大勝ち3場除外（円）</x:v>
      </x:c>
    </x:row>
    <x:row r="6" ht="25" customHeight="1">
      <x:c r="A6" s="2" t="str">
        <x:v>NK225_U164_00</x:v>
      </x:c>
      <x:c r="B6" s="2" t="str">
        <x:v>基準</x:v>
      </x:c>
      <x:c r="C6" s="6" t="n">
        <x:f>SUM('日経_U164_00'!C6:C32)</x:f>
        <x:v>2304000</x:v>
      </x:c>
      <x:c r="D6" s="6" t="n">
        <x:f>SUM('日経_U164_00'!D6:D32)</x:f>
        <x:v>1204000</x:v>
      </x:c>
      <x:c r="E6" s="6" t="n">
        <x:f>C6-D6</x:f>
        <x:v>1100000</x:v>
      </x:c>
      <x:c r="F6" s="9" t="n">
        <x:f>COUNTIFS('日経_U164_00'!E6:E32,"&lt;0")</x:f>
        <x:v>9</x:v>
      </x:c>
      <x:c r="G6" s="9" t="n">
        <x:f>SUM('日経_U164_00'!J6:J32)</x:f>
        <x:v>0</x:v>
      </x:c>
      <x:c r="H6" s="6" t="n">
        <x:f>IF(F6=0,0,-SUMIFS('日経_U164_00'!E6:E32,'日経_U164_00'!E6:E32,"&lt;0")/F6)</x:f>
        <x:v>30888.88888888889</x:v>
      </x:c>
      <x:c r="I6" s="6" t="n">
        <x:f>MAX(0,-MIN('日経_U164_00'!E6:E32))</x:f>
        <x:v>53000</x:v>
      </x:c>
      <x:c r="J6" s="6" t="n">
        <x:f>MIN('日経_U164_00'!G6:G32)</x:f>
        <x:v>-85000</x:v>
      </x:c>
      <x:c r="K6" s="6" t="n">
        <x:f>MAX('日経_U164_00'!H6:H32)</x:f>
        <x:v>162000</x:v>
      </x:c>
      <x:c r="L6" s="17" t="n">
        <x:f>IF(C6+D6=0,"n.a.",D6/(C6+D6))</x:f>
        <x:v>0.34321550741163054</x:v>
      </x:c>
      <x:c r="M6" s="11" t="n">
        <x:f>IF(SUM('日経_U164_00'!K6:K32)=0,"n.a.",E6/(SUM('日経_U164_00'!K6:K32)*10))</x:f>
        <x:v>37.80068728522337</x:v>
      </x:c>
      <x:c r="N6" s="6" t="n">
        <x:f>E6-LARGE('日経_U164_00'!E6:E32,1)-LARGE('日経_U164_00'!E6:E32,2)-LARGE('日経_U164_00'!E6:E32,3)</x:f>
        <x:v>382000</x:v>
      </x:c>
    </x:row>
    <x:row r="7" ht="25" customHeight="1">
      <x:c r="A7" s="2" t="str">
        <x:v>NK225_U165_01</x:v>
      </x:c>
      <x:c r="B7" s="2" t="str">
        <x:v>半量対照</x:v>
      </x:c>
      <x:c r="C7" s="6" t="n">
        <x:f>SUM('日経_U165_01'!C6:C32)</x:f>
        <x:v>1152000</x:v>
      </x:c>
      <x:c r="D7" s="6" t="n">
        <x:f>SUM('日経_U165_01'!D6:D32)</x:f>
        <x:v>602000</x:v>
      </x:c>
      <x:c r="E7" s="6" t="n">
        <x:f>C7-D7</x:f>
        <x:v>550000</x:v>
      </x:c>
      <x:c r="F7" s="9" t="n">
        <x:f>COUNTIFS('日経_U165_01'!E6:E32,"&lt;0")</x:f>
        <x:v>9</x:v>
      </x:c>
      <x:c r="G7" s="9" t="n">
        <x:f>SUM('日経_U165_01'!J6:J32)</x:f>
        <x:v>0</x:v>
      </x:c>
      <x:c r="H7" s="6" t="n">
        <x:f>IF(F7=0,0,-SUMIFS('日経_U165_01'!E6:E32,'日経_U165_01'!E6:E32,"&lt;0")/F7)</x:f>
        <x:v>15444.444444444445</x:v>
      </x:c>
      <x:c r="I7" s="6" t="n">
        <x:f>MAX(0,-MIN('日経_U165_01'!E6:E32))</x:f>
        <x:v>26500</x:v>
      </x:c>
      <x:c r="J7" s="6" t="n">
        <x:f>MIN('日経_U165_01'!G6:G32)</x:f>
        <x:v>-42500</x:v>
      </x:c>
      <x:c r="K7" s="6" t="n">
        <x:f>MAX('日経_U165_01'!H6:H32)</x:f>
        <x:v>81000</x:v>
      </x:c>
      <x:c r="L7" s="17" t="n">
        <x:f>IF(C7+D7=0,"n.a.",D7/(C7+D7))</x:f>
        <x:v>0.34321550741163054</x:v>
      </x:c>
      <x:c r="M7" s="11" t="n">
        <x:f>IF(SUM('日経_U165_01'!K6:K32)=0,"n.a.",E7/(SUM('日経_U165_01'!K6:K32)*10))</x:f>
        <x:v>37.80068728522337</x:v>
      </x:c>
      <x:c r="N7" s="6" t="n">
        <x:f>E7-LARGE('日経_U165_01'!E6:E32,1)-LARGE('日経_U165_01'!E6:E32,2)-LARGE('日経_U165_01'!E6:E32,3)</x:f>
        <x:v>191000</x:v>
      </x:c>
    </x:row>
    <x:row r="8" ht="25" customHeight="1">
      <x:c r="A8" s="2" t="str">
        <x:v>NK225_U165_02</x:v>
      </x:c>
      <x:c r="B8" s="2" t="str">
        <x:v>比較候補</x:v>
      </x:c>
      <x:c r="C8" s="6" t="n">
        <x:f>SUM('日経_U165_02'!C6:C32)</x:f>
        <x:v>2079000</x:v>
      </x:c>
      <x:c r="D8" s="6" t="n">
        <x:f>SUM('日経_U165_02'!D6:D32)</x:f>
        <x:v>973000</x:v>
      </x:c>
      <x:c r="E8" s="6" t="n">
        <x:f>C8-D8</x:f>
        <x:v>1106000</x:v>
      </x:c>
      <x:c r="F8" s="9" t="n">
        <x:f>COUNTIFS('日経_U165_02'!E6:E32,"&lt;0")</x:f>
        <x:v>9</x:v>
      </x:c>
      <x:c r="G8" s="9" t="n">
        <x:f>SUM('日経_U165_02'!J6:J32)</x:f>
        <x:v>1</x:v>
      </x:c>
      <x:c r="H8" s="6" t="n">
        <x:f>IF(F8=0,0,-SUMIFS('日経_U165_02'!E6:E32,'日経_U165_02'!E6:E32,"&lt;0")/F8)</x:f>
        <x:v>26333.333333333332</x:v>
      </x:c>
      <x:c r="I8" s="6" t="n">
        <x:f>MAX(0,-MIN('日経_U165_02'!E6:E32))</x:f>
        <x:v>64000</x:v>
      </x:c>
      <x:c r="J8" s="6" t="n">
        <x:f>MIN('日経_U165_02'!G6:G32)</x:f>
        <x:v>-70000</x:v>
      </x:c>
      <x:c r="K8" s="6" t="n">
        <x:f>MAX('日経_U165_02'!H6:H32)</x:f>
        <x:v>162000</x:v>
      </x:c>
      <x:c r="L8" s="17" t="n">
        <x:f>IF(C8+D8=0,"n.a.",D8/(C8+D8))</x:f>
        <x:v>0.31880733944954126</x:v>
      </x:c>
      <x:c r="M8" s="11" t="n">
        <x:f>IF(SUM('日経_U165_02'!K6:K32)=0,"n.a.",E8/(SUM('日経_U165_02'!K6:K32)*10))</x:f>
        <x:v>44.24</x:v>
      </x:c>
      <x:c r="N8" s="6" t="n">
        <x:f>E8-LARGE('日経_U165_02'!E6:E32,1)-LARGE('日経_U165_02'!E6:E32,2)-LARGE('日経_U165_02'!E6:E32,3)</x:f>
        <x:v>370000</x:v>
      </x:c>
    </x:row>
    <x:row r="9" ht="25" customHeight="1">
      <x:c r="A9" s="2" t="str">
        <x:v>NK225_U165_03</x:v>
      </x:c>
      <x:c r="B9" s="2" t="str">
        <x:v>比較候補</x:v>
      </x:c>
      <x:c r="C9" s="6" t="n">
        <x:f>SUM('日経_U165_03'!C6:C32)</x:f>
        <x:v>2280000</x:v>
      </x:c>
      <x:c r="D9" s="6" t="n">
        <x:f>SUM('日経_U165_03'!D6:D32)</x:f>
        <x:v>1099000</x:v>
      </x:c>
      <x:c r="E9" s="6" t="n">
        <x:f>C9-D9</x:f>
        <x:v>1181000</x:v>
      </x:c>
      <x:c r="F9" s="9" t="n">
        <x:f>COUNTIFS('日経_U165_03'!E6:E32,"&lt;0")</x:f>
        <x:v>8</x:v>
      </x:c>
      <x:c r="G9" s="9" t="n">
        <x:f>SUM('日経_U165_03'!J6:J32)</x:f>
        <x:v>0</x:v>
      </x:c>
      <x:c r="H9" s="6" t="n">
        <x:f>IF(F9=0,0,-SUMIFS('日経_U165_03'!E6:E32,'日経_U165_03'!E6:E32,"&lt;0")/F9)</x:f>
        <x:v>31375</x:v>
      </x:c>
      <x:c r="I9" s="6" t="n">
        <x:f>MAX(0,-MIN('日経_U165_03'!E6:E32))</x:f>
        <x:v>53000</x:v>
      </x:c>
      <x:c r="J9" s="6" t="n">
        <x:f>MIN('日経_U165_03'!G6:G32)</x:f>
        <x:v>-88000</x:v>
      </x:c>
      <x:c r="K9" s="6" t="n">
        <x:f>MAX('日経_U165_03'!H6:H32)</x:f>
        <x:v>162000</x:v>
      </x:c>
      <x:c r="L9" s="17" t="n">
        <x:f>IF(C9+D9=0,"n.a.",D9/(C9+D9))</x:f>
        <x:v>0.3252441550754661</x:v>
      </x:c>
      <x:c r="M9" s="11" t="n">
        <x:f>IF(SUM('日経_U165_03'!K6:K32)=0,"n.a.",E9/(SUM('日経_U165_03'!K6:K32)*10))</x:f>
        <x:v>42.02846975088968</x:v>
      </x:c>
      <x:c r="N9" s="6" t="n">
        <x:f>E9-LARGE('日経_U165_03'!E6:E32,1)-LARGE('日経_U165_03'!E6:E32,2)-LARGE('日経_U165_03'!E6:E32,3)</x:f>
        <x:v>459000</x:v>
      </x:c>
    </x:row>
    <x:row r="10" ht="25" customHeight="1">
      <x:c r="A10" s="2" t="str">
        <x:v>NK225_U165_04</x:v>
      </x:c>
      <x:c r="B10" s="2" t="str">
        <x:v>前20夜で固定</x:v>
      </x:c>
      <x:c r="C10" s="6" t="n">
        <x:f>SUM('日経_U165_04'!C6:C32)</x:f>
        <x:v>2224000</x:v>
      </x:c>
      <x:c r="D10" s="6" t="n">
        <x:f>SUM('日経_U165_04'!D6:D32)</x:f>
        <x:v>1130000</x:v>
      </x:c>
      <x:c r="E10" s="6" t="n">
        <x:f>C10-D10</x:f>
        <x:v>1094000</x:v>
      </x:c>
      <x:c r="F10" s="9" t="n">
        <x:f>COUNTIFS('日経_U165_04'!E6:E32,"&lt;0")</x:f>
        <x:v>9</x:v>
      </x:c>
      <x:c r="G10" s="9" t="n">
        <x:f>SUM('日経_U165_04'!J6:J32)</x:f>
        <x:v>0</x:v>
      </x:c>
      <x:c r="H10" s="6" t="n">
        <x:f>IF(F10=0,0,-SUMIFS('日経_U165_04'!E6:E32,'日経_U165_04'!E6:E32,"&lt;0")/F10)</x:f>
        <x:v>30333.333333333332</x:v>
      </x:c>
      <x:c r="I10" s="6" t="n">
        <x:f>MAX(0,-MIN('日経_U165_04'!E6:E32))</x:f>
        <x:v>55000</x:v>
      </x:c>
      <x:c r="J10" s="6" t="n">
        <x:f>MIN('日経_U165_04'!G6:G32)</x:f>
        <x:v>-85000</x:v>
      </x:c>
      <x:c r="K10" s="6" t="n">
        <x:f>MAX('日経_U165_04'!H6:H32)</x:f>
        <x:v>145000</x:v>
      </x:c>
      <x:c r="L10" s="17" t="n">
        <x:f>IF(C10+D10=0,"n.a.",D10/(C10+D10))</x:f>
        <x:v>0.33691115086463924</x:v>
      </x:c>
      <x:c r="M10" s="11" t="n">
        <x:f>IF(SUM('日経_U165_04'!K6:K32)=0,"n.a.",E10/(SUM('日経_U165_04'!K6:K32)*10))</x:f>
        <x:v>39.92700729927007</x:v>
      </x:c>
      <x:c r="N10" s="6" t="n">
        <x:f>E10-LARGE('日経_U165_04'!E6:E32,1)-LARGE('日経_U165_04'!E6:E32,2)-LARGE('日経_U165_04'!E6:E32,3)</x:f>
        <x:v>408000</x:v>
      </x:c>
    </x:row>
    <x:row r="11" ht="25" customHeight="1">
      <x:c r="A11" s="2" t="str">
        <x:v>NK225_U165_05</x:v>
      </x:c>
      <x:c r="B11" s="2" t="str">
        <x:v>比較候補</x:v>
      </x:c>
      <x:c r="C11" s="6" t="n">
        <x:f>SUM('日経_U165_05'!C6:C32)</x:f>
        <x:v>2227000</x:v>
      </x:c>
      <x:c r="D11" s="6" t="n">
        <x:f>SUM('日経_U165_05'!D6:D32)</x:f>
        <x:v>1175000</x:v>
      </x:c>
      <x:c r="E11" s="6" t="n">
        <x:f>C11-D11</x:f>
        <x:v>1052000</x:v>
      </x:c>
      <x:c r="F11" s="9" t="n">
        <x:f>COUNTIFS('日経_U165_05'!E6:E32,"&lt;0")</x:f>
        <x:v>9</x:v>
      </x:c>
      <x:c r="G11" s="9" t="n">
        <x:f>SUM('日経_U165_05'!J6:J32)</x:f>
        <x:v>0</x:v>
      </x:c>
      <x:c r="H11" s="6" t="n">
        <x:f>IF(F11=0,0,-SUMIFS('日経_U165_05'!E6:E32,'日経_U165_05'!E6:E32,"&lt;0")/F11)</x:f>
        <x:v>33444.444444444445</x:v>
      </x:c>
      <x:c r="I11" s="6" t="n">
        <x:f>MAX(0,-MIN('日経_U165_05'!E6:E32))</x:f>
        <x:v>53000</x:v>
      </x:c>
      <x:c r="J11" s="6" t="n">
        <x:f>MIN('日経_U165_05'!G6:G32)</x:f>
        <x:v>-91000</x:v>
      </x:c>
      <x:c r="K11" s="6" t="n">
        <x:f>MAX('日経_U165_05'!H6:H32)</x:f>
        <x:v>137000</x:v>
      </x:c>
      <x:c r="L11" s="17" t="n">
        <x:f>IF(C11+D11=0,"n.a.",D11/(C11+D11))</x:f>
        <x:v>0.3453850676072898</x:v>
      </x:c>
      <x:c r="M11" s="11" t="n">
        <x:f>IF(SUM('日経_U165_05'!K6:K32)=0,"n.a.",E11/(SUM('日経_U165_05'!K6:K32)*10))</x:f>
        <x:v>36.15120274914089</x:v>
      </x:c>
      <x:c r="N11" s="6" t="n">
        <x:f>E11-LARGE('日経_U165_05'!E6:E32,1)-LARGE('日経_U165_05'!E6:E32,2)-LARGE('日経_U165_05'!E6:E32,3)</x:f>
        <x:v>335000</x:v>
      </x:c>
    </x:row>
    <x:row r="12" ht="25" customHeight="1">
      <x:c r="A12" s="2" t="str">
        <x:v>NK225_U165_06</x:v>
      </x:c>
      <x:c r="B12" s="2" t="str">
        <x:v>比較候補</x:v>
      </x:c>
      <x:c r="C12" s="6" t="n">
        <x:f>SUM('日経_U165_06'!C6:C32)</x:f>
        <x:v>1234000</x:v>
      </x:c>
      <x:c r="D12" s="6" t="n">
        <x:f>SUM('日経_U165_06'!D6:D32)</x:f>
        <x:v>851000</x:v>
      </x:c>
      <x:c r="E12" s="6" t="n">
        <x:f>C12-D12</x:f>
        <x:v>383000</x:v>
      </x:c>
      <x:c r="F12" s="9" t="n">
        <x:f>COUNTIFS('日経_U165_06'!E6:E32,"&lt;0")</x:f>
        <x:v>10</x:v>
      </x:c>
      <x:c r="G12" s="9" t="n">
        <x:f>SUM('日経_U165_06'!J6:J32)</x:f>
        <x:v>0</x:v>
      </x:c>
      <x:c r="H12" s="6" t="n">
        <x:f>IF(F12=0,0,-SUMIFS('日経_U165_06'!E6:E32,'日経_U165_06'!E6:E32,"&lt;0")/F12)</x:f>
        <x:v>22400</x:v>
      </x:c>
      <x:c r="I12" s="6" t="n">
        <x:f>MAX(0,-MIN('日経_U165_06'!E6:E32))</x:f>
        <x:v>38000</x:v>
      </x:c>
      <x:c r="J12" s="6" t="n">
        <x:f>MIN('日経_U165_06'!G6:G32)</x:f>
        <x:v>-53000</x:v>
      </x:c>
      <x:c r="K12" s="6" t="n">
        <x:f>MAX('日経_U165_06'!H6:H32)</x:f>
        <x:v>85000</x:v>
      </x:c>
      <x:c r="L12" s="17" t="n">
        <x:f>IF(C12+D12=0,"n.a.",D12/(C12+D12))</x:f>
        <x:v>0.4081534772182254</x:v>
      </x:c>
      <x:c r="M12" s="11" t="n">
        <x:f>IF(SUM('日経_U165_06'!K6:K32)=0,"n.a.",E12/(SUM('日経_U165_06'!K6:K32)*10))</x:f>
        <x:v>14.055045871559633</x:v>
      </x:c>
      <x:c r="N12" s="6" t="n">
        <x:f>E12-LARGE('日経_U165_06'!E6:E32,1)-LARGE('日経_U165_06'!E6:E32,2)-LARGE('日経_U165_06'!E6:E32,3)</x:f>
        <x:v>70000</x:v>
      </x:c>
    </x:row>
    <x:row r="13" ht="25" customHeight="1">
      <x:c r="A13" s="2" t="str">
        <x:v>NK225_U165_07</x:v>
      </x:c>
      <x:c r="B13" s="2" t="str">
        <x:v>比較候補</x:v>
      </x:c>
      <x:c r="C13" s="6" t="n">
        <x:f>SUM('日経_U165_07'!C6:C32)</x:f>
        <x:v>1999000</x:v>
      </x:c>
      <x:c r="D13" s="6" t="n">
        <x:f>SUM('日経_U165_07'!D6:D32)</x:f>
        <x:v>899000</x:v>
      </x:c>
      <x:c r="E13" s="6" t="n">
        <x:f>C13-D13</x:f>
        <x:v>1100000</x:v>
      </x:c>
      <x:c r="F13" s="9" t="n">
        <x:f>COUNTIFS('日経_U165_07'!E6:E32,"&lt;0")</x:f>
        <x:v>10</x:v>
      </x:c>
      <x:c r="G13" s="9" t="n">
        <x:f>SUM('日経_U165_07'!J6:J32)</x:f>
        <x:v>1</x:v>
      </x:c>
      <x:c r="H13" s="6" t="n">
        <x:f>IF(F13=0,0,-SUMIFS('日経_U165_07'!E6:E32,'日経_U165_07'!E6:E32,"&lt;0")/F13)</x:f>
        <x:v>23400</x:v>
      </x:c>
      <x:c r="I13" s="6" t="n">
        <x:f>MAX(0,-MIN('日経_U165_07'!E6:E32))</x:f>
        <x:v>68000</x:v>
      </x:c>
      <x:c r="J13" s="6" t="n">
        <x:f>MIN('日経_U165_07'!G6:G32)</x:f>
        <x:v>-70000</x:v>
      </x:c>
      <x:c r="K13" s="6" t="n">
        <x:f>MAX('日経_U165_07'!H6:H32)</x:f>
        <x:v>144000</x:v>
      </x:c>
      <x:c r="L13" s="17" t="n">
        <x:f>IF(C13+D13=0,"n.a.",D13/(C13+D13))</x:f>
        <x:v>0.31021394064872326</x:v>
      </x:c>
      <x:c r="M13" s="11" t="n">
        <x:f>IF(SUM('日経_U165_07'!K6:K32)=0,"n.a.",E13/(SUM('日経_U165_07'!K6:K32)*10))</x:f>
        <x:v>47.21030042918455</x:v>
      </x:c>
      <x:c r="N13" s="6" t="n">
        <x:f>E13-LARGE('日経_U165_07'!E6:E32,1)-LARGE('日経_U165_07'!E6:E32,2)-LARGE('日経_U165_07'!E6:E32,3)</x:f>
        <x:v>383000</x:v>
      </x:c>
    </x:row>
    <x:row r="14" ht="25" customHeight="1">
      <x:c r="A14" s="2" t="str">
        <x:v>NK225_U165_08</x:v>
      </x:c>
      <x:c r="B14" s="2" t="str">
        <x:v>比較候補</x:v>
      </x:c>
      <x:c r="C14" s="6" t="n">
        <x:f>SUM('日経_U165_08'!C6:C32)</x:f>
        <x:v>1035500</x:v>
      </x:c>
      <x:c r="D14" s="6" t="n">
        <x:f>SUM('日経_U165_08'!D6:D32)</x:f>
        <x:v>649500</x:v>
      </x:c>
      <x:c r="E14" s="6" t="n">
        <x:f>C14-D14</x:f>
        <x:v>386000</x:v>
      </x:c>
      <x:c r="F14" s="9" t="n">
        <x:f>COUNTIFS('日経_U165_08'!E6:E32,"&lt;0")</x:f>
        <x:v>11</x:v>
      </x:c>
      <x:c r="G14" s="9" t="n">
        <x:f>SUM('日経_U165_08'!J6:J32)</x:f>
        <x:v>1</x:v>
      </x:c>
      <x:c r="H14" s="6" t="n">
        <x:f>IF(F14=0,0,-SUMIFS('日経_U165_08'!E6:E32,'日経_U165_08'!E6:E32,"&lt;0")/F14)</x:f>
        <x:v>17818.18181818182</x:v>
      </x:c>
      <x:c r="I14" s="6" t="n">
        <x:f>MAX(0,-MIN('日経_U165_08'!E6:E32))</x:f>
        <x:v>46000</x:v>
      </x:c>
      <x:c r="J14" s="6" t="n">
        <x:f>MIN('日経_U165_08'!G6:G32)</x:f>
        <x:v>-49500</x:v>
      </x:c>
      <x:c r="K14" s="6" t="n">
        <x:f>MAX('日経_U165_08'!H6:H32)</x:f>
        <x:v>76000</x:v>
      </x:c>
      <x:c r="L14" s="17" t="n">
        <x:f>IF(C14+D14=0,"n.a.",D14/(C14+D14))</x:f>
        <x:v>0.38545994065281897</x:v>
      </x:c>
      <x:c r="M14" s="11" t="n">
        <x:f>IF(SUM('日経_U165_08'!K6:K32)=0,"n.a.",E14/(SUM('日経_U165_08'!K6:K32)*10))</x:f>
        <x:v>17.193763919821826</x:v>
      </x:c>
      <x:c r="N14" s="6" t="n">
        <x:f>E14-LARGE('日経_U165_08'!E6:E32,1)-LARGE('日経_U165_08'!E6:E32,2)-LARGE('日経_U165_08'!E6:E32,3)</x:f>
        <x:v>83000</x:v>
      </x:c>
    </x:row>
    <x:row r="15" ht="25" customHeight="1">
      <x:c r="A15" s="2" t="str">
        <x:v>NK225_U165_09</x:v>
      </x:c>
      <x:c r="B15" s="2" t="str">
        <x:v>比較候補</x:v>
      </x:c>
      <x:c r="C15" s="6" t="n">
        <x:f>SUM('日経_U165_09'!C6:C32)</x:f>
        <x:v>1177500</x:v>
      </x:c>
      <x:c r="D15" s="6" t="n">
        <x:f>SUM('日経_U165_09'!D6:D32)</x:f>
        <x:v>812500</x:v>
      </x:c>
      <x:c r="E15" s="6" t="n">
        <x:f>C15-D15</x:f>
        <x:v>365000</x:v>
      </x:c>
      <x:c r="F15" s="9" t="n">
        <x:f>COUNTIFS('日経_U165_09'!E6:E32,"&lt;0")</x:f>
        <x:v>9</x:v>
      </x:c>
      <x:c r="G15" s="9" t="n">
        <x:f>SUM('日経_U165_09'!J6:J32)</x:f>
        <x:v>1</x:v>
      </x:c>
      <x:c r="H15" s="6" t="n">
        <x:f>IF(F15=0,0,-SUMIFS('日経_U165_09'!E6:E32,'日経_U165_09'!E6:E32,"&lt;0")/F15)</x:f>
        <x:v>21388.88888888889</x:v>
      </x:c>
      <x:c r="I15" s="6" t="n">
        <x:f>MAX(0,-MIN('日経_U165_09'!E6:E32))</x:f>
        <x:v>39000</x:v>
      </x:c>
      <x:c r="J15" s="6" t="n">
        <x:f>MIN('日経_U165_09'!G6:G32)</x:f>
        <x:v>-49500</x:v>
      </x:c>
      <x:c r="K15" s="6" t="n">
        <x:f>MAX('日経_U165_09'!H6:H32)</x:f>
        <x:v>86500</x:v>
      </x:c>
      <x:c r="L15" s="17" t="n">
        <x:f>IF(C15+D15=0,"n.a.",D15/(C15+D15))</x:f>
        <x:v>0.4082914572864322</x:v>
      </x:c>
      <x:c r="M15" s="11" t="n">
        <x:f>IF(SUM('日経_U165_09'!K6:K32)=0,"n.a.",E15/(SUM('日経_U165_09'!K6:K32)*10))</x:f>
        <x:v>14.570858283433134</x:v>
      </x:c>
      <x:c r="N15" s="6" t="n">
        <x:f>E15-LARGE('日経_U165_09'!E6:E32,1)-LARGE('日経_U165_09'!E6:E32,2)-LARGE('日経_U165_09'!E6:E32,3)</x:f>
        <x:v>83000</x:v>
      </x:c>
    </x:row>
    <x:row r="16" ht="25" customHeight="1">
      <x:c r="A16" s="2" t="str">
        <x:v>NK225_U165_10</x:v>
      </x:c>
      <x:c r="B16" s="2" t="str">
        <x:v>比較候補</x:v>
      </x:c>
      <x:c r="C16" s="6" t="n">
        <x:f>SUM('日経_U165_10'!C6:C32)</x:f>
        <x:v>25270000</x:v>
      </x:c>
      <x:c r="D16" s="6" t="n">
        <x:f>SUM('日経_U165_10'!D6:D32)</x:f>
        <x:v>82220000</x:v>
      </x:c>
      <x:c r="E16" s="6" t="n">
        <x:f>C16-D16</x:f>
        <x:v>-56950000</x:v>
      </x:c>
      <x:c r="F16" s="9" t="n">
        <x:f>COUNTIFS('日経_U165_10'!E6:E32,"&lt;0")</x:f>
        <x:v>27</x:v>
      </x:c>
      <x:c r="G16" s="9" t="n">
        <x:f>SUM('日経_U165_10'!J6:J32)</x:f>
        <x:v>0</x:v>
      </x:c>
      <x:c r="H16" s="6" t="n">
        <x:f>IF(F16=0,0,-SUMIFS('日経_U165_10'!E6:E32,'日経_U165_10'!E6:E32,"&lt;0")/F16)</x:f>
        <x:v>2109259.2592592593</x:v>
      </x:c>
      <x:c r="I16" s="6" t="n">
        <x:f>MAX(0,-MIN('日経_U165_10'!E6:E32))</x:f>
        <x:v>4078000</x:v>
      </x:c>
      <x:c r="J16" s="6" t="n">
        <x:f>MIN('日経_U165_10'!G6:G32)</x:f>
        <x:v>-4138000</x:v>
      </x:c>
      <x:c r="K16" s="6" t="n">
        <x:f>MAX('日経_U165_10'!H6:H32)</x:f>
        <x:v>4140000</x:v>
      </x:c>
      <x:c r="L16" s="17" t="n">
        <x:f>IF(C16+D16=0,"n.a.",D16/(C16+D16))</x:f>
        <x:v>0.7649083635687041</x:v>
      </x:c>
      <x:c r="M16" s="11" t="n">
        <x:f>IF(SUM('日経_U165_10'!K6:K32)=0,"n.a.",E16/(SUM('日経_U165_10'!K6:K32)*10))</x:f>
        <x:v>-14.68843495305891</x:v>
      </x:c>
      <x:c r="N16" s="6" t="n">
        <x:f>E16-LARGE('日経_U165_10'!E6:E32,1)-LARGE('日経_U165_10'!E6:E32,2)-LARGE('日経_U165_10'!E6:E32,3)</x:f>
        <x:v>-54864000</x:v>
      </x:c>
    </x:row>
    <x:row r="17" ht="25" customHeight="1">
      <x:c r="A17" s="2" t="str">
        <x:v>NK225_U165_11</x:v>
      </x:c>
      <x:c r="B17" s="2" t="str">
        <x:v>比較候補</x:v>
      </x:c>
      <x:c r="C17" s="6" t="n">
        <x:f>SUM('日経_U165_11'!C6:C32)</x:f>
        <x:v>6526000</x:v>
      </x:c>
      <x:c r="D17" s="6" t="n">
        <x:f>SUM('日経_U165_11'!D6:D32)</x:f>
        <x:v>20820000</x:v>
      </x:c>
      <x:c r="E17" s="6" t="n">
        <x:f>C17-D17</x:f>
        <x:v>-14294000</x:v>
      </x:c>
      <x:c r="F17" s="9" t="n">
        <x:f>COUNTIFS('日経_U165_11'!E6:E32,"&lt;0")</x:f>
        <x:v>26</x:v>
      </x:c>
      <x:c r="G17" s="9" t="n">
        <x:f>SUM('日経_U165_11'!J6:J32)</x:f>
        <x:v>0</x:v>
      </x:c>
      <x:c r="H17" s="6" t="n">
        <x:f>IF(F17=0,0,-SUMIFS('日経_U165_11'!E6:E32,'日経_U165_11'!E6:E32,"&lt;0")/F17)</x:f>
        <x:v>551923.0769230769</x:v>
      </x:c>
      <x:c r="I17" s="6" t="n">
        <x:f>MAX(0,-MIN('日経_U165_11'!E6:E32))</x:f>
        <x:v>1100000</x:v>
      </x:c>
      <x:c r="J17" s="6" t="n">
        <x:f>MIN('日経_U165_11'!G6:G32)</x:f>
        <x:v>-1108000</x:v>
      </x:c>
      <x:c r="K17" s="6" t="n">
        <x:f>MAX('日経_U165_11'!H6:H32)</x:f>
        <x:v>1128000</x:v>
      </x:c>
      <x:c r="L17" s="17" t="n">
        <x:f>IF(C17+D17=0,"n.a.",D17/(C17+D17))</x:f>
        <x:v>0.7613544942587581</x:v>
      </x:c>
      <x:c r="M17" s="11" t="n">
        <x:f>IF(SUM('日経_U165_11'!K6:K32)=0,"n.a.",E17/(SUM('日経_U165_11'!K6:K32)*10))</x:f>
        <x:v>-14.567876070118222</x:v>
      </x:c>
      <x:c r="N17" s="6" t="n">
        <x:f>E17-LARGE('日経_U165_11'!E6:E32,1)-LARGE('日経_U165_11'!E6:E32,2)-LARGE('日経_U165_11'!E6:E32,3)</x:f>
        <x:v>-14232000</x:v>
      </x:c>
    </x:row>
    <x:row r="18" ht="25" customHeight="1">
      <x:c r="A18" s="2" t="str">
        <x:v>NK225_U165_12</x:v>
      </x:c>
      <x:c r="B18" s="2" t="str">
        <x:v>半量対照</x:v>
      </x:c>
      <x:c r="C18" s="6" t="n">
        <x:f>SUM('日経_U165_12'!C6:C32)</x:f>
        <x:v>3263000</x:v>
      </x:c>
      <x:c r="D18" s="6" t="n">
        <x:f>SUM('日経_U165_12'!D6:D32)</x:f>
        <x:v>10410000</x:v>
      </x:c>
      <x:c r="E18" s="6" t="n">
        <x:f>C18-D18</x:f>
        <x:v>-7147000</x:v>
      </x:c>
      <x:c r="F18" s="9" t="n">
        <x:f>COUNTIFS('日経_U165_12'!E6:E32,"&lt;0")</x:f>
        <x:v>26</x:v>
      </x:c>
      <x:c r="G18" s="9" t="n">
        <x:f>SUM('日経_U165_12'!J6:J32)</x:f>
        <x:v>0</x:v>
      </x:c>
      <x:c r="H18" s="6" t="n">
        <x:f>IF(F18=0,0,-SUMIFS('日経_U165_12'!E6:E32,'日経_U165_12'!E6:E32,"&lt;0")/F18)</x:f>
        <x:v>275961.53846153844</x:v>
      </x:c>
      <x:c r="I18" s="6" t="n">
        <x:f>MAX(0,-MIN('日経_U165_12'!E6:E32))</x:f>
        <x:v>550000</x:v>
      </x:c>
      <x:c r="J18" s="6" t="n">
        <x:f>MIN('日経_U165_12'!G6:G32)</x:f>
        <x:v>-554000</x:v>
      </x:c>
      <x:c r="K18" s="6" t="n">
        <x:f>MAX('日経_U165_12'!H6:H32)</x:f>
        <x:v>564000</x:v>
      </x:c>
      <x:c r="L18" s="17" t="n">
        <x:f>IF(C18+D18=0,"n.a.",D18/(C18+D18))</x:f>
        <x:v>0.7613544942587581</x:v>
      </x:c>
      <x:c r="M18" s="11" t="n">
        <x:f>IF(SUM('日経_U165_12'!K6:K32)=0,"n.a.",E18/(SUM('日経_U165_12'!K6:K32)*10))</x:f>
        <x:v>-14.567876070118222</x:v>
      </x:c>
      <x:c r="N18" s="6" t="n">
        <x:f>E18-LARGE('日経_U165_12'!E6:E32,1)-LARGE('日経_U165_12'!E6:E32,2)-LARGE('日経_U165_12'!E6:E32,3)</x:f>
        <x:v>-7116000</x:v>
      </x:c>
    </x:row>
    <x:row r="19" ht="25" customHeight="1">
      <x:c r="A19" s="2" t="str">
        <x:v>NK225_U165_13</x:v>
      </x:c>
      <x:c r="B19" s="2" t="str">
        <x:v>比較候補</x:v>
      </x:c>
      <x:c r="C19" s="6" t="n">
        <x:f>SUM('日経_U165_13'!C6:C32)</x:f>
        <x:v>24412000</x:v>
      </x:c>
      <x:c r="D19" s="6" t="n">
        <x:f>SUM('日経_U165_13'!D6:D32)</x:f>
        <x:v>83002000</x:v>
      </x:c>
      <x:c r="E19" s="6" t="n">
        <x:f>C19-D19</x:f>
        <x:v>-58590000</x:v>
      </x:c>
      <x:c r="F19" s="9" t="n">
        <x:f>COUNTIFS('日経_U165_13'!E6:E32,"&lt;0")</x:f>
        <x:v>27</x:v>
      </x:c>
      <x:c r="G19" s="9" t="n">
        <x:f>SUM('日経_U165_13'!J6:J32)</x:f>
        <x:v>0</x:v>
      </x:c>
      <x:c r="H19" s="6" t="n">
        <x:f>IF(F19=0,0,-SUMIFS('日経_U165_13'!E6:E32,'日経_U165_13'!E6:E32,"&lt;0")/F19)</x:f>
        <x:v>2170000</x:v>
      </x:c>
      <x:c r="I19" s="6" t="n">
        <x:f>MAX(0,-MIN('日経_U165_13'!E6:E32))</x:f>
        <x:v>4234000</x:v>
      </x:c>
      <x:c r="J19" s="6" t="n">
        <x:f>MIN('日経_U165_13'!G6:G32)</x:f>
        <x:v>-4260000</x:v>
      </x:c>
      <x:c r="K19" s="6" t="n">
        <x:f>MAX('日経_U165_13'!H6:H32)</x:f>
        <x:v>4262000</x:v>
      </x:c>
      <x:c r="L19" s="17" t="n">
        <x:f>IF(C19+D19=0,"n.a.",D19/(C19+D19))</x:f>
        <x:v>0.7727298117563819</x:v>
      </x:c>
      <x:c r="M19" s="11" t="n">
        <x:f>IF(SUM('日経_U165_13'!K6:K32)=0,"n.a.",E19/(SUM('日経_U165_13'!K6:K32)*10))</x:f>
        <x:v>-14.78723941244763</x:v>
      </x:c>
      <x:c r="N19" s="6" t="n">
        <x:f>E19-LARGE('日経_U165_13'!E6:E32,1)-LARGE('日経_U165_13'!E6:E32,2)-LARGE('日経_U165_13'!E6:E32,3)</x:f>
        <x:v>-56562000</x:v>
      </x:c>
    </x:row>
    <x:row r="20" ht="25" customHeight="1">
      <x:c r="A20" s="2" t="str">
        <x:v>NK225_U165_14</x:v>
      </x:c>
      <x:c r="B20" s="2" t="str">
        <x:v>比較候補</x:v>
      </x:c>
      <x:c r="C20" s="6" t="n">
        <x:f>SUM('日経_U165_14'!C6:C32)</x:f>
        <x:v>6164000</x:v>
      </x:c>
      <x:c r="D20" s="6" t="n">
        <x:f>SUM('日経_U165_14'!D6:D32)</x:f>
        <x:v>20626000</x:v>
      </x:c>
      <x:c r="E20" s="6" t="n">
        <x:f>C20-D20</x:f>
        <x:v>-14462000</x:v>
      </x:c>
      <x:c r="F20" s="9" t="n">
        <x:f>COUNTIFS('日経_U165_14'!E6:E32,"&lt;0")</x:f>
        <x:v>26</x:v>
      </x:c>
      <x:c r="G20" s="9" t="n">
        <x:f>SUM('日経_U165_14'!J6:J32)</x:f>
        <x:v>0</x:v>
      </x:c>
      <x:c r="H20" s="6" t="n">
        <x:f>IF(F20=0,0,-SUMIFS('日経_U165_14'!E6:E32,'日経_U165_14'!E6:E32,"&lt;0")/F20)</x:f>
        <x:v>557230.7692307692</x:v>
      </x:c>
      <x:c r="I20" s="6" t="n">
        <x:f>MAX(0,-MIN('日経_U165_14'!E6:E32))</x:f>
        <x:v>1140000</x:v>
      </x:c>
      <x:c r="J20" s="6" t="n">
        <x:f>MIN('日経_U165_14'!G6:G32)</x:f>
        <x:v>-1148000</x:v>
      </x:c>
      <x:c r="K20" s="6" t="n">
        <x:f>MAX('日経_U165_14'!H6:H32)</x:f>
        <x:v>1168000</x:v>
      </x:c>
      <x:c r="L20" s="17" t="n">
        <x:f>IF(C20+D20=0,"n.a.",D20/(C20+D20))</x:f>
        <x:v>0.7699141470698022</x:v>
      </x:c>
      <x:c r="M20" s="11" t="n">
        <x:f>IF(SUM('日経_U165_14'!K6:K32)=0,"n.a.",E20/(SUM('日経_U165_14'!K6:K32)*10))</x:f>
        <x:v>-14.700142305346615</x:v>
      </x:c>
      <x:c r="N20" s="6" t="n">
        <x:f>E20-LARGE('日経_U165_14'!E6:E32,1)-LARGE('日経_U165_14'!E6:E32,2)-LARGE('日経_U165_14'!E6:E32,3)</x:f>
        <x:v>-14392000</x:v>
      </x:c>
    </x:row>
    <x:row r="21" ht="25" customHeight="1">
      <x:c r="A21" s="2"/>
      <x:c r="B21" s="2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</x:row>
    <x:row r="22" ht="25" customHeight="1">
      <x:c r="A22" s="2"/>
      <x:c r="B22" s="2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</x:row>
    <x:row r="23" ht="25" customHeight="1">
      <x:c r="A23" s="18" t="str">
        <x:v>前20夜</x:v>
      </x:c>
      <x:c r="B23" s="2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</x:row>
    <x:row r="24" ht="43" customHeight="1">
      <x:c r="A24" s="16" t="str">
        <x:v>手法ID</x:v>
      </x:c>
      <x:c r="B24" s="16" t="str">
        <x:v>区分</x:v>
      </x:c>
      <x:c r="C24" s="22" t="str">
        <x:v>利益（円）</x:v>
      </x:c>
      <x:c r="D24" s="22" t="str">
        <x:v>損失（円）</x:v>
      </x:c>
      <x:c r="E24" s="22" t="str">
        <x:v>収支（円）</x:v>
      </x:c>
      <x:c r="F24" s="22" t="str">
        <x:v>赤字場数</x:v>
      </x:c>
      <x:c r="G24" s="22" t="str">
        <x:v>無取引場数</x:v>
      </x:c>
      <x:c r="H24" s="22" t="str">
        <x:v>平均赤字（円）</x:v>
      </x:c>
      <x:c r="I24" s="22" t="str">
        <x:v>最大赤字（円）</x:v>
      </x:c>
      <x:c r="J24" s="22" t="str">
        <x:v>場内最悪収支（円）</x:v>
      </x:c>
      <x:c r="K24" s="22" t="str">
        <x:v>最大下落額（円）</x:v>
      </x:c>
      <x:c r="L24" s="22" t="str">
        <x:v>損失割合</x:v>
      </x:c>
      <x:c r="M24" s="22" t="str">
        <x:v>返済1枚平均（pt）</x:v>
      </x:c>
      <x:c r="N24" s="22" t="str">
        <x:v>大勝ち3場除外（円）</x:v>
      </x:c>
    </x:row>
    <x:row r="25" ht="25" customHeight="1">
      <x:c r="A25" s="2" t="str">
        <x:v>NK225_U164_00</x:v>
      </x:c>
      <x:c r="B25" s="2" t="str">
        <x:v>基準</x:v>
      </x:c>
      <x:c r="C25" s="6" t="n">
        <x:f>SUM('日経_U164_00'!C6:C25)</x:f>
        <x:v>1757000</x:v>
      </x:c>
      <x:c r="D25" s="6" t="n">
        <x:f>SUM('日経_U164_00'!D6:D25)</x:f>
        <x:v>819000</x:v>
      </x:c>
      <x:c r="E25" s="6" t="n">
        <x:f>C25-D25</x:f>
        <x:v>938000</x:v>
      </x:c>
      <x:c r="F25" s="9" t="n">
        <x:f>COUNTIFS('日経_U164_00'!E6:E25,"&lt;0")</x:f>
        <x:v>6</x:v>
      </x:c>
      <x:c r="G25" s="9" t="n">
        <x:f>SUM('日経_U164_00'!J6:J25)</x:f>
        <x:v>0</x:v>
      </x:c>
      <x:c r="H25" s="6" t="n">
        <x:f>IF(F25=0,0,-SUMIFS('日経_U164_00'!E6:E25,'日経_U164_00'!E6:E25,"&lt;0")/F25)</x:f>
        <x:v>32500</x:v>
      </x:c>
      <x:c r="I25" s="6" t="n">
        <x:f>MAX(0,-MIN('日経_U164_00'!E6:E25))</x:f>
        <x:v>53000</x:v>
      </x:c>
      <x:c r="J25" s="6" t="n">
        <x:f>MIN('日経_U164_00'!G6:G25)</x:f>
        <x:v>-85000</x:v>
      </x:c>
      <x:c r="K25" s="6" t="n">
        <x:f>MAX('日経_U164_00'!H6:H25)</x:f>
        <x:v>162000</x:v>
      </x:c>
      <x:c r="L25" s="17" t="n">
        <x:f>IF(C25+D25=0,"n.a.",D25/(C25+D25))</x:f>
        <x:v>0.3179347826086957</x:v>
      </x:c>
      <x:c r="M25" s="11" t="n">
        <x:f>IF(SUM('日経_U164_00'!K6:K25)=0,"n.a.",E25/(SUM('日経_U164_00'!K6:K25)*10))</x:f>
        <x:v>45.31400966183575</x:v>
      </x:c>
      <x:c r="N25" s="6" t="n">
        <x:f>E25-LARGE('日経_U164_00'!E6:E25,1)-LARGE('日経_U164_00'!E6:E25,2)-LARGE('日経_U164_00'!E6:E25,3)</x:f>
        <x:v>240000</x:v>
      </x:c>
    </x:row>
    <x:row r="26" ht="25" customHeight="1">
      <x:c r="A26" s="2" t="str">
        <x:v>NK225_U165_01</x:v>
      </x:c>
      <x:c r="B26" s="2" t="str">
        <x:v>半量対照</x:v>
      </x:c>
      <x:c r="C26" s="6" t="n">
        <x:f>SUM('日経_U165_01'!C6:C25)</x:f>
        <x:v>878500</x:v>
      </x:c>
      <x:c r="D26" s="6" t="n">
        <x:f>SUM('日経_U165_01'!D6:D25)</x:f>
        <x:v>409500</x:v>
      </x:c>
      <x:c r="E26" s="6" t="n">
        <x:f>C26-D26</x:f>
        <x:v>469000</x:v>
      </x:c>
      <x:c r="F26" s="9" t="n">
        <x:f>COUNTIFS('日経_U165_01'!E6:E25,"&lt;0")</x:f>
        <x:v>6</x:v>
      </x:c>
      <x:c r="G26" s="9" t="n">
        <x:f>SUM('日経_U165_01'!J6:J25)</x:f>
        <x:v>0</x:v>
      </x:c>
      <x:c r="H26" s="6" t="n">
        <x:f>IF(F26=0,0,-SUMIFS('日経_U165_01'!E6:E25,'日経_U165_01'!E6:E25,"&lt;0")/F26)</x:f>
        <x:v>16250</x:v>
      </x:c>
      <x:c r="I26" s="6" t="n">
        <x:f>MAX(0,-MIN('日経_U165_01'!E6:E25))</x:f>
        <x:v>26500</x:v>
      </x:c>
      <x:c r="J26" s="6" t="n">
        <x:f>MIN('日経_U165_01'!G6:G25)</x:f>
        <x:v>-42500</x:v>
      </x:c>
      <x:c r="K26" s="6" t="n">
        <x:f>MAX('日経_U165_01'!H6:H25)</x:f>
        <x:v>81000</x:v>
      </x:c>
      <x:c r="L26" s="17" t="n">
        <x:f>IF(C26+D26=0,"n.a.",D26/(C26+D26))</x:f>
        <x:v>0.3179347826086957</x:v>
      </x:c>
      <x:c r="M26" s="11" t="n">
        <x:f>IF(SUM('日経_U165_01'!K6:K25)=0,"n.a.",E26/(SUM('日経_U165_01'!K6:K25)*10))</x:f>
        <x:v>45.31400966183575</x:v>
      </x:c>
      <x:c r="N26" s="6" t="n">
        <x:f>E26-LARGE('日経_U165_01'!E6:E25,1)-LARGE('日経_U165_01'!E6:E25,2)-LARGE('日経_U165_01'!E6:E25,3)</x:f>
        <x:v>120000</x:v>
      </x:c>
    </x:row>
    <x:row r="27" ht="25" customHeight="1">
      <x:c r="A27" s="2" t="str">
        <x:v>NK225_U165_02</x:v>
      </x:c>
      <x:c r="B27" s="2" t="str">
        <x:v>比較候補</x:v>
      </x:c>
      <x:c r="C27" s="6" t="n">
        <x:f>SUM('日経_U165_02'!C6:C25)</x:f>
        <x:v>1661000</x:v>
      </x:c>
      <x:c r="D27" s="6" t="n">
        <x:f>SUM('日経_U165_02'!D6:D25)</x:f>
        <x:v>655000</x:v>
      </x:c>
      <x:c r="E27" s="6" t="n">
        <x:f>C27-D27</x:f>
        <x:v>1006000</x:v>
      </x:c>
      <x:c r="F27" s="9" t="n">
        <x:f>COUNTIFS('日経_U165_02'!E6:E25,"&lt;0")</x:f>
        <x:v>5</x:v>
      </x:c>
      <x:c r="G27" s="9" t="n">
        <x:f>SUM('日経_U165_02'!J6:J25)</x:f>
        <x:v>1</x:v>
      </x:c>
      <x:c r="H27" s="6" t="n">
        <x:f>IF(F27=0,0,-SUMIFS('日経_U165_02'!E6:E25,'日経_U165_02'!E6:E25,"&lt;0")/F27)</x:f>
        <x:v>31600</x:v>
      </x:c>
      <x:c r="I27" s="6" t="n">
        <x:f>MAX(0,-MIN('日経_U165_02'!E6:E25))</x:f>
        <x:v>53000</x:v>
      </x:c>
      <x:c r="J27" s="6" t="n">
        <x:f>MIN('日経_U165_02'!G6:G25)</x:f>
        <x:v>-70000</x:v>
      </x:c>
      <x:c r="K27" s="6" t="n">
        <x:f>MAX('日経_U165_02'!H6:H25)</x:f>
        <x:v>162000</x:v>
      </x:c>
      <x:c r="L27" s="17" t="n">
        <x:f>IF(C27+D27=0,"n.a.",D27/(C27+D27))</x:f>
        <x:v>0.28281519861830745</x:v>
      </x:c>
      <x:c r="M27" s="11" t="n">
        <x:f>IF(SUM('日経_U165_02'!K6:K25)=0,"n.a.",E27/(SUM('日経_U165_02'!K6:K25)*10))</x:f>
        <x:v>55.27472527472528</x:v>
      </x:c>
      <x:c r="N27" s="6" t="n">
        <x:f>E27-LARGE('日経_U165_02'!E6:E25,1)-LARGE('日経_U165_02'!E6:E25,2)-LARGE('日経_U165_02'!E6:E25,3)</x:f>
        <x:v>270000</x:v>
      </x:c>
    </x:row>
    <x:row r="28" ht="25" customHeight="1">
      <x:c r="A28" s="2" t="str">
        <x:v>NK225_U165_03</x:v>
      </x:c>
      <x:c r="B28" s="2" t="str">
        <x:v>比較候補</x:v>
      </x:c>
      <x:c r="C28" s="6" t="n">
        <x:f>SUM('日経_U165_03'!C6:C25)</x:f>
        <x:v>1743000</x:v>
      </x:c>
      <x:c r="D28" s="6" t="n">
        <x:f>SUM('日経_U165_03'!D6:D25)</x:f>
        <x:v>759000</x:v>
      </x:c>
      <x:c r="E28" s="6" t="n">
        <x:f>C28-D28</x:f>
        <x:v>984000</x:v>
      </x:c>
      <x:c r="F28" s="9" t="n">
        <x:f>COUNTIFS('日経_U165_03'!E6:E25,"&lt;0")</x:f>
        <x:v>6</x:v>
      </x:c>
      <x:c r="G28" s="9" t="n">
        <x:f>SUM('日経_U165_03'!J6:J25)</x:f>
        <x:v>0</x:v>
      </x:c>
      <x:c r="H28" s="6" t="n">
        <x:f>IF(F28=0,0,-SUMIFS('日経_U165_03'!E6:E25,'日経_U165_03'!E6:E25,"&lt;0")/F28)</x:f>
        <x:v>31666.666666666668</x:v>
      </x:c>
      <x:c r="I28" s="6" t="n">
        <x:f>MAX(0,-MIN('日経_U165_03'!E6:E25))</x:f>
        <x:v>53000</x:v>
      </x:c>
      <x:c r="J28" s="6" t="n">
        <x:f>MIN('日経_U165_03'!G6:G25)</x:f>
        <x:v>-88000</x:v>
      </x:c>
      <x:c r="K28" s="6" t="n">
        <x:f>MAX('日経_U165_03'!H6:H25)</x:f>
        <x:v>162000</x:v>
      </x:c>
      <x:c r="L28" s="17" t="n">
        <x:f>IF(C28+D28=0,"n.a.",D28/(C28+D28))</x:f>
        <x:v>0.30335731414868106</x:v>
      </x:c>
      <x:c r="M28" s="11" t="n">
        <x:f>IF(SUM('日経_U165_03'!K6:K25)=0,"n.a.",E28/(SUM('日経_U165_03'!K6:K25)*10))</x:f>
        <x:v>48.71287128712871</x:v>
      </x:c>
      <x:c r="N28" s="6" t="n">
        <x:f>E28-LARGE('日経_U165_03'!E6:E25,1)-LARGE('日経_U165_03'!E6:E25,2)-LARGE('日経_U165_03'!E6:E25,3)</x:f>
        <x:v>282000</x:v>
      </x:c>
    </x:row>
    <x:row r="29" ht="25" customHeight="1">
      <x:c r="A29" s="2" t="str">
        <x:v>NK225_U165_04</x:v>
      </x:c>
      <x:c r="B29" s="2" t="str">
        <x:v>前20夜で固定</x:v>
      </x:c>
      <x:c r="C29" s="6" t="n">
        <x:f>SUM('日経_U165_04'!C6:C25)</x:f>
        <x:v>1700000</x:v>
      </x:c>
      <x:c r="D29" s="6" t="n">
        <x:f>SUM('日経_U165_04'!D6:D25)</x:f>
        <x:v>769000</x:v>
      </x:c>
      <x:c r="E29" s="6" t="n">
        <x:f>C29-D29</x:f>
        <x:v>931000</x:v>
      </x:c>
      <x:c r="F29" s="9" t="n">
        <x:f>COUNTIFS('日経_U165_04'!E6:E25,"&lt;0")</x:f>
        <x:v>6</x:v>
      </x:c>
      <x:c r="G29" s="9" t="n">
        <x:f>SUM('日経_U165_04'!J6:J25)</x:f>
        <x:v>0</x:v>
      </x:c>
      <x:c r="H29" s="6" t="n">
        <x:f>IF(F29=0,0,-SUMIFS('日経_U165_04'!E6:E25,'日経_U165_04'!E6:E25,"&lt;0")/F29)</x:f>
        <x:v>31166.666666666668</x:v>
      </x:c>
      <x:c r="I29" s="6" t="n">
        <x:f>MAX(0,-MIN('日経_U165_04'!E6:E25))</x:f>
        <x:v>53000</x:v>
      </x:c>
      <x:c r="J29" s="6" t="n">
        <x:f>MIN('日経_U165_04'!G6:G25)</x:f>
        <x:v>-85000</x:v>
      </x:c>
      <x:c r="K29" s="6" t="n">
        <x:f>MAX('日経_U165_04'!H6:H25)</x:f>
        <x:v>145000</x:v>
      </x:c>
      <x:c r="L29" s="17" t="n">
        <x:f>IF(C29+D29=0,"n.a.",D29/(C29+D29))</x:f>
        <x:v>0.31146213041717297</x:v>
      </x:c>
      <x:c r="M29" s="11" t="n">
        <x:f>IF(SUM('日経_U165_04'!K6:K25)=0,"n.a.",E29/(SUM('日経_U165_04'!K6:K25)*10))</x:f>
        <x:v>47.743589743589745</x:v>
      </x:c>
      <x:c r="N29" s="6" t="n">
        <x:f>E29-LARGE('日経_U165_04'!E6:E25,1)-LARGE('日経_U165_04'!E6:E25,2)-LARGE('日経_U165_04'!E6:E25,3)</x:f>
        <x:v>252000</x:v>
      </x:c>
    </x:row>
    <x:row r="30" ht="25" customHeight="1">
      <x:c r="A30" s="2" t="str">
        <x:v>NK225_U165_05</x:v>
      </x:c>
      <x:c r="B30" s="2" t="str">
        <x:v>比較候補</x:v>
      </x:c>
      <x:c r="C30" s="6" t="n">
        <x:f>SUM('日経_U165_05'!C6:C25)</x:f>
        <x:v>1716000</x:v>
      </x:c>
      <x:c r="D30" s="6" t="n">
        <x:f>SUM('日経_U165_05'!D6:D25)</x:f>
        <x:v>792000</x:v>
      </x:c>
      <x:c r="E30" s="6" t="n">
        <x:f>C30-D30</x:f>
        <x:v>924000</x:v>
      </x:c>
      <x:c r="F30" s="9" t="n">
        <x:f>COUNTIFS('日経_U165_05'!E6:E25,"&lt;0")</x:f>
        <x:v>6</x:v>
      </x:c>
      <x:c r="G30" s="9" t="n">
        <x:f>SUM('日経_U165_05'!J6:J25)</x:f>
        <x:v>0</x:v>
      </x:c>
      <x:c r="H30" s="6" t="n">
        <x:f>IF(F30=0,0,-SUMIFS('日経_U165_05'!E6:E25,'日経_U165_05'!E6:E25,"&lt;0")/F30)</x:f>
        <x:v>35000</x:v>
      </x:c>
      <x:c r="I30" s="6" t="n">
        <x:f>MAX(0,-MIN('日経_U165_05'!E6:E25))</x:f>
        <x:v>53000</x:v>
      </x:c>
      <x:c r="J30" s="6" t="n">
        <x:f>MIN('日経_U165_05'!G6:G25)</x:f>
        <x:v>-91000</x:v>
      </x:c>
      <x:c r="K30" s="6" t="n">
        <x:f>MAX('日経_U165_05'!H6:H25)</x:f>
        <x:v>137000</x:v>
      </x:c>
      <x:c r="L30" s="17" t="n">
        <x:f>IF(C30+D30=0,"n.a.",D30/(C30+D30))</x:f>
        <x:v>0.3157894736842105</x:v>
      </x:c>
      <x:c r="M30" s="11" t="n">
        <x:f>IF(SUM('日経_U165_05'!K6:K25)=0,"n.a.",E30/(SUM('日経_U165_05'!K6:K25)*10))</x:f>
        <x:v>44.63768115942029</x:v>
      </x:c>
      <x:c r="N30" s="6" t="n">
        <x:f>E30-LARGE('日経_U165_05'!E6:E25,1)-LARGE('日経_U165_05'!E6:E25,2)-LARGE('日経_U165_05'!E6:E25,3)</x:f>
        <x:v>231000</x:v>
      </x:c>
    </x:row>
    <x:row r="31" ht="25" customHeight="1">
      <x:c r="A31" s="2" t="str">
        <x:v>NK225_U165_06</x:v>
      </x:c>
      <x:c r="B31" s="2" t="str">
        <x:v>比較候補</x:v>
      </x:c>
      <x:c r="C31" s="6" t="n">
        <x:f>SUM('日経_U165_06'!C6:C25)</x:f>
        <x:v>942000</x:v>
      </x:c>
      <x:c r="D31" s="6" t="n">
        <x:f>SUM('日経_U165_06'!D6:D25)</x:f>
        <x:v>593500</x:v>
      </x:c>
      <x:c r="E31" s="6" t="n">
        <x:f>C31-D31</x:f>
        <x:v>348500</x:v>
      </x:c>
      <x:c r="F31" s="9" t="n">
        <x:f>COUNTIFS('日経_U165_06'!E6:E25,"&lt;0")</x:f>
        <x:v>7</x:v>
      </x:c>
      <x:c r="G31" s="9" t="n">
        <x:f>SUM('日経_U165_06'!J6:J25)</x:f>
        <x:v>0</x:v>
      </x:c>
      <x:c r="H31" s="6" t="n">
        <x:f>IF(F31=0,0,-SUMIFS('日経_U165_06'!E6:E25,'日経_U165_06'!E6:E25,"&lt;0")/F31)</x:f>
        <x:v>21214.285714285714</x:v>
      </x:c>
      <x:c r="I31" s="6" t="n">
        <x:f>MAX(0,-MIN('日経_U165_06'!E6:E25))</x:f>
        <x:v>38000</x:v>
      </x:c>
      <x:c r="J31" s="6" t="n">
        <x:f>MIN('日経_U165_06'!G6:G25)</x:f>
        <x:v>-53000</x:v>
      </x:c>
      <x:c r="K31" s="6" t="n">
        <x:f>MAX('日経_U165_06'!H6:H25)</x:f>
        <x:v>85000</x:v>
      </x:c>
      <x:c r="L31" s="17" t="n">
        <x:f>IF(C31+D31=0,"n.a.",D31/(C31+D31))</x:f>
        <x:v>0.3865190491696516</x:v>
      </x:c>
      <x:c r="M31" s="11" t="n">
        <x:f>IF(SUM('日経_U165_06'!K6:K25)=0,"n.a.",E31/(SUM('日経_U165_06'!K6:K25)*10))</x:f>
        <x:v>17.963917525773194</x:v>
      </x:c>
      <x:c r="N31" s="6" t="n">
        <x:f>E31-LARGE('日経_U165_06'!E6:E25,1)-LARGE('日経_U165_06'!E6:E25,2)-LARGE('日経_U165_06'!E6:E25,3)</x:f>
        <x:v>37500</x:v>
      </x:c>
    </x:row>
    <x:row r="32" ht="25" customHeight="1">
      <x:c r="A32" s="2" t="str">
        <x:v>NK225_U165_07</x:v>
      </x:c>
      <x:c r="B32" s="2" t="str">
        <x:v>比較候補</x:v>
      </x:c>
      <x:c r="C32" s="6" t="n">
        <x:f>SUM('日経_U165_07'!C6:C25)</x:f>
        <x:v>1604000</x:v>
      </x:c>
      <x:c r="D32" s="6" t="n">
        <x:f>SUM('日経_U165_07'!D6:D25)</x:f>
        <x:v>605000</x:v>
      </x:c>
      <x:c r="E32" s="6" t="n">
        <x:f>C32-D32</x:f>
        <x:v>999000</x:v>
      </x:c>
      <x:c r="F32" s="9" t="n">
        <x:f>COUNTIFS('日経_U165_07'!E6:E25,"&lt;0")</x:f>
        <x:v>6</x:v>
      </x:c>
      <x:c r="G32" s="9" t="n">
        <x:f>SUM('日経_U165_07'!J6:J25)</x:f>
        <x:v>1</x:v>
      </x:c>
      <x:c r="H32" s="6" t="n">
        <x:f>IF(F32=0,0,-SUMIFS('日経_U165_07'!E6:E25,'日経_U165_07'!E6:E25,"&lt;0")/F32)</x:f>
        <x:v>25333.333333333332</x:v>
      </x:c>
      <x:c r="I32" s="6" t="n">
        <x:f>MAX(0,-MIN('日経_U165_07'!E6:E25))</x:f>
        <x:v>53000</x:v>
      </x:c>
      <x:c r="J32" s="6" t="n">
        <x:f>MIN('日経_U165_07'!G6:G25)</x:f>
        <x:v>-70000</x:v>
      </x:c>
      <x:c r="K32" s="6" t="n">
        <x:f>MAX('日経_U165_07'!H6:H25)</x:f>
        <x:v>144000</x:v>
      </x:c>
      <x:c r="L32" s="17" t="n">
        <x:f>IF(C32+D32=0,"n.a.",D32/(C32+D32))</x:f>
        <x:v>0.2738795835219556</x:v>
      </x:c>
      <x:c r="M32" s="11" t="n">
        <x:f>IF(SUM('日経_U165_07'!K6:K25)=0,"n.a.",E32/(SUM('日経_U165_07'!K6:K25)*10))</x:f>
        <x:v>58.76470588235294</x:v>
      </x:c>
      <x:c r="N32" s="6" t="n">
        <x:f>E32-LARGE('日経_U165_07'!E6:E25,1)-LARGE('日経_U165_07'!E6:E25,2)-LARGE('日経_U165_07'!E6:E25,3)</x:f>
        <x:v>282000</x:v>
      </x:c>
    </x:row>
    <x:row r="33" ht="25" customHeight="1">
      <x:c r="A33" s="2" t="str">
        <x:v>NK225_U165_08</x:v>
      </x:c>
      <x:c r="B33" s="2" t="str">
        <x:v>比較候補</x:v>
      </x:c>
      <x:c r="C33" s="6" t="n">
        <x:f>SUM('日経_U165_08'!C6:C25)</x:f>
        <x:v>808500</x:v>
      </x:c>
      <x:c r="D33" s="6" t="n">
        <x:f>SUM('日経_U165_08'!D6:D25)</x:f>
        <x:v>455000</x:v>
      </x:c>
      <x:c r="E33" s="6" t="n">
        <x:f>C33-D33</x:f>
        <x:v>353500</x:v>
      </x:c>
      <x:c r="F33" s="9" t="n">
        <x:f>COUNTIFS('日経_U165_08'!E6:E25,"&lt;0")</x:f>
        <x:v>7</x:v>
      </x:c>
      <x:c r="G33" s="9" t="n">
        <x:f>SUM('日経_U165_08'!J6:J25)</x:f>
        <x:v>1</x:v>
      </x:c>
      <x:c r="H33" s="6" t="n">
        <x:f>IF(F33=0,0,-SUMIFS('日経_U165_08'!E6:E25,'日経_U165_08'!E6:E25,"&lt;0")/F33)</x:f>
        <x:v>17357.14285714286</x:v>
      </x:c>
      <x:c r="I33" s="6" t="n">
        <x:f>MAX(0,-MIN('日経_U165_08'!E6:E25))</x:f>
        <x:v>38000</x:v>
      </x:c>
      <x:c r="J33" s="6" t="n">
        <x:f>MIN('日経_U165_08'!G6:G25)</x:f>
        <x:v>-49500</x:v>
      </x:c>
      <x:c r="K33" s="6" t="n">
        <x:f>MAX('日経_U165_08'!H6:H25)</x:f>
        <x:v>76000</x:v>
      </x:c>
      <x:c r="L33" s="17" t="n">
        <x:f>IF(C33+D33=0,"n.a.",D33/(C33+D33))</x:f>
        <x:v>0.3601108033240997</x:v>
      </x:c>
      <x:c r="M33" s="11" t="n">
        <x:f>IF(SUM('日経_U165_08'!K6:K25)=0,"n.a.",E33/(SUM('日経_U165_08'!K6:K25)*10))</x:f>
        <x:v>21.687116564417177</x:v>
      </x:c>
      <x:c r="N33" s="6" t="n">
        <x:f>E33-LARGE('日経_U165_08'!E6:E25,1)-LARGE('日経_U165_08'!E6:E25,2)-LARGE('日経_U165_08'!E6:E25,3)</x:f>
        <x:v>56000</x:v>
      </x:c>
    </x:row>
    <x:row r="34" ht="25" customHeight="1">
      <x:c r="A34" s="2" t="str">
        <x:v>NK225_U165_09</x:v>
      </x:c>
      <x:c r="B34" s="2" t="str">
        <x:v>比較候補</x:v>
      </x:c>
      <x:c r="C34" s="6" t="n">
        <x:f>SUM('日経_U165_09'!C6:C25)</x:f>
        <x:v>852500</x:v>
      </x:c>
      <x:c r="D34" s="6" t="n">
        <x:f>SUM('日経_U165_09'!D6:D25)</x:f>
        <x:v>562500</x:v>
      </x:c>
      <x:c r="E34" s="6" t="n">
        <x:f>C34-D34</x:f>
        <x:v>290000</x:v>
      </x:c>
      <x:c r="F34" s="9" t="n">
        <x:f>COUNTIFS('日経_U165_09'!E6:E25,"&lt;0")</x:f>
        <x:v>6</x:v>
      </x:c>
      <x:c r="G34" s="9" t="n">
        <x:f>SUM('日経_U165_09'!J6:J25)</x:f>
        <x:v>1</x:v>
      </x:c>
      <x:c r="H34" s="6" t="n">
        <x:f>IF(F34=0,0,-SUMIFS('日経_U165_09'!E6:E25,'日経_U165_09'!E6:E25,"&lt;0")/F34)</x:f>
        <x:v>19000</x:v>
      </x:c>
      <x:c r="I34" s="6" t="n">
        <x:f>MAX(0,-MIN('日経_U165_09'!E6:E25))</x:f>
        <x:v>36000</x:v>
      </x:c>
      <x:c r="J34" s="6" t="n">
        <x:f>MIN('日経_U165_09'!G6:G25)</x:f>
        <x:v>-49500</x:v>
      </x:c>
      <x:c r="K34" s="6" t="n">
        <x:f>MAX('日経_U165_09'!H6:H25)</x:f>
        <x:v>86500</x:v>
      </x:c>
      <x:c r="L34" s="17" t="n">
        <x:f>IF(C34+D34=0,"n.a.",D34/(C34+D34))</x:f>
        <x:v>0.39752650176678445</x:v>
      </x:c>
      <x:c r="M34" s="11" t="n">
        <x:f>IF(SUM('日経_U165_09'!K6:K25)=0,"n.a.",E34/(SUM('日経_U165_09'!K6:K25)*10))</x:f>
        <x:v>16.714697406340058</x:v>
      </x:c>
      <x:c r="N34" s="6" t="n">
        <x:f>E34-LARGE('日経_U165_09'!E6:E25,1)-LARGE('日経_U165_09'!E6:E25,2)-LARGE('日経_U165_09'!E6:E25,3)</x:f>
        <x:v>42500</x:v>
      </x:c>
    </x:row>
    <x:row r="35" ht="25" customHeight="1">
      <x:c r="A35" s="2" t="str">
        <x:v>NK225_U165_10</x:v>
      </x:c>
      <x:c r="B35" s="2" t="str">
        <x:v>比較候補</x:v>
      </x:c>
      <x:c r="C35" s="6" t="n">
        <x:f>SUM('日経_U165_10'!C6:C25)</x:f>
        <x:v>17246000</x:v>
      </x:c>
      <x:c r="D35" s="6" t="n">
        <x:f>SUM('日経_U165_10'!D6:D25)</x:f>
        <x:v>58696000</x:v>
      </x:c>
      <x:c r="E35" s="6" t="n">
        <x:f>C35-D35</x:f>
        <x:v>-41450000</x:v>
      </x:c>
      <x:c r="F35" s="9" t="n">
        <x:f>COUNTIFS('日経_U165_10'!E6:E25,"&lt;0")</x:f>
        <x:v>20</x:v>
      </x:c>
      <x:c r="G35" s="9" t="n">
        <x:f>SUM('日経_U165_10'!J6:J25)</x:f>
        <x:v>0</x:v>
      </x:c>
      <x:c r="H35" s="6" t="n">
        <x:f>IF(F35=0,0,-SUMIFS('日経_U165_10'!E6:E25,'日経_U165_10'!E6:E25,"&lt;0")/F35)</x:f>
        <x:v>2072500</x:v>
      </x:c>
      <x:c r="I35" s="6" t="n">
        <x:f>MAX(0,-MIN('日経_U165_10'!E6:E25))</x:f>
        <x:v>4078000</x:v>
      </x:c>
      <x:c r="J35" s="6" t="n">
        <x:f>MIN('日経_U165_10'!G6:G25)</x:f>
        <x:v>-4138000</x:v>
      </x:c>
      <x:c r="K35" s="6" t="n">
        <x:f>MAX('日経_U165_10'!H6:H25)</x:f>
        <x:v>4140000</x:v>
      </x:c>
      <x:c r="L35" s="17" t="n">
        <x:f>IF(C35+D35=0,"n.a.",D35/(C35+D35))</x:f>
        <x:v>0.7729056385136025</x:v>
      </x:c>
      <x:c r="M35" s="11" t="n">
        <x:f>IF(SUM('日経_U165_10'!K6:K25)=0,"n.a.",E35/(SUM('日経_U165_10'!K6:K25)*10))</x:f>
        <x:v>-15.147639234030112</x:v>
      </x:c>
      <x:c r="N35" s="6" t="n">
        <x:f>E35-LARGE('日経_U165_10'!E6:E25,1)-LARGE('日経_U165_10'!E6:E25,2)-LARGE('日経_U165_10'!E6:E25,3)</x:f>
        <x:v>-39364000</x:v>
      </x:c>
    </x:row>
    <x:row r="36" ht="25" customHeight="1">
      <x:c r="A36" s="2" t="str">
        <x:v>NK225_U165_11</x:v>
      </x:c>
      <x:c r="B36" s="2" t="str">
        <x:v>比較候補</x:v>
      </x:c>
      <x:c r="C36" s="6" t="n">
        <x:f>SUM('日経_U165_11'!C6:C25)</x:f>
        <x:v>4478000</x:v>
      </x:c>
      <x:c r="D36" s="6" t="n">
        <x:f>SUM('日経_U165_11'!D6:D25)</x:f>
        <x:v>14370000</x:v>
      </x:c>
      <x:c r="E36" s="6" t="n">
        <x:f>C36-D36</x:f>
        <x:v>-9892000</x:v>
      </x:c>
      <x:c r="F36" s="9" t="n">
        <x:f>COUNTIFS('日経_U165_11'!E6:E25,"&lt;0")</x:f>
        <x:v>19</x:v>
      </x:c>
      <x:c r="G36" s="9" t="n">
        <x:f>SUM('日経_U165_11'!J6:J25)</x:f>
        <x:v>0</x:v>
      </x:c>
      <x:c r="H36" s="6" t="n">
        <x:f>IF(F36=0,0,-SUMIFS('日経_U165_11'!E6:E25,'日経_U165_11'!E6:E25,"&lt;0")/F36)</x:f>
        <x:v>523578.94736842107</x:v>
      </x:c>
      <x:c r="I36" s="6" t="n">
        <x:f>MAX(0,-MIN('日経_U165_11'!E6:E25))</x:f>
        <x:v>1100000</x:v>
      </x:c>
      <x:c r="J36" s="6" t="n">
        <x:f>MIN('日経_U165_11'!G6:G25)</x:f>
        <x:v>-1108000</x:v>
      </x:c>
      <x:c r="K36" s="6" t="n">
        <x:f>MAX('日経_U165_11'!H6:H25)</x:f>
        <x:v>1128000</x:v>
      </x:c>
      <x:c r="L36" s="17" t="n">
        <x:f>IF(C36+D36=0,"n.a.",D36/(C36+D36))</x:f>
        <x:v>0.7624151103565365</x:v>
      </x:c>
      <x:c r="M36" s="11" t="n">
        <x:f>IF(SUM('日経_U165_11'!K6:K25)=0,"n.a.",E36/(SUM('日経_U165_11'!K6:K25)*10))</x:f>
        <x:v>-14.77299880525687</x:v>
      </x:c>
      <x:c r="N36" s="6" t="n">
        <x:f>E36-LARGE('日経_U165_11'!E6:E25,1)-LARGE('日経_U165_11'!E6:E25,2)-LARGE('日経_U165_11'!E6:E25,3)</x:f>
        <x:v>-9830000</x:v>
      </x:c>
    </x:row>
    <x:row r="37" ht="25" customHeight="1">
      <x:c r="A37" s="2" t="str">
        <x:v>NK225_U165_12</x:v>
      </x:c>
      <x:c r="B37" s="2" t="str">
        <x:v>半量対照</x:v>
      </x:c>
      <x:c r="C37" s="6" t="n">
        <x:f>SUM('日経_U165_12'!C6:C25)</x:f>
        <x:v>2239000</x:v>
      </x:c>
      <x:c r="D37" s="6" t="n">
        <x:f>SUM('日経_U165_12'!D6:D25)</x:f>
        <x:v>7185000</x:v>
      </x:c>
      <x:c r="E37" s="6" t="n">
        <x:f>C37-D37</x:f>
        <x:v>-4946000</x:v>
      </x:c>
      <x:c r="F37" s="9" t="n">
        <x:f>COUNTIFS('日経_U165_12'!E6:E25,"&lt;0")</x:f>
        <x:v>19</x:v>
      </x:c>
      <x:c r="G37" s="9" t="n">
        <x:f>SUM('日経_U165_12'!J6:J25)</x:f>
        <x:v>0</x:v>
      </x:c>
      <x:c r="H37" s="6" t="n">
        <x:f>IF(F37=0,0,-SUMIFS('日経_U165_12'!E6:E25,'日経_U165_12'!E6:E25,"&lt;0")/F37)</x:f>
        <x:v>261789.47368421053</x:v>
      </x:c>
      <x:c r="I37" s="6" t="n">
        <x:f>MAX(0,-MIN('日経_U165_12'!E6:E25))</x:f>
        <x:v>550000</x:v>
      </x:c>
      <x:c r="J37" s="6" t="n">
        <x:f>MIN('日経_U165_12'!G6:G25)</x:f>
        <x:v>-554000</x:v>
      </x:c>
      <x:c r="K37" s="6" t="n">
        <x:f>MAX('日経_U165_12'!H6:H25)</x:f>
        <x:v>564000</x:v>
      </x:c>
      <x:c r="L37" s="17" t="n">
        <x:f>IF(C37+D37=0,"n.a.",D37/(C37+D37))</x:f>
        <x:v>0.7624151103565365</x:v>
      </x:c>
      <x:c r="M37" s="11" t="n">
        <x:f>IF(SUM('日経_U165_12'!K6:K25)=0,"n.a.",E37/(SUM('日経_U165_12'!K6:K25)*10))</x:f>
        <x:v>-14.77299880525687</x:v>
      </x:c>
      <x:c r="N37" s="6" t="n">
        <x:f>E37-LARGE('日経_U165_12'!E6:E25,1)-LARGE('日経_U165_12'!E6:E25,2)-LARGE('日経_U165_12'!E6:E25,3)</x:f>
        <x:v>-4915000</x:v>
      </x:c>
    </x:row>
    <x:row r="38" ht="25" customHeight="1">
      <x:c r="A38" s="2" t="str">
        <x:v>NK225_U165_13</x:v>
      </x:c>
      <x:c r="B38" s="2" t="str">
        <x:v>比較候補</x:v>
      </x:c>
      <x:c r="C38" s="6" t="n">
        <x:f>SUM('日経_U165_13'!C6:C25)</x:f>
        <x:v>16806000</x:v>
      </x:c>
      <x:c r="D38" s="6" t="n">
        <x:f>SUM('日経_U165_13'!D6:D25)</x:f>
        <x:v>59196000</x:v>
      </x:c>
      <x:c r="E38" s="6" t="n">
        <x:f>C38-D38</x:f>
        <x:v>-42390000</x:v>
      </x:c>
      <x:c r="F38" s="9" t="n">
        <x:f>COUNTIFS('日経_U165_13'!E6:E25,"&lt;0")</x:f>
        <x:v>20</x:v>
      </x:c>
      <x:c r="G38" s="9" t="n">
        <x:f>SUM('日経_U165_13'!J6:J25)</x:f>
        <x:v>0</x:v>
      </x:c>
      <x:c r="H38" s="6" t="n">
        <x:f>IF(F38=0,0,-SUMIFS('日経_U165_13'!E6:E25,'日経_U165_13'!E6:E25,"&lt;0")/F38)</x:f>
        <x:v>2119500</x:v>
      </x:c>
      <x:c r="I38" s="6" t="n">
        <x:f>MAX(0,-MIN('日経_U165_13'!E6:E25))</x:f>
        <x:v>4234000</x:v>
      </x:c>
      <x:c r="J38" s="6" t="n">
        <x:f>MIN('日経_U165_13'!G6:G25)</x:f>
        <x:v>-4260000</x:v>
      </x:c>
      <x:c r="K38" s="6" t="n">
        <x:f>MAX('日経_U165_13'!H6:H25)</x:f>
        <x:v>4262000</x:v>
      </x:c>
      <x:c r="L38" s="17" t="n">
        <x:f>IF(C38+D38=0,"n.a.",D38/(C38+D38))</x:f>
        <x:v>0.7788742401515749</x:v>
      </x:c>
      <x:c r="M38" s="11" t="n">
        <x:f>IF(SUM('日経_U165_13'!K6:K25)=0,"n.a.",E38/(SUM('日経_U165_13'!K6:K25)*10))</x:f>
        <x:v>-15.182664756446991</x:v>
      </x:c>
      <x:c r="N38" s="6" t="n">
        <x:f>E38-LARGE('日経_U165_13'!E6:E25,1)-LARGE('日経_U165_13'!E6:E25,2)-LARGE('日経_U165_13'!E6:E25,3)</x:f>
        <x:v>-40362000</x:v>
      </x:c>
    </x:row>
    <x:row r="39" ht="25" customHeight="1">
      <x:c r="A39" s="2" t="str">
        <x:v>NK225_U165_14</x:v>
      </x:c>
      <x:c r="B39" s="2" t="str">
        <x:v>比較候補</x:v>
      </x:c>
      <x:c r="C39" s="6" t="n">
        <x:f>SUM('日経_U165_14'!C6:C25)</x:f>
        <x:v>4184000</x:v>
      </x:c>
      <x:c r="D39" s="6" t="n">
        <x:f>SUM('日経_U165_14'!D6:D25)</x:f>
        <x:v>14248000</x:v>
      </x:c>
      <x:c r="E39" s="6" t="n">
        <x:f>C39-D39</x:f>
        <x:v>-10064000</x:v>
      </x:c>
      <x:c r="F39" s="9" t="n">
        <x:f>COUNTIFS('日経_U165_14'!E6:E25,"&lt;0")</x:f>
        <x:v>19</x:v>
      </x:c>
      <x:c r="G39" s="9" t="n">
        <x:f>SUM('日経_U165_14'!J6:J25)</x:f>
        <x:v>0</x:v>
      </x:c>
      <x:c r="H39" s="6" t="n">
        <x:f>IF(F39=0,0,-SUMIFS('日経_U165_14'!E6:E25,'日経_U165_14'!E6:E25,"&lt;0")/F39)</x:f>
        <x:v>531052.6315789474</x:v>
      </x:c>
      <x:c r="I39" s="6" t="n">
        <x:f>MAX(0,-MIN('日経_U165_14'!E6:E25))</x:f>
        <x:v>1140000</x:v>
      </x:c>
      <x:c r="J39" s="6" t="n">
        <x:f>MIN('日経_U165_14'!G6:G25)</x:f>
        <x:v>-1148000</x:v>
      </x:c>
      <x:c r="K39" s="6" t="n">
        <x:f>MAX('日経_U165_14'!H6:H25)</x:f>
        <x:v>1168000</x:v>
      </x:c>
      <x:c r="L39" s="17" t="n">
        <x:f>IF(C39+D39=0,"n.a.",D39/(C39+D39))</x:f>
        <x:v>0.7730034722222222</x:v>
      </x:c>
      <x:c r="M39" s="11" t="n">
        <x:f>IF(SUM('日経_U165_14'!K6:K25)=0,"n.a.",E39/(SUM('日経_U165_14'!K6:K25)*10))</x:f>
        <x:v>-14.971734602796786</x:v>
      </x:c>
      <x:c r="N39" s="6" t="n">
        <x:f>E39-LARGE('日経_U165_14'!E6:E25,1)-LARGE('日経_U165_14'!E6:E25,2)-LARGE('日経_U165_14'!E6:E25,3)</x:f>
        <x:v>-9994000</x:v>
      </x:c>
    </x:row>
    <x:row r="40" ht="25" customHeight="1">
      <x:c r="A40" s="2"/>
      <x:c r="B40" s="2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</x:row>
    <x:row r="41" ht="25" customHeight="1">
      <x:c r="A41" s="2"/>
      <x:c r="B41" s="2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</x:row>
    <x:row r="42" ht="25" customHeight="1">
      <x:c r="A42" s="18" t="str">
        <x:v>後7夜</x:v>
      </x:c>
      <x:c r="B42" s="2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</x:row>
    <x:row r="43" ht="43" customHeight="1">
      <x:c r="A43" s="16" t="str">
        <x:v>手法ID</x:v>
      </x:c>
      <x:c r="B43" s="16" t="str">
        <x:v>区分</x:v>
      </x:c>
      <x:c r="C43" s="22" t="str">
        <x:v>利益（円）</x:v>
      </x:c>
      <x:c r="D43" s="22" t="str">
        <x:v>損失（円）</x:v>
      </x:c>
      <x:c r="E43" s="22" t="str">
        <x:v>収支（円）</x:v>
      </x:c>
      <x:c r="F43" s="22" t="str">
        <x:v>赤字場数</x:v>
      </x:c>
      <x:c r="G43" s="22" t="str">
        <x:v>無取引場数</x:v>
      </x:c>
      <x:c r="H43" s="22" t="str">
        <x:v>平均赤字（円）</x:v>
      </x:c>
      <x:c r="I43" s="22" t="str">
        <x:v>最大赤字（円）</x:v>
      </x:c>
      <x:c r="J43" s="22" t="str">
        <x:v>場内最悪収支（円）</x:v>
      </x:c>
      <x:c r="K43" s="22" t="str">
        <x:v>最大下落額（円）</x:v>
      </x:c>
      <x:c r="L43" s="22" t="str">
        <x:v>損失割合</x:v>
      </x:c>
      <x:c r="M43" s="22" t="str">
        <x:v>返済1枚平均（pt）</x:v>
      </x:c>
      <x:c r="N43" s="22" t="str">
        <x:v>大勝ち3場除外（円）</x:v>
      </x:c>
    </x:row>
    <x:row r="44" ht="25" customHeight="1">
      <x:c r="A44" s="2" t="str">
        <x:v>NK225_U164_00</x:v>
      </x:c>
      <x:c r="B44" s="2" t="str">
        <x:v>基準</x:v>
      </x:c>
      <x:c r="C44" s="6" t="n">
        <x:f>SUM('日経_U164_00'!C26:C32)</x:f>
        <x:v>547000</x:v>
      </x:c>
      <x:c r="D44" s="6" t="n">
        <x:f>SUM('日経_U164_00'!D26:D32)</x:f>
        <x:v>385000</x:v>
      </x:c>
      <x:c r="E44" s="6" t="n">
        <x:f>C44-D44</x:f>
        <x:v>162000</x:v>
      </x:c>
      <x:c r="F44" s="9" t="n">
        <x:f>COUNTIFS('日経_U164_00'!E26:E32,"&lt;0")</x:f>
        <x:v>3</x:v>
      </x:c>
      <x:c r="G44" s="9" t="n">
        <x:f>SUM('日経_U164_00'!J26:J32)</x:f>
        <x:v>0</x:v>
      </x:c>
      <x:c r="H44" s="6" t="n">
        <x:f>IF(F44=0,0,-SUMIFS('日経_U164_00'!E26:E32,'日経_U164_00'!E26:E32,"&lt;0")/F44)</x:f>
        <x:v>27666.666666666668</x:v>
      </x:c>
      <x:c r="I44" s="6" t="n">
        <x:f>MAX(0,-MIN('日経_U164_00'!E26:E32))</x:f>
        <x:v>51000</x:v>
      </x:c>
      <x:c r="J44" s="6" t="n">
        <x:f>MIN('日経_U164_00'!G26:G32)</x:f>
        <x:v>-68000</x:v>
      </x:c>
      <x:c r="K44" s="6" t="n">
        <x:f>MAX('日経_U164_00'!H26:H32)</x:f>
        <x:v>131000</x:v>
      </x:c>
      <x:c r="L44" s="17" t="n">
        <x:f>IF(C44+D44=0,"n.a.",D44/(C44+D44))</x:f>
        <x:v>0.4130901287553648</x:v>
      </x:c>
      <x:c r="M44" s="11" t="n">
        <x:f>IF(SUM('日経_U164_00'!K26:K32)=0,"n.a.",E44/(SUM('日経_U164_00'!K26:K32)*10))</x:f>
        <x:v>19.285714285714285</x:v>
      </x:c>
      <x:c r="N44" s="6" t="n">
        <x:f>E44-LARGE('日経_U164_00'!E26:E32,1)-LARGE('日経_U164_00'!E26:E32,2)-LARGE('日経_U164_00'!E26:E32,3)</x:f>
        <x:v>-75000</x:v>
      </x:c>
    </x:row>
    <x:row r="45" ht="25" customHeight="1">
      <x:c r="A45" s="2" t="str">
        <x:v>NK225_U165_01</x:v>
      </x:c>
      <x:c r="B45" s="2" t="str">
        <x:v>半量対照</x:v>
      </x:c>
      <x:c r="C45" s="6" t="n">
        <x:f>SUM('日経_U165_01'!C26:C32)</x:f>
        <x:v>273500</x:v>
      </x:c>
      <x:c r="D45" s="6" t="n">
        <x:f>SUM('日経_U165_01'!D26:D32)</x:f>
        <x:v>192500</x:v>
      </x:c>
      <x:c r="E45" s="6" t="n">
        <x:f>C45-D45</x:f>
        <x:v>81000</x:v>
      </x:c>
      <x:c r="F45" s="9" t="n">
        <x:f>COUNTIFS('日経_U165_01'!E26:E32,"&lt;0")</x:f>
        <x:v>3</x:v>
      </x:c>
      <x:c r="G45" s="9" t="n">
        <x:f>SUM('日経_U165_01'!J26:J32)</x:f>
        <x:v>0</x:v>
      </x:c>
      <x:c r="H45" s="6" t="n">
        <x:f>IF(F45=0,0,-SUMIFS('日経_U165_01'!E26:E32,'日経_U165_01'!E26:E32,"&lt;0")/F45)</x:f>
        <x:v>13833.333333333334</x:v>
      </x:c>
      <x:c r="I45" s="6" t="n">
        <x:f>MAX(0,-MIN('日経_U165_01'!E26:E32))</x:f>
        <x:v>25500</x:v>
      </x:c>
      <x:c r="J45" s="6" t="n">
        <x:f>MIN('日経_U165_01'!G26:G32)</x:f>
        <x:v>-34000</x:v>
      </x:c>
      <x:c r="K45" s="6" t="n">
        <x:f>MAX('日経_U165_01'!H26:H32)</x:f>
        <x:v>65500</x:v>
      </x:c>
      <x:c r="L45" s="17" t="n">
        <x:f>IF(C45+D45=0,"n.a.",D45/(C45+D45))</x:f>
        <x:v>0.4130901287553648</x:v>
      </x:c>
      <x:c r="M45" s="11" t="n">
        <x:f>IF(SUM('日経_U165_01'!K26:K32)=0,"n.a.",E45/(SUM('日経_U165_01'!K26:K32)*10))</x:f>
        <x:v>19.285714285714285</x:v>
      </x:c>
      <x:c r="N45" s="6" t="n">
        <x:f>E45-LARGE('日経_U165_01'!E26:E32,1)-LARGE('日経_U165_01'!E26:E32,2)-LARGE('日経_U165_01'!E26:E32,3)</x:f>
        <x:v>-37500</x:v>
      </x:c>
    </x:row>
    <x:row r="46" ht="25" customHeight="1">
      <x:c r="A46" s="2" t="str">
        <x:v>NK225_U165_02</x:v>
      </x:c>
      <x:c r="B46" s="2" t="str">
        <x:v>比較候補</x:v>
      </x:c>
      <x:c r="C46" s="6" t="n">
        <x:f>SUM('日経_U165_02'!C26:C32)</x:f>
        <x:v>418000</x:v>
      </x:c>
      <x:c r="D46" s="6" t="n">
        <x:f>SUM('日経_U165_02'!D26:D32)</x:f>
        <x:v>318000</x:v>
      </x:c>
      <x:c r="E46" s="6" t="n">
        <x:f>C46-D46</x:f>
        <x:v>100000</x:v>
      </x:c>
      <x:c r="F46" s="9" t="n">
        <x:f>COUNTIFS('日経_U165_02'!E26:E32,"&lt;0")</x:f>
        <x:v>4</x:v>
      </x:c>
      <x:c r="G46" s="9" t="n">
        <x:f>SUM('日経_U165_02'!J26:J32)</x:f>
        <x:v>0</x:v>
      </x:c>
      <x:c r="H46" s="6" t="n">
        <x:f>IF(F46=0,0,-SUMIFS('日経_U165_02'!E26:E32,'日経_U165_02'!E26:E32,"&lt;0")/F46)</x:f>
        <x:v>19750</x:v>
      </x:c>
      <x:c r="I46" s="6" t="n">
        <x:f>MAX(0,-MIN('日経_U165_02'!E26:E32))</x:f>
        <x:v>64000</x:v>
      </x:c>
      <x:c r="J46" s="6" t="n">
        <x:f>MIN('日経_U165_02'!G26:G32)</x:f>
        <x:v>-68000</x:v>
      </x:c>
      <x:c r="K46" s="6" t="n">
        <x:f>MAX('日経_U165_02'!H26:H32)</x:f>
        <x:v>97000</x:v>
      </x:c>
      <x:c r="L46" s="17" t="n">
        <x:f>IF(C46+D46=0,"n.a.",D46/(C46+D46))</x:f>
        <x:v>0.4320652173913043</x:v>
      </x:c>
      <x:c r="M46" s="11" t="n">
        <x:f>IF(SUM('日経_U165_02'!K26:K32)=0,"n.a.",E46/(SUM('日経_U165_02'!K26:K32)*10))</x:f>
        <x:v>14.705882352941176</x:v>
      </x:c>
      <x:c r="N46" s="6" t="n">
        <x:f>E46-LARGE('日経_U165_02'!E26:E32,1)-LARGE('日経_U165_02'!E26:E32,2)-LARGE('日経_U165_02'!E26:E32,3)</x:f>
        <x:v>-79000</x:v>
      </x:c>
    </x:row>
    <x:row r="47" ht="25" customHeight="1">
      <x:c r="A47" s="2" t="str">
        <x:v>NK225_U165_03</x:v>
      </x:c>
      <x:c r="B47" s="2" t="str">
        <x:v>比較候補</x:v>
      </x:c>
      <x:c r="C47" s="6" t="n">
        <x:f>SUM('日経_U165_03'!C26:C32)</x:f>
        <x:v>537000</x:v>
      </x:c>
      <x:c r="D47" s="6" t="n">
        <x:f>SUM('日経_U165_03'!D26:D32)</x:f>
        <x:v>340000</x:v>
      </x:c>
      <x:c r="E47" s="6" t="n">
        <x:f>C47-D47</x:f>
        <x:v>197000</x:v>
      </x:c>
      <x:c r="F47" s="9" t="n">
        <x:f>COUNTIFS('日経_U165_03'!E26:E32,"&lt;0")</x:f>
        <x:v>2</x:v>
      </x:c>
      <x:c r="G47" s="9" t="n">
        <x:f>SUM('日経_U165_03'!J26:J32)</x:f>
        <x:v>0</x:v>
      </x:c>
      <x:c r="H47" s="6" t="n">
        <x:f>IF(F47=0,0,-SUMIFS('日経_U165_03'!E26:E32,'日経_U165_03'!E26:E32,"&lt;0")/F47)</x:f>
        <x:v>30500</x:v>
      </x:c>
      <x:c r="I47" s="6" t="n">
        <x:f>MAX(0,-MIN('日経_U165_03'!E26:E32))</x:f>
        <x:v>53000</x:v>
      </x:c>
      <x:c r="J47" s="6" t="n">
        <x:f>MIN('日経_U165_03'!G26:G32)</x:f>
        <x:v>-68000</x:v>
      </x:c>
      <x:c r="K47" s="6" t="n">
        <x:f>MAX('日経_U165_03'!H26:H32)</x:f>
        <x:v>121000</x:v>
      </x:c>
      <x:c r="L47" s="17" t="n">
        <x:f>IF(C47+D47=0,"n.a.",D47/(C47+D47))</x:f>
        <x:v>0.38768529076396807</x:v>
      </x:c>
      <x:c r="M47" s="11" t="n">
        <x:f>IF(SUM('日経_U165_03'!K26:K32)=0,"n.a.",E47/(SUM('日経_U165_03'!K26:K32)*10))</x:f>
        <x:v>24.936708860759495</x:v>
      </x:c>
      <x:c r="N47" s="6" t="n">
        <x:f>E47-LARGE('日経_U165_03'!E26:E32,1)-LARGE('日経_U165_03'!E26:E32,2)-LARGE('日経_U165_03'!E26:E32,3)</x:f>
        <x:v>-38000</x:v>
      </x:c>
    </x:row>
    <x:row r="48" ht="25" customHeight="1">
      <x:c r="A48" s="2" t="str">
        <x:v>NK225_U165_04</x:v>
      </x:c>
      <x:c r="B48" s="2" t="str">
        <x:v>前20夜で固定</x:v>
      </x:c>
      <x:c r="C48" s="6" t="n">
        <x:f>SUM('日経_U165_04'!C26:C32)</x:f>
        <x:v>524000</x:v>
      </x:c>
      <x:c r="D48" s="6" t="n">
        <x:f>SUM('日経_U165_04'!D26:D32)</x:f>
        <x:v>361000</x:v>
      </x:c>
      <x:c r="E48" s="6" t="n">
        <x:f>C48-D48</x:f>
        <x:v>163000</x:v>
      </x:c>
      <x:c r="F48" s="9" t="n">
        <x:f>COUNTIFS('日経_U165_04'!E26:E32,"&lt;0")</x:f>
        <x:v>3</x:v>
      </x:c>
      <x:c r="G48" s="9" t="n">
        <x:f>SUM('日経_U165_04'!J26:J32)</x:f>
        <x:v>0</x:v>
      </x:c>
      <x:c r="H48" s="6" t="n">
        <x:f>IF(F48=0,0,-SUMIFS('日経_U165_04'!E26:E32,'日経_U165_04'!E26:E32,"&lt;0")/F48)</x:f>
        <x:v>28666.666666666668</x:v>
      </x:c>
      <x:c r="I48" s="6" t="n">
        <x:f>MAX(0,-MIN('日経_U165_04'!E26:E32))</x:f>
        <x:v>55000</x:v>
      </x:c>
      <x:c r="J48" s="6" t="n">
        <x:f>MIN('日経_U165_04'!G26:G32)</x:f>
        <x:v>-67000</x:v>
      </x:c>
      <x:c r="K48" s="6" t="n">
        <x:f>MAX('日経_U165_04'!H26:H32)</x:f>
        <x:v>131000</x:v>
      </x:c>
      <x:c r="L48" s="17" t="n">
        <x:f>IF(C48+D48=0,"n.a.",D48/(C48+D48))</x:f>
        <x:v>0.40790960451977404</x:v>
      </x:c>
      <x:c r="M48" s="11" t="n">
        <x:f>IF(SUM('日経_U165_04'!K26:K32)=0,"n.a.",E48/(SUM('日経_U165_04'!K26:K32)*10))</x:f>
        <x:v>20.632911392405063</x:v>
      </x:c>
      <x:c r="N48" s="6" t="n">
        <x:f>E48-LARGE('日経_U165_04'!E26:E32,1)-LARGE('日経_U165_04'!E26:E32,2)-LARGE('日経_U165_04'!E26:E32,3)</x:f>
        <x:v>-78000</x:v>
      </x:c>
    </x:row>
    <x:row r="49" ht="25" customHeight="1">
      <x:c r="A49" s="2" t="str">
        <x:v>NK225_U165_05</x:v>
      </x:c>
      <x:c r="B49" s="2" t="str">
        <x:v>比較候補</x:v>
      </x:c>
      <x:c r="C49" s="6" t="n">
        <x:f>SUM('日経_U165_05'!C26:C32)</x:f>
        <x:v>511000</x:v>
      </x:c>
      <x:c r="D49" s="6" t="n">
        <x:f>SUM('日経_U165_05'!D26:D32)</x:f>
        <x:v>383000</x:v>
      </x:c>
      <x:c r="E49" s="6" t="n">
        <x:f>C49-D49</x:f>
        <x:v>128000</x:v>
      </x:c>
      <x:c r="F49" s="9" t="n">
        <x:f>COUNTIFS('日経_U165_05'!E26:E32,"&lt;0")</x:f>
        <x:v>3</x:v>
      </x:c>
      <x:c r="G49" s="9" t="n">
        <x:f>SUM('日経_U165_05'!J26:J32)</x:f>
        <x:v>0</x:v>
      </x:c>
      <x:c r="H49" s="6" t="n">
        <x:f>IF(F49=0,0,-SUMIFS('日経_U165_05'!E26:E32,'日経_U165_05'!E26:E32,"&lt;0")/F49)</x:f>
        <x:v>30333.333333333332</x:v>
      </x:c>
      <x:c r="I49" s="6" t="n">
        <x:f>MAX(0,-MIN('日経_U165_05'!E26:E32))</x:f>
        <x:v>49000</x:v>
      </x:c>
      <x:c r="J49" s="6" t="n">
        <x:f>MIN('日経_U165_05'!G26:G32)</x:f>
        <x:v>-68000</x:v>
      </x:c>
      <x:c r="K49" s="6" t="n">
        <x:f>MAX('日経_U165_05'!H26:H32)</x:f>
        <x:v>131000</x:v>
      </x:c>
      <x:c r="L49" s="17" t="n">
        <x:f>IF(C49+D49=0,"n.a.",D49/(C49+D49))</x:f>
        <x:v>0.42841163310961966</x:v>
      </x:c>
      <x:c r="M49" s="11" t="n">
        <x:f>IF(SUM('日経_U165_05'!K26:K32)=0,"n.a.",E49/(SUM('日経_U165_05'!K26:K32)*10))</x:f>
        <x:v>15.238095238095237</x:v>
      </x:c>
      <x:c r="N49" s="6" t="n">
        <x:f>E49-LARGE('日経_U165_05'!E26:E32,1)-LARGE('日経_U165_05'!E26:E32,2)-LARGE('日経_U165_05'!E26:E32,3)</x:f>
        <x:v>-72000</x:v>
      </x:c>
    </x:row>
    <x:row r="50" ht="25" customHeight="1">
      <x:c r="A50" s="2" t="str">
        <x:v>NK225_U165_06</x:v>
      </x:c>
      <x:c r="B50" s="2" t="str">
        <x:v>比較候補</x:v>
      </x:c>
      <x:c r="C50" s="6" t="n">
        <x:f>SUM('日経_U165_06'!C26:C32)</x:f>
        <x:v>292000</x:v>
      </x:c>
      <x:c r="D50" s="6" t="n">
        <x:f>SUM('日経_U165_06'!D26:D32)</x:f>
        <x:v>257500</x:v>
      </x:c>
      <x:c r="E50" s="6" t="n">
        <x:f>C50-D50</x:f>
        <x:v>34500</x:v>
      </x:c>
      <x:c r="F50" s="9" t="n">
        <x:f>COUNTIFS('日経_U165_06'!E26:E32,"&lt;0")</x:f>
        <x:v>3</x:v>
      </x:c>
      <x:c r="G50" s="9" t="n">
        <x:f>SUM('日経_U165_06'!J26:J32)</x:f>
        <x:v>0</x:v>
      </x:c>
      <x:c r="H50" s="6" t="n">
        <x:f>IF(F50=0,0,-SUMIFS('日経_U165_06'!E26:E32,'日経_U165_06'!E26:E32,"&lt;0")/F50)</x:f>
        <x:v>25166.666666666668</x:v>
      </x:c>
      <x:c r="I50" s="6" t="n">
        <x:f>MAX(0,-MIN('日経_U165_06'!E26:E32))</x:f>
        <x:v>38000</x:v>
      </x:c>
      <x:c r="J50" s="6" t="n">
        <x:f>MIN('日経_U165_06'!G26:G32)</x:f>
        <x:v>-49000</x:v>
      </x:c>
      <x:c r="K50" s="6" t="n">
        <x:f>MAX('日経_U165_06'!H26:H32)</x:f>
        <x:v>74500</x:v>
      </x:c>
      <x:c r="L50" s="17" t="n">
        <x:f>IF(C50+D50=0,"n.a.",D50/(C50+D50))</x:f>
        <x:v>0.46860782529572337</x:v>
      </x:c>
      <x:c r="M50" s="11" t="n">
        <x:f>IF(SUM('日経_U165_06'!K26:K32)=0,"n.a.",E50/(SUM('日経_U165_06'!K26:K32)*10))</x:f>
        <x:v>4.3949044585987265</x:v>
      </x:c>
      <x:c r="N50" s="6" t="n">
        <x:f>E50-LARGE('日経_U165_06'!E26:E32,1)-LARGE('日経_U165_06'!E26:E32,2)-LARGE('日経_U165_06'!E26:E32,3)</x:f>
        <x:v>-72000</x:v>
      </x:c>
    </x:row>
    <x:row r="51" ht="25" customHeight="1">
      <x:c r="A51" s="2" t="str">
        <x:v>NK225_U165_07</x:v>
      </x:c>
      <x:c r="B51" s="2" t="str">
        <x:v>比較候補</x:v>
      </x:c>
      <x:c r="C51" s="6" t="n">
        <x:f>SUM('日経_U165_07'!C26:C32)</x:f>
        <x:v>395000</x:v>
      </x:c>
      <x:c r="D51" s="6" t="n">
        <x:f>SUM('日経_U165_07'!D26:D32)</x:f>
        <x:v>294000</x:v>
      </x:c>
      <x:c r="E51" s="6" t="n">
        <x:f>C51-D51</x:f>
        <x:v>101000</x:v>
      </x:c>
      <x:c r="F51" s="9" t="n">
        <x:f>COUNTIFS('日経_U165_07'!E26:E32,"&lt;0")</x:f>
        <x:v>4</x:v>
      </x:c>
      <x:c r="G51" s="9" t="n">
        <x:f>SUM('日経_U165_07'!J26:J32)</x:f>
        <x:v>0</x:v>
      </x:c>
      <x:c r="H51" s="6" t="n">
        <x:f>IF(F51=0,0,-SUMIFS('日経_U165_07'!E26:E32,'日経_U165_07'!E26:E32,"&lt;0")/F51)</x:f>
        <x:v>20500</x:v>
      </x:c>
      <x:c r="I51" s="6" t="n">
        <x:f>MAX(0,-MIN('日経_U165_07'!E26:E32))</x:f>
        <x:v>68000</x:v>
      </x:c>
      <x:c r="J51" s="6" t="n">
        <x:f>MIN('日経_U165_07'!G26:G32)</x:f>
        <x:v>-68000</x:v>
      </x:c>
      <x:c r="K51" s="6" t="n">
        <x:f>MAX('日経_U165_07'!H26:H32)</x:f>
        <x:v>93000</x:v>
      </x:c>
      <x:c r="L51" s="17" t="n">
        <x:f>IF(C51+D51=0,"n.a.",D51/(C51+D51))</x:f>
        <x:v>0.42670537010159654</x:v>
      </x:c>
      <x:c r="M51" s="11" t="n">
        <x:f>IF(SUM('日経_U165_07'!K26:K32)=0,"n.a.",E51/(SUM('日経_U165_07'!K26:K32)*10))</x:f>
        <x:v>16.03174603174603</x:v>
      </x:c>
      <x:c r="N51" s="6" t="n">
        <x:f>E51-LARGE('日経_U165_07'!E26:E32,1)-LARGE('日経_U165_07'!E26:E32,2)-LARGE('日経_U165_07'!E26:E32,3)</x:f>
        <x:v>-82000</x:v>
      </x:c>
    </x:row>
    <x:row r="52" ht="25" customHeight="1">
      <x:c r="A52" s="2" t="str">
        <x:v>NK225_U165_08</x:v>
      </x:c>
      <x:c r="B52" s="2" t="str">
        <x:v>比較候補</x:v>
      </x:c>
      <x:c r="C52" s="6" t="n">
        <x:f>SUM('日経_U165_08'!C26:C32)</x:f>
        <x:v>227000</x:v>
      </x:c>
      <x:c r="D52" s="6" t="n">
        <x:f>SUM('日経_U165_08'!D26:D32)</x:f>
        <x:v>194500</x:v>
      </x:c>
      <x:c r="E52" s="6" t="n">
        <x:f>C52-D52</x:f>
        <x:v>32500</x:v>
      </x:c>
      <x:c r="F52" s="9" t="n">
        <x:f>COUNTIFS('日経_U165_08'!E26:E32,"&lt;0")</x:f>
        <x:v>4</x:v>
      </x:c>
      <x:c r="G52" s="9" t="n">
        <x:f>SUM('日経_U165_08'!J26:J32)</x:f>
        <x:v>0</x:v>
      </x:c>
      <x:c r="H52" s="6" t="n">
        <x:f>IF(F52=0,0,-SUMIFS('日経_U165_08'!E26:E32,'日経_U165_08'!E26:E32,"&lt;0")/F52)</x:f>
        <x:v>18625</x:v>
      </x:c>
      <x:c r="I52" s="6" t="n">
        <x:f>MAX(0,-MIN('日経_U165_08'!E26:E32))</x:f>
        <x:v>46000</x:v>
      </x:c>
      <x:c r="J52" s="6" t="n">
        <x:f>MIN('日経_U165_08'!G26:G32)</x:f>
        <x:v>-48500</x:v>
      </x:c>
      <x:c r="K52" s="6" t="n">
        <x:f>MAX('日経_U165_08'!H26:H32)</x:f>
        <x:v>56000</x:v>
      </x:c>
      <x:c r="L52" s="17" t="n">
        <x:f>IF(C52+D52=0,"n.a.",D52/(C52+D52))</x:f>
        <x:v>0.46144721233689207</x:v>
      </x:c>
      <x:c r="M52" s="11" t="n">
        <x:f>IF(SUM('日経_U165_08'!K26:K32)=0,"n.a.",E52/(SUM('日経_U165_08'!K26:K32)*10))</x:f>
        <x:v>5.284552845528455</x:v>
      </x:c>
      <x:c r="N52" s="6" t="n">
        <x:f>E52-LARGE('日経_U165_08'!E26:E32,1)-LARGE('日経_U165_08'!E26:E32,2)-LARGE('日経_U165_08'!E26:E32,3)</x:f>
        <x:v>-74500</x:v>
      </x:c>
    </x:row>
    <x:row r="53" ht="25" customHeight="1">
      <x:c r="A53" s="2" t="str">
        <x:v>NK225_U165_09</x:v>
      </x:c>
      <x:c r="B53" s="2" t="str">
        <x:v>比較候補</x:v>
      </x:c>
      <x:c r="C53" s="6" t="n">
        <x:f>SUM('日経_U165_09'!C26:C32)</x:f>
        <x:v>325000</x:v>
      </x:c>
      <x:c r="D53" s="6" t="n">
        <x:f>SUM('日経_U165_09'!D26:D32)</x:f>
        <x:v>250000</x:v>
      </x:c>
      <x:c r="E53" s="6" t="n">
        <x:f>C53-D53</x:f>
        <x:v>75000</x:v>
      </x:c>
      <x:c r="F53" s="9" t="n">
        <x:f>COUNTIFS('日経_U165_09'!E26:E32,"&lt;0")</x:f>
        <x:v>3</x:v>
      </x:c>
      <x:c r="G53" s="9" t="n">
        <x:f>SUM('日経_U165_09'!J26:J32)</x:f>
        <x:v>0</x:v>
      </x:c>
      <x:c r="H53" s="6" t="n">
        <x:f>IF(F53=0,0,-SUMIFS('日経_U165_09'!E26:E32,'日経_U165_09'!E26:E32,"&lt;0")/F53)</x:f>
        <x:v>26166.666666666668</x:v>
      </x:c>
      <x:c r="I53" s="6" t="n">
        <x:f>MAX(0,-MIN('日経_U165_09'!E26:E32))</x:f>
        <x:v>39000</x:v>
      </x:c>
      <x:c r="J53" s="6" t="n">
        <x:f>MIN('日経_U165_09'!G26:G32)</x:f>
        <x:v>-41500</x:v>
      </x:c>
      <x:c r="K53" s="6" t="n">
        <x:f>MAX('日経_U165_09'!H26:H32)</x:f>
        <x:v>75500</x:v>
      </x:c>
      <x:c r="L53" s="17" t="n">
        <x:f>IF(C53+D53=0,"n.a.",D53/(C53+D53))</x:f>
        <x:v>0.43478260869565216</x:v>
      </x:c>
      <x:c r="M53" s="11" t="n">
        <x:f>IF(SUM('日経_U165_09'!K26:K32)=0,"n.a.",E53/(SUM('日経_U165_09'!K26:K32)*10))</x:f>
        <x:v>9.74025974025974</x:v>
      </x:c>
      <x:c r="N53" s="6" t="n">
        <x:f>E53-LARGE('日経_U165_09'!E26:E32,1)-LARGE('日経_U165_09'!E26:E32,2)-LARGE('日経_U165_09'!E26:E32,3)</x:f>
        <x:v>-63500</x:v>
      </x:c>
    </x:row>
    <x:row r="54" ht="25" customHeight="1">
      <x:c r="A54" s="2" t="str">
        <x:v>NK225_U165_10</x:v>
      </x:c>
      <x:c r="B54" s="2" t="str">
        <x:v>比較候補</x:v>
      </x:c>
      <x:c r="C54" s="6" t="n">
        <x:f>SUM('日経_U165_10'!C26:C32)</x:f>
        <x:v>8024000</x:v>
      </x:c>
      <x:c r="D54" s="6" t="n">
        <x:f>SUM('日経_U165_10'!D26:D32)</x:f>
        <x:v>23524000</x:v>
      </x:c>
      <x:c r="E54" s="6" t="n">
        <x:f>C54-D54</x:f>
        <x:v>-15500000</x:v>
      </x:c>
      <x:c r="F54" s="9" t="n">
        <x:f>COUNTIFS('日経_U165_10'!E26:E32,"&lt;0")</x:f>
        <x:v>7</x:v>
      </x:c>
      <x:c r="G54" s="9" t="n">
        <x:f>SUM('日経_U165_10'!J26:J32)</x:f>
        <x:v>0</x:v>
      </x:c>
      <x:c r="H54" s="6" t="n">
        <x:f>IF(F54=0,0,-SUMIFS('日経_U165_10'!E26:E32,'日経_U165_10'!E26:E32,"&lt;0")/F54)</x:f>
        <x:v>2214285.714285714</x:v>
      </x:c>
      <x:c r="I54" s="6" t="n">
        <x:f>MAX(0,-MIN('日経_U165_10'!E26:E32))</x:f>
        <x:v>3164000</x:v>
      </x:c>
      <x:c r="J54" s="6" t="n">
        <x:f>MIN('日経_U165_10'!G26:G32)</x:f>
        <x:v>-3250000</x:v>
      </x:c>
      <x:c r="K54" s="6" t="n">
        <x:f>MAX('日経_U165_10'!H26:H32)</x:f>
        <x:v>3286000</x:v>
      </x:c>
      <x:c r="L54" s="17" t="n">
        <x:f>IF(C54+D54=0,"n.a.",D54/(C54+D54))</x:f>
        <x:v>0.7456574109293774</x:v>
      </x:c>
      <x:c r="M54" s="11" t="n">
        <x:f>IF(SUM('日経_U165_10'!K26:K32)=0,"n.a.",E54/(SUM('日経_U165_10'!K26:K32)*10))</x:f>
        <x:v>-13.58695652173913</x:v>
      </x:c>
      <x:c r="N54" s="6" t="n">
        <x:f>E54-LARGE('日経_U165_10'!E26:E32,1)-LARGE('日経_U165_10'!E26:E32,2)-LARGE('日経_U165_10'!E26:E32,3)</x:f>
        <x:v>-10858000</x:v>
      </x:c>
    </x:row>
    <x:row r="55" ht="25" customHeight="1">
      <x:c r="A55" s="2" t="str">
        <x:v>NK225_U165_11</x:v>
      </x:c>
      <x:c r="B55" s="2" t="str">
        <x:v>比較候補</x:v>
      </x:c>
      <x:c r="C55" s="6" t="n">
        <x:f>SUM('日経_U165_11'!C26:C32)</x:f>
        <x:v>2048000</x:v>
      </x:c>
      <x:c r="D55" s="6" t="n">
        <x:f>SUM('日経_U165_11'!D26:D32)</x:f>
        <x:v>6450000</x:v>
      </x:c>
      <x:c r="E55" s="6" t="n">
        <x:f>C55-D55</x:f>
        <x:v>-4402000</x:v>
      </x:c>
      <x:c r="F55" s="9" t="n">
        <x:f>COUNTIFS('日経_U165_11'!E26:E32,"&lt;0")</x:f>
        <x:v>7</x:v>
      </x:c>
      <x:c r="G55" s="9" t="n">
        <x:f>SUM('日経_U165_11'!J26:J32)</x:f>
        <x:v>0</x:v>
      </x:c>
      <x:c r="H55" s="6" t="n">
        <x:f>IF(F55=0,0,-SUMIFS('日経_U165_11'!E26:E32,'日経_U165_11'!E26:E32,"&lt;0")/F55)</x:f>
        <x:v>628857.1428571428</x:v>
      </x:c>
      <x:c r="I55" s="6" t="n">
        <x:f>MAX(0,-MIN('日経_U165_11'!E26:E32))</x:f>
        <x:v>1010000</x:v>
      </x:c>
      <x:c r="J55" s="6" t="n">
        <x:f>MIN('日経_U165_11'!G26:G32)</x:f>
        <x:v>-1010000</x:v>
      </x:c>
      <x:c r="K55" s="6" t="n">
        <x:f>MAX('日経_U165_11'!H26:H32)</x:f>
        <x:v>1034000</x:v>
      </x:c>
      <x:c r="L55" s="17" t="n">
        <x:f>IF(C55+D55=0,"n.a.",D55/(C55+D55))</x:f>
        <x:v>0.7590021181454459</x:v>
      </x:c>
      <x:c r="M55" s="11" t="n">
        <x:f>IF(SUM('日経_U165_11'!K26:K32)=0,"n.a.",E55/(SUM('日経_U165_11'!K26:K32)*10))</x:f>
        <x:v>-14.127086007702182</x:v>
      </x:c>
      <x:c r="N55" s="6" t="n">
        <x:f>E55-LARGE('日経_U165_11'!E26:E32,1)-LARGE('日経_U165_11'!E26:E32,2)-LARGE('日経_U165_11'!E26:E32,3)</x:f>
        <x:v>-3272000</x:v>
      </x:c>
    </x:row>
    <x:row r="56" ht="25" customHeight="1">
      <x:c r="A56" s="2" t="str">
        <x:v>NK225_U165_12</x:v>
      </x:c>
      <x:c r="B56" s="2" t="str">
        <x:v>半量対照</x:v>
      </x:c>
      <x:c r="C56" s="6" t="n">
        <x:f>SUM('日経_U165_12'!C26:C32)</x:f>
        <x:v>1024000</x:v>
      </x:c>
      <x:c r="D56" s="6" t="n">
        <x:f>SUM('日経_U165_12'!D26:D32)</x:f>
        <x:v>3225000</x:v>
      </x:c>
      <x:c r="E56" s="6" t="n">
        <x:f>C56-D56</x:f>
        <x:v>-2201000</x:v>
      </x:c>
      <x:c r="F56" s="9" t="n">
        <x:f>COUNTIFS('日経_U165_12'!E26:E32,"&lt;0")</x:f>
        <x:v>7</x:v>
      </x:c>
      <x:c r="G56" s="9" t="n">
        <x:f>SUM('日経_U165_12'!J26:J32)</x:f>
        <x:v>0</x:v>
      </x:c>
      <x:c r="H56" s="6" t="n">
        <x:f>IF(F56=0,0,-SUMIFS('日経_U165_12'!E26:E32,'日経_U165_12'!E26:E32,"&lt;0")/F56)</x:f>
        <x:v>314428.5714285714</x:v>
      </x:c>
      <x:c r="I56" s="6" t="n">
        <x:f>MAX(0,-MIN('日経_U165_12'!E26:E32))</x:f>
        <x:v>505000</x:v>
      </x:c>
      <x:c r="J56" s="6" t="n">
        <x:f>MIN('日経_U165_12'!G26:G32)</x:f>
        <x:v>-505000</x:v>
      </x:c>
      <x:c r="K56" s="6" t="n">
        <x:f>MAX('日経_U165_12'!H26:H32)</x:f>
        <x:v>517000</x:v>
      </x:c>
      <x:c r="L56" s="17" t="n">
        <x:f>IF(C56+D56=0,"n.a.",D56/(C56+D56))</x:f>
        <x:v>0.7590021181454459</x:v>
      </x:c>
      <x:c r="M56" s="11" t="n">
        <x:f>IF(SUM('日経_U165_12'!K26:K32)=0,"n.a.",E56/(SUM('日経_U165_12'!K26:K32)*10))</x:f>
        <x:v>-14.127086007702182</x:v>
      </x:c>
      <x:c r="N56" s="6" t="n">
        <x:f>E56-LARGE('日経_U165_12'!E26:E32,1)-LARGE('日経_U165_12'!E26:E32,2)-LARGE('日経_U165_12'!E26:E32,3)</x:f>
        <x:v>-1636000</x:v>
      </x:c>
    </x:row>
    <x:row r="57" ht="25" customHeight="1">
      <x:c r="A57" s="2" t="str">
        <x:v>NK225_U165_13</x:v>
      </x:c>
      <x:c r="B57" s="2" t="str">
        <x:v>比較候補</x:v>
      </x:c>
      <x:c r="C57" s="6" t="n">
        <x:f>SUM('日経_U165_13'!C26:C32)</x:f>
        <x:v>7606000</x:v>
      </x:c>
      <x:c r="D57" s="6" t="n">
        <x:f>SUM('日経_U165_13'!D26:D32)</x:f>
        <x:v>23806000</x:v>
      </x:c>
      <x:c r="E57" s="6" t="n">
        <x:f>C57-D57</x:f>
        <x:v>-16200000</x:v>
      </x:c>
      <x:c r="F57" s="9" t="n">
        <x:f>COUNTIFS('日経_U165_13'!E26:E32,"&lt;0")</x:f>
        <x:v>7</x:v>
      </x:c>
      <x:c r="G57" s="9" t="n">
        <x:f>SUM('日経_U165_13'!J26:J32)</x:f>
        <x:v>0</x:v>
      </x:c>
      <x:c r="H57" s="6" t="n">
        <x:f>IF(F57=0,0,-SUMIFS('日経_U165_13'!E26:E32,'日経_U165_13'!E26:E32,"&lt;0")/F57)</x:f>
        <x:v>2314285.714285714</x:v>
      </x:c>
      <x:c r="I57" s="6" t="n">
        <x:f>MAX(0,-MIN('日経_U165_13'!E26:E32))</x:f>
        <x:v>3282000</x:v>
      </x:c>
      <x:c r="J57" s="6" t="n">
        <x:f>MIN('日経_U165_13'!G26:G32)</x:f>
        <x:v>-3330000</x:v>
      </x:c>
      <x:c r="K57" s="6" t="n">
        <x:f>MAX('日経_U165_13'!H26:H32)</x:f>
        <x:v>3354000</x:v>
      </x:c>
      <x:c r="L57" s="17" t="n">
        <x:f>IF(C57+D57=0,"n.a.",D57/(C57+D57))</x:f>
        <x:v>0.7578632369794983</x:v>
      </x:c>
      <x:c r="M57" s="11" t="n">
        <x:f>IF(SUM('日経_U165_13'!K26:K32)=0,"n.a.",E57/(SUM('日経_U165_13'!K26:K32)*10))</x:f>
        <x:v>-13.843787386771492</x:v>
      </x:c>
      <x:c r="N57" s="6" t="n">
        <x:f>E57-LARGE('日経_U165_13'!E26:E32,1)-LARGE('日経_U165_13'!E26:E32,2)-LARGE('日経_U165_13'!E26:E32,3)</x:f>
        <x:v>-11298000</x:v>
      </x:c>
    </x:row>
    <x:row r="58" ht="25" customHeight="1">
      <x:c r="A58" s="2" t="str">
        <x:v>NK225_U165_14</x:v>
      </x:c>
      <x:c r="B58" s="2" t="str">
        <x:v>比較候補</x:v>
      </x:c>
      <x:c r="C58" s="6" t="n">
        <x:f>SUM('日経_U165_14'!C26:C32)</x:f>
        <x:v>1980000</x:v>
      </x:c>
      <x:c r="D58" s="6" t="n">
        <x:f>SUM('日経_U165_14'!D26:D32)</x:f>
        <x:v>6378000</x:v>
      </x:c>
      <x:c r="E58" s="6" t="n">
        <x:f>C58-D58</x:f>
        <x:v>-4398000</x:v>
      </x:c>
      <x:c r="F58" s="9" t="n">
        <x:f>COUNTIFS('日経_U165_14'!E26:E32,"&lt;0")</x:f>
        <x:v>7</x:v>
      </x:c>
      <x:c r="G58" s="9" t="n">
        <x:f>SUM('日経_U165_14'!J26:J32)</x:f>
        <x:v>0</x:v>
      </x:c>
      <x:c r="H58" s="6" t="n">
        <x:f>IF(F58=0,0,-SUMIFS('日経_U165_14'!E26:E32,'日経_U165_14'!E26:E32,"&lt;0")/F58)</x:f>
        <x:v>628285.7142857143</x:v>
      </x:c>
      <x:c r="I58" s="6" t="n">
        <x:f>MAX(0,-MIN('日経_U165_14'!E26:E32))</x:f>
        <x:v>1040000</x:v>
      </x:c>
      <x:c r="J58" s="6" t="n">
        <x:f>MIN('日経_U165_14'!G26:G32)</x:f>
        <x:v>-1040000</x:v>
      </x:c>
      <x:c r="K58" s="6" t="n">
        <x:f>MAX('日経_U165_14'!H26:H32)</x:f>
        <x:v>1072000</x:v>
      </x:c>
      <x:c r="L58" s="17" t="n">
        <x:f>IF(C58+D58=0,"n.a.",D58/(C58+D58))</x:f>
        <x:v>0.7631012203876526</x:v>
      </x:c>
      <x:c r="M58" s="11" t="n">
        <x:f>IF(SUM('日経_U165_14'!K26:K32)=0,"n.a.",E58/(SUM('日経_U165_14'!K26:K32)*10))</x:f>
        <x:v>-14.114249037227214</x:v>
      </x:c>
      <x:c r="N58" s="6" t="n">
        <x:f>E58-LARGE('日経_U165_14'!E26:E32,1)-LARGE('日経_U165_14'!E26:E32,2)-LARGE('日経_U165_14'!E26:E32,3)</x:f>
        <x:v>-3292000</x:v>
      </x:c>
    </x:row>
  </x:sheetData>
  <x:conditionalFormatting sqref="E6:E20">
    <x:cfRule type="cellIs" dxfId="30" priority="1" operator="lessThan">
      <x:formula>0</x:formula>
    </x:cfRule>
  </x:conditionalFormatting>
  <x:conditionalFormatting sqref="J6:J20">
    <x:cfRule type="cellIs" dxfId="31" priority="2" operator="lessThan">
      <x:formula>0</x:formula>
    </x:cfRule>
  </x:conditionalFormatting>
  <x:conditionalFormatting sqref="M6:N20">
    <x:cfRule type="cellIs" dxfId="32" priority="3" operator="lessThan">
      <x:formula>0</x:formula>
    </x:cfRule>
  </x:conditionalFormatting>
  <x:conditionalFormatting sqref="E25:E39">
    <x:cfRule type="cellIs" dxfId="33" priority="4" operator="lessThan">
      <x:formula>0</x:formula>
    </x:cfRule>
  </x:conditionalFormatting>
  <x:conditionalFormatting sqref="J25:J39">
    <x:cfRule type="cellIs" dxfId="34" priority="5" operator="lessThan">
      <x:formula>0</x:formula>
    </x:cfRule>
  </x:conditionalFormatting>
  <x:conditionalFormatting sqref="M25:N39">
    <x:cfRule type="cellIs" dxfId="35" priority="6" operator="lessThan">
      <x:formula>0</x:formula>
    </x:cfRule>
  </x:conditionalFormatting>
  <x:conditionalFormatting sqref="E44:E58">
    <x:cfRule type="cellIs" dxfId="36" priority="7" operator="lessThan">
      <x:formula>0</x:formula>
    </x:cfRule>
  </x:conditionalFormatting>
  <x:conditionalFormatting sqref="J44:J58">
    <x:cfRule type="cellIs" dxfId="37" priority="8" operator="lessThan">
      <x:formula>0</x:formula>
    </x:cfRule>
  </x:conditionalFormatting>
  <x:conditionalFormatting sqref="M44:N58">
    <x:cfRule type="cellIs" dxfId="38" priority="9" operator="lessThan">
      <x:formula>0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edfbfd55ce54476b"/>
    <x:tablePart xmlns:r="http://schemas.openxmlformats.org/officeDocument/2006/relationships" r:id="R30cb3cb4259e4141"/>
    <x:tablePart xmlns:r="http://schemas.openxmlformats.org/officeDocument/2006/relationships" r:id="R9c749ebd8d70431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NK225_U164_00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保存基準・米国後D07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45000</x:v>
      </x:c>
      <x:c r="E6" s="6" t="n">
        <x:f>C6-D6</x:f>
        <x:v>-45000</x:v>
      </x:c>
      <x:c r="F6" s="6" t="n">
        <x:f>E6</x:f>
        <x:v>-45000</x:v>
      </x:c>
      <x:c r="G6" s="6" t="n">
        <x:v>-45000</x:v>
      </x:c>
      <x:c r="H6" s="6" t="n">
        <x:v>65000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-90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32000</x:v>
      </x:c>
      <x:c r="D7" s="6" t="n">
        <x:v>8000</x:v>
      </x:c>
      <x:c r="E7" s="6" t="n">
        <x:f>C7-D7</x:f>
        <x:v>24000</x:v>
      </x:c>
      <x:c r="F7" s="6" t="n">
        <x:f>F6+E7</x:f>
        <x:v>-21000</x:v>
      </x:c>
      <x:c r="G7" s="6" t="n">
        <x:v>-35000</x:v>
      </x:c>
      <x:c r="H7" s="6" t="n">
        <x:v>50000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48</x:v>
      </x:c>
      <x:c r="M7" s="11" t="n">
        <x:v>39.95</x:v>
      </x:c>
    </x:row>
    <x:row r="8" ht="25" customHeight="1">
      <x:c r="A8" s="2" t="str">
        <x:v>2026-09-23_Night</x:v>
      </x:c>
      <x:c r="B8" s="2" t="str">
        <x:v>前20夜</x:v>
      </x:c>
      <x:c r="C8" s="6" t="n">
        <x:v>5000</x:v>
      </x:c>
      <x:c r="D8" s="6" t="n">
        <x:v>41000</x:v>
      </x:c>
      <x:c r="E8" s="6" t="n">
        <x:f>C8-D8</x:f>
        <x:v>-36000</x:v>
      </x:c>
      <x:c r="F8" s="6" t="n">
        <x:f>F7+E8</x:f>
        <x:v>-57000</x:v>
      </x:c>
      <x:c r="G8" s="6" t="n">
        <x:v>-44000</x:v>
      </x:c>
      <x:c r="H8" s="6" t="n">
        <x:v>44000</x:v>
      </x:c>
      <x:c r="I8" s="9" t="n">
        <x:v>3</x:v>
      </x:c>
      <x:c r="J8" s="9" t="n">
        <x:f>IF(I8=0,1,0)</x:f>
        <x:v>0</x:v>
      </x:c>
      <x:c r="K8" s="9" t="n">
        <x:v>70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20000</x:v>
      </x:c>
      <x:c r="D9" s="6" t="n">
        <x:v>0</x:v>
      </x:c>
      <x:c r="E9" s="6" t="n">
        <x:f>C9-D9</x:f>
        <x:v>20000</x:v>
      </x:c>
      <x:c r="F9" s="6" t="n">
        <x:f>F8+E9</x:f>
        <x:v>-37000</x:v>
      </x:c>
      <x:c r="G9" s="6" t="n">
        <x:v>-3000</x:v>
      </x:c>
      <x:c r="H9" s="6" t="n">
        <x:v>24000</x:v>
      </x:c>
      <x:c r="I9" s="9" t="n">
        <x:v>2</x:v>
      </x:c>
      <x:c r="J9" s="9" t="n">
        <x:f>IF(I9=0,1,0)</x:f>
        <x:v>0</x:v>
      </x:c>
      <x:c r="K9" s="9" t="n">
        <x:v>20</x:v>
      </x:c>
      <x:c r="L9" s="11" t="n">
        <x:f>IF(K9=0,"n.a.",E9/(K9*10))</x:f>
        <x:v>100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17000</x:v>
      </x:c>
      <x:c r="D10" s="6" t="n">
        <x:v>16000</x:v>
      </x:c>
      <x:c r="E10" s="6" t="n">
        <x:f>C10-D10</x:f>
        <x:v>1000</x:v>
      </x:c>
      <x:c r="F10" s="6" t="n">
        <x:f>F9+E10</x:f>
        <x:v>-36000</x:v>
      </x:c>
      <x:c r="G10" s="6" t="n">
        <x:v>-16000</x:v>
      </x:c>
      <x:c r="H10" s="6" t="n">
        <x:v>24000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1.6666666666666667</x:v>
      </x:c>
      <x:c r="M10" s="11" t="n">
        <x:v>22.233333333333334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10000</x:v>
      </x:c>
      <x:c r="D11" s="6" t="n">
        <x:v>39000</x:v>
      </x:c>
      <x:c r="E11" s="6" t="n">
        <x:f>C11-D11</x:f>
        <x:v>-29000</x:v>
      </x:c>
      <x:c r="F11" s="6" t="n">
        <x:f>F10+E11</x:f>
        <x:v>-65000</x:v>
      </x:c>
      <x:c r="G11" s="6" t="n">
        <x:v>-40000</x:v>
      </x:c>
      <x:c r="H11" s="6" t="n">
        <x:v>43000</x:v>
      </x:c>
      <x:c r="I11" s="9" t="n">
        <x:v>4</x:v>
      </x:c>
      <x:c r="J11" s="9" t="n">
        <x:f>IF(I11=0,1,0)</x:f>
        <x:v>0</x:v>
      </x:c>
      <x:c r="K11" s="9" t="n">
        <x:v>60</x:v>
      </x:c>
      <x:c r="L11" s="11" t="n">
        <x:f>IF(K11=0,"n.a.",E11/(K11*10))</x:f>
        <x:v>-48.333333333333336</x:v>
      </x:c>
      <x:c r="M11" s="11" t="n">
        <x:v>11.85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90000</x:v>
      </x:c>
      <x:c r="D12" s="6" t="n">
        <x:v>25000</x:v>
      </x:c>
      <x:c r="E12" s="6" t="n">
        <x:f>C12-D12</x:f>
        <x:v>65000</x:v>
      </x:c>
      <x:c r="F12" s="6" t="n">
        <x:f>F11+E12</x:f>
        <x:v>0</x:v>
      </x:c>
      <x:c r="G12" s="6" t="n">
        <x:v>-30000</x:v>
      </x:c>
      <x:c r="H12" s="6" t="n">
        <x:v>70000</x:v>
      </x:c>
      <x:c r="I12" s="9" t="n">
        <x:v>6</x:v>
      </x:c>
      <x:c r="J12" s="9" t="n">
        <x:f>IF(I12=0,1,0)</x:f>
        <x:v>0</x:v>
      </x:c>
      <x:c r="K12" s="9" t="n">
        <x:v>140</x:v>
      </x:c>
      <x:c r="L12" s="11" t="n">
        <x:f>IF(K12=0,"n.a.",E12/(K12*10))</x:f>
        <x:v>46.42857142857143</x:v>
      </x:c>
      <x:c r="M12" s="11" t="n">
        <x:v>209.71666666666667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49000</x:v>
      </x:c>
      <x:c r="D13" s="6" t="n">
        <x:v>6000</x:v>
      </x:c>
      <x:c r="E13" s="6" t="n">
        <x:f>C13-D13</x:f>
        <x:v>43000</x:v>
      </x:c>
      <x:c r="F13" s="6" t="n">
        <x:f>F12+E13</x:f>
        <x:v>43000</x:v>
      </x:c>
      <x:c r="G13" s="6" t="n">
        <x:v>-21000</x:v>
      </x:c>
      <x:c r="H13" s="6" t="n">
        <x:v>63000</x:v>
      </x:c>
      <x:c r="I13" s="9" t="n">
        <x:v>3</x:v>
      </x:c>
      <x:c r="J13" s="9" t="n">
        <x:f>IF(I13=0,1,0)</x:f>
        <x:v>0</x:v>
      </x:c>
      <x:c r="K13" s="9" t="n">
        <x:v>70</x:v>
      </x:c>
      <x:c r="L13" s="11" t="n">
        <x:f>IF(K13=0,"n.a.",E13/(K13*10))</x:f>
        <x:v>61.42857142857143</x:v>
      </x:c>
      <x:c r="M13" s="11" t="n">
        <x:v>35.833333333333336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190000</x:v>
      </x:c>
      <x:c r="D14" s="6" t="n">
        <x:v>92000</x:v>
      </x:c>
      <x:c r="E14" s="6" t="n">
        <x:f>C14-D14</x:f>
        <x:v>98000</x:v>
      </x:c>
      <x:c r="F14" s="6" t="n">
        <x:f>F13+E14</x:f>
        <x:v>141000</x:v>
      </x:c>
      <x:c r="G14" s="6" t="n">
        <x:v>-61000</x:v>
      </x:c>
      <x:c r="H14" s="6" t="n">
        <x:v>145000</x:v>
      </x:c>
      <x:c r="I14" s="9" t="n">
        <x:v>8</x:v>
      </x:c>
      <x:c r="J14" s="9" t="n">
        <x:f>IF(I14=0,1,0)</x:f>
        <x:v>0</x:v>
      </x:c>
      <x:c r="K14" s="9" t="n">
        <x:v>140</x:v>
      </x:c>
      <x:c r="L14" s="11" t="n">
        <x:f>IF(K14=0,"n.a.",E14/(K14*10))</x:f>
        <x:v>70</x:v>
      </x:c>
      <x:c r="M14" s="11" t="n">
        <x:v>344.73333333333335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313000</x:v>
      </x:c>
      <x:c r="D15" s="6" t="n">
        <x:v>57000</x:v>
      </x:c>
      <x:c r="E15" s="6" t="n">
        <x:f>C15-D15</x:f>
        <x:v>256000</x:v>
      </x:c>
      <x:c r="F15" s="6" t="n">
        <x:f>F14+E15</x:f>
        <x:v>397000</x:v>
      </x:c>
      <x:c r="G15" s="6" t="n">
        <x:v>-34000</x:v>
      </x:c>
      <x:c r="H15" s="6" t="n">
        <x:v>162000</x:v>
      </x:c>
      <x:c r="I15" s="9" t="n">
        <x:v>15</x:v>
      </x:c>
      <x:c r="J15" s="9" t="n">
        <x:f>IF(I15=0,1,0)</x:f>
        <x:v>0</x:v>
      </x:c>
      <x:c r="K15" s="9" t="n">
        <x:v>280</x:v>
      </x:c>
      <x:c r="L15" s="11" t="n">
        <x:f>IF(K15=0,"n.a.",E15/(K15*10))</x:f>
        <x:v>91.42857142857143</x:v>
      </x:c>
      <x:c r="M15" s="11" t="n">
        <x:v>343.8333333333333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98000</x:v>
      </x:c>
      <x:c r="D16" s="6" t="n">
        <x:v>64000</x:v>
      </x:c>
      <x:c r="E16" s="6" t="n">
        <x:f>C16-D16</x:f>
        <x:v>34000</x:v>
      </x:c>
      <x:c r="F16" s="6" t="n">
        <x:f>F15+E16</x:f>
        <x:v>431000</x:v>
      </x:c>
      <x:c r="G16" s="6" t="n">
        <x:v>-38000</x:v>
      </x:c>
      <x:c r="H16" s="6" t="n">
        <x:v>128000</x:v>
      </x:c>
      <x:c r="I16" s="9" t="n">
        <x:v>7</x:v>
      </x:c>
      <x:c r="J16" s="9" t="n">
        <x:f>IF(I16=0,1,0)</x:f>
        <x:v>0</x:v>
      </x:c>
      <x:c r="K16" s="9" t="n">
        <x:v>140</x:v>
      </x:c>
      <x:c r="L16" s="11" t="n">
        <x:f>IF(K16=0,"n.a.",E16/(K16*10))</x:f>
        <x:v>24.285714285714285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33000</x:v>
      </x:c>
      <x:c r="D17" s="6" t="n">
        <x:v>43000</x:v>
      </x:c>
      <x:c r="E17" s="6" t="n">
        <x:f>C17-D17</x:f>
        <x:v>-10000</x:v>
      </x:c>
      <x:c r="F17" s="6" t="n">
        <x:f>F16+E17</x:f>
        <x:v>421000</x:v>
      </x:c>
      <x:c r="G17" s="6" t="n">
        <x:v>-56000</x:v>
      </x:c>
      <x:c r="H17" s="6" t="n">
        <x:v>56000</x:v>
      </x:c>
      <x:c r="I17" s="9" t="n">
        <x:v>4</x:v>
      </x:c>
      <x:c r="J17" s="9" t="n">
        <x:f>IF(I17=0,1,0)</x:f>
        <x:v>0</x:v>
      </x:c>
      <x:c r="K17" s="9" t="n">
        <x:v>80</x:v>
      </x:c>
      <x:c r="L17" s="11" t="n">
        <x:f>IF(K17=0,"n.a.",E17/(K17*10))</x:f>
        <x:v>-12.5</x:v>
      </x:c>
      <x:c r="M17" s="11" t="n">
        <x:v>329.01666666666665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22000</x:v>
      </x:c>
      <x:c r="E18" s="6" t="n">
        <x:f>C18-D18</x:f>
        <x:v>-22000</x:v>
      </x:c>
      <x:c r="F18" s="6" t="n">
        <x:f>F17+E18</x:f>
        <x:v>399000</x:v>
      </x:c>
      <x:c r="G18" s="6" t="n">
        <x:v>-24000</x:v>
      </x:c>
      <x:c r="H18" s="6" t="n">
        <x:v>30000</x:v>
      </x:c>
      <x:c r="I18" s="9" t="n">
        <x:v>2</x:v>
      </x:c>
      <x:c r="J18" s="9" t="n">
        <x:f>IF(I18=0,1,0)</x:f>
        <x:v>0</x:v>
      </x:c>
      <x:c r="K18" s="9" t="n">
        <x:v>20</x:v>
      </x:c>
      <x:c r="L18" s="11" t="n">
        <x:f>IF(K18=0,"n.a.",E18/(K18*10))</x:f>
        <x:v>-110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342000</x:v>
      </x:c>
      <x:c r="D19" s="6" t="n">
        <x:v>36000</x:v>
      </x:c>
      <x:c r="E19" s="6" t="n">
        <x:f>C19-D19</x:f>
        <x:v>306000</x:v>
      </x:c>
      <x:c r="F19" s="6" t="n">
        <x:f>F18+E19</x:f>
        <x:v>705000</x:v>
      </x:c>
      <x:c r="G19" s="6" t="n">
        <x:v>-42000</x:v>
      </x:c>
      <x:c r="H19" s="6" t="n">
        <x:v>102000</x:v>
      </x:c>
      <x:c r="I19" s="9" t="n">
        <x:v>15</x:v>
      </x:c>
      <x:c r="J19" s="9" t="n">
        <x:f>IF(I19=0,1,0)</x:f>
        <x:v>0</x:v>
      </x:c>
      <x:c r="K19" s="9" t="n">
        <x:v>280</x:v>
      </x:c>
      <x:c r="L19" s="11" t="n">
        <x:f>IF(K19=0,"n.a.",E19/(K19*10))</x:f>
        <x:v>109.28571428571429</x:v>
      </x:c>
      <x:c r="M19" s="11" t="n">
        <x:v>188.65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16000</x:v>
      </x:c>
      <x:c r="D20" s="6" t="n">
        <x:v>2000</x:v>
      </x:c>
      <x:c r="E20" s="6" t="n">
        <x:f>C20-D20</x:f>
        <x:v>14000</x:v>
      </x:c>
      <x:c r="F20" s="6" t="n">
        <x:f>F19+E20</x:f>
        <x:v>719000</x:v>
      </x:c>
      <x:c r="G20" s="6" t="n">
        <x:v>-35000</x:v>
      </x:c>
      <x:c r="H20" s="6" t="n">
        <x:v>60000</x:v>
      </x:c>
      <x:c r="I20" s="9" t="n">
        <x:v>1</x:v>
      </x:c>
      <x:c r="J20" s="9" t="n">
        <x:f>IF(I20=0,1,0)</x:f>
        <x:v>0</x:v>
      </x:c>
      <x:c r="K20" s="9" t="n">
        <x:v>50</x:v>
      </x:c>
      <x:c r="L20" s="11" t="n">
        <x:f>IF(K20=0,"n.a.",E20/(K20*10))</x:f>
        <x:v>28</x:v>
      </x:c>
      <x:c r="M20" s="11" t="n">
        <x:v>53.05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82000</x:v>
      </x:c>
      <x:c r="D21" s="6" t="n">
        <x:v>0</x:v>
      </x:c>
      <x:c r="E21" s="6" t="n">
        <x:f>C21-D21</x:f>
        <x:v>82000</x:v>
      </x:c>
      <x:c r="F21" s="6" t="n">
        <x:f>F20+E21</x:f>
        <x:v>801000</x:v>
      </x:c>
      <x:c r="G21" s="6" t="n">
        <x:v>-10000</x:v>
      </x:c>
      <x:c r="H21" s="6" t="n">
        <x:v>33000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164</x:v>
      </x:c>
      <x:c r="M21" s="11" t="n">
        <x:v>58.36666666666667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53000</x:v>
      </x:c>
      <x:c r="E22" s="6" t="n">
        <x:f>C22-D22</x:f>
        <x:v>-53000</x:v>
      </x:c>
      <x:c r="F22" s="6" t="n">
        <x:f>F21+E22</x:f>
        <x:v>748000</x:v>
      </x:c>
      <x:c r="G22" s="6" t="n">
        <x:v>-53000</x:v>
      </x:c>
      <x:c r="H22" s="6" t="n">
        <x:v>58000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-88.33333333333333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197000</x:v>
      </x:c>
      <x:c r="D23" s="6" t="n">
        <x:v>61000</x:v>
      </x:c>
      <x:c r="E23" s="6" t="n">
        <x:f>C23-D23</x:f>
        <x:v>136000</x:v>
      </x:c>
      <x:c r="F23" s="6" t="n">
        <x:f>F22+E23</x:f>
        <x:v>884000</x:v>
      </x:c>
      <x:c r="G23" s="6" t="n">
        <x:v>-60000</x:v>
      </x:c>
      <x:c r="H23" s="6" t="n">
        <x:v>62000</x:v>
      </x:c>
      <x:c r="I23" s="9" t="n">
        <x:v>4</x:v>
      </x:c>
      <x:c r="J23" s="9" t="n">
        <x:f>IF(I23=0,1,0)</x:f>
        <x:v>0</x:v>
      </x:c>
      <x:c r="K23" s="9" t="n">
        <x:v>90</x:v>
      </x:c>
      <x:c r="L23" s="11" t="n">
        <x:f>IF(K23=0,"n.a.",E23/(K23*10))</x:f>
        <x:v>151.11111111111111</x:v>
      </x:c>
      <x:c r="M23" s="11" t="n">
        <x:v>241.55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86000</x:v>
      </x:c>
      <x:c r="D24" s="6" t="n">
        <x:v>64000</x:v>
      </x:c>
      <x:c r="E24" s="6" t="n">
        <x:f>C24-D24</x:f>
        <x:v>22000</x:v>
      </x:c>
      <x:c r="F24" s="6" t="n">
        <x:f>F23+E24</x:f>
        <x:v>906000</x:v>
      </x:c>
      <x:c r="G24" s="6" t="n">
        <x:v>-48000</x:v>
      </x:c>
      <x:c r="H24" s="6" t="n">
        <x:v>90000</x:v>
      </x:c>
      <x:c r="I24" s="9" t="n">
        <x:v>7</x:v>
      </x:c>
      <x:c r="J24" s="9" t="n">
        <x:f>IF(I24=0,1,0)</x:f>
        <x:v>0</x:v>
      </x:c>
      <x:c r="K24" s="9" t="n">
        <x:v>90</x:v>
      </x:c>
      <x:c r="L24" s="11" t="n">
        <x:f>IF(K24=0,"n.a.",E24/(K24*10))</x:f>
        <x:v>24.444444444444443</x:v>
      </x:c>
      <x:c r="M24" s="11" t="n">
        <x:v>308.9166666666667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177000</x:v>
      </x:c>
      <x:c r="D25" s="6" t="n">
        <x:v>145000</x:v>
      </x:c>
      <x:c r="E25" s="6" t="n">
        <x:f>C25-D25</x:f>
        <x:v>32000</x:v>
      </x:c>
      <x:c r="F25" s="6" t="n">
        <x:f>F24+E25</x:f>
        <x:v>938000</x:v>
      </x:c>
      <x:c r="G25" s="6" t="n">
        <x:v>-85000</x:v>
      </x:c>
      <x:c r="H25" s="6" t="n">
        <x:v>121000</x:v>
      </x:c>
      <x:c r="I25" s="9" t="n">
        <x:v>13</x:v>
      </x:c>
      <x:c r="J25" s="9" t="n">
        <x:f>IF(I25=0,1,0)</x:f>
        <x:v>0</x:v>
      </x:c>
      <x:c r="K25" s="9" t="n">
        <x:v>270</x:v>
      </x:c>
      <x:c r="L25" s="11" t="n">
        <x:f>IF(K25=0,"n.a.",E25/(K25*10))</x:f>
        <x:v>11.851851851851851</x:v>
      </x:c>
      <x:c r="M25" s="11" t="n">
        <x:v>264.31666666666666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97000</x:v>
      </x:c>
      <x:c r="D26" s="6" t="n">
        <x:v>105000</x:v>
      </x:c>
      <x:c r="E26" s="6" t="n">
        <x:f>C26-D26</x:f>
        <x:v>-8000</x:v>
      </x:c>
      <x:c r="F26" s="6" t="n">
        <x:f>F25+E26</x:f>
        <x:v>930000</x:v>
      </x:c>
      <x:c r="G26" s="6" t="n">
        <x:v>-68000</x:v>
      </x:c>
      <x:c r="H26" s="6" t="n">
        <x:v>97000</x:v>
      </x:c>
      <x:c r="I26" s="9" t="n">
        <x:v>12</x:v>
      </x:c>
      <x:c r="J26" s="9" t="n">
        <x:f>IF(I26=0,1,0)</x:f>
        <x:v>0</x:v>
      </x:c>
      <x:c r="K26" s="9" t="n">
        <x:v>210</x:v>
      </x:c>
      <x:c r="L26" s="11" t="n">
        <x:f>IF(K26=0,"n.a.",E26/(K26*10))</x:f>
        <x:v>-3.8095238095238093</x:v>
      </x:c>
      <x:c r="M26" s="11" t="n">
        <x:v>221.13333333333333</x:v>
      </x:c>
    </x:row>
    <x:row r="27" ht="25" customHeight="1">
      <x:c r="A27" s="2" t="str">
        <x:v>2026-10-20_Night</x:v>
      </x:c>
      <x:c r="B27" s="2" t="str">
        <x:v>後7夜</x:v>
      </x:c>
      <x:c r="C27" s="6" t="n">
        <x:v>99000</x:v>
      </x:c>
      <x:c r="D27" s="6" t="n">
        <x:v>33000</x:v>
      </x:c>
      <x:c r="E27" s="6" t="n">
        <x:f>C27-D27</x:f>
        <x:v>66000</x:v>
      </x:c>
      <x:c r="F27" s="6" t="n">
        <x:f>F26+E27</x:f>
        <x:v>996000</x:v>
      </x:c>
      <x:c r="G27" s="6" t="n">
        <x:v>-8000</x:v>
      </x:c>
      <x:c r="H27" s="6" t="n">
        <x:v>53000</x:v>
      </x:c>
      <x:c r="I27" s="9" t="n">
        <x:v>7</x:v>
      </x:c>
      <x:c r="J27" s="9" t="n">
        <x:f>IF(I27=0,1,0)</x:f>
        <x:v>0</x:v>
      </x:c>
      <x:c r="K27" s="9" t="n">
        <x:v>100</x:v>
      </x:c>
      <x:c r="L27" s="11" t="n">
        <x:f>IF(K27=0,"n.a.",E27/(K27*10))</x:f>
        <x:v>66</x:v>
      </x:c>
      <x:c r="M27" s="11" t="n">
        <x:v>366.28333333333336</x:v>
      </x:c>
    </x:row>
    <x:row r="28" ht="25" customHeight="1">
      <x:c r="A28" s="2" t="str">
        <x:v>2026-10-21_Night</x:v>
      </x:c>
      <x:c r="B28" s="2" t="str">
        <x:v>後7夜</x:v>
      </x:c>
      <x:c r="C28" s="6" t="n">
        <x:v>65000</x:v>
      </x:c>
      <x:c r="D28" s="6" t="n">
        <x:v>89000</x:v>
      </x:c>
      <x:c r="E28" s="6" t="n">
        <x:f>C28-D28</x:f>
        <x:v>-24000</x:v>
      </x:c>
      <x:c r="F28" s="6" t="n">
        <x:f>F27+E28</x:f>
        <x:v>972000</x:v>
      </x:c>
      <x:c r="G28" s="6" t="n">
        <x:v>-50000</x:v>
      </x:c>
      <x:c r="H28" s="6" t="n">
        <x:v>131000</x:v>
      </x:c>
      <x:c r="I28" s="9" t="n">
        <x:v>5</x:v>
      </x:c>
      <x:c r="J28" s="9" t="n">
        <x:f>IF(I28=0,1,0)</x:f>
        <x:v>0</x:v>
      </x:c>
      <x:c r="K28" s="9" t="n">
        <x:v>170</x:v>
      </x:c>
      <x:c r="L28" s="11" t="n">
        <x:f>IF(K28=0,"n.a.",E28/(K28*10))</x:f>
        <x:v>-14.117647058823529</x:v>
      </x:c>
      <x:c r="M28" s="11" t="n">
        <x:v>155.93333333333334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156000</x:v>
      </x:c>
      <x:c r="D29" s="6" t="n">
        <x:v>0</x:v>
      </x:c>
      <x:c r="E29" s="6" t="n">
        <x:f>C29-D29</x:f>
        <x:v>156000</x:v>
      </x:c>
      <x:c r="F29" s="6" t="n">
        <x:f>F28+E29</x:f>
        <x:v>1128000</x:v>
      </x:c>
      <x:c r="G29" s="6" t="n">
        <x:v>-2000</x:v>
      </x:c>
      <x:c r="H29" s="6" t="n">
        <x:v>64000</x:v>
      </x:c>
      <x:c r="I29" s="9" t="n">
        <x:v>3</x:v>
      </x:c>
      <x:c r="J29" s="9" t="n">
        <x:f>IF(I29=0,1,0)</x:f>
        <x:v>0</x:v>
      </x:c>
      <x:c r="K29" s="9" t="n">
        <x:v>70</x:v>
      </x:c>
      <x:c r="L29" s="11" t="n">
        <x:f>IF(K29=0,"n.a.",E29/(K29*10))</x:f>
        <x:v>222.85714285714286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49000</x:v>
      </x:c>
      <x:c r="D30" s="6" t="n">
        <x:v>34000</x:v>
      </x:c>
      <x:c r="E30" s="6" t="n">
        <x:f>C30-D30</x:f>
        <x:v>15000</x:v>
      </x:c>
      <x:c r="F30" s="6" t="n">
        <x:f>F29+E30</x:f>
        <x:v>1143000</x:v>
      </x:c>
      <x:c r="G30" s="6" t="n">
        <x:v>-30000</x:v>
      </x:c>
      <x:c r="H30" s="6" t="n">
        <x:v>89000</x:v>
      </x:c>
      <x:c r="I30" s="9" t="n">
        <x:v>6</x:v>
      </x:c>
      <x:c r="J30" s="9" t="n">
        <x:f>IF(I30=0,1,0)</x:f>
        <x:v>0</x:v>
      </x:c>
      <x:c r="K30" s="9" t="n">
        <x:v>110</x:v>
      </x:c>
      <x:c r="L30" s="11" t="n">
        <x:f>IF(K30=0,"n.a.",E30/(K30*10))</x:f>
        <x:v>13.636363636363637</x:v>
      </x:c>
      <x:c r="M30" s="11" t="n">
        <x:v>335.15</x:v>
      </x:c>
    </x:row>
    <x:row r="31" ht="25" customHeight="1">
      <x:c r="A31" s="2" t="str">
        <x:v>2026-10-26_Night</x:v>
      </x:c>
      <x:c r="B31" s="2" t="str">
        <x:v>後7夜</x:v>
      </x:c>
      <x:c r="C31" s="6" t="n">
        <x:v>73000</x:v>
      </x:c>
      <x:c r="D31" s="6" t="n">
        <x:v>124000</x:v>
      </x:c>
      <x:c r="E31" s="6" t="n">
        <x:f>C31-D31</x:f>
        <x:v>-51000</x:v>
      </x:c>
      <x:c r="F31" s="6" t="n">
        <x:f>F30+E31</x:f>
        <x:v>1092000</x:v>
      </x:c>
      <x:c r="G31" s="6" t="n">
        <x:v>-52000</x:v>
      </x:c>
      <x:c r="H31" s="6" t="n">
        <x:v>121000</x:v>
      </x:c>
      <x:c r="I31" s="9" t="n">
        <x:v>11</x:v>
      </x:c>
      <x:c r="J31" s="9" t="n">
        <x:f>IF(I31=0,1,0)</x:f>
        <x:v>0</x:v>
      </x:c>
      <x:c r="K31" s="9" t="n">
        <x:v>160</x:v>
      </x:c>
      <x:c r="L31" s="11" t="n">
        <x:f>IF(K31=0,"n.a.",E31/(K31*10))</x:f>
        <x:v>-31.875</x:v>
      </x:c>
      <x:c r="M31" s="11" t="n">
        <x:v>182.6</x:v>
      </x:c>
    </x:row>
    <x:row r="32" ht="25" customHeight="1">
      <x:c r="A32" s="2" t="str">
        <x:v>2026-10-27_Night</x:v>
      </x:c>
      <x:c r="B32" s="2" t="str">
        <x:v>後7夜</x:v>
      </x:c>
      <x:c r="C32" s="6" t="n">
        <x:v>8000</x:v>
      </x:c>
      <x:c r="D32" s="6" t="n">
        <x:v>0</x:v>
      </x:c>
      <x:c r="E32" s="6" t="n">
        <x:f>C32-D32</x:f>
        <x:v>8000</x:v>
      </x:c>
      <x:c r="F32" s="6" t="n">
        <x:f>F31+E32</x:f>
        <x:v>1100000</x:v>
      </x:c>
      <x:c r="G32" s="6" t="n">
        <x:v>-3000</x:v>
      </x:c>
      <x:c r="H32" s="6" t="n">
        <x:v>24000</x:v>
      </x:c>
      <x:c r="I32" s="9" t="n">
        <x:v>2</x:v>
      </x:c>
      <x:c r="J32" s="9" t="n">
        <x:f>IF(I32=0,1,0)</x:f>
        <x:v>0</x:v>
      </x:c>
      <x:c r="K32" s="9" t="n">
        <x:v>20</x:v>
      </x:c>
      <x:c r="L32" s="11" t="n">
        <x:f>IF(K32=0,"n.a.",E32/(K32*10))</x:f>
        <x:v>40</x:v>
      </x:c>
      <x:c r="M32" s="11" t="n">
        <x:v>41.06666666666667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2304000</x:v>
      </x:c>
      <x:c r="D33" s="8" t="n">
        <x:f>SUM(D6:D32)</x:f>
        <x:v>1204000</x:v>
      </x:c>
      <x:c r="E33" s="8" t="n">
        <x:f>C33-D33</x:f>
        <x:v>1100000</x:v>
      </x:c>
      <x:c r="F33" s="8" t="n">
        <x:f>F32</x:f>
        <x:v>1100000</x:v>
      </x:c>
      <x:c r="G33" s="8" t="n">
        <x:f>MIN(G6:G32)</x:f>
        <x:v>-85000</x:v>
      </x:c>
      <x:c r="H33" s="8" t="n">
        <x:f>MAX(H6:H32)</x:f>
        <x:v>162000</x:v>
      </x:c>
      <x:c r="I33" s="10" t="n">
        <x:f>SUM(I6:I32)</x:f>
        <x:v>147</x:v>
      </x:c>
      <x:c r="J33" s="10" t="n">
        <x:f>SUM(J6:J32)</x:f>
        <x:v>0</x:v>
      </x:c>
      <x:c r="K33" s="10" t="n">
        <x:f>SUM(K6:K32)</x:f>
        <x:v>2910</x:v>
      </x:c>
      <x:c r="L33" s="12" t="n">
        <x:f>IF(K33=0,"n.a.",E33/(K33*10))</x:f>
        <x:v>37.80068728522337</x:v>
      </x:c>
      <x:c r="M33" s="12" t="n">
        <x:f>SUM(M6:M32)</x:f>
        <x:v>4195.716666666666</x:v>
      </x:c>
    </x:row>
  </x:sheetData>
  <x:conditionalFormatting sqref="E6:G32">
    <x:cfRule type="cellIs" dxfId="0" priority="1" operator="lessThan">
      <x:formula>0</x:formula>
    </x:cfRule>
  </x:conditionalFormatting>
  <x:conditionalFormatting sqref="L6:L32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a824a857454d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NK225_U165_01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元全通知の半量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22500</x:v>
      </x:c>
      <x:c r="E6" s="6" t="n">
        <x:f>C6-D6</x:f>
        <x:v>-22500</x:v>
      </x:c>
      <x:c r="F6" s="6" t="n">
        <x:f>E6</x:f>
        <x:v>-22500</x:v>
      </x:c>
      <x:c r="G6" s="6" t="n">
        <x:v>-22500</x:v>
      </x:c>
      <x:c r="H6" s="6" t="n">
        <x:v>32500</x:v>
      </x:c>
      <x:c r="I6" s="9" t="n">
        <x:v>1</x:v>
      </x:c>
      <x:c r="J6" s="9" t="n">
        <x:f>IF(I6=0,1,0)</x:f>
        <x:v>0</x:v>
      </x:c>
      <x:c r="K6" s="9" t="n">
        <x:v>25</x:v>
      </x:c>
      <x:c r="L6" s="11" t="n">
        <x:f>IF(K6=0,"n.a.",E6/(K6*10))</x:f>
        <x:v>-90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16000</x:v>
      </x:c>
      <x:c r="D7" s="6" t="n">
        <x:v>4000</x:v>
      </x:c>
      <x:c r="E7" s="6" t="n">
        <x:f>C7-D7</x:f>
        <x:v>12000</x:v>
      </x:c>
      <x:c r="F7" s="6" t="n">
        <x:f>F6+E7</x:f>
        <x:v>-10500</x:v>
      </x:c>
      <x:c r="G7" s="6" t="n">
        <x:v>-17500</x:v>
      </x:c>
      <x:c r="H7" s="6" t="n">
        <x:v>25000</x:v>
      </x:c>
      <x:c r="I7" s="9" t="n">
        <x:v>1</x:v>
      </x:c>
      <x:c r="J7" s="9" t="n">
        <x:f>IF(I7=0,1,0)</x:f>
        <x:v>0</x:v>
      </x:c>
      <x:c r="K7" s="9" t="n">
        <x:v>25</x:v>
      </x:c>
      <x:c r="L7" s="11" t="n">
        <x:f>IF(K7=0,"n.a.",E7/(K7*10))</x:f>
        <x:v>48</x:v>
      </x:c>
      <x:c r="M7" s="11" t="n">
        <x:v>39.95</x:v>
      </x:c>
    </x:row>
    <x:row r="8" ht="25" customHeight="1">
      <x:c r="A8" s="2" t="str">
        <x:v>2026-09-23_Night</x:v>
      </x:c>
      <x:c r="B8" s="2" t="str">
        <x:v>前20夜</x:v>
      </x:c>
      <x:c r="C8" s="6" t="n">
        <x:v>2500</x:v>
      </x:c>
      <x:c r="D8" s="6" t="n">
        <x:v>20500</x:v>
      </x:c>
      <x:c r="E8" s="6" t="n">
        <x:f>C8-D8</x:f>
        <x:v>-18000</x:v>
      </x:c>
      <x:c r="F8" s="6" t="n">
        <x:f>F7+E8</x:f>
        <x:v>-28500</x:v>
      </x:c>
      <x:c r="G8" s="6" t="n">
        <x:v>-22000</x:v>
      </x:c>
      <x:c r="H8" s="6" t="n">
        <x:v>22000</x:v>
      </x:c>
      <x:c r="I8" s="9" t="n">
        <x:v>3</x:v>
      </x:c>
      <x:c r="J8" s="9" t="n">
        <x:f>IF(I8=0,1,0)</x:f>
        <x:v>0</x:v>
      </x:c>
      <x:c r="K8" s="9" t="n">
        <x:v>35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10000</x:v>
      </x:c>
      <x:c r="D9" s="6" t="n">
        <x:v>0</x:v>
      </x:c>
      <x:c r="E9" s="6" t="n">
        <x:f>C9-D9</x:f>
        <x:v>10000</x:v>
      </x:c>
      <x:c r="F9" s="6" t="n">
        <x:f>F8+E9</x:f>
        <x:v>-18500</x:v>
      </x:c>
      <x:c r="G9" s="6" t="n">
        <x:v>-1500</x:v>
      </x:c>
      <x:c r="H9" s="6" t="n">
        <x:v>12000</x:v>
      </x:c>
      <x:c r="I9" s="9" t="n">
        <x:v>2</x:v>
      </x:c>
      <x:c r="J9" s="9" t="n">
        <x:f>IF(I9=0,1,0)</x:f>
        <x:v>0</x:v>
      </x:c>
      <x:c r="K9" s="9" t="n">
        <x:v>10</x:v>
      </x:c>
      <x:c r="L9" s="11" t="n">
        <x:f>IF(K9=0,"n.a.",E9/(K9*10))</x:f>
        <x:v>100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8500</x:v>
      </x:c>
      <x:c r="D10" s="6" t="n">
        <x:v>8000</x:v>
      </x:c>
      <x:c r="E10" s="6" t="n">
        <x:f>C10-D10</x:f>
        <x:v>500</x:v>
      </x:c>
      <x:c r="F10" s="6" t="n">
        <x:f>F9+E10</x:f>
        <x:v>-18000</x:v>
      </x:c>
      <x:c r="G10" s="6" t="n">
        <x:v>-8000</x:v>
      </x:c>
      <x:c r="H10" s="6" t="n">
        <x:v>12000</x:v>
      </x:c>
      <x:c r="I10" s="9" t="n">
        <x:v>2</x:v>
      </x:c>
      <x:c r="J10" s="9" t="n">
        <x:f>IF(I10=0,1,0)</x:f>
        <x:v>0</x:v>
      </x:c>
      <x:c r="K10" s="9" t="n">
        <x:v>30</x:v>
      </x:c>
      <x:c r="L10" s="11" t="n">
        <x:f>IF(K10=0,"n.a.",E10/(K10*10))</x:f>
        <x:v>1.6666666666666667</x:v>
      </x:c>
      <x:c r="M10" s="11" t="n">
        <x:v>22.233333333333334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5000</x:v>
      </x:c>
      <x:c r="D11" s="6" t="n">
        <x:v>19500</x:v>
      </x:c>
      <x:c r="E11" s="6" t="n">
        <x:f>C11-D11</x:f>
        <x:v>-14500</x:v>
      </x:c>
      <x:c r="F11" s="6" t="n">
        <x:f>F10+E11</x:f>
        <x:v>-32500</x:v>
      </x:c>
      <x:c r="G11" s="6" t="n">
        <x:v>-20000</x:v>
      </x:c>
      <x:c r="H11" s="6" t="n">
        <x:v>21500</x:v>
      </x:c>
      <x:c r="I11" s="9" t="n">
        <x:v>4</x:v>
      </x:c>
      <x:c r="J11" s="9" t="n">
        <x:f>IF(I11=0,1,0)</x:f>
        <x:v>0</x:v>
      </x:c>
      <x:c r="K11" s="9" t="n">
        <x:v>30</x:v>
      </x:c>
      <x:c r="L11" s="11" t="n">
        <x:f>IF(K11=0,"n.a.",E11/(K11*10))</x:f>
        <x:v>-48.333333333333336</x:v>
      </x:c>
      <x:c r="M11" s="11" t="n">
        <x:v>11.85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45000</x:v>
      </x:c>
      <x:c r="D12" s="6" t="n">
        <x:v>12500</x:v>
      </x:c>
      <x:c r="E12" s="6" t="n">
        <x:f>C12-D12</x:f>
        <x:v>32500</x:v>
      </x:c>
      <x:c r="F12" s="6" t="n">
        <x:f>F11+E12</x:f>
        <x:v>0</x:v>
      </x:c>
      <x:c r="G12" s="6" t="n">
        <x:v>-15000</x:v>
      </x:c>
      <x:c r="H12" s="6" t="n">
        <x:v>35000</x:v>
      </x:c>
      <x:c r="I12" s="9" t="n">
        <x:v>6</x:v>
      </x:c>
      <x:c r="J12" s="9" t="n">
        <x:f>IF(I12=0,1,0)</x:f>
        <x:v>0</x:v>
      </x:c>
      <x:c r="K12" s="9" t="n">
        <x:v>70</x:v>
      </x:c>
      <x:c r="L12" s="11" t="n">
        <x:f>IF(K12=0,"n.a.",E12/(K12*10))</x:f>
        <x:v>46.42857142857143</x:v>
      </x:c>
      <x:c r="M12" s="11" t="n">
        <x:v>209.71666666666667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24500</x:v>
      </x:c>
      <x:c r="D13" s="6" t="n">
        <x:v>3000</x:v>
      </x:c>
      <x:c r="E13" s="6" t="n">
        <x:f>C13-D13</x:f>
        <x:v>21500</x:v>
      </x:c>
      <x:c r="F13" s="6" t="n">
        <x:f>F12+E13</x:f>
        <x:v>21500</x:v>
      </x:c>
      <x:c r="G13" s="6" t="n">
        <x:v>-10500</x:v>
      </x:c>
      <x:c r="H13" s="6" t="n">
        <x:v>31500</x:v>
      </x:c>
      <x:c r="I13" s="9" t="n">
        <x:v>3</x:v>
      </x:c>
      <x:c r="J13" s="9" t="n">
        <x:f>IF(I13=0,1,0)</x:f>
        <x:v>0</x:v>
      </x:c>
      <x:c r="K13" s="9" t="n">
        <x:v>35</x:v>
      </x:c>
      <x:c r="L13" s="11" t="n">
        <x:f>IF(K13=0,"n.a.",E13/(K13*10))</x:f>
        <x:v>61.42857142857143</x:v>
      </x:c>
      <x:c r="M13" s="11" t="n">
        <x:v>35.833333333333336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95000</x:v>
      </x:c>
      <x:c r="D14" s="6" t="n">
        <x:v>46000</x:v>
      </x:c>
      <x:c r="E14" s="6" t="n">
        <x:f>C14-D14</x:f>
        <x:v>49000</x:v>
      </x:c>
      <x:c r="F14" s="6" t="n">
        <x:f>F13+E14</x:f>
        <x:v>70500</x:v>
      </x:c>
      <x:c r="G14" s="6" t="n">
        <x:v>-30500</x:v>
      </x:c>
      <x:c r="H14" s="6" t="n">
        <x:v>72500</x:v>
      </x:c>
      <x:c r="I14" s="9" t="n">
        <x:v>8</x:v>
      </x:c>
      <x:c r="J14" s="9" t="n">
        <x:f>IF(I14=0,1,0)</x:f>
        <x:v>0</x:v>
      </x:c>
      <x:c r="K14" s="9" t="n">
        <x:v>70</x:v>
      </x:c>
      <x:c r="L14" s="11" t="n">
        <x:f>IF(K14=0,"n.a.",E14/(K14*10))</x:f>
        <x:v>70</x:v>
      </x:c>
      <x:c r="M14" s="11" t="n">
        <x:v>344.73333333333335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156500</x:v>
      </x:c>
      <x:c r="D15" s="6" t="n">
        <x:v>28500</x:v>
      </x:c>
      <x:c r="E15" s="6" t="n">
        <x:f>C15-D15</x:f>
        <x:v>128000</x:v>
      </x:c>
      <x:c r="F15" s="6" t="n">
        <x:f>F14+E15</x:f>
        <x:v>198500</x:v>
      </x:c>
      <x:c r="G15" s="6" t="n">
        <x:v>-17000</x:v>
      </x:c>
      <x:c r="H15" s="6" t="n">
        <x:v>81000</x:v>
      </x:c>
      <x:c r="I15" s="9" t="n">
        <x:v>15</x:v>
      </x:c>
      <x:c r="J15" s="9" t="n">
        <x:f>IF(I15=0,1,0)</x:f>
        <x:v>0</x:v>
      </x:c>
      <x:c r="K15" s="9" t="n">
        <x:v>140</x:v>
      </x:c>
      <x:c r="L15" s="11" t="n">
        <x:f>IF(K15=0,"n.a.",E15/(K15*10))</x:f>
        <x:v>91.42857142857143</x:v>
      </x:c>
      <x:c r="M15" s="11" t="n">
        <x:v>343.8333333333333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49000</x:v>
      </x:c>
      <x:c r="D16" s="6" t="n">
        <x:v>32000</x:v>
      </x:c>
      <x:c r="E16" s="6" t="n">
        <x:f>C16-D16</x:f>
        <x:v>17000</x:v>
      </x:c>
      <x:c r="F16" s="6" t="n">
        <x:f>F15+E16</x:f>
        <x:v>215500</x:v>
      </x:c>
      <x:c r="G16" s="6" t="n">
        <x:v>-19000</x:v>
      </x:c>
      <x:c r="H16" s="6" t="n">
        <x:v>64000</x:v>
      </x:c>
      <x:c r="I16" s="9" t="n">
        <x:v>7</x:v>
      </x:c>
      <x:c r="J16" s="9" t="n">
        <x:f>IF(I16=0,1,0)</x:f>
        <x:v>0</x:v>
      </x:c>
      <x:c r="K16" s="9" t="n">
        <x:v>70</x:v>
      </x:c>
      <x:c r="L16" s="11" t="n">
        <x:f>IF(K16=0,"n.a.",E16/(K16*10))</x:f>
        <x:v>24.285714285714285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16500</x:v>
      </x:c>
      <x:c r="D17" s="6" t="n">
        <x:v>21500</x:v>
      </x:c>
      <x:c r="E17" s="6" t="n">
        <x:f>C17-D17</x:f>
        <x:v>-5000</x:v>
      </x:c>
      <x:c r="F17" s="6" t="n">
        <x:f>F16+E17</x:f>
        <x:v>210500</x:v>
      </x:c>
      <x:c r="G17" s="6" t="n">
        <x:v>-28000</x:v>
      </x:c>
      <x:c r="H17" s="6" t="n">
        <x:v>28000</x:v>
      </x:c>
      <x:c r="I17" s="9" t="n">
        <x:v>4</x:v>
      </x:c>
      <x:c r="J17" s="9" t="n">
        <x:f>IF(I17=0,1,0)</x:f>
        <x:v>0</x:v>
      </x:c>
      <x:c r="K17" s="9" t="n">
        <x:v>40</x:v>
      </x:c>
      <x:c r="L17" s="11" t="n">
        <x:f>IF(K17=0,"n.a.",E17/(K17*10))</x:f>
        <x:v>-12.5</x:v>
      </x:c>
      <x:c r="M17" s="11" t="n">
        <x:v>329.01666666666665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11000</x:v>
      </x:c>
      <x:c r="E18" s="6" t="n">
        <x:f>C18-D18</x:f>
        <x:v>-11000</x:v>
      </x:c>
      <x:c r="F18" s="6" t="n">
        <x:f>F17+E18</x:f>
        <x:v>199500</x:v>
      </x:c>
      <x:c r="G18" s="6" t="n">
        <x:v>-12000</x:v>
      </x:c>
      <x:c r="H18" s="6" t="n">
        <x:v>15000</x:v>
      </x:c>
      <x:c r="I18" s="9" t="n">
        <x:v>2</x:v>
      </x:c>
      <x:c r="J18" s="9" t="n">
        <x:f>IF(I18=0,1,0)</x:f>
        <x:v>0</x:v>
      </x:c>
      <x:c r="K18" s="9" t="n">
        <x:v>10</x:v>
      </x:c>
      <x:c r="L18" s="11" t="n">
        <x:f>IF(K18=0,"n.a.",E18/(K18*10))</x:f>
        <x:v>-110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171000</x:v>
      </x:c>
      <x:c r="D19" s="6" t="n">
        <x:v>18000</x:v>
      </x:c>
      <x:c r="E19" s="6" t="n">
        <x:f>C19-D19</x:f>
        <x:v>153000</x:v>
      </x:c>
      <x:c r="F19" s="6" t="n">
        <x:f>F18+E19</x:f>
        <x:v>352500</x:v>
      </x:c>
      <x:c r="G19" s="6" t="n">
        <x:v>-21000</x:v>
      </x:c>
      <x:c r="H19" s="6" t="n">
        <x:v>51000</x:v>
      </x:c>
      <x:c r="I19" s="9" t="n">
        <x:v>15</x:v>
      </x:c>
      <x:c r="J19" s="9" t="n">
        <x:f>IF(I19=0,1,0)</x:f>
        <x:v>0</x:v>
      </x:c>
      <x:c r="K19" s="9" t="n">
        <x:v>140</x:v>
      </x:c>
      <x:c r="L19" s="11" t="n">
        <x:f>IF(K19=0,"n.a.",E19/(K19*10))</x:f>
        <x:v>109.28571428571429</x:v>
      </x:c>
      <x:c r="M19" s="11" t="n">
        <x:v>188.65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8000</x:v>
      </x:c>
      <x:c r="D20" s="6" t="n">
        <x:v>1000</x:v>
      </x:c>
      <x:c r="E20" s="6" t="n">
        <x:f>C20-D20</x:f>
        <x:v>7000</x:v>
      </x:c>
      <x:c r="F20" s="6" t="n">
        <x:f>F19+E20</x:f>
        <x:v>359500</x:v>
      </x:c>
      <x:c r="G20" s="6" t="n">
        <x:v>-17500</x:v>
      </x:c>
      <x:c r="H20" s="6" t="n">
        <x:v>30000</x:v>
      </x:c>
      <x:c r="I20" s="9" t="n">
        <x:v>1</x:v>
      </x:c>
      <x:c r="J20" s="9" t="n">
        <x:f>IF(I20=0,1,0)</x:f>
        <x:v>0</x:v>
      </x:c>
      <x:c r="K20" s="9" t="n">
        <x:v>25</x:v>
      </x:c>
      <x:c r="L20" s="11" t="n">
        <x:f>IF(K20=0,"n.a.",E20/(K20*10))</x:f>
        <x:v>28</x:v>
      </x:c>
      <x:c r="M20" s="11" t="n">
        <x:v>53.05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41000</x:v>
      </x:c>
      <x:c r="D21" s="6" t="n">
        <x:v>0</x:v>
      </x:c>
      <x:c r="E21" s="6" t="n">
        <x:f>C21-D21</x:f>
        <x:v>41000</x:v>
      </x:c>
      <x:c r="F21" s="6" t="n">
        <x:f>F20+E21</x:f>
        <x:v>400500</x:v>
      </x:c>
      <x:c r="G21" s="6" t="n">
        <x:v>-5000</x:v>
      </x:c>
      <x:c r="H21" s="6" t="n">
        <x:v>16500</x:v>
      </x:c>
      <x:c r="I21" s="9" t="n">
        <x:v>1</x:v>
      </x:c>
      <x:c r="J21" s="9" t="n">
        <x:f>IF(I21=0,1,0)</x:f>
        <x:v>0</x:v>
      </x:c>
      <x:c r="K21" s="9" t="n">
        <x:v>25</x:v>
      </x:c>
      <x:c r="L21" s="11" t="n">
        <x:f>IF(K21=0,"n.a.",E21/(K21*10))</x:f>
        <x:v>164</x:v>
      </x:c>
      <x:c r="M21" s="11" t="n">
        <x:v>58.36666666666667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26500</x:v>
      </x:c>
      <x:c r="E22" s="6" t="n">
        <x:f>C22-D22</x:f>
        <x:v>-26500</x:v>
      </x:c>
      <x:c r="F22" s="6" t="n">
        <x:f>F21+E22</x:f>
        <x:v>374000</x:v>
      </x:c>
      <x:c r="G22" s="6" t="n">
        <x:v>-26500</x:v>
      </x:c>
      <x:c r="H22" s="6" t="n">
        <x:v>29000</x:v>
      </x:c>
      <x:c r="I22" s="9" t="n">
        <x:v>2</x:v>
      </x:c>
      <x:c r="J22" s="9" t="n">
        <x:f>IF(I22=0,1,0)</x:f>
        <x:v>0</x:v>
      </x:c>
      <x:c r="K22" s="9" t="n">
        <x:v>30</x:v>
      </x:c>
      <x:c r="L22" s="11" t="n">
        <x:f>IF(K22=0,"n.a.",E22/(K22*10))</x:f>
        <x:v>-88.33333333333333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98500</x:v>
      </x:c>
      <x:c r="D23" s="6" t="n">
        <x:v>30500</x:v>
      </x:c>
      <x:c r="E23" s="6" t="n">
        <x:f>C23-D23</x:f>
        <x:v>68000</x:v>
      </x:c>
      <x:c r="F23" s="6" t="n">
        <x:f>F22+E23</x:f>
        <x:v>442000</x:v>
      </x:c>
      <x:c r="G23" s="6" t="n">
        <x:v>-30000</x:v>
      </x:c>
      <x:c r="H23" s="6" t="n">
        <x:v>31000</x:v>
      </x:c>
      <x:c r="I23" s="9" t="n">
        <x:v>4</x:v>
      </x:c>
      <x:c r="J23" s="9" t="n">
        <x:f>IF(I23=0,1,0)</x:f>
        <x:v>0</x:v>
      </x:c>
      <x:c r="K23" s="9" t="n">
        <x:v>45</x:v>
      </x:c>
      <x:c r="L23" s="11" t="n">
        <x:f>IF(K23=0,"n.a.",E23/(K23*10))</x:f>
        <x:v>151.11111111111111</x:v>
      </x:c>
      <x:c r="M23" s="11" t="n">
        <x:v>241.55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43000</x:v>
      </x:c>
      <x:c r="D24" s="6" t="n">
        <x:v>32000</x:v>
      </x:c>
      <x:c r="E24" s="6" t="n">
        <x:f>C24-D24</x:f>
        <x:v>11000</x:v>
      </x:c>
      <x:c r="F24" s="6" t="n">
        <x:f>F23+E24</x:f>
        <x:v>453000</x:v>
      </x:c>
      <x:c r="G24" s="6" t="n">
        <x:v>-24000</x:v>
      </x:c>
      <x:c r="H24" s="6" t="n">
        <x:v>45000</x:v>
      </x:c>
      <x:c r="I24" s="9" t="n">
        <x:v>7</x:v>
      </x:c>
      <x:c r="J24" s="9" t="n">
        <x:f>IF(I24=0,1,0)</x:f>
        <x:v>0</x:v>
      </x:c>
      <x:c r="K24" s="9" t="n">
        <x:v>45</x:v>
      </x:c>
      <x:c r="L24" s="11" t="n">
        <x:f>IF(K24=0,"n.a.",E24/(K24*10))</x:f>
        <x:v>24.444444444444443</x:v>
      </x:c>
      <x:c r="M24" s="11" t="n">
        <x:v>308.9166666666667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88500</x:v>
      </x:c>
      <x:c r="D25" s="6" t="n">
        <x:v>72500</x:v>
      </x:c>
      <x:c r="E25" s="6" t="n">
        <x:f>C25-D25</x:f>
        <x:v>16000</x:v>
      </x:c>
      <x:c r="F25" s="6" t="n">
        <x:f>F24+E25</x:f>
        <x:v>469000</x:v>
      </x:c>
      <x:c r="G25" s="6" t="n">
        <x:v>-42500</x:v>
      </x:c>
      <x:c r="H25" s="6" t="n">
        <x:v>60500</x:v>
      </x:c>
      <x:c r="I25" s="9" t="n">
        <x:v>13</x:v>
      </x:c>
      <x:c r="J25" s="9" t="n">
        <x:f>IF(I25=0,1,0)</x:f>
        <x:v>0</x:v>
      </x:c>
      <x:c r="K25" s="9" t="n">
        <x:v>135</x:v>
      </x:c>
      <x:c r="L25" s="11" t="n">
        <x:f>IF(K25=0,"n.a.",E25/(K25*10))</x:f>
        <x:v>11.851851851851851</x:v>
      </x:c>
      <x:c r="M25" s="11" t="n">
        <x:v>264.31666666666666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48500</x:v>
      </x:c>
      <x:c r="D26" s="6" t="n">
        <x:v>52500</x:v>
      </x:c>
      <x:c r="E26" s="6" t="n">
        <x:f>C26-D26</x:f>
        <x:v>-4000</x:v>
      </x:c>
      <x:c r="F26" s="6" t="n">
        <x:f>F25+E26</x:f>
        <x:v>465000</x:v>
      </x:c>
      <x:c r="G26" s="6" t="n">
        <x:v>-34000</x:v>
      </x:c>
      <x:c r="H26" s="6" t="n">
        <x:v>48500</x:v>
      </x:c>
      <x:c r="I26" s="9" t="n">
        <x:v>12</x:v>
      </x:c>
      <x:c r="J26" s="9" t="n">
        <x:f>IF(I26=0,1,0)</x:f>
        <x:v>0</x:v>
      </x:c>
      <x:c r="K26" s="9" t="n">
        <x:v>105</x:v>
      </x:c>
      <x:c r="L26" s="11" t="n">
        <x:f>IF(K26=0,"n.a.",E26/(K26*10))</x:f>
        <x:v>-3.8095238095238093</x:v>
      </x:c>
      <x:c r="M26" s="11" t="n">
        <x:v>221.13333333333333</x:v>
      </x:c>
    </x:row>
    <x:row r="27" ht="25" customHeight="1">
      <x:c r="A27" s="2" t="str">
        <x:v>2026-10-20_Night</x:v>
      </x:c>
      <x:c r="B27" s="2" t="str">
        <x:v>後7夜</x:v>
      </x:c>
      <x:c r="C27" s="6" t="n">
        <x:v>49500</x:v>
      </x:c>
      <x:c r="D27" s="6" t="n">
        <x:v>16500</x:v>
      </x:c>
      <x:c r="E27" s="6" t="n">
        <x:f>C27-D27</x:f>
        <x:v>33000</x:v>
      </x:c>
      <x:c r="F27" s="6" t="n">
        <x:f>F26+E27</x:f>
        <x:v>498000</x:v>
      </x:c>
      <x:c r="G27" s="6" t="n">
        <x:v>-4000</x:v>
      </x:c>
      <x:c r="H27" s="6" t="n">
        <x:v>26500</x:v>
      </x:c>
      <x:c r="I27" s="9" t="n">
        <x:v>7</x:v>
      </x:c>
      <x:c r="J27" s="9" t="n">
        <x:f>IF(I27=0,1,0)</x:f>
        <x:v>0</x:v>
      </x:c>
      <x:c r="K27" s="9" t="n">
        <x:v>50</x:v>
      </x:c>
      <x:c r="L27" s="11" t="n">
        <x:f>IF(K27=0,"n.a.",E27/(K27*10))</x:f>
        <x:v>66</x:v>
      </x:c>
      <x:c r="M27" s="11" t="n">
        <x:v>366.28333333333336</x:v>
      </x:c>
    </x:row>
    <x:row r="28" ht="25" customHeight="1">
      <x:c r="A28" s="2" t="str">
        <x:v>2026-10-21_Night</x:v>
      </x:c>
      <x:c r="B28" s="2" t="str">
        <x:v>後7夜</x:v>
      </x:c>
      <x:c r="C28" s="6" t="n">
        <x:v>32500</x:v>
      </x:c>
      <x:c r="D28" s="6" t="n">
        <x:v>44500</x:v>
      </x:c>
      <x:c r="E28" s="6" t="n">
        <x:f>C28-D28</x:f>
        <x:v>-12000</x:v>
      </x:c>
      <x:c r="F28" s="6" t="n">
        <x:f>F27+E28</x:f>
        <x:v>486000</x:v>
      </x:c>
      <x:c r="G28" s="6" t="n">
        <x:v>-25000</x:v>
      </x:c>
      <x:c r="H28" s="6" t="n">
        <x:v>65500</x:v>
      </x:c>
      <x:c r="I28" s="9" t="n">
        <x:v>5</x:v>
      </x:c>
      <x:c r="J28" s="9" t="n">
        <x:f>IF(I28=0,1,0)</x:f>
        <x:v>0</x:v>
      </x:c>
      <x:c r="K28" s="9" t="n">
        <x:v>85</x:v>
      </x:c>
      <x:c r="L28" s="11" t="n">
        <x:f>IF(K28=0,"n.a.",E28/(K28*10))</x:f>
        <x:v>-14.117647058823529</x:v>
      </x:c>
      <x:c r="M28" s="11" t="n">
        <x:v>155.93333333333334</x:v>
      </x:c>
    </x:row>
    <x:row r="29" ht="25" customHeight="1">
      <x:c r="A29" s="2" t="str">
        <x:v>2026-10-22_Night</x:v>
      </x:c>
      <x:c r="B29" s="2" t="str">
        <x:v>後7夜</x:v>
      </x:c>
      <x:c r="C29" s="6" t="n">
        <x:v>78000</x:v>
      </x:c>
      <x:c r="D29" s="6" t="n">
        <x:v>0</x:v>
      </x:c>
      <x:c r="E29" s="6" t="n">
        <x:f>C29-D29</x:f>
        <x:v>78000</x:v>
      </x:c>
      <x:c r="F29" s="6" t="n">
        <x:f>F28+E29</x:f>
        <x:v>564000</x:v>
      </x:c>
      <x:c r="G29" s="6" t="n">
        <x:v>-1000</x:v>
      </x:c>
      <x:c r="H29" s="6" t="n">
        <x:v>32000</x:v>
      </x:c>
      <x:c r="I29" s="9" t="n">
        <x:v>3</x:v>
      </x:c>
      <x:c r="J29" s="9" t="n">
        <x:f>IF(I29=0,1,0)</x:f>
        <x:v>0</x:v>
      </x:c>
      <x:c r="K29" s="9" t="n">
        <x:v>35</x:v>
      </x:c>
      <x:c r="L29" s="11" t="n">
        <x:f>IF(K29=0,"n.a.",E29/(K29*10))</x:f>
        <x:v>222.85714285714286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24500</x:v>
      </x:c>
      <x:c r="D30" s="6" t="n">
        <x:v>17000</x:v>
      </x:c>
      <x:c r="E30" s="6" t="n">
        <x:f>C30-D30</x:f>
        <x:v>7500</x:v>
      </x:c>
      <x:c r="F30" s="6" t="n">
        <x:f>F29+E30</x:f>
        <x:v>571500</x:v>
      </x:c>
      <x:c r="G30" s="6" t="n">
        <x:v>-15000</x:v>
      </x:c>
      <x:c r="H30" s="6" t="n">
        <x:v>44500</x:v>
      </x:c>
      <x:c r="I30" s="9" t="n">
        <x:v>6</x:v>
      </x:c>
      <x:c r="J30" s="9" t="n">
        <x:f>IF(I30=0,1,0)</x:f>
        <x:v>0</x:v>
      </x:c>
      <x:c r="K30" s="9" t="n">
        <x:v>55</x:v>
      </x:c>
      <x:c r="L30" s="11" t="n">
        <x:f>IF(K30=0,"n.a.",E30/(K30*10))</x:f>
        <x:v>13.636363636363637</x:v>
      </x:c>
      <x:c r="M30" s="11" t="n">
        <x:v>335.15</x:v>
      </x:c>
    </x:row>
    <x:row r="31" ht="25" customHeight="1">
      <x:c r="A31" s="2" t="str">
        <x:v>2026-10-26_Night</x:v>
      </x:c>
      <x:c r="B31" s="2" t="str">
        <x:v>後7夜</x:v>
      </x:c>
      <x:c r="C31" s="6" t="n">
        <x:v>36500</x:v>
      </x:c>
      <x:c r="D31" s="6" t="n">
        <x:v>62000</x:v>
      </x:c>
      <x:c r="E31" s="6" t="n">
        <x:f>C31-D31</x:f>
        <x:v>-25500</x:v>
      </x:c>
      <x:c r="F31" s="6" t="n">
        <x:f>F30+E31</x:f>
        <x:v>546000</x:v>
      </x:c>
      <x:c r="G31" s="6" t="n">
        <x:v>-26000</x:v>
      </x:c>
      <x:c r="H31" s="6" t="n">
        <x:v>60500</x:v>
      </x:c>
      <x:c r="I31" s="9" t="n">
        <x:v>11</x:v>
      </x:c>
      <x:c r="J31" s="9" t="n">
        <x:f>IF(I31=0,1,0)</x:f>
        <x:v>0</x:v>
      </x:c>
      <x:c r="K31" s="9" t="n">
        <x:v>80</x:v>
      </x:c>
      <x:c r="L31" s="11" t="n">
        <x:f>IF(K31=0,"n.a.",E31/(K31*10))</x:f>
        <x:v>-31.875</x:v>
      </x:c>
      <x:c r="M31" s="11" t="n">
        <x:v>182.6</x:v>
      </x:c>
    </x:row>
    <x:row r="32" ht="25" customHeight="1">
      <x:c r="A32" s="2" t="str">
        <x:v>2026-10-27_Night</x:v>
      </x:c>
      <x:c r="B32" s="2" t="str">
        <x:v>後7夜</x:v>
      </x:c>
      <x:c r="C32" s="6" t="n">
        <x:v>4000</x:v>
      </x:c>
      <x:c r="D32" s="6" t="n">
        <x:v>0</x:v>
      </x:c>
      <x:c r="E32" s="6" t="n">
        <x:f>C32-D32</x:f>
        <x:v>4000</x:v>
      </x:c>
      <x:c r="F32" s="6" t="n">
        <x:f>F31+E32</x:f>
        <x:v>550000</x:v>
      </x:c>
      <x:c r="G32" s="6" t="n">
        <x:v>-1500</x:v>
      </x:c>
      <x:c r="H32" s="6" t="n">
        <x:v>12000</x:v>
      </x:c>
      <x:c r="I32" s="9" t="n">
        <x:v>2</x:v>
      </x:c>
      <x:c r="J32" s="9" t="n">
        <x:f>IF(I32=0,1,0)</x:f>
        <x:v>0</x:v>
      </x:c>
      <x:c r="K32" s="9" t="n">
        <x:v>10</x:v>
      </x:c>
      <x:c r="L32" s="11" t="n">
        <x:f>IF(K32=0,"n.a.",E32/(K32*10))</x:f>
        <x:v>40</x:v>
      </x:c>
      <x:c r="M32" s="11" t="n">
        <x:v>41.06666666666667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1152000</x:v>
      </x:c>
      <x:c r="D33" s="8" t="n">
        <x:f>SUM(D6:D32)</x:f>
        <x:v>602000</x:v>
      </x:c>
      <x:c r="E33" s="8" t="n">
        <x:f>C33-D33</x:f>
        <x:v>550000</x:v>
      </x:c>
      <x:c r="F33" s="8" t="n">
        <x:f>F32</x:f>
        <x:v>550000</x:v>
      </x:c>
      <x:c r="G33" s="8" t="n">
        <x:f>MIN(G6:G32)</x:f>
        <x:v>-42500</x:v>
      </x:c>
      <x:c r="H33" s="8" t="n">
        <x:f>MAX(H6:H32)</x:f>
        <x:v>81000</x:v>
      </x:c>
      <x:c r="I33" s="10" t="n">
        <x:f>SUM(I6:I32)</x:f>
        <x:v>147</x:v>
      </x:c>
      <x:c r="J33" s="10" t="n">
        <x:f>SUM(J6:J32)</x:f>
        <x:v>0</x:v>
      </x:c>
      <x:c r="K33" s="10" t="n">
        <x:f>SUM(K6:K32)</x:f>
        <x:v>1455</x:v>
      </x:c>
      <x:c r="L33" s="12" t="n">
        <x:f>IF(K33=0,"n.a.",E33/(K33*10))</x:f>
        <x:v>37.80068728522337</x:v>
      </x:c>
      <x:c r="M33" s="12" t="n">
        <x:f>SUM(M6:M32)</x:f>
        <x:v>4195.716666666666</x:v>
      </x:c>
    </x:row>
  </x:sheetData>
  <x:conditionalFormatting sqref="E6:G32">
    <x:cfRule type="cellIs" dxfId="2" priority="1" operator="lessThan">
      <x:formula>0</x:formula>
    </x:cfRule>
  </x:conditionalFormatting>
  <x:conditionalFormatting sqref="L6:L32"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c259c2073040c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NK225_U165_02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元初回の数量回復後反転拒否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45000</x:v>
      </x:c>
      <x:c r="E6" s="6" t="n">
        <x:f>C6-D6</x:f>
        <x:v>-45000</x:v>
      </x:c>
      <x:c r="F6" s="6" t="n">
        <x:f>E6</x:f>
        <x:v>-45000</x:v>
      </x:c>
      <x:c r="G6" s="6" t="n">
        <x:v>-45000</x:v>
      </x:c>
      <x:c r="H6" s="6" t="n">
        <x:v>65000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-90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32000</x:v>
      </x:c>
      <x:c r="D7" s="6" t="n">
        <x:v>8000</x:v>
      </x:c>
      <x:c r="E7" s="6" t="n">
        <x:f>C7-D7</x:f>
        <x:v>24000</x:v>
      </x:c>
      <x:c r="F7" s="6" t="n">
        <x:f>F6+E7</x:f>
        <x:v>-21000</x:v>
      </x:c>
      <x:c r="G7" s="6" t="n">
        <x:v>-35000</x:v>
      </x:c>
      <x:c r="H7" s="6" t="n">
        <x:v>50000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48</x:v>
      </x:c>
      <x:c r="M7" s="11" t="n">
        <x:v>39.95</x:v>
      </x:c>
    </x:row>
    <x:row r="8" ht="25" customHeight="1">
      <x:c r="A8" s="2" t="str">
        <x:v>2026-09-23_Night</x:v>
      </x:c>
      <x:c r="B8" s="2" t="str">
        <x:v>前20夜</x:v>
      </x:c>
      <x:c r="C8" s="6" t="n">
        <x:v>5000</x:v>
      </x:c>
      <x:c r="D8" s="6" t="n">
        <x:v>41000</x:v>
      </x:c>
      <x:c r="E8" s="6" t="n">
        <x:f>C8-D8</x:f>
        <x:v>-36000</x:v>
      </x:c>
      <x:c r="F8" s="6" t="n">
        <x:f>F7+E8</x:f>
        <x:v>-57000</x:v>
      </x:c>
      <x:c r="G8" s="6" t="n">
        <x:v>-44000</x:v>
      </x:c>
      <x:c r="H8" s="6" t="n">
        <x:v>44000</x:v>
      </x:c>
      <x:c r="I8" s="9" t="n">
        <x:v>3</x:v>
      </x:c>
      <x:c r="J8" s="9" t="n">
        <x:f>IF(I8=0,1,0)</x:f>
        <x:v>0</x:v>
      </x:c>
      <x:c r="K8" s="9" t="n">
        <x:v>70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20000</x:v>
      </x:c>
      <x:c r="D9" s="6" t="n">
        <x:v>0</x:v>
      </x:c>
      <x:c r="E9" s="6" t="n">
        <x:f>C9-D9</x:f>
        <x:v>20000</x:v>
      </x:c>
      <x:c r="F9" s="6" t="n">
        <x:f>F8+E9</x:f>
        <x:v>-37000</x:v>
      </x:c>
      <x:c r="G9" s="6" t="n">
        <x:v>-3000</x:v>
      </x:c>
      <x:c r="H9" s="6" t="n">
        <x:v>24000</x:v>
      </x:c>
      <x:c r="I9" s="9" t="n">
        <x:v>2</x:v>
      </x:c>
      <x:c r="J9" s="9" t="n">
        <x:f>IF(I9=0,1,0)</x:f>
        <x:v>0</x:v>
      </x:c>
      <x:c r="K9" s="9" t="n">
        <x:v>20</x:v>
      </x:c>
      <x:c r="L9" s="11" t="n">
        <x:f>IF(K9=0,"n.a.",E9/(K9*10))</x:f>
        <x:v>100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17000</x:v>
      </x:c>
      <x:c r="D10" s="6" t="n">
        <x:v>16000</x:v>
      </x:c>
      <x:c r="E10" s="6" t="n">
        <x:f>C10-D10</x:f>
        <x:v>1000</x:v>
      </x:c>
      <x:c r="F10" s="6" t="n">
        <x:f>F9+E10</x:f>
        <x:v>-36000</x:v>
      </x:c>
      <x:c r="G10" s="6" t="n">
        <x:v>-16000</x:v>
      </x:c>
      <x:c r="H10" s="6" t="n">
        <x:v>24000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1.6666666666666667</x:v>
      </x:c>
      <x:c r="M10" s="11" t="n">
        <x:v>22.233333333333334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10000</x:v>
      </x:c>
      <x:c r="D11" s="6" t="n">
        <x:v>9000</x:v>
      </x:c>
      <x:c r="E11" s="6" t="n">
        <x:f>C11-D11</x:f>
        <x:v>1000</x:v>
      </x:c>
      <x:c r="F11" s="6" t="n">
        <x:f>F10+E11</x:f>
        <x:v>-35000</x:v>
      </x:c>
      <x:c r="G11" s="6" t="n">
        <x:v>-10000</x:v>
      </x:c>
      <x:c r="H11" s="6" t="n">
        <x:v>30000</x:v>
      </x:c>
      <x:c r="I11" s="9" t="n">
        <x:v>2</x:v>
      </x:c>
      <x:c r="J11" s="9" t="n">
        <x:f>IF(I11=0,1,0)</x:f>
        <x:v>0</x:v>
      </x:c>
      <x:c r="K11" s="9" t="n">
        <x:v>30</x:v>
      </x:c>
      <x:c r="L11" s="11" t="n">
        <x:f>IF(K11=0,"n.a.",E11/(K11*10))</x:f>
        <x:v>3.3333333333333335</x:v>
      </x:c>
      <x:c r="M11" s="11" t="n">
        <x:v>10.183333333333334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26000</x:v>
      </x:c>
      <x:c r="D12" s="6" t="n">
        <x:v>25000</x:v>
      </x:c>
      <x:c r="E12" s="6" t="n">
        <x:f>C12-D12</x:f>
        <x:v>1000</x:v>
      </x:c>
      <x:c r="F12" s="6" t="n">
        <x:f>F11+E12</x:f>
        <x:v>-34000</x:v>
      </x:c>
      <x:c r="G12" s="6" t="n">
        <x:v>-23000</x:v>
      </x:c>
      <x:c r="H12" s="6" t="n">
        <x:v>44000</x:v>
      </x:c>
      <x:c r="I12" s="9" t="n">
        <x:v>5</x:v>
      </x:c>
      <x:c r="J12" s="9" t="n">
        <x:f>IF(I12=0,1,0)</x:f>
        <x:v>0</x:v>
      </x:c>
      <x:c r="K12" s="9" t="n">
        <x:v>90</x:v>
      </x:c>
      <x:c r="L12" s="11" t="n">
        <x:f>IF(K12=0,"n.a.",E12/(K12*10))</x:f>
        <x:v>1.1111111111111112</x:v>
      </x:c>
      <x:c r="M12" s="11" t="n">
        <x:v>191.63333333333333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49000</x:v>
      </x:c>
      <x:c r="D13" s="6" t="n">
        <x:v>6000</x:v>
      </x:c>
      <x:c r="E13" s="6" t="n">
        <x:f>C13-D13</x:f>
        <x:v>43000</x:v>
      </x:c>
      <x:c r="F13" s="6" t="n">
        <x:f>F12+E13</x:f>
        <x:v>9000</x:v>
      </x:c>
      <x:c r="G13" s="6" t="n">
        <x:v>-21000</x:v>
      </x:c>
      <x:c r="H13" s="6" t="n">
        <x:v>63000</x:v>
      </x:c>
      <x:c r="I13" s="9" t="n">
        <x:v>3</x:v>
      </x:c>
      <x:c r="J13" s="9" t="n">
        <x:f>IF(I13=0,1,0)</x:f>
        <x:v>0</x:v>
      </x:c>
      <x:c r="K13" s="9" t="n">
        <x:v>70</x:v>
      </x:c>
      <x:c r="L13" s="11" t="n">
        <x:f>IF(K13=0,"n.a.",E13/(K13*10))</x:f>
        <x:v>61.42857142857143</x:v>
      </x:c>
      <x:c r="M13" s="11" t="n">
        <x:v>35.833333333333336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190000</x:v>
      </x:c>
      <x:c r="D14" s="6" t="n">
        <x:v>54000</x:v>
      </x:c>
      <x:c r="E14" s="6" t="n">
        <x:f>C14-D14</x:f>
        <x:v>136000</x:v>
      </x:c>
      <x:c r="F14" s="6" t="n">
        <x:f>F13+E14</x:f>
        <x:v>145000</x:v>
      </x:c>
      <x:c r="G14" s="6" t="n">
        <x:v>-23000</x:v>
      </x:c>
      <x:c r="H14" s="6" t="n">
        <x:v>107000</x:v>
      </x:c>
      <x:c r="I14" s="9" t="n">
        <x:v>7</x:v>
      </x:c>
      <x:c r="J14" s="9" t="n">
        <x:f>IF(I14=0,1,0)</x:f>
        <x:v>0</x:v>
      </x:c>
      <x:c r="K14" s="9" t="n">
        <x:v>120</x:v>
      </x:c>
      <x:c r="L14" s="11" t="n">
        <x:f>IF(K14=0,"n.a.",E14/(K14*10))</x:f>
        <x:v>113.33333333333333</x:v>
      </x:c>
      <x:c r="M14" s="11" t="n">
        <x:v>336.48333333333335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313000</x:v>
      </x:c>
      <x:c r="D15" s="6" t="n">
        <x:v>57000</x:v>
      </x:c>
      <x:c r="E15" s="6" t="n">
        <x:f>C15-D15</x:f>
        <x:v>256000</x:v>
      </x:c>
      <x:c r="F15" s="6" t="n">
        <x:f>F14+E15</x:f>
        <x:v>401000</x:v>
      </x:c>
      <x:c r="G15" s="6" t="n">
        <x:v>-34000</x:v>
      </x:c>
      <x:c r="H15" s="6" t="n">
        <x:v>162000</x:v>
      </x:c>
      <x:c r="I15" s="9" t="n">
        <x:v>15</x:v>
      </x:c>
      <x:c r="J15" s="9" t="n">
        <x:f>IF(I15=0,1,0)</x:f>
        <x:v>0</x:v>
      </x:c>
      <x:c r="K15" s="9" t="n">
        <x:v>280</x:v>
      </x:c>
      <x:c r="L15" s="11" t="n">
        <x:f>IF(K15=0,"n.a.",E15/(K15*10))</x:f>
        <x:v>91.42857142857143</x:v>
      </x:c>
      <x:c r="M15" s="11" t="n">
        <x:v>343.8333333333333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98000</x:v>
      </x:c>
      <x:c r="D16" s="6" t="n">
        <x:v>64000</x:v>
      </x:c>
      <x:c r="E16" s="6" t="n">
        <x:f>C16-D16</x:f>
        <x:v>34000</x:v>
      </x:c>
      <x:c r="F16" s="6" t="n">
        <x:f>F15+E16</x:f>
        <x:v>435000</x:v>
      </x:c>
      <x:c r="G16" s="6" t="n">
        <x:v>-38000</x:v>
      </x:c>
      <x:c r="H16" s="6" t="n">
        <x:v>128000</x:v>
      </x:c>
      <x:c r="I16" s="9" t="n">
        <x:v>7</x:v>
      </x:c>
      <x:c r="J16" s="9" t="n">
        <x:f>IF(I16=0,1,0)</x:f>
        <x:v>0</x:v>
      </x:c>
      <x:c r="K16" s="9" t="n">
        <x:v>140</x:v>
      </x:c>
      <x:c r="L16" s="11" t="n">
        <x:f>IF(K16=0,"n.a.",E16/(K16*10))</x:f>
        <x:v>24.285714285714285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33000</x:v>
      </x:c>
      <x:c r="D17" s="6" t="n">
        <x:v>35000</x:v>
      </x:c>
      <x:c r="E17" s="6" t="n">
        <x:f>C17-D17</x:f>
        <x:v>-2000</x:v>
      </x:c>
      <x:c r="F17" s="6" t="n">
        <x:f>F16+E17</x:f>
        <x:v>433000</x:v>
      </x:c>
      <x:c r="G17" s="6" t="n">
        <x:v>-48000</x:v>
      </x:c>
      <x:c r="H17" s="6" t="n">
        <x:v>52000</x:v>
      </x:c>
      <x:c r="I17" s="9" t="n">
        <x:v>3</x:v>
      </x:c>
      <x:c r="J17" s="9" t="n">
        <x:f>IF(I17=0,1,0)</x:f>
        <x:v>0</x:v>
      </x:c>
      <x:c r="K17" s="9" t="n">
        <x:v>70</x:v>
      </x:c>
      <x:c r="L17" s="11" t="n">
        <x:f>IF(K17=0,"n.a.",E17/(K17*10))</x:f>
        <x:v>-2.857142857142857</x:v>
      </x:c>
      <x:c r="M17" s="11" t="n">
        <x:v>325.9166666666667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22000</x:v>
      </x:c>
      <x:c r="E18" s="6" t="n">
        <x:f>C18-D18</x:f>
        <x:v>-22000</x:v>
      </x:c>
      <x:c r="F18" s="6" t="n">
        <x:f>F17+E18</x:f>
        <x:v>411000</x:v>
      </x:c>
      <x:c r="G18" s="6" t="n">
        <x:v>-24000</x:v>
      </x:c>
      <x:c r="H18" s="6" t="n">
        <x:v>30000</x:v>
      </x:c>
      <x:c r="I18" s="9" t="n">
        <x:v>2</x:v>
      </x:c>
      <x:c r="J18" s="9" t="n">
        <x:f>IF(I18=0,1,0)</x:f>
        <x:v>0</x:v>
      </x:c>
      <x:c r="K18" s="9" t="n">
        <x:v>20</x:v>
      </x:c>
      <x:c r="L18" s="11" t="n">
        <x:f>IF(K18=0,"n.a.",E18/(K18*10))</x:f>
        <x:v>-110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342000</x:v>
      </x:c>
      <x:c r="D19" s="6" t="n">
        <x:v>20000</x:v>
      </x:c>
      <x:c r="E19" s="6" t="n">
        <x:f>C19-D19</x:f>
        <x:v>322000</x:v>
      </x:c>
      <x:c r="F19" s="6" t="n">
        <x:f>F18+E19</x:f>
        <x:v>733000</x:v>
      </x:c>
      <x:c r="G19" s="6" t="n">
        <x:v>-42000</x:v>
      </x:c>
      <x:c r="H19" s="6" t="n">
        <x:v>102000</x:v>
      </x:c>
      <x:c r="I19" s="9" t="n">
        <x:v>14</x:v>
      </x:c>
      <x:c r="J19" s="9" t="n">
        <x:f>IF(I19=0,1,0)</x:f>
        <x:v>0</x:v>
      </x:c>
      <x:c r="K19" s="9" t="n">
        <x:v>260</x:v>
      </x:c>
      <x:c r="L19" s="11" t="n">
        <x:f>IF(K19=0,"n.a.",E19/(K19*10))</x:f>
        <x:v>123.84615384615384</x:v>
      </x:c>
      <x:c r="M19" s="11" t="n">
        <x:v>188.45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733000</x:v>
      </x:c>
      <x:c r="G20" s="6" t="n">
        <x:v>0</x:v>
      </x:c>
      <x:c r="H20" s="6" t="n">
        <x:v>0</x:v>
      </x:c>
      <x:c r="I20" s="9" t="n">
        <x:v>0</x:v>
      </x:c>
      <x:c r="J20" s="9" t="n">
        <x:f>IF(I20=0,1,0)</x:f>
        <x:v>1</x:v>
      </x:c>
      <x:c r="K20" s="9" t="n">
        <x:v>0</x:v>
      </x:c>
      <x:c r="L20" s="11" t="str">
        <x:f>IF(K20=0,"n.a.",E20/(K20*10))</x:f>
        <x:v>n.a.</x:v>
      </x:c>
      <x:c r="M20" s="11" t="n">
        <x:v>0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82000</x:v>
      </x:c>
      <x:c r="D21" s="6" t="n">
        <x:v>0</x:v>
      </x:c>
      <x:c r="E21" s="6" t="n">
        <x:f>C21-D21</x:f>
        <x:v>82000</x:v>
      </x:c>
      <x:c r="F21" s="6" t="n">
        <x:f>F20+E21</x:f>
        <x:v>815000</x:v>
      </x:c>
      <x:c r="G21" s="6" t="n">
        <x:v>-10000</x:v>
      </x:c>
      <x:c r="H21" s="6" t="n">
        <x:v>33000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164</x:v>
      </x:c>
      <x:c r="M21" s="11" t="n">
        <x:v>58.36666666666667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53000</x:v>
      </x:c>
      <x:c r="E22" s="6" t="n">
        <x:f>C22-D22</x:f>
        <x:v>-53000</x:v>
      </x:c>
      <x:c r="F22" s="6" t="n">
        <x:f>F21+E22</x:f>
        <x:v>762000</x:v>
      </x:c>
      <x:c r="G22" s="6" t="n">
        <x:v>-53000</x:v>
      </x:c>
      <x:c r="H22" s="6" t="n">
        <x:v>58000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-88.33333333333333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197000</x:v>
      </x:c>
      <x:c r="D23" s="6" t="n">
        <x:v>39000</x:v>
      </x:c>
      <x:c r="E23" s="6" t="n">
        <x:f>C23-D23</x:f>
        <x:v>158000</x:v>
      </x:c>
      <x:c r="F23" s="6" t="n">
        <x:f>F22+E23</x:f>
        <x:v>920000</x:v>
      </x:c>
      <x:c r="G23" s="6" t="n">
        <x:v>-64000</x:v>
      </x:c>
      <x:c r="H23" s="6" t="n">
        <x:v>66000</x:v>
      </x:c>
      <x:c r="I23" s="9" t="n">
        <x:v>3</x:v>
      </x:c>
      <x:c r="J23" s="9" t="n">
        <x:f>IF(I23=0,1,0)</x:f>
        <x:v>0</x:v>
      </x:c>
      <x:c r="K23" s="9" t="n">
        <x:v>80</x:v>
      </x:c>
      <x:c r="L23" s="11" t="n">
        <x:f>IF(K23=0,"n.a.",E23/(K23*10))</x:f>
        <x:v>197.5</x:v>
      </x:c>
      <x:c r="M23" s="11" t="n">
        <x:v>232.9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86000</x:v>
      </x:c>
      <x:c r="D24" s="6" t="n">
        <x:v>47000</x:v>
      </x:c>
      <x:c r="E24" s="6" t="n">
        <x:f>C24-D24</x:f>
        <x:v>39000</x:v>
      </x:c>
      <x:c r="F24" s="6" t="n">
        <x:f>F23+E24</x:f>
        <x:v>959000</x:v>
      </x:c>
      <x:c r="G24" s="6" t="n">
        <x:v>-48000</x:v>
      </x:c>
      <x:c r="H24" s="6" t="n">
        <x:v>90000</x:v>
      </x:c>
      <x:c r="I24" s="9" t="n">
        <x:v>6</x:v>
      </x:c>
      <x:c r="J24" s="9" t="n">
        <x:f>IF(I24=0,1,0)</x:f>
        <x:v>0</x:v>
      </x:c>
      <x:c r="K24" s="9" t="n">
        <x:v>70</x:v>
      </x:c>
      <x:c r="L24" s="11" t="n">
        <x:f>IF(K24=0,"n.a.",E24/(K24*10))</x:f>
        <x:v>55.714285714285715</x:v>
      </x:c>
      <x:c r="M24" s="11" t="n">
        <x:v>308.9166666666667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161000</x:v>
      </x:c>
      <x:c r="D25" s="6" t="n">
        <x:v>114000</x:v>
      </x:c>
      <x:c r="E25" s="6" t="n">
        <x:f>C25-D25</x:f>
        <x:v>47000</x:v>
      </x:c>
      <x:c r="F25" s="6" t="n">
        <x:f>F24+E25</x:f>
        <x:v>1006000</x:v>
      </x:c>
      <x:c r="G25" s="6" t="n">
        <x:v>-70000</x:v>
      </x:c>
      <x:c r="H25" s="6" t="n">
        <x:v>121000</x:v>
      </x:c>
      <x:c r="I25" s="9" t="n">
        <x:v>11</x:v>
      </x:c>
      <x:c r="J25" s="9" t="n">
        <x:f>IF(I25=0,1,0)</x:f>
        <x:v>0</x:v>
      </x:c>
      <x:c r="K25" s="9" t="n">
        <x:v>230</x:v>
      </x:c>
      <x:c r="L25" s="11" t="n">
        <x:f>IF(K25=0,"n.a.",E25/(K25*10))</x:f>
        <x:v>20.434782608695652</x:v>
      </x:c>
      <x:c r="M25" s="11" t="n">
        <x:v>241.96666666666667</x:v>
      </x:c>
    </x:row>
    <x:row r="26" ht="25" customHeight="1">
      <x:c r="A26" s="2" t="str">
        <x:v>2026-10-19_Night</x:v>
      </x:c>
      <x:c r="B26" s="2" t="str">
        <x:v>後7夜</x:v>
      </x:c>
      <x:c r="C26" s="6" t="n">
        <x:v>97000</x:v>
      </x:c>
      <x:c r="D26" s="6" t="n">
        <x:v>105000</x:v>
      </x:c>
      <x:c r="E26" s="6" t="n">
        <x:f>C26-D26</x:f>
        <x:v>-8000</x:v>
      </x:c>
      <x:c r="F26" s="6" t="n">
        <x:f>F25+E26</x:f>
        <x:v>998000</x:v>
      </x:c>
      <x:c r="G26" s="6" t="n">
        <x:v>-68000</x:v>
      </x:c>
      <x:c r="H26" s="6" t="n">
        <x:v>97000</x:v>
      </x:c>
      <x:c r="I26" s="9" t="n">
        <x:v>12</x:v>
      </x:c>
      <x:c r="J26" s="9" t="n">
        <x:f>IF(I26=0,1,0)</x:f>
        <x:v>0</x:v>
      </x:c>
      <x:c r="K26" s="9" t="n">
        <x:v>210</x:v>
      </x:c>
      <x:c r="L26" s="11" t="n">
        <x:f>IF(K26=0,"n.a.",E26/(K26*10))</x:f>
        <x:v>-3.8095238095238093</x:v>
      </x:c>
      <x:c r="M26" s="11" t="n">
        <x:v>221.13333333333333</x:v>
      </x:c>
    </x:row>
    <x:row r="27" ht="25" customHeight="1">
      <x:c r="A27" s="2" t="str">
        <x:v>2026-10-20_Night</x:v>
      </x:c>
      <x:c r="B27" s="2" t="str">
        <x:v>後7夜</x:v>
      </x:c>
      <x:c r="C27" s="6" t="n">
        <x:v>19000</x:v>
      </x:c>
      <x:c r="D27" s="6" t="n">
        <x:v>24000</x:v>
      </x:c>
      <x:c r="E27" s="6" t="n">
        <x:f>C27-D27</x:f>
        <x:v>-5000</x:v>
      </x:c>
      <x:c r="F27" s="6" t="n">
        <x:f>F26+E27</x:f>
        <x:v>993000</x:v>
      </x:c>
      <x:c r="G27" s="6" t="n">
        <x:v>-8000</x:v>
      </x:c>
      <x:c r="H27" s="6" t="n">
        <x:v>34000</x:v>
      </x:c>
      <x:c r="I27" s="9" t="n">
        <x:v>2</x:v>
      </x:c>
      <x:c r="J27" s="9" t="n">
        <x:f>IF(I27=0,1,0)</x:f>
        <x:v>0</x:v>
      </x:c>
      <x:c r="K27" s="9" t="n">
        <x:v>30</x:v>
      </x:c>
      <x:c r="L27" s="11" t="n">
        <x:f>IF(K27=0,"n.a.",E27/(K27*10))</x:f>
        <x:v>-16.666666666666668</x:v>
      </x:c>
      <x:c r="M27" s="11" t="n">
        <x:v>327.4166666666667</x:v>
      </x:c>
    </x:row>
    <x:row r="28" ht="25" customHeight="1">
      <x:c r="A28" s="2" t="str">
        <x:v>2026-10-21_Night</x:v>
      </x:c>
      <x:c r="B28" s="2" t="str">
        <x:v>後7夜</x:v>
      </x:c>
      <x:c r="C28" s="6" t="n">
        <x:v>38000</x:v>
      </x:c>
      <x:c r="D28" s="6" t="n">
        <x:v>40000</x:v>
      </x:c>
      <x:c r="E28" s="6" t="n">
        <x:f>C28-D28</x:f>
        <x:v>-2000</x:v>
      </x:c>
      <x:c r="F28" s="6" t="n">
        <x:f>F27+E28</x:f>
        <x:v>991000</x:v>
      </x:c>
      <x:c r="G28" s="6" t="n">
        <x:v>-50000</x:v>
      </x:c>
      <x:c r="H28" s="6" t="n">
        <x:v>92000</x:v>
      </x:c>
      <x:c r="I28" s="9" t="n">
        <x:v>2</x:v>
      </x:c>
      <x:c r="J28" s="9" t="n">
        <x:f>IF(I28=0,1,0)</x:f>
        <x:v>0</x:v>
      </x:c>
      <x:c r="K28" s="9" t="n">
        <x:v>100</x:v>
      </x:c>
      <x:c r="L28" s="11" t="n">
        <x:f>IF(K28=0,"n.a.",E28/(K28*10))</x:f>
        <x:v>-2</x:v>
      </x:c>
      <x:c r="M28" s="11" t="n">
        <x:v>41.5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156000</x:v>
      </x:c>
      <x:c r="D29" s="6" t="n">
        <x:v>0</x:v>
      </x:c>
      <x:c r="E29" s="6" t="n">
        <x:f>C29-D29</x:f>
        <x:v>156000</x:v>
      </x:c>
      <x:c r="F29" s="6" t="n">
        <x:f>F28+E29</x:f>
        <x:v>1147000</x:v>
      </x:c>
      <x:c r="G29" s="6" t="n">
        <x:v>-2000</x:v>
      </x:c>
      <x:c r="H29" s="6" t="n">
        <x:v>64000</x:v>
      </x:c>
      <x:c r="I29" s="9" t="n">
        <x:v>3</x:v>
      </x:c>
      <x:c r="J29" s="9" t="n">
        <x:f>IF(I29=0,1,0)</x:f>
        <x:v>0</x:v>
      </x:c>
      <x:c r="K29" s="9" t="n">
        <x:v>70</x:v>
      </x:c>
      <x:c r="L29" s="11" t="n">
        <x:f>IF(K29=0,"n.a.",E29/(K29*10))</x:f>
        <x:v>222.85714285714286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49000</x:v>
      </x:c>
      <x:c r="D30" s="6" t="n">
        <x:v>34000</x:v>
      </x:c>
      <x:c r="E30" s="6" t="n">
        <x:f>C30-D30</x:f>
        <x:v>15000</x:v>
      </x:c>
      <x:c r="F30" s="6" t="n">
        <x:f>F29+E30</x:f>
        <x:v>1162000</x:v>
      </x:c>
      <x:c r="G30" s="6" t="n">
        <x:v>-30000</x:v>
      </x:c>
      <x:c r="H30" s="6" t="n">
        <x:v>89000</x:v>
      </x:c>
      <x:c r="I30" s="9" t="n">
        <x:v>6</x:v>
      </x:c>
      <x:c r="J30" s="9" t="n">
        <x:f>IF(I30=0,1,0)</x:f>
        <x:v>0</x:v>
      </x:c>
      <x:c r="K30" s="9" t="n">
        <x:v>110</x:v>
      </x:c>
      <x:c r="L30" s="11" t="n">
        <x:f>IF(K30=0,"n.a.",E30/(K30*10))</x:f>
        <x:v>13.636363636363637</x:v>
      </x:c>
      <x:c r="M30" s="11" t="n">
        <x:v>335.15</x:v>
      </x:c>
    </x:row>
    <x:row r="31" ht="25" customHeight="1">
      <x:c r="A31" s="2" t="str">
        <x:v>2026-10-26_Night</x:v>
      </x:c>
      <x:c r="B31" s="2" t="str">
        <x:v>後7夜</x:v>
      </x:c>
      <x:c r="C31" s="6" t="n">
        <x:v>51000</x:v>
      </x:c>
      <x:c r="D31" s="6" t="n">
        <x:v>115000</x:v>
      </x:c>
      <x:c r="E31" s="6" t="n">
        <x:f>C31-D31</x:f>
        <x:v>-64000</x:v>
      </x:c>
      <x:c r="F31" s="6" t="n">
        <x:f>F30+E31</x:f>
        <x:v>1098000</x:v>
      </x:c>
      <x:c r="G31" s="6" t="n">
        <x:v>-64000</x:v>
      </x:c>
      <x:c r="H31" s="6" t="n">
        <x:v>85000</x:v>
      </x:c>
      <x:c r="I31" s="9" t="n">
        <x:v>9</x:v>
      </x:c>
      <x:c r="J31" s="9" t="n">
        <x:f>IF(I31=0,1,0)</x:f>
        <x:v>0</x:v>
      </x:c>
      <x:c r="K31" s="9" t="n">
        <x:v>140</x:v>
      </x:c>
      <x:c r="L31" s="11" t="n">
        <x:f>IF(K31=0,"n.a.",E31/(K31*10))</x:f>
        <x:v>-45.714285714285715</x:v>
      </x:c>
      <x:c r="M31" s="11" t="n">
        <x:v>180.48333333333332</x:v>
      </x:c>
    </x:row>
    <x:row r="32" ht="25" customHeight="1">
      <x:c r="A32" s="2" t="str">
        <x:v>2026-10-27_Night</x:v>
      </x:c>
      <x:c r="B32" s="2" t="str">
        <x:v>後7夜</x:v>
      </x:c>
      <x:c r="C32" s="6" t="n">
        <x:v>8000</x:v>
      </x:c>
      <x:c r="D32" s="6" t="n">
        <x:v>0</x:v>
      </x:c>
      <x:c r="E32" s="6" t="n">
        <x:f>C32-D32</x:f>
        <x:v>8000</x:v>
      </x:c>
      <x:c r="F32" s="6" t="n">
        <x:f>F31+E32</x:f>
        <x:v>1106000</x:v>
      </x:c>
      <x:c r="G32" s="6" t="n">
        <x:v>-3000</x:v>
      </x:c>
      <x:c r="H32" s="6" t="n">
        <x:v>24000</x:v>
      </x:c>
      <x:c r="I32" s="9" t="n">
        <x:v>2</x:v>
      </x:c>
      <x:c r="J32" s="9" t="n">
        <x:f>IF(I32=0,1,0)</x:f>
        <x:v>0</x:v>
      </x:c>
      <x:c r="K32" s="9" t="n">
        <x:v>20</x:v>
      </x:c>
      <x:c r="L32" s="11" t="n">
        <x:f>IF(K32=0,"n.a.",E32/(K32*10))</x:f>
        <x:v>40</x:v>
      </x:c>
      <x:c r="M32" s="11" t="n">
        <x:v>41.06666666666667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2079000</x:v>
      </x:c>
      <x:c r="D33" s="8" t="n">
        <x:f>SUM(D6:D32)</x:f>
        <x:v>973000</x:v>
      </x:c>
      <x:c r="E33" s="8" t="n">
        <x:f>C33-D33</x:f>
        <x:v>1106000</x:v>
      </x:c>
      <x:c r="F33" s="8" t="n">
        <x:f>F32</x:f>
        <x:v>1106000</x:v>
      </x:c>
      <x:c r="G33" s="8" t="n">
        <x:f>MIN(G6:G32)</x:f>
        <x:v>-70000</x:v>
      </x:c>
      <x:c r="H33" s="8" t="n">
        <x:f>MAX(H6:H32)</x:f>
        <x:v>162000</x:v>
      </x:c>
      <x:c r="I33" s="10" t="n">
        <x:f>SUM(I6:I32)</x:f>
        <x:v>126</x:v>
      </x:c>
      <x:c r="J33" s="10" t="n">
        <x:f>SUM(J6:J32)</x:f>
        <x:v>1</x:v>
      </x:c>
      <x:c r="K33" s="10" t="n">
        <x:f>SUM(K6:K32)</x:f>
        <x:v>2500</x:v>
      </x:c>
      <x:c r="L33" s="12" t="n">
        <x:f>IF(K33=0,"n.a.",E33/(K33*10))</x:f>
        <x:v>44.24</x:v>
      </x:c>
      <x:c r="M33" s="12" t="n">
        <x:f>SUM(M6:M32)</x:f>
        <x:v>3924.9499999999994</x:v>
      </x:c>
    </x:row>
  </x:sheetData>
  <x:conditionalFormatting sqref="E6:G32">
    <x:cfRule type="cellIs" dxfId="4" priority="1" operator="lessThan">
      <x:formula>0</x:formula>
    </x:cfRule>
  </x:conditionalFormatting>
  <x:conditionalFormatting sqref="L6:L32">
    <x:cfRule type="cellIs" dxfId="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c018ec90f143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NK225_U165_03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02の拒否候補を30秒待機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45000</x:v>
      </x:c>
      <x:c r="E6" s="6" t="n">
        <x:f>C6-D6</x:f>
        <x:v>-45000</x:v>
      </x:c>
      <x:c r="F6" s="6" t="n">
        <x:f>E6</x:f>
        <x:v>-45000</x:v>
      </x:c>
      <x:c r="G6" s="6" t="n">
        <x:v>-45000</x:v>
      </x:c>
      <x:c r="H6" s="6" t="n">
        <x:v>65000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-90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32000</x:v>
      </x:c>
      <x:c r="D7" s="6" t="n">
        <x:v>8000</x:v>
      </x:c>
      <x:c r="E7" s="6" t="n">
        <x:f>C7-D7</x:f>
        <x:v>24000</x:v>
      </x:c>
      <x:c r="F7" s="6" t="n">
        <x:f>F6+E7</x:f>
        <x:v>-21000</x:v>
      </x:c>
      <x:c r="G7" s="6" t="n">
        <x:v>-35000</x:v>
      </x:c>
      <x:c r="H7" s="6" t="n">
        <x:v>50000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48</x:v>
      </x:c>
      <x:c r="M7" s="11" t="n">
        <x:v>39.95</x:v>
      </x:c>
    </x:row>
    <x:row r="8" ht="25" customHeight="1">
      <x:c r="A8" s="2" t="str">
        <x:v>2026-09-23_Night</x:v>
      </x:c>
      <x:c r="B8" s="2" t="str">
        <x:v>前20夜</x:v>
      </x:c>
      <x:c r="C8" s="6" t="n">
        <x:v>5000</x:v>
      </x:c>
      <x:c r="D8" s="6" t="n">
        <x:v>41000</x:v>
      </x:c>
      <x:c r="E8" s="6" t="n">
        <x:f>C8-D8</x:f>
        <x:v>-36000</x:v>
      </x:c>
      <x:c r="F8" s="6" t="n">
        <x:f>F7+E8</x:f>
        <x:v>-57000</x:v>
      </x:c>
      <x:c r="G8" s="6" t="n">
        <x:v>-44000</x:v>
      </x:c>
      <x:c r="H8" s="6" t="n">
        <x:v>44000</x:v>
      </x:c>
      <x:c r="I8" s="9" t="n">
        <x:v>3</x:v>
      </x:c>
      <x:c r="J8" s="9" t="n">
        <x:f>IF(I8=0,1,0)</x:f>
        <x:v>0</x:v>
      </x:c>
      <x:c r="K8" s="9" t="n">
        <x:v>70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20000</x:v>
      </x:c>
      <x:c r="D9" s="6" t="n">
        <x:v>0</x:v>
      </x:c>
      <x:c r="E9" s="6" t="n">
        <x:f>C9-D9</x:f>
        <x:v>20000</x:v>
      </x:c>
      <x:c r="F9" s="6" t="n">
        <x:f>F8+E9</x:f>
        <x:v>-37000</x:v>
      </x:c>
      <x:c r="G9" s="6" t="n">
        <x:v>-3000</x:v>
      </x:c>
      <x:c r="H9" s="6" t="n">
        <x:v>24000</x:v>
      </x:c>
      <x:c r="I9" s="9" t="n">
        <x:v>2</x:v>
      </x:c>
      <x:c r="J9" s="9" t="n">
        <x:f>IF(I9=0,1,0)</x:f>
        <x:v>0</x:v>
      </x:c>
      <x:c r="K9" s="9" t="n">
        <x:v>20</x:v>
      </x:c>
      <x:c r="L9" s="11" t="n">
        <x:f>IF(K9=0,"n.a.",E9/(K9*10))</x:f>
        <x:v>100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17000</x:v>
      </x:c>
      <x:c r="D10" s="6" t="n">
        <x:v>16000</x:v>
      </x:c>
      <x:c r="E10" s="6" t="n">
        <x:f>C10-D10</x:f>
        <x:v>1000</x:v>
      </x:c>
      <x:c r="F10" s="6" t="n">
        <x:f>F9+E10</x:f>
        <x:v>-36000</x:v>
      </x:c>
      <x:c r="G10" s="6" t="n">
        <x:v>-16000</x:v>
      </x:c>
      <x:c r="H10" s="6" t="n">
        <x:v>24000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1.6666666666666667</x:v>
      </x:c>
      <x:c r="M10" s="11" t="n">
        <x:v>22.233333333333334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10000</x:v>
      </x:c>
      <x:c r="D11" s="6" t="n">
        <x:v>42000</x:v>
      </x:c>
      <x:c r="E11" s="6" t="n">
        <x:f>C11-D11</x:f>
        <x:v>-32000</x:v>
      </x:c>
      <x:c r="F11" s="6" t="n">
        <x:f>F10+E11</x:f>
        <x:v>-68000</x:v>
      </x:c>
      <x:c r="G11" s="6" t="n">
        <x:v>-43000</x:v>
      </x:c>
      <x:c r="H11" s="6" t="n">
        <x:v>43000</x:v>
      </x:c>
      <x:c r="I11" s="9" t="n">
        <x:v>4</x:v>
      </x:c>
      <x:c r="J11" s="9" t="n">
        <x:f>IF(I11=0,1,0)</x:f>
        <x:v>0</x:v>
      </x:c>
      <x:c r="K11" s="9" t="n">
        <x:v>60</x:v>
      </x:c>
      <x:c r="L11" s="11" t="n">
        <x:f>IF(K11=0,"n.a.",E11/(K11*10))</x:f>
        <x:v>-53.333333333333336</x:v>
      </x:c>
      <x:c r="M11" s="11" t="n">
        <x:v>11.833333333333334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82000</x:v>
      </x:c>
      <x:c r="D12" s="6" t="n">
        <x:v>27000</x:v>
      </x:c>
      <x:c r="E12" s="6" t="n">
        <x:f>C12-D12</x:f>
        <x:v>55000</x:v>
      </x:c>
      <x:c r="F12" s="6" t="n">
        <x:f>F11+E12</x:f>
        <x:v>-13000</x:v>
      </x:c>
      <x:c r="G12" s="6" t="n">
        <x:v>-40000</x:v>
      </x:c>
      <x:c r="H12" s="6" t="n">
        <x:v>72000</x:v>
      </x:c>
      <x:c r="I12" s="9" t="n">
        <x:v>6</x:v>
      </x:c>
      <x:c r="J12" s="9" t="n">
        <x:f>IF(I12=0,1,0)</x:f>
        <x:v>0</x:v>
      </x:c>
      <x:c r="K12" s="9" t="n">
        <x:v>140</x:v>
      </x:c>
      <x:c r="L12" s="11" t="n">
        <x:f>IF(K12=0,"n.a.",E12/(K12*10))</x:f>
        <x:v>39.285714285714285</x:v>
      </x:c>
      <x:c r="M12" s="11" t="n">
        <x:v>209.63333333333333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49000</x:v>
      </x:c>
      <x:c r="D13" s="6" t="n">
        <x:v>6000</x:v>
      </x:c>
      <x:c r="E13" s="6" t="n">
        <x:f>C13-D13</x:f>
        <x:v>43000</x:v>
      </x:c>
      <x:c r="F13" s="6" t="n">
        <x:f>F12+E13</x:f>
        <x:v>30000</x:v>
      </x:c>
      <x:c r="G13" s="6" t="n">
        <x:v>-21000</x:v>
      </x:c>
      <x:c r="H13" s="6" t="n">
        <x:v>63000</x:v>
      </x:c>
      <x:c r="I13" s="9" t="n">
        <x:v>3</x:v>
      </x:c>
      <x:c r="J13" s="9" t="n">
        <x:f>IF(I13=0,1,0)</x:f>
        <x:v>0</x:v>
      </x:c>
      <x:c r="K13" s="9" t="n">
        <x:v>70</x:v>
      </x:c>
      <x:c r="L13" s="11" t="n">
        <x:f>IF(K13=0,"n.a.",E13/(K13*10))</x:f>
        <x:v>61.42857142857143</x:v>
      </x:c>
      <x:c r="M13" s="11" t="n">
        <x:v>35.833333333333336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190000</x:v>
      </x:c>
      <x:c r="D14" s="6" t="n">
        <x:v>54000</x:v>
      </x:c>
      <x:c r="E14" s="6" t="n">
        <x:f>C14-D14</x:f>
        <x:v>136000</x:v>
      </x:c>
      <x:c r="F14" s="6" t="n">
        <x:f>F13+E14</x:f>
        <x:v>166000</x:v>
      </x:c>
      <x:c r="G14" s="6" t="n">
        <x:v>-23000</x:v>
      </x:c>
      <x:c r="H14" s="6" t="n">
        <x:v>107000</x:v>
      </x:c>
      <x:c r="I14" s="9" t="n">
        <x:v>7</x:v>
      </x:c>
      <x:c r="J14" s="9" t="n">
        <x:f>IF(I14=0,1,0)</x:f>
        <x:v>0</x:v>
      </x:c>
      <x:c r="K14" s="9" t="n">
        <x:v>120</x:v>
      </x:c>
      <x:c r="L14" s="11" t="n">
        <x:f>IF(K14=0,"n.a.",E14/(K14*10))</x:f>
        <x:v>113.33333333333333</x:v>
      </x:c>
      <x:c r="M14" s="11" t="n">
        <x:v>336.48333333333335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313000</x:v>
      </x:c>
      <x:c r="D15" s="6" t="n">
        <x:v>57000</x:v>
      </x:c>
      <x:c r="E15" s="6" t="n">
        <x:f>C15-D15</x:f>
        <x:v>256000</x:v>
      </x:c>
      <x:c r="F15" s="6" t="n">
        <x:f>F14+E15</x:f>
        <x:v>422000</x:v>
      </x:c>
      <x:c r="G15" s="6" t="n">
        <x:v>-34000</x:v>
      </x:c>
      <x:c r="H15" s="6" t="n">
        <x:v>162000</x:v>
      </x:c>
      <x:c r="I15" s="9" t="n">
        <x:v>15</x:v>
      </x:c>
      <x:c r="J15" s="9" t="n">
        <x:f>IF(I15=0,1,0)</x:f>
        <x:v>0</x:v>
      </x:c>
      <x:c r="K15" s="9" t="n">
        <x:v>280</x:v>
      </x:c>
      <x:c r="L15" s="11" t="n">
        <x:f>IF(K15=0,"n.a.",E15/(K15*10))</x:f>
        <x:v>91.42857142857143</x:v>
      </x:c>
      <x:c r="M15" s="11" t="n">
        <x:v>343.8333333333333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98000</x:v>
      </x:c>
      <x:c r="D16" s="6" t="n">
        <x:v>64000</x:v>
      </x:c>
      <x:c r="E16" s="6" t="n">
        <x:f>C16-D16</x:f>
        <x:v>34000</x:v>
      </x:c>
      <x:c r="F16" s="6" t="n">
        <x:f>F15+E16</x:f>
        <x:v>456000</x:v>
      </x:c>
      <x:c r="G16" s="6" t="n">
        <x:v>-38000</x:v>
      </x:c>
      <x:c r="H16" s="6" t="n">
        <x:v>128000</x:v>
      </x:c>
      <x:c r="I16" s="9" t="n">
        <x:v>7</x:v>
      </x:c>
      <x:c r="J16" s="9" t="n">
        <x:f>IF(I16=0,1,0)</x:f>
        <x:v>0</x:v>
      </x:c>
      <x:c r="K16" s="9" t="n">
        <x:v>140</x:v>
      </x:c>
      <x:c r="L16" s="11" t="n">
        <x:f>IF(K16=0,"n.a.",E16/(K16*10))</x:f>
        <x:v>24.285714285714285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33000</x:v>
      </x:c>
      <x:c r="D17" s="6" t="n">
        <x:v>35000</x:v>
      </x:c>
      <x:c r="E17" s="6" t="n">
        <x:f>C17-D17</x:f>
        <x:v>-2000</x:v>
      </x:c>
      <x:c r="F17" s="6" t="n">
        <x:f>F16+E17</x:f>
        <x:v>454000</x:v>
      </x:c>
      <x:c r="G17" s="6" t="n">
        <x:v>-48000</x:v>
      </x:c>
      <x:c r="H17" s="6" t="n">
        <x:v>52000</x:v>
      </x:c>
      <x:c r="I17" s="9" t="n">
        <x:v>3</x:v>
      </x:c>
      <x:c r="J17" s="9" t="n">
        <x:f>IF(I17=0,1,0)</x:f>
        <x:v>0</x:v>
      </x:c>
      <x:c r="K17" s="9" t="n">
        <x:v>70</x:v>
      </x:c>
      <x:c r="L17" s="11" t="n">
        <x:f>IF(K17=0,"n.a.",E17/(K17*10))</x:f>
        <x:v>-2.857142857142857</x:v>
      </x:c>
      <x:c r="M17" s="11" t="n">
        <x:v>325.9166666666667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22000</x:v>
      </x:c>
      <x:c r="E18" s="6" t="n">
        <x:f>C18-D18</x:f>
        <x:v>-22000</x:v>
      </x:c>
      <x:c r="F18" s="6" t="n">
        <x:f>F17+E18</x:f>
        <x:v>432000</x:v>
      </x:c>
      <x:c r="G18" s="6" t="n">
        <x:v>-24000</x:v>
      </x:c>
      <x:c r="H18" s="6" t="n">
        <x:v>30000</x:v>
      </x:c>
      <x:c r="I18" s="9" t="n">
        <x:v>2</x:v>
      </x:c>
      <x:c r="J18" s="9" t="n">
        <x:f>IF(I18=0,1,0)</x:f>
        <x:v>0</x:v>
      </x:c>
      <x:c r="K18" s="9" t="n">
        <x:v>20</x:v>
      </x:c>
      <x:c r="L18" s="11" t="n">
        <x:f>IF(K18=0,"n.a.",E18/(K18*10))</x:f>
        <x:v>-110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342000</x:v>
      </x:c>
      <x:c r="D19" s="6" t="n">
        <x:v>32000</x:v>
      </x:c>
      <x:c r="E19" s="6" t="n">
        <x:f>C19-D19</x:f>
        <x:v>310000</x:v>
      </x:c>
      <x:c r="F19" s="6" t="n">
        <x:f>F18+E19</x:f>
        <x:v>742000</x:v>
      </x:c>
      <x:c r="G19" s="6" t="n">
        <x:v>-42000</x:v>
      </x:c>
      <x:c r="H19" s="6" t="n">
        <x:v>102000</x:v>
      </x:c>
      <x:c r="I19" s="9" t="n">
        <x:v>15</x:v>
      </x:c>
      <x:c r="J19" s="9" t="n">
        <x:f>IF(I19=0,1,0)</x:f>
        <x:v>0</x:v>
      </x:c>
      <x:c r="K19" s="9" t="n">
        <x:v>280</x:v>
      </x:c>
      <x:c r="L19" s="11" t="n">
        <x:f>IF(K19=0,"n.a.",E19/(K19*10))</x:f>
        <x:v>110.71428571428571</x:v>
      </x:c>
      <x:c r="M19" s="11" t="n">
        <x:v>188.53333333333333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12000</x:v>
      </x:c>
      <x:c r="D20" s="6" t="n">
        <x:v>3000</x:v>
      </x:c>
      <x:c r="E20" s="6" t="n">
        <x:f>C20-D20</x:f>
        <x:v>9000</x:v>
      </x:c>
      <x:c r="F20" s="6" t="n">
        <x:f>F19+E20</x:f>
        <x:v>751000</x:v>
      </x:c>
      <x:c r="G20" s="6" t="n">
        <x:v>-40000</x:v>
      </x:c>
      <x:c r="H20" s="6" t="n">
        <x:v>60000</x:v>
      </x:c>
      <x:c r="I20" s="9" t="n">
        <x:v>1</x:v>
      </x:c>
      <x:c r="J20" s="9" t="n">
        <x:f>IF(I20=0,1,0)</x:f>
        <x:v>0</x:v>
      </x:c>
      <x:c r="K20" s="9" t="n">
        <x:v>50</x:v>
      </x:c>
      <x:c r="L20" s="11" t="n">
        <x:f>IF(K20=0,"n.a.",E20/(K20*10))</x:f>
        <x:v>18</x:v>
      </x:c>
      <x:c r="M20" s="11" t="n">
        <x:v>52.61666666666667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82000</x:v>
      </x:c>
      <x:c r="D21" s="6" t="n">
        <x:v>0</x:v>
      </x:c>
      <x:c r="E21" s="6" t="n">
        <x:f>C21-D21</x:f>
        <x:v>82000</x:v>
      </x:c>
      <x:c r="F21" s="6" t="n">
        <x:f>F20+E21</x:f>
        <x:v>833000</x:v>
      </x:c>
      <x:c r="G21" s="6" t="n">
        <x:v>-10000</x:v>
      </x:c>
      <x:c r="H21" s="6" t="n">
        <x:v>33000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164</x:v>
      </x:c>
      <x:c r="M21" s="11" t="n">
        <x:v>58.36666666666667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53000</x:v>
      </x:c>
      <x:c r="E22" s="6" t="n">
        <x:f>C22-D22</x:f>
        <x:v>-53000</x:v>
      </x:c>
      <x:c r="F22" s="6" t="n">
        <x:f>F21+E22</x:f>
        <x:v>780000</x:v>
      </x:c>
      <x:c r="G22" s="6" t="n">
        <x:v>-53000</x:v>
      </x:c>
      <x:c r="H22" s="6" t="n">
        <x:v>58000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-88.33333333333333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197000</x:v>
      </x:c>
      <x:c r="D23" s="6" t="n">
        <x:v>61000</x:v>
      </x:c>
      <x:c r="E23" s="6" t="n">
        <x:f>C23-D23</x:f>
        <x:v>136000</x:v>
      </x:c>
      <x:c r="F23" s="6" t="n">
        <x:f>F22+E23</x:f>
        <x:v>916000</x:v>
      </x:c>
      <x:c r="G23" s="6" t="n">
        <x:v>-60000</x:v>
      </x:c>
      <x:c r="H23" s="6" t="n">
        <x:v>62000</x:v>
      </x:c>
      <x:c r="I23" s="9" t="n">
        <x:v>4</x:v>
      </x:c>
      <x:c r="J23" s="9" t="n">
        <x:f>IF(I23=0,1,0)</x:f>
        <x:v>0</x:v>
      </x:c>
      <x:c r="K23" s="9" t="n">
        <x:v>90</x:v>
      </x:c>
      <x:c r="L23" s="11" t="n">
        <x:f>IF(K23=0,"n.a.",E23/(K23*10))</x:f>
        <x:v>151.11111111111111</x:v>
      </x:c>
      <x:c r="M23" s="11" t="n">
        <x:v>241.55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86000</x:v>
      </x:c>
      <x:c r="D24" s="6" t="n">
        <x:v>47000</x:v>
      </x:c>
      <x:c r="E24" s="6" t="n">
        <x:f>C24-D24</x:f>
        <x:v>39000</x:v>
      </x:c>
      <x:c r="F24" s="6" t="n">
        <x:f>F23+E24</x:f>
        <x:v>955000</x:v>
      </x:c>
      <x:c r="G24" s="6" t="n">
        <x:v>-48000</x:v>
      </x:c>
      <x:c r="H24" s="6" t="n">
        <x:v>90000</x:v>
      </x:c>
      <x:c r="I24" s="9" t="n">
        <x:v>6</x:v>
      </x:c>
      <x:c r="J24" s="9" t="n">
        <x:f>IF(I24=0,1,0)</x:f>
        <x:v>0</x:v>
      </x:c>
      <x:c r="K24" s="9" t="n">
        <x:v>70</x:v>
      </x:c>
      <x:c r="L24" s="11" t="n">
        <x:f>IF(K24=0,"n.a.",E24/(K24*10))</x:f>
        <x:v>55.714285714285715</x:v>
      </x:c>
      <x:c r="M24" s="11" t="n">
        <x:v>308.9166666666667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175000</x:v>
      </x:c>
      <x:c r="D25" s="6" t="n">
        <x:v>146000</x:v>
      </x:c>
      <x:c r="E25" s="6" t="n">
        <x:f>C25-D25</x:f>
        <x:v>29000</x:v>
      </x:c>
      <x:c r="F25" s="6" t="n">
        <x:f>F24+E25</x:f>
        <x:v>984000</x:v>
      </x:c>
      <x:c r="G25" s="6" t="n">
        <x:v>-88000</x:v>
      </x:c>
      <x:c r="H25" s="6" t="n">
        <x:v>121000</x:v>
      </x:c>
      <x:c r="I25" s="9" t="n">
        <x:v>13</x:v>
      </x:c>
      <x:c r="J25" s="9" t="n">
        <x:f>IF(I25=0,1,0)</x:f>
        <x:v>0</x:v>
      </x:c>
      <x:c r="K25" s="9" t="n">
        <x:v>270</x:v>
      </x:c>
      <x:c r="L25" s="11" t="n">
        <x:f>IF(K25=0,"n.a.",E25/(K25*10))</x:f>
        <x:v>10.74074074074074</x:v>
      </x:c>
      <x:c r="M25" s="11" t="n">
        <x:v>264.3</x:v>
      </x:c>
    </x:row>
    <x:row r="26" ht="25" customHeight="1">
      <x:c r="A26" s="2" t="str">
        <x:v>2026-10-19_Night</x:v>
      </x:c>
      <x:c r="B26" s="2" t="str">
        <x:v>後7夜</x:v>
      </x:c>
      <x:c r="C26" s="6" t="n">
        <x:v>97000</x:v>
      </x:c>
      <x:c r="D26" s="6" t="n">
        <x:v>105000</x:v>
      </x:c>
      <x:c r="E26" s="6" t="n">
        <x:f>C26-D26</x:f>
        <x:v>-8000</x:v>
      </x:c>
      <x:c r="F26" s="6" t="n">
        <x:f>F25+E26</x:f>
        <x:v>976000</x:v>
      </x:c>
      <x:c r="G26" s="6" t="n">
        <x:v>-68000</x:v>
      </x:c>
      <x:c r="H26" s="6" t="n">
        <x:v>97000</x:v>
      </x:c>
      <x:c r="I26" s="9" t="n">
        <x:v>12</x:v>
      </x:c>
      <x:c r="J26" s="9" t="n">
        <x:f>IF(I26=0,1,0)</x:f>
        <x:v>0</x:v>
      </x:c>
      <x:c r="K26" s="9" t="n">
        <x:v>210</x:v>
      </x:c>
      <x:c r="L26" s="11" t="n">
        <x:f>IF(K26=0,"n.a.",E26/(K26*10))</x:f>
        <x:v>-3.8095238095238093</x:v>
      </x:c>
      <x:c r="M26" s="11" t="n">
        <x:v>221.13333333333333</x:v>
      </x:c>
    </x:row>
    <x:row r="27" ht="25" customHeight="1">
      <x:c r="A27" s="2" t="str">
        <x:v>2026-10-20_Night</x:v>
      </x:c>
      <x:c r="B27" s="2" t="str">
        <x:v>後7夜</x:v>
      </x:c>
      <x:c r="C27" s="6" t="n">
        <x:v>92000</x:v>
      </x:c>
      <x:c r="D27" s="6" t="n">
        <x:v>33000</x:v>
      </x:c>
      <x:c r="E27" s="6" t="n">
        <x:f>C27-D27</x:f>
        <x:v>59000</x:v>
      </x:c>
      <x:c r="F27" s="6" t="n">
        <x:f>F26+E27</x:f>
        <x:v>1035000</x:v>
      </x:c>
      <x:c r="G27" s="6" t="n">
        <x:v>-10000</x:v>
      </x:c>
      <x:c r="H27" s="6" t="n">
        <x:v>53000</x:v>
      </x:c>
      <x:c r="I27" s="9" t="n">
        <x:v>7</x:v>
      </x:c>
      <x:c r="J27" s="9" t="n">
        <x:f>IF(I27=0,1,0)</x:f>
        <x:v>0</x:v>
      </x:c>
      <x:c r="K27" s="9" t="n">
        <x:v>100</x:v>
      </x:c>
      <x:c r="L27" s="11" t="n">
        <x:f>IF(K27=0,"n.a.",E27/(K27*10))</x:f>
        <x:v>59</x:v>
      </x:c>
      <x:c r="M27" s="11" t="n">
        <x:v>366.01666666666665</x:v>
      </x:c>
    </x:row>
    <x:row r="28" ht="25" customHeight="1">
      <x:c r="A28" s="2" t="str">
        <x:v>2026-10-21_Night</x:v>
      </x:c>
      <x:c r="B28" s="2" t="str">
        <x:v>後7夜</x:v>
      </x:c>
      <x:c r="C28" s="6" t="n">
        <x:v>64000</x:v>
      </x:c>
      <x:c r="D28" s="6" t="n">
        <x:v>44000</x:v>
      </x:c>
      <x:c r="E28" s="6" t="n">
        <x:f>C28-D28</x:f>
        <x:v>20000</x:v>
      </x:c>
      <x:c r="F28" s="6" t="n">
        <x:f>F27+E28</x:f>
        <x:v>1055000</x:v>
      </x:c>
      <x:c r="G28" s="6" t="n">
        <x:v>-50000</x:v>
      </x:c>
      <x:c r="H28" s="6" t="n">
        <x:v>98000</x:v>
      </x:c>
      <x:c r="I28" s="9" t="n">
        <x:v>4</x:v>
      </x:c>
      <x:c r="J28" s="9" t="n">
        <x:f>IF(I28=0,1,0)</x:f>
        <x:v>0</x:v>
      </x:c>
      <x:c r="K28" s="9" t="n">
        <x:v>120</x:v>
      </x:c>
      <x:c r="L28" s="11" t="n">
        <x:f>IF(K28=0,"n.a.",E28/(K28*10))</x:f>
        <x:v>16.666666666666668</x:v>
      </x:c>
      <x:c r="M28" s="11" t="n">
        <x:v>155.88333333333333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156000</x:v>
      </x:c>
      <x:c r="D29" s="6" t="n">
        <x:v>0</x:v>
      </x:c>
      <x:c r="E29" s="6" t="n">
        <x:f>C29-D29</x:f>
        <x:v>156000</x:v>
      </x:c>
      <x:c r="F29" s="6" t="n">
        <x:f>F28+E29</x:f>
        <x:v>1211000</x:v>
      </x:c>
      <x:c r="G29" s="6" t="n">
        <x:v>-2000</x:v>
      </x:c>
      <x:c r="H29" s="6" t="n">
        <x:v>64000</x:v>
      </x:c>
      <x:c r="I29" s="9" t="n">
        <x:v>3</x:v>
      </x:c>
      <x:c r="J29" s="9" t="n">
        <x:f>IF(I29=0,1,0)</x:f>
        <x:v>0</x:v>
      </x:c>
      <x:c r="K29" s="9" t="n">
        <x:v>70</x:v>
      </x:c>
      <x:c r="L29" s="11" t="n">
        <x:f>IF(K29=0,"n.a.",E29/(K29*10))</x:f>
        <x:v>222.85714285714286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49000</x:v>
      </x:c>
      <x:c r="D30" s="6" t="n">
        <x:v>34000</x:v>
      </x:c>
      <x:c r="E30" s="6" t="n">
        <x:f>C30-D30</x:f>
        <x:v>15000</x:v>
      </x:c>
      <x:c r="F30" s="6" t="n">
        <x:f>F29+E30</x:f>
        <x:v>1226000</x:v>
      </x:c>
      <x:c r="G30" s="6" t="n">
        <x:v>-30000</x:v>
      </x:c>
      <x:c r="H30" s="6" t="n">
        <x:v>89000</x:v>
      </x:c>
      <x:c r="I30" s="9" t="n">
        <x:v>6</x:v>
      </x:c>
      <x:c r="J30" s="9" t="n">
        <x:f>IF(I30=0,1,0)</x:f>
        <x:v>0</x:v>
      </x:c>
      <x:c r="K30" s="9" t="n">
        <x:v>110</x:v>
      </x:c>
      <x:c r="L30" s="11" t="n">
        <x:f>IF(K30=0,"n.a.",E30/(K30*10))</x:f>
        <x:v>13.636363636363637</x:v>
      </x:c>
      <x:c r="M30" s="11" t="n">
        <x:v>335.15</x:v>
      </x:c>
    </x:row>
    <x:row r="31" ht="25" customHeight="1">
      <x:c r="A31" s="2" t="str">
        <x:v>2026-10-26_Night</x:v>
      </x:c>
      <x:c r="B31" s="2" t="str">
        <x:v>後7夜</x:v>
      </x:c>
      <x:c r="C31" s="6" t="n">
        <x:v>71000</x:v>
      </x:c>
      <x:c r="D31" s="6" t="n">
        <x:v>124000</x:v>
      </x:c>
      <x:c r="E31" s="6" t="n">
        <x:f>C31-D31</x:f>
        <x:v>-53000</x:v>
      </x:c>
      <x:c r="F31" s="6" t="n">
        <x:f>F30+E31</x:f>
        <x:v>1173000</x:v>
      </x:c>
      <x:c r="G31" s="6" t="n">
        <x:v>-54000</x:v>
      </x:c>
      <x:c r="H31" s="6" t="n">
        <x:v>121000</x:v>
      </x:c>
      <x:c r="I31" s="9" t="n">
        <x:v>11</x:v>
      </x:c>
      <x:c r="J31" s="9" t="n">
        <x:f>IF(I31=0,1,0)</x:f>
        <x:v>0</x:v>
      </x:c>
      <x:c r="K31" s="9" t="n">
        <x:v>160</x:v>
      </x:c>
      <x:c r="L31" s="11" t="n">
        <x:f>IF(K31=0,"n.a.",E31/(K31*10))</x:f>
        <x:v>-33.125</x:v>
      </x:c>
      <x:c r="M31" s="11" t="n">
        <x:v>182.6</x:v>
      </x:c>
    </x:row>
    <x:row r="32" ht="25" customHeight="1">
      <x:c r="A32" s="2" t="str">
        <x:v>2026-10-27_Night</x:v>
      </x:c>
      <x:c r="B32" s="2" t="str">
        <x:v>後7夜</x:v>
      </x:c>
      <x:c r="C32" s="6" t="n">
        <x:v>8000</x:v>
      </x:c>
      <x:c r="D32" s="6" t="n">
        <x:v>0</x:v>
      </x:c>
      <x:c r="E32" s="6" t="n">
        <x:f>C32-D32</x:f>
        <x:v>8000</x:v>
      </x:c>
      <x:c r="F32" s="6" t="n">
        <x:f>F31+E32</x:f>
        <x:v>1181000</x:v>
      </x:c>
      <x:c r="G32" s="6" t="n">
        <x:v>-3000</x:v>
      </x:c>
      <x:c r="H32" s="6" t="n">
        <x:v>24000</x:v>
      </x:c>
      <x:c r="I32" s="9" t="n">
        <x:v>2</x:v>
      </x:c>
      <x:c r="J32" s="9" t="n">
        <x:f>IF(I32=0,1,0)</x:f>
        <x:v>0</x:v>
      </x:c>
      <x:c r="K32" s="9" t="n">
        <x:v>20</x:v>
      </x:c>
      <x:c r="L32" s="11" t="n">
        <x:f>IF(K32=0,"n.a.",E32/(K32*10))</x:f>
        <x:v>40</x:v>
      </x:c>
      <x:c r="M32" s="11" t="n">
        <x:v>41.06666666666667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2280000</x:v>
      </x:c>
      <x:c r="D33" s="8" t="n">
        <x:f>SUM(D6:D32)</x:f>
        <x:v>1099000</x:v>
      </x:c>
      <x:c r="E33" s="8" t="n">
        <x:f>C33-D33</x:f>
        <x:v>1181000</x:v>
      </x:c>
      <x:c r="F33" s="8" t="n">
        <x:f>F32</x:f>
        <x:v>1181000</x:v>
      </x:c>
      <x:c r="G33" s="8" t="n">
        <x:f>MIN(G6:G32)</x:f>
        <x:v>-88000</x:v>
      </x:c>
      <x:c r="H33" s="8" t="n">
        <x:f>MAX(H6:H32)</x:f>
        <x:v>162000</x:v>
      </x:c>
      <x:c r="I33" s="10" t="n">
        <x:f>SUM(I6:I32)</x:f>
        <x:v>143</x:v>
      </x:c>
      <x:c r="J33" s="10" t="n">
        <x:f>SUM(J6:J32)</x:f>
        <x:v>0</x:v>
      </x:c>
      <x:c r="K33" s="10" t="n">
        <x:f>SUM(K6:K32)</x:f>
        <x:v>2810</x:v>
      </x:c>
      <x:c r="L33" s="12" t="n">
        <x:f>IF(K33=0,"n.a.",E33/(K33*10))</x:f>
        <x:v>42.02846975088968</x:v>
      </x:c>
      <x:c r="M33" s="12" t="n">
        <x:f>SUM(M6:M32)</x:f>
        <x:v>4183.383333333332</x:v>
      </x:c>
    </x:row>
  </x:sheetData>
  <x:conditionalFormatting sqref="E6:G32">
    <x:cfRule type="cellIs" dxfId="6" priority="1" operator="lessThan">
      <x:formula>0</x:formula>
    </x:cfRule>
  </x:conditionalFormatting>
  <x:conditionalFormatting sqref="L6:L32"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3424b80146483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NK225_U165_04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価格帯維持中だけ元追撃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45000</x:v>
      </x:c>
      <x:c r="E6" s="6" t="n">
        <x:f>C6-D6</x:f>
        <x:v>-45000</x:v>
      </x:c>
      <x:c r="F6" s="6" t="n">
        <x:f>E6</x:f>
        <x:v>-45000</x:v>
      </x:c>
      <x:c r="G6" s="6" t="n">
        <x:v>-45000</x:v>
      </x:c>
      <x:c r="H6" s="6" t="n">
        <x:v>65000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-90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32000</x:v>
      </x:c>
      <x:c r="D7" s="6" t="n">
        <x:v>8000</x:v>
      </x:c>
      <x:c r="E7" s="6" t="n">
        <x:f>C7-D7</x:f>
        <x:v>24000</x:v>
      </x:c>
      <x:c r="F7" s="6" t="n">
        <x:f>F6+E7</x:f>
        <x:v>-21000</x:v>
      </x:c>
      <x:c r="G7" s="6" t="n">
        <x:v>-35000</x:v>
      </x:c>
      <x:c r="H7" s="6" t="n">
        <x:v>50000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48</x:v>
      </x:c>
      <x:c r="M7" s="11" t="n">
        <x:v>39.95</x:v>
      </x:c>
    </x:row>
    <x:row r="8" ht="25" customHeight="1">
      <x:c r="A8" s="2" t="str">
        <x:v>2026-09-23_Night</x:v>
      </x:c>
      <x:c r="B8" s="2" t="str">
        <x:v>前20夜</x:v>
      </x:c>
      <x:c r="C8" s="6" t="n">
        <x:v>5000</x:v>
      </x:c>
      <x:c r="D8" s="6" t="n">
        <x:v>41000</x:v>
      </x:c>
      <x:c r="E8" s="6" t="n">
        <x:f>C8-D8</x:f>
        <x:v>-36000</x:v>
      </x:c>
      <x:c r="F8" s="6" t="n">
        <x:f>F7+E8</x:f>
        <x:v>-57000</x:v>
      </x:c>
      <x:c r="G8" s="6" t="n">
        <x:v>-44000</x:v>
      </x:c>
      <x:c r="H8" s="6" t="n">
        <x:v>44000</x:v>
      </x:c>
      <x:c r="I8" s="9" t="n">
        <x:v>3</x:v>
      </x:c>
      <x:c r="J8" s="9" t="n">
        <x:f>IF(I8=0,1,0)</x:f>
        <x:v>0</x:v>
      </x:c>
      <x:c r="K8" s="9" t="n">
        <x:v>70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16000</x:v>
      </x:c>
      <x:c r="D9" s="6" t="n">
        <x:v>0</x:v>
      </x:c>
      <x:c r="E9" s="6" t="n">
        <x:f>C9-D9</x:f>
        <x:v>16000</x:v>
      </x:c>
      <x:c r="F9" s="6" t="n">
        <x:f>F8+E9</x:f>
        <x:v>-41000</x:v>
      </x:c>
      <x:c r="G9" s="6" t="n">
        <x:v>-3000</x:v>
      </x:c>
      <x:c r="H9" s="6" t="n">
        <x:v>24000</x:v>
      </x:c>
      <x:c r="I9" s="9" t="n">
        <x:v>1</x:v>
      </x:c>
      <x:c r="J9" s="9" t="n">
        <x:f>IF(I9=0,1,0)</x:f>
        <x:v>0</x:v>
      </x:c>
      <x:c r="K9" s="9" t="n">
        <x:v>10</x:v>
      </x:c>
      <x:c r="L9" s="11" t="n">
        <x:f>IF(K9=0,"n.a.",E9/(K9*10))</x:f>
        <x:v>160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17000</x:v>
      </x:c>
      <x:c r="D10" s="6" t="n">
        <x:v>16000</x:v>
      </x:c>
      <x:c r="E10" s="6" t="n">
        <x:f>C10-D10</x:f>
        <x:v>1000</x:v>
      </x:c>
      <x:c r="F10" s="6" t="n">
        <x:f>F9+E10</x:f>
        <x:v>-40000</x:v>
      </x:c>
      <x:c r="G10" s="6" t="n">
        <x:v>-16000</x:v>
      </x:c>
      <x:c r="H10" s="6" t="n">
        <x:v>24000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1.6666666666666667</x:v>
      </x:c>
      <x:c r="M10" s="11" t="n">
        <x:v>22.233333333333334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10000</x:v>
      </x:c>
      <x:c r="D11" s="6" t="n">
        <x:v>39000</x:v>
      </x:c>
      <x:c r="E11" s="6" t="n">
        <x:f>C11-D11</x:f>
        <x:v>-29000</x:v>
      </x:c>
      <x:c r="F11" s="6" t="n">
        <x:f>F10+E11</x:f>
        <x:v>-69000</x:v>
      </x:c>
      <x:c r="G11" s="6" t="n">
        <x:v>-40000</x:v>
      </x:c>
      <x:c r="H11" s="6" t="n">
        <x:v>43000</x:v>
      </x:c>
      <x:c r="I11" s="9" t="n">
        <x:v>4</x:v>
      </x:c>
      <x:c r="J11" s="9" t="n">
        <x:f>IF(I11=0,1,0)</x:f>
        <x:v>0</x:v>
      </x:c>
      <x:c r="K11" s="9" t="n">
        <x:v>60</x:v>
      </x:c>
      <x:c r="L11" s="11" t="n">
        <x:f>IF(K11=0,"n.a.",E11/(K11*10))</x:f>
        <x:v>-48.333333333333336</x:v>
      </x:c>
      <x:c r="M11" s="11" t="n">
        <x:v>11.85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87000</x:v>
      </x:c>
      <x:c r="D12" s="6" t="n">
        <x:v>25000</x:v>
      </x:c>
      <x:c r="E12" s="6" t="n">
        <x:f>C12-D12</x:f>
        <x:v>62000</x:v>
      </x:c>
      <x:c r="F12" s="6" t="n">
        <x:f>F11+E12</x:f>
        <x:v>-7000</x:v>
      </x:c>
      <x:c r="G12" s="6" t="n">
        <x:v>-30000</x:v>
      </x:c>
      <x:c r="H12" s="6" t="n">
        <x:v>70000</x:v>
      </x:c>
      <x:c r="I12" s="9" t="n">
        <x:v>5</x:v>
      </x:c>
      <x:c r="J12" s="9" t="n">
        <x:f>IF(I12=0,1,0)</x:f>
        <x:v>0</x:v>
      </x:c>
      <x:c r="K12" s="9" t="n">
        <x:v>130</x:v>
      </x:c>
      <x:c r="L12" s="11" t="n">
        <x:f>IF(K12=0,"n.a.",E12/(K12*10))</x:f>
        <x:v>47.69230769230769</x:v>
      </x:c>
      <x:c r="M12" s="11" t="n">
        <x:v>209.71666666666667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49000</x:v>
      </x:c>
      <x:c r="D13" s="6" t="n">
        <x:v>0</x:v>
      </x:c>
      <x:c r="E13" s="6" t="n">
        <x:f>C13-D13</x:f>
        <x:v>49000</x:v>
      </x:c>
      <x:c r="F13" s="6" t="n">
        <x:f>F12+E13</x:f>
        <x:v>42000</x:v>
      </x:c>
      <x:c r="G13" s="6" t="n">
        <x:v>-21000</x:v>
      </x:c>
      <x:c r="H13" s="6" t="n">
        <x:v>50000</x:v>
      </x:c>
      <x:c r="I13" s="9" t="n">
        <x:v>2</x:v>
      </x:c>
      <x:c r="J13" s="9" t="n">
        <x:f>IF(I13=0,1,0)</x:f>
        <x:v>0</x:v>
      </x:c>
      <x:c r="K13" s="9" t="n">
        <x:v>60</x:v>
      </x:c>
      <x:c r="L13" s="11" t="n">
        <x:f>IF(K13=0,"n.a.",E13/(K13*10))</x:f>
        <x:v>81.66666666666667</x:v>
      </x:c>
      <x:c r="M13" s="11" t="n">
        <x:v>35.833333333333336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190000</x:v>
      </x:c>
      <x:c r="D14" s="6" t="n">
        <x:v>92000</x:v>
      </x:c>
      <x:c r="E14" s="6" t="n">
        <x:f>C14-D14</x:f>
        <x:v>98000</x:v>
      </x:c>
      <x:c r="F14" s="6" t="n">
        <x:f>F13+E14</x:f>
        <x:v>140000</x:v>
      </x:c>
      <x:c r="G14" s="6" t="n">
        <x:v>-61000</x:v>
      </x:c>
      <x:c r="H14" s="6" t="n">
        <x:v>145000</x:v>
      </x:c>
      <x:c r="I14" s="9" t="n">
        <x:v>8</x:v>
      </x:c>
      <x:c r="J14" s="9" t="n">
        <x:f>IF(I14=0,1,0)</x:f>
        <x:v>0</x:v>
      </x:c>
      <x:c r="K14" s="9" t="n">
        <x:v>140</x:v>
      </x:c>
      <x:c r="L14" s="11" t="n">
        <x:f>IF(K14=0,"n.a.",E14/(K14*10))</x:f>
        <x:v>70</x:v>
      </x:c>
      <x:c r="M14" s="11" t="n">
        <x:v>344.73333333333335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293000</x:v>
      </x:c>
      <x:c r="D15" s="6" t="n">
        <x:v>48000</x:v>
      </x:c>
      <x:c r="E15" s="6" t="n">
        <x:f>C15-D15</x:f>
        <x:v>245000</x:v>
      </x:c>
      <x:c r="F15" s="6" t="n">
        <x:f>F14+E15</x:f>
        <x:v>385000</x:v>
      </x:c>
      <x:c r="G15" s="6" t="n">
        <x:v>-25000</x:v>
      </x:c>
      <x:c r="H15" s="6" t="n">
        <x:v>144000</x:v>
      </x:c>
      <x:c r="I15" s="9" t="n">
        <x:v>12</x:v>
      </x:c>
      <x:c r="J15" s="9" t="n">
        <x:f>IF(I15=0,1,0)</x:f>
        <x:v>0</x:v>
      </x:c>
      <x:c r="K15" s="9" t="n">
        <x:v>250</x:v>
      </x:c>
      <x:c r="L15" s="11" t="n">
        <x:f>IF(K15=0,"n.a.",E15/(K15*10))</x:f>
        <x:v>98</x:v>
      </x:c>
      <x:c r="M15" s="11" t="n">
        <x:v>343.8333333333333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98000</x:v>
      </x:c>
      <x:c r="D16" s="6" t="n">
        <x:v>64000</x:v>
      </x:c>
      <x:c r="E16" s="6" t="n">
        <x:f>C16-D16</x:f>
        <x:v>34000</x:v>
      </x:c>
      <x:c r="F16" s="6" t="n">
        <x:f>F15+E16</x:f>
        <x:v>419000</x:v>
      </x:c>
      <x:c r="G16" s="6" t="n">
        <x:v>-38000</x:v>
      </x:c>
      <x:c r="H16" s="6" t="n">
        <x:v>128000</x:v>
      </x:c>
      <x:c r="I16" s="9" t="n">
        <x:v>7</x:v>
      </x:c>
      <x:c r="J16" s="9" t="n">
        <x:f>IF(I16=0,1,0)</x:f>
        <x:v>0</x:v>
      </x:c>
      <x:c r="K16" s="9" t="n">
        <x:v>140</x:v>
      </x:c>
      <x:c r="L16" s="11" t="n">
        <x:f>IF(K16=0,"n.a.",E16/(K16*10))</x:f>
        <x:v>24.285714285714285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27000</x:v>
      </x:c>
      <x:c r="D17" s="6" t="n">
        <x:v>43000</x:v>
      </x:c>
      <x:c r="E17" s="6" t="n">
        <x:f>C17-D17</x:f>
        <x:v>-16000</x:v>
      </x:c>
      <x:c r="F17" s="6" t="n">
        <x:f>F16+E17</x:f>
        <x:v>403000</x:v>
      </x:c>
      <x:c r="G17" s="6" t="n">
        <x:v>-47000</x:v>
      </x:c>
      <x:c r="H17" s="6" t="n">
        <x:v>47000</x:v>
      </x:c>
      <x:c r="I17" s="9" t="n">
        <x:v>3</x:v>
      </x:c>
      <x:c r="J17" s="9" t="n">
        <x:f>IF(I17=0,1,0)</x:f>
        <x:v>0</x:v>
      </x:c>
      <x:c r="K17" s="9" t="n">
        <x:v>70</x:v>
      </x:c>
      <x:c r="L17" s="11" t="n">
        <x:f>IF(K17=0,"n.a.",E17/(K17*10))</x:f>
        <x:v>-22.857142857142858</x:v>
      </x:c>
      <x:c r="M17" s="11" t="n">
        <x:v>329.01666666666665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8000</x:v>
      </x:c>
      <x:c r="E18" s="6" t="n">
        <x:f>C18-D18</x:f>
        <x:v>-8000</x:v>
      </x:c>
      <x:c r="F18" s="6" t="n">
        <x:f>F17+E18</x:f>
        <x:v>395000</x:v>
      </x:c>
      <x:c r="G18" s="6" t="n">
        <x:v>-9000</x:v>
      </x:c>
      <x:c r="H18" s="6" t="n">
        <x:v>15000</x:v>
      </x:c>
      <x:c r="I18" s="9" t="n">
        <x:v>1</x:v>
      </x:c>
      <x:c r="J18" s="9" t="n">
        <x:f>IF(I18=0,1,0)</x:f>
        <x:v>0</x:v>
      </x:c>
      <x:c r="K18" s="9" t="n">
        <x:v>10</x:v>
      </x:c>
      <x:c r="L18" s="11" t="n">
        <x:f>IF(K18=0,"n.a.",E18/(K18*10))</x:f>
        <x:v>-80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318000</x:v>
      </x:c>
      <x:c r="D19" s="6" t="n">
        <x:v>20000</x:v>
      </x:c>
      <x:c r="E19" s="6" t="n">
        <x:f>C19-D19</x:f>
        <x:v>298000</x:v>
      </x:c>
      <x:c r="F19" s="6" t="n">
        <x:f>F18+E19</x:f>
        <x:v>693000</x:v>
      </x:c>
      <x:c r="G19" s="6" t="n">
        <x:v>-42000</x:v>
      </x:c>
      <x:c r="H19" s="6" t="n">
        <x:v>92000</x:v>
      </x:c>
      <x:c r="I19" s="9" t="n">
        <x:v>12</x:v>
      </x:c>
      <x:c r="J19" s="9" t="n">
        <x:f>IF(I19=0,1,0)</x:f>
        <x:v>0</x:v>
      </x:c>
      <x:c r="K19" s="9" t="n">
        <x:v>250</x:v>
      </x:c>
      <x:c r="L19" s="11" t="n">
        <x:f>IF(K19=0,"n.a.",E19/(K19*10))</x:f>
        <x:v>119.2</x:v>
      </x:c>
      <x:c r="M19" s="11" t="n">
        <x:v>188.65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16000</x:v>
      </x:c>
      <x:c r="D20" s="6" t="n">
        <x:v>2000</x:v>
      </x:c>
      <x:c r="E20" s="6" t="n">
        <x:f>C20-D20</x:f>
        <x:v>14000</x:v>
      </x:c>
      <x:c r="F20" s="6" t="n">
        <x:f>F19+E20</x:f>
        <x:v>707000</x:v>
      </x:c>
      <x:c r="G20" s="6" t="n">
        <x:v>-35000</x:v>
      </x:c>
      <x:c r="H20" s="6" t="n">
        <x:v>60000</x:v>
      </x:c>
      <x:c r="I20" s="9" t="n">
        <x:v>1</x:v>
      </x:c>
      <x:c r="J20" s="9" t="n">
        <x:f>IF(I20=0,1,0)</x:f>
        <x:v>0</x:v>
      </x:c>
      <x:c r="K20" s="9" t="n">
        <x:v>50</x:v>
      </x:c>
      <x:c r="L20" s="11" t="n">
        <x:f>IF(K20=0,"n.a.",E20/(K20*10))</x:f>
        <x:v>28</x:v>
      </x:c>
      <x:c r="M20" s="11" t="n">
        <x:v>53.05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82000</x:v>
      </x:c>
      <x:c r="D21" s="6" t="n">
        <x:v>0</x:v>
      </x:c>
      <x:c r="E21" s="6" t="n">
        <x:f>C21-D21</x:f>
        <x:v>82000</x:v>
      </x:c>
      <x:c r="F21" s="6" t="n">
        <x:f>F20+E21</x:f>
        <x:v>789000</x:v>
      </x:c>
      <x:c r="G21" s="6" t="n">
        <x:v>-10000</x:v>
      </x:c>
      <x:c r="H21" s="6" t="n">
        <x:v>33000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164</x:v>
      </x:c>
      <x:c r="M21" s="11" t="n">
        <x:v>58.36666666666667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53000</x:v>
      </x:c>
      <x:c r="E22" s="6" t="n">
        <x:f>C22-D22</x:f>
        <x:v>-53000</x:v>
      </x:c>
      <x:c r="F22" s="6" t="n">
        <x:f>F21+E22</x:f>
        <x:v>736000</x:v>
      </x:c>
      <x:c r="G22" s="6" t="n">
        <x:v>-53000</x:v>
      </x:c>
      <x:c r="H22" s="6" t="n">
        <x:v>58000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-88.33333333333333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197000</x:v>
      </x:c>
      <x:c r="D23" s="6" t="n">
        <x:v>61000</x:v>
      </x:c>
      <x:c r="E23" s="6" t="n">
        <x:f>C23-D23</x:f>
        <x:v>136000</x:v>
      </x:c>
      <x:c r="F23" s="6" t="n">
        <x:f>F22+E23</x:f>
        <x:v>872000</x:v>
      </x:c>
      <x:c r="G23" s="6" t="n">
        <x:v>-60000</x:v>
      </x:c>
      <x:c r="H23" s="6" t="n">
        <x:v>62000</x:v>
      </x:c>
      <x:c r="I23" s="9" t="n">
        <x:v>4</x:v>
      </x:c>
      <x:c r="J23" s="9" t="n">
        <x:f>IF(I23=0,1,0)</x:f>
        <x:v>0</x:v>
      </x:c>
      <x:c r="K23" s="9" t="n">
        <x:v>90</x:v>
      </x:c>
      <x:c r="L23" s="11" t="n">
        <x:f>IF(K23=0,"n.a.",E23/(K23*10))</x:f>
        <x:v>151.11111111111111</x:v>
      </x:c>
      <x:c r="M23" s="11" t="n">
        <x:v>241.55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86000</x:v>
      </x:c>
      <x:c r="D24" s="6" t="n">
        <x:v>64000</x:v>
      </x:c>
      <x:c r="E24" s="6" t="n">
        <x:f>C24-D24</x:f>
        <x:v>22000</x:v>
      </x:c>
      <x:c r="F24" s="6" t="n">
        <x:f>F23+E24</x:f>
        <x:v>894000</x:v>
      </x:c>
      <x:c r="G24" s="6" t="n">
        <x:v>-48000</x:v>
      </x:c>
      <x:c r="H24" s="6" t="n">
        <x:v>90000</x:v>
      </x:c>
      <x:c r="I24" s="9" t="n">
        <x:v>7</x:v>
      </x:c>
      <x:c r="J24" s="9" t="n">
        <x:f>IF(I24=0,1,0)</x:f>
        <x:v>0</x:v>
      </x:c>
      <x:c r="K24" s="9" t="n">
        <x:v>90</x:v>
      </x:c>
      <x:c r="L24" s="11" t="n">
        <x:f>IF(K24=0,"n.a.",E24/(K24*10))</x:f>
        <x:v>24.444444444444443</x:v>
      </x:c>
      <x:c r="M24" s="11" t="n">
        <x:v>308.9166666666667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177000</x:v>
      </x:c>
      <x:c r="D25" s="6" t="n">
        <x:v>140000</x:v>
      </x:c>
      <x:c r="E25" s="6" t="n">
        <x:f>C25-D25</x:f>
        <x:v>37000</x:v>
      </x:c>
      <x:c r="F25" s="6" t="n">
        <x:f>F24+E25</x:f>
        <x:v>931000</x:v>
      </x:c>
      <x:c r="G25" s="6" t="n">
        <x:v>-85000</x:v>
      </x:c>
      <x:c r="H25" s="6" t="n">
        <x:v>121000</x:v>
      </x:c>
      <x:c r="I25" s="9" t="n">
        <x:v>12</x:v>
      </x:c>
      <x:c r="J25" s="9" t="n">
        <x:f>IF(I25=0,1,0)</x:f>
        <x:v>0</x:v>
      </x:c>
      <x:c r="K25" s="9" t="n">
        <x:v>260</x:v>
      </x:c>
      <x:c r="L25" s="11" t="n">
        <x:f>IF(K25=0,"n.a.",E25/(K25*10))</x:f>
        <x:v>14.23076923076923</x:v>
      </x:c>
      <x:c r="M25" s="11" t="n">
        <x:v>264.31666666666666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91000</x:v>
      </x:c>
      <x:c r="D26" s="6" t="n">
        <x:v>98000</x:v>
      </x:c>
      <x:c r="E26" s="6" t="n">
        <x:f>C26-D26</x:f>
        <x:v>-7000</x:v>
      </x:c>
      <x:c r="F26" s="6" t="n">
        <x:f>F25+E26</x:f>
        <x:v>924000</x:v>
      </x:c>
      <x:c r="G26" s="6" t="n">
        <x:v>-67000</x:v>
      </x:c>
      <x:c r="H26" s="6" t="n">
        <x:v>93000</x:v>
      </x:c>
      <x:c r="I26" s="9" t="n">
        <x:v>10</x:v>
      </x:c>
      <x:c r="J26" s="9" t="n">
        <x:f>IF(I26=0,1,0)</x:f>
        <x:v>0</x:v>
      </x:c>
      <x:c r="K26" s="9" t="n">
        <x:v>190</x:v>
      </x:c>
      <x:c r="L26" s="11" t="n">
        <x:f>IF(K26=0,"n.a.",E26/(K26*10))</x:f>
        <x:v>-3.6842105263157894</x:v>
      </x:c>
      <x:c r="M26" s="11" t="n">
        <x:v>221.13333333333333</x:v>
      </x:c>
    </x:row>
    <x:row r="27" ht="25" customHeight="1">
      <x:c r="A27" s="2" t="str">
        <x:v>2026-10-20_Night</x:v>
      </x:c>
      <x:c r="B27" s="2" t="str">
        <x:v>後7夜</x:v>
      </x:c>
      <x:c r="C27" s="6" t="n">
        <x:v>99000</x:v>
      </x:c>
      <x:c r="D27" s="6" t="n">
        <x:v>33000</x:v>
      </x:c>
      <x:c r="E27" s="6" t="n">
        <x:f>C27-D27</x:f>
        <x:v>66000</x:v>
      </x:c>
      <x:c r="F27" s="6" t="n">
        <x:f>F26+E27</x:f>
        <x:v>990000</x:v>
      </x:c>
      <x:c r="G27" s="6" t="n">
        <x:v>-8000</x:v>
      </x:c>
      <x:c r="H27" s="6" t="n">
        <x:v>53000</x:v>
      </x:c>
      <x:c r="I27" s="9" t="n">
        <x:v>7</x:v>
      </x:c>
      <x:c r="J27" s="9" t="n">
        <x:f>IF(I27=0,1,0)</x:f>
        <x:v>0</x:v>
      </x:c>
      <x:c r="K27" s="9" t="n">
        <x:v>100</x:v>
      </x:c>
      <x:c r="L27" s="11" t="n">
        <x:f>IF(K27=0,"n.a.",E27/(K27*10))</x:f>
        <x:v>66</x:v>
      </x:c>
      <x:c r="M27" s="11" t="n">
        <x:v>366.28333333333336</x:v>
      </x:c>
    </x:row>
    <x:row r="28" ht="25" customHeight="1">
      <x:c r="A28" s="2" t="str">
        <x:v>2026-10-21_Night</x:v>
      </x:c>
      <x:c r="B28" s="2" t="str">
        <x:v>後7夜</x:v>
      </x:c>
      <x:c r="C28" s="6" t="n">
        <x:v>65000</x:v>
      </x:c>
      <x:c r="D28" s="6" t="n">
        <x:v>89000</x:v>
      </x:c>
      <x:c r="E28" s="6" t="n">
        <x:f>C28-D28</x:f>
        <x:v>-24000</x:v>
      </x:c>
      <x:c r="F28" s="6" t="n">
        <x:f>F27+E28</x:f>
        <x:v>966000</x:v>
      </x:c>
      <x:c r="G28" s="6" t="n">
        <x:v>-50000</x:v>
      </x:c>
      <x:c r="H28" s="6" t="n">
        <x:v>131000</x:v>
      </x:c>
      <x:c r="I28" s="9" t="n">
        <x:v>5</x:v>
      </x:c>
      <x:c r="J28" s="9" t="n">
        <x:f>IF(I28=0,1,0)</x:f>
        <x:v>0</x:v>
      </x:c>
      <x:c r="K28" s="9" t="n">
        <x:v>170</x:v>
      </x:c>
      <x:c r="L28" s="11" t="n">
        <x:f>IF(K28=0,"n.a.",E28/(K28*10))</x:f>
        <x:v>-14.117647058823529</x:v>
      </x:c>
      <x:c r="M28" s="11" t="n">
        <x:v>155.93333333333334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143000</x:v>
      </x:c>
      <x:c r="D29" s="6" t="n">
        <x:v>0</x:v>
      </x:c>
      <x:c r="E29" s="6" t="n">
        <x:f>C29-D29</x:f>
        <x:v>143000</x:v>
      </x:c>
      <x:c r="F29" s="6" t="n">
        <x:f>F28+E29</x:f>
        <x:v>1109000</x:v>
      </x:c>
      <x:c r="G29" s="6" t="n">
        <x:v>-2000</x:v>
      </x:c>
      <x:c r="H29" s="6" t="n">
        <x:v>64000</x:v>
      </x:c>
      <x:c r="I29" s="9" t="n">
        <x:v>2</x:v>
      </x:c>
      <x:c r="J29" s="9" t="n">
        <x:f>IF(I29=0,1,0)</x:f>
        <x:v>0</x:v>
      </x:c>
      <x:c r="K29" s="9" t="n">
        <x:v>60</x:v>
      </x:c>
      <x:c r="L29" s="11" t="n">
        <x:f>IF(K29=0,"n.a.",E29/(K29*10))</x:f>
        <x:v>238.33333333333334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49000</x:v>
      </x:c>
      <x:c r="D30" s="6" t="n">
        <x:v>17000</x:v>
      </x:c>
      <x:c r="E30" s="6" t="n">
        <x:f>C30-D30</x:f>
        <x:v>32000</x:v>
      </x:c>
      <x:c r="F30" s="6" t="n">
        <x:f>F29+E30</x:f>
        <x:v>1141000</x:v>
      </x:c>
      <x:c r="G30" s="6" t="n">
        <x:v>-30000</x:v>
      </x:c>
      <x:c r="H30" s="6" t="n">
        <x:v>77000</x:v>
      </x:c>
      <x:c r="I30" s="9" t="n">
        <x:v>5</x:v>
      </x:c>
      <x:c r="J30" s="9" t="n">
        <x:f>IF(I30=0,1,0)</x:f>
        <x:v>0</x:v>
      </x:c>
      <x:c r="K30" s="9" t="n">
        <x:v>100</x:v>
      </x:c>
      <x:c r="L30" s="11" t="n">
        <x:f>IF(K30=0,"n.a.",E30/(K30*10))</x:f>
        <x:v>32</x:v>
      </x:c>
      <x:c r="M30" s="11" t="n">
        <x:v>335.15</x:v>
      </x:c>
    </x:row>
    <x:row r="31" ht="25" customHeight="1">
      <x:c r="A31" s="2" t="str">
        <x:v>2026-10-26_Night</x:v>
      </x:c>
      <x:c r="B31" s="2" t="str">
        <x:v>後7夜</x:v>
      </x:c>
      <x:c r="C31" s="6" t="n">
        <x:v>69000</x:v>
      </x:c>
      <x:c r="D31" s="6" t="n">
        <x:v>124000</x:v>
      </x:c>
      <x:c r="E31" s="6" t="n">
        <x:f>C31-D31</x:f>
        <x:v>-55000</x:v>
      </x:c>
      <x:c r="F31" s="6" t="n">
        <x:f>F30+E31</x:f>
        <x:v>1086000</x:v>
      </x:c>
      <x:c r="G31" s="6" t="n">
        <x:v>-55000</x:v>
      </x:c>
      <x:c r="H31" s="6" t="n">
        <x:v>125000</x:v>
      </x:c>
      <x:c r="I31" s="9" t="n">
        <x:v>10</x:v>
      </x:c>
      <x:c r="J31" s="9" t="n">
        <x:f>IF(I31=0,1,0)</x:f>
        <x:v>0</x:v>
      </x:c>
      <x:c r="K31" s="9" t="n">
        <x:v>150</x:v>
      </x:c>
      <x:c r="L31" s="11" t="n">
        <x:f>IF(K31=0,"n.a.",E31/(K31*10))</x:f>
        <x:v>-36.666666666666664</x:v>
      </x:c>
      <x:c r="M31" s="11" t="n">
        <x:v>182.6</x:v>
      </x:c>
    </x:row>
    <x:row r="32" ht="25" customHeight="1">
      <x:c r="A32" s="2" t="str">
        <x:v>2026-10-27_Night</x:v>
      </x:c>
      <x:c r="B32" s="2" t="str">
        <x:v>後7夜</x:v>
      </x:c>
      <x:c r="C32" s="6" t="n">
        <x:v>8000</x:v>
      </x:c>
      <x:c r="D32" s="6" t="n">
        <x:v>0</x:v>
      </x:c>
      <x:c r="E32" s="6" t="n">
        <x:f>C32-D32</x:f>
        <x:v>8000</x:v>
      </x:c>
      <x:c r="F32" s="6" t="n">
        <x:f>F31+E32</x:f>
        <x:v>1094000</x:v>
      </x:c>
      <x:c r="G32" s="6" t="n">
        <x:v>-3000</x:v>
      </x:c>
      <x:c r="H32" s="6" t="n">
        <x:v>24000</x:v>
      </x:c>
      <x:c r="I32" s="9" t="n">
        <x:v>2</x:v>
      </x:c>
      <x:c r="J32" s="9" t="n">
        <x:f>IF(I32=0,1,0)</x:f>
        <x:v>0</x:v>
      </x:c>
      <x:c r="K32" s="9" t="n">
        <x:v>20</x:v>
      </x:c>
      <x:c r="L32" s="11" t="n">
        <x:f>IF(K32=0,"n.a.",E32/(K32*10))</x:f>
        <x:v>40</x:v>
      </x:c>
      <x:c r="M32" s="11" t="n">
        <x:v>41.06666666666667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2224000</x:v>
      </x:c>
      <x:c r="D33" s="8" t="n">
        <x:f>SUM(D6:D32)</x:f>
        <x:v>1130000</x:v>
      </x:c>
      <x:c r="E33" s="8" t="n">
        <x:f>C33-D33</x:f>
        <x:v>1094000</x:v>
      </x:c>
      <x:c r="F33" s="8" t="n">
        <x:f>F32</x:f>
        <x:v>1094000</x:v>
      </x:c>
      <x:c r="G33" s="8" t="n">
        <x:f>MIN(G6:G32)</x:f>
        <x:v>-85000</x:v>
      </x:c>
      <x:c r="H33" s="8" t="n">
        <x:f>MAX(H6:H32)</x:f>
        <x:v>145000</x:v>
      </x:c>
      <x:c r="I33" s="10" t="n">
        <x:f>SUM(I6:I32)</x:f>
        <x:v>130</x:v>
      </x:c>
      <x:c r="J33" s="10" t="n">
        <x:f>SUM(J6:J32)</x:f>
        <x:v>0</x:v>
      </x:c>
      <x:c r="K33" s="10" t="n">
        <x:f>SUM(K6:K32)</x:f>
        <x:v>2740</x:v>
      </x:c>
      <x:c r="L33" s="12" t="n">
        <x:f>IF(K33=0,"n.a.",E33/(K33*10))</x:f>
        <x:v>39.92700729927007</x:v>
      </x:c>
      <x:c r="M33" s="12" t="n">
        <x:f>SUM(M6:M32)</x:f>
        <x:v>4195.716666666666</x:v>
      </x:c>
    </x:row>
  </x:sheetData>
  <x:conditionalFormatting sqref="E6:G32">
    <x:cfRule type="cellIs" dxfId="8" priority="1" operator="lessThan">
      <x:formula>0</x:formula>
    </x:cfRule>
  </x:conditionalFormatting>
  <x:conditionalFormatting sqref="L6:L32">
    <x:cfRule type="cellIs" dxfId="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6c413945fb4f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NK225_U165_05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黒字部分返済後の残玉を反対価格帯維持で返済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45000</x:v>
      </x:c>
      <x:c r="E6" s="6" t="n">
        <x:f>C6-D6</x:f>
        <x:v>-45000</x:v>
      </x:c>
      <x:c r="F6" s="6" t="n">
        <x:f>E6</x:f>
        <x:v>-45000</x:v>
      </x:c>
      <x:c r="G6" s="6" t="n">
        <x:v>-45000</x:v>
      </x:c>
      <x:c r="H6" s="6" t="n">
        <x:v>65000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-90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38000</x:v>
      </x:c>
      <x:c r="D7" s="6" t="n">
        <x:v>0</x:v>
      </x:c>
      <x:c r="E7" s="6" t="n">
        <x:f>C7-D7</x:f>
        <x:v>38000</x:v>
      </x:c>
      <x:c r="F7" s="6" t="n">
        <x:f>F6+E7</x:f>
        <x:v>-7000</x:v>
      </x:c>
      <x:c r="G7" s="6" t="n">
        <x:v>-35000</x:v>
      </x:c>
      <x:c r="H7" s="6" t="n">
        <x:v>50000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76</x:v>
      </x:c>
      <x:c r="M7" s="11" t="n">
        <x:v>14.333333333333334</x:v>
      </x:c>
    </x:row>
    <x:row r="8" ht="25" customHeight="1">
      <x:c r="A8" s="2" t="str">
        <x:v>2026-09-23_Night</x:v>
      </x:c>
      <x:c r="B8" s="2" t="str">
        <x:v>前20夜</x:v>
      </x:c>
      <x:c r="C8" s="6" t="n">
        <x:v>5000</x:v>
      </x:c>
      <x:c r="D8" s="6" t="n">
        <x:v>41000</x:v>
      </x:c>
      <x:c r="E8" s="6" t="n">
        <x:f>C8-D8</x:f>
        <x:v>-36000</x:v>
      </x:c>
      <x:c r="F8" s="6" t="n">
        <x:f>F7+E8</x:f>
        <x:v>-43000</x:v>
      </x:c>
      <x:c r="G8" s="6" t="n">
        <x:v>-44000</x:v>
      </x:c>
      <x:c r="H8" s="6" t="n">
        <x:v>44000</x:v>
      </x:c>
      <x:c r="I8" s="9" t="n">
        <x:v>3</x:v>
      </x:c>
      <x:c r="J8" s="9" t="n">
        <x:f>IF(I8=0,1,0)</x:f>
        <x:v>0</x:v>
      </x:c>
      <x:c r="K8" s="9" t="n">
        <x:v>70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15000</x:v>
      </x:c>
      <x:c r="D9" s="6" t="n">
        <x:v>0</x:v>
      </x:c>
      <x:c r="E9" s="6" t="n">
        <x:f>C9-D9</x:f>
        <x:v>15000</x:v>
      </x:c>
      <x:c r="F9" s="6" t="n">
        <x:f>F8+E9</x:f>
        <x:v>-28000</x:v>
      </x:c>
      <x:c r="G9" s="6" t="n">
        <x:v>-3000</x:v>
      </x:c>
      <x:c r="H9" s="6" t="n">
        <x:v>16000</x:v>
      </x:c>
      <x:c r="I9" s="9" t="n">
        <x:v>2</x:v>
      </x:c>
      <x:c r="J9" s="9" t="n">
        <x:f>IF(I9=0,1,0)</x:f>
        <x:v>0</x:v>
      </x:c>
      <x:c r="K9" s="9" t="n">
        <x:v>20</x:v>
      </x:c>
      <x:c r="L9" s="11" t="n">
        <x:f>IF(K9=0,"n.a.",E9/(K9*10))</x:f>
        <x:v>75</x:v>
      </x:c>
      <x:c r="M9" s="11" t="n">
        <x:v>14.133333333333333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20000</x:v>
      </x:c>
      <x:c r="D10" s="6" t="n">
        <x:v>16000</x:v>
      </x:c>
      <x:c r="E10" s="6" t="n">
        <x:f>C10-D10</x:f>
        <x:v>4000</x:v>
      </x:c>
      <x:c r="F10" s="6" t="n">
        <x:f>F9+E10</x:f>
        <x:v>-24000</x:v>
      </x:c>
      <x:c r="G10" s="6" t="n">
        <x:v>-16000</x:v>
      </x:c>
      <x:c r="H10" s="6" t="n">
        <x:v>23000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6.666666666666667</x:v>
      </x:c>
      <x:c r="M10" s="11" t="n">
        <x:v>16.833333333333332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10000</x:v>
      </x:c>
      <x:c r="D11" s="6" t="n">
        <x:v>39000</x:v>
      </x:c>
      <x:c r="E11" s="6" t="n">
        <x:f>C11-D11</x:f>
        <x:v>-29000</x:v>
      </x:c>
      <x:c r="F11" s="6" t="n">
        <x:f>F10+E11</x:f>
        <x:v>-53000</x:v>
      </x:c>
      <x:c r="G11" s="6" t="n">
        <x:v>-40000</x:v>
      </x:c>
      <x:c r="H11" s="6" t="n">
        <x:v>43000</x:v>
      </x:c>
      <x:c r="I11" s="9" t="n">
        <x:v>4</x:v>
      </x:c>
      <x:c r="J11" s="9" t="n">
        <x:f>IF(I11=0,1,0)</x:f>
        <x:v>0</x:v>
      </x:c>
      <x:c r="K11" s="9" t="n">
        <x:v>60</x:v>
      </x:c>
      <x:c r="L11" s="11" t="n">
        <x:f>IF(K11=0,"n.a.",E11/(K11*10))</x:f>
        <x:v>-48.333333333333336</x:v>
      </x:c>
      <x:c r="M11" s="11" t="n">
        <x:v>11.85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112000</x:v>
      </x:c>
      <x:c r="D12" s="6" t="n">
        <x:v>22000</x:v>
      </x:c>
      <x:c r="E12" s="6" t="n">
        <x:f>C12-D12</x:f>
        <x:v>90000</x:v>
      </x:c>
      <x:c r="F12" s="6" t="n">
        <x:f>F11+E12</x:f>
        <x:v>37000</x:v>
      </x:c>
      <x:c r="G12" s="6" t="n">
        <x:v>-32000</x:v>
      </x:c>
      <x:c r="H12" s="6" t="n">
        <x:v>70000</x:v>
      </x:c>
      <x:c r="I12" s="9" t="n">
        <x:v>6</x:v>
      </x:c>
      <x:c r="J12" s="9" t="n">
        <x:f>IF(I12=0,1,0)</x:f>
        <x:v>0</x:v>
      </x:c>
      <x:c r="K12" s="9" t="n">
        <x:v>140</x:v>
      </x:c>
      <x:c r="L12" s="11" t="n">
        <x:f>IF(K12=0,"n.a.",E12/(K12*10))</x:f>
        <x:v>64.28571428571429</x:v>
      </x:c>
      <x:c r="M12" s="11" t="n">
        <x:v>108.3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53000</x:v>
      </x:c>
      <x:c r="D13" s="6" t="n">
        <x:v>6000</x:v>
      </x:c>
      <x:c r="E13" s="6" t="n">
        <x:f>C13-D13</x:f>
        <x:v>47000</x:v>
      </x:c>
      <x:c r="F13" s="6" t="n">
        <x:f>F12+E13</x:f>
        <x:v>84000</x:v>
      </x:c>
      <x:c r="G13" s="6" t="n">
        <x:v>-21000</x:v>
      </x:c>
      <x:c r="H13" s="6" t="n">
        <x:v>57000</x:v>
      </x:c>
      <x:c r="I13" s="9" t="n">
        <x:v>3</x:v>
      </x:c>
      <x:c r="J13" s="9" t="n">
        <x:f>IF(I13=0,1,0)</x:f>
        <x:v>0</x:v>
      </x:c>
      <x:c r="K13" s="9" t="n">
        <x:v>70</x:v>
      </x:c>
      <x:c r="L13" s="11" t="n">
        <x:f>IF(K13=0,"n.a.",E13/(K13*10))</x:f>
        <x:v>67.14285714285714</x:v>
      </x:c>
      <x:c r="M13" s="11" t="n">
        <x:v>33.416666666666664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146000</x:v>
      </x:c>
      <x:c r="D14" s="6" t="n">
        <x:v>92000</x:v>
      </x:c>
      <x:c r="E14" s="6" t="n">
        <x:f>C14-D14</x:f>
        <x:v>54000</x:v>
      </x:c>
      <x:c r="F14" s="6" t="n">
        <x:f>F13+E14</x:f>
        <x:v>138000</x:v>
      </x:c>
      <x:c r="G14" s="6" t="n">
        <x:v>-53000</x:v>
      </x:c>
      <x:c r="H14" s="6" t="n">
        <x:v>137000</x:v>
      </x:c>
      <x:c r="I14" s="9" t="n">
        <x:v>8</x:v>
      </x:c>
      <x:c r="J14" s="9" t="n">
        <x:f>IF(I14=0,1,0)</x:f>
        <x:v>0</x:v>
      </x:c>
      <x:c r="K14" s="9" t="n">
        <x:v>140</x:v>
      </x:c>
      <x:c r="L14" s="11" t="n">
        <x:f>IF(K14=0,"n.a.",E14/(K14*10))</x:f>
        <x:v>38.57142857142857</x:v>
      </x:c>
      <x:c r="M14" s="11" t="n">
        <x:v>139.75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331000</x:v>
      </x:c>
      <x:c r="D15" s="6" t="n">
        <x:v>57000</x:v>
      </x:c>
      <x:c r="E15" s="6" t="n">
        <x:f>C15-D15</x:f>
        <x:v>274000</x:v>
      </x:c>
      <x:c r="F15" s="6" t="n">
        <x:f>F14+E15</x:f>
        <x:v>412000</x:v>
      </x:c>
      <x:c r="G15" s="6" t="n">
        <x:v>-34000</x:v>
      </x:c>
      <x:c r="H15" s="6" t="n">
        <x:v>114000</x:v>
      </x:c>
      <x:c r="I15" s="9" t="n">
        <x:v>15</x:v>
      </x:c>
      <x:c r="J15" s="9" t="n">
        <x:f>IF(I15=0,1,0)</x:f>
        <x:v>0</x:v>
      </x:c>
      <x:c r="K15" s="9" t="n">
        <x:v>280</x:v>
      </x:c>
      <x:c r="L15" s="11" t="n">
        <x:f>IF(K15=0,"n.a.",E15/(K15*10))</x:f>
        <x:v>97.85714285714286</x:v>
      </x:c>
      <x:c r="M15" s="11" t="n">
        <x:v>335.5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117000</x:v>
      </x:c>
      <x:c r="D16" s="6" t="n">
        <x:v>64000</x:v>
      </x:c>
      <x:c r="E16" s="6" t="n">
        <x:f>C16-D16</x:f>
        <x:v>53000</x:v>
      </x:c>
      <x:c r="F16" s="6" t="n">
        <x:f>F15+E16</x:f>
        <x:v>465000</x:v>
      </x:c>
      <x:c r="G16" s="6" t="n">
        <x:v>-38000</x:v>
      </x:c>
      <x:c r="H16" s="6" t="n">
        <x:v>109000</x:v>
      </x:c>
      <x:c r="I16" s="9" t="n">
        <x:v>7</x:v>
      </x:c>
      <x:c r="J16" s="9" t="n">
        <x:f>IF(I16=0,1,0)</x:f>
        <x:v>0</x:v>
      </x:c>
      <x:c r="K16" s="9" t="n">
        <x:v>140</x:v>
      </x:c>
      <x:c r="L16" s="11" t="n">
        <x:f>IF(K16=0,"n.a.",E16/(K16*10))</x:f>
        <x:v>37.857142857142854</x:v>
      </x:c>
      <x:c r="M16" s="11" t="n">
        <x:v>158.21666666666667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18000</x:v>
      </x:c>
      <x:c r="D17" s="6" t="n">
        <x:v>43000</x:v>
      </x:c>
      <x:c r="E17" s="6" t="n">
        <x:f>C17-D17</x:f>
        <x:v>-25000</x:v>
      </x:c>
      <x:c r="F17" s="6" t="n">
        <x:f>F16+E17</x:f>
        <x:v>440000</x:v>
      </x:c>
      <x:c r="G17" s="6" t="n">
        <x:v>-56000</x:v>
      </x:c>
      <x:c r="H17" s="6" t="n">
        <x:v>56000</x:v>
      </x:c>
      <x:c r="I17" s="9" t="n">
        <x:v>4</x:v>
      </x:c>
      <x:c r="J17" s="9" t="n">
        <x:f>IF(I17=0,1,0)</x:f>
        <x:v>0</x:v>
      </x:c>
      <x:c r="K17" s="9" t="n">
        <x:v>80</x:v>
      </x:c>
      <x:c r="L17" s="11" t="n">
        <x:f>IF(K17=0,"n.a.",E17/(K17*10))</x:f>
        <x:v>-31.25</x:v>
      </x:c>
      <x:c r="M17" s="11" t="n">
        <x:v>91.68333333333334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22000</x:v>
      </x:c>
      <x:c r="E18" s="6" t="n">
        <x:f>C18-D18</x:f>
        <x:v>-22000</x:v>
      </x:c>
      <x:c r="F18" s="6" t="n">
        <x:f>F17+E18</x:f>
        <x:v>418000</x:v>
      </x:c>
      <x:c r="G18" s="6" t="n">
        <x:v>-24000</x:v>
      </x:c>
      <x:c r="H18" s="6" t="n">
        <x:v>30000</x:v>
      </x:c>
      <x:c r="I18" s="9" t="n">
        <x:v>2</x:v>
      </x:c>
      <x:c r="J18" s="9" t="n">
        <x:f>IF(I18=0,1,0)</x:f>
        <x:v>0</x:v>
      </x:c>
      <x:c r="K18" s="9" t="n">
        <x:v>20</x:v>
      </x:c>
      <x:c r="L18" s="11" t="n">
        <x:f>IF(K18=0,"n.a.",E18/(K18*10))</x:f>
        <x:v>-110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342000</x:v>
      </x:c>
      <x:c r="D19" s="6" t="n">
        <x:v>36000</x:v>
      </x:c>
      <x:c r="E19" s="6" t="n">
        <x:f>C19-D19</x:f>
        <x:v>306000</x:v>
      </x:c>
      <x:c r="F19" s="6" t="n">
        <x:f>F18+E19</x:f>
        <x:v>724000</x:v>
      </x:c>
      <x:c r="G19" s="6" t="n">
        <x:v>-42000</x:v>
      </x:c>
      <x:c r="H19" s="6" t="n">
        <x:v>67000</x:v>
      </x:c>
      <x:c r="I19" s="9" t="n">
        <x:v>15</x:v>
      </x:c>
      <x:c r="J19" s="9" t="n">
        <x:f>IF(I19=0,1,0)</x:f>
        <x:v>0</x:v>
      </x:c>
      <x:c r="K19" s="9" t="n">
        <x:v>280</x:v>
      </x:c>
      <x:c r="L19" s="11" t="n">
        <x:f>IF(K19=0,"n.a.",E19/(K19*10))</x:f>
        <x:v>109.28571428571429</x:v>
      </x:c>
      <x:c r="M19" s="11" t="n">
        <x:v>163.45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19000</x:v>
      </x:c>
      <x:c r="D20" s="6" t="n">
        <x:v>0</x:v>
      </x:c>
      <x:c r="E20" s="6" t="n">
        <x:f>C20-D20</x:f>
        <x:v>19000</x:v>
      </x:c>
      <x:c r="F20" s="6" t="n">
        <x:f>F19+E20</x:f>
        <x:v>743000</x:v>
      </x:c>
      <x:c r="G20" s="6" t="n">
        <x:v>-35000</x:v>
      </x:c>
      <x:c r="H20" s="6" t="n">
        <x:v>60000</x:v>
      </x:c>
      <x:c r="I20" s="9" t="n">
        <x:v>1</x:v>
      </x:c>
      <x:c r="J20" s="9" t="n">
        <x:f>IF(I20=0,1,0)</x:f>
        <x:v>0</x:v>
      </x:c>
      <x:c r="K20" s="9" t="n">
        <x:v>50</x:v>
      </x:c>
      <x:c r="L20" s="11" t="n">
        <x:f>IF(K20=0,"n.a.",E20/(K20*10))</x:f>
        <x:v>38</x:v>
      </x:c>
      <x:c r="M20" s="11" t="n">
        <x:v>12.183333333333334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92000</x:v>
      </x:c>
      <x:c r="D21" s="6" t="n">
        <x:v>0</x:v>
      </x:c>
      <x:c r="E21" s="6" t="n">
        <x:f>C21-D21</x:f>
        <x:v>92000</x:v>
      </x:c>
      <x:c r="F21" s="6" t="n">
        <x:f>F20+E21</x:f>
        <x:v>835000</x:v>
      </x:c>
      <x:c r="G21" s="6" t="n">
        <x:v>-10000</x:v>
      </x:c>
      <x:c r="H21" s="6" t="n">
        <x:v>23000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184</x:v>
      </x:c>
      <x:c r="M21" s="11" t="n">
        <x:v>11.183333333333334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53000</x:v>
      </x:c>
      <x:c r="E22" s="6" t="n">
        <x:f>C22-D22</x:f>
        <x:v>-53000</x:v>
      </x:c>
      <x:c r="F22" s="6" t="n">
        <x:f>F21+E22</x:f>
        <x:v>782000</x:v>
      </x:c>
      <x:c r="G22" s="6" t="n">
        <x:v>-53000</x:v>
      </x:c>
      <x:c r="H22" s="6" t="n">
        <x:v>58000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-88.33333333333333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174000</x:v>
      </x:c>
      <x:c r="D23" s="6" t="n">
        <x:v>61000</x:v>
      </x:c>
      <x:c r="E23" s="6" t="n">
        <x:f>C23-D23</x:f>
        <x:v>113000</x:v>
      </x:c>
      <x:c r="F23" s="6" t="n">
        <x:f>F22+E23</x:f>
        <x:v>895000</x:v>
      </x:c>
      <x:c r="G23" s="6" t="n">
        <x:v>-60000</x:v>
      </x:c>
      <x:c r="H23" s="6" t="n">
        <x:v>62000</x:v>
      </x:c>
      <x:c r="I23" s="9" t="n">
        <x:v>4</x:v>
      </x:c>
      <x:c r="J23" s="9" t="n">
        <x:f>IF(I23=0,1,0)</x:f>
        <x:v>0</x:v>
      </x:c>
      <x:c r="K23" s="9" t="n">
        <x:v>90</x:v>
      </x:c>
      <x:c r="L23" s="11" t="n">
        <x:f>IF(K23=0,"n.a.",E23/(K23*10))</x:f>
        <x:v>125.55555555555556</x:v>
      </x:c>
      <x:c r="M23" s="11" t="n">
        <x:v>146.43333333333334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71000</x:v>
      </x:c>
      <x:c r="D24" s="6" t="n">
        <x:v>64000</x:v>
      </x:c>
      <x:c r="E24" s="6" t="n">
        <x:f>C24-D24</x:f>
        <x:v>7000</x:v>
      </x:c>
      <x:c r="F24" s="6" t="n">
        <x:f>F23+E24</x:f>
        <x:v>902000</x:v>
      </x:c>
      <x:c r="G24" s="6" t="n">
        <x:v>-48000</x:v>
      </x:c>
      <x:c r="H24" s="6" t="n">
        <x:v>90000</x:v>
      </x:c>
      <x:c r="I24" s="9" t="n">
        <x:v>7</x:v>
      </x:c>
      <x:c r="J24" s="9" t="n">
        <x:f>IF(I24=0,1,0)</x:f>
        <x:v>0</x:v>
      </x:c>
      <x:c r="K24" s="9" t="n">
        <x:v>90</x:v>
      </x:c>
      <x:c r="L24" s="11" t="n">
        <x:f>IF(K24=0,"n.a.",E24/(K24*10))</x:f>
        <x:v>7.777777777777778</x:v>
      </x:c>
      <x:c r="M24" s="11" t="n">
        <x:v>227.55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153000</x:v>
      </x:c>
      <x:c r="D25" s="6" t="n">
        <x:v>131000</x:v>
      </x:c>
      <x:c r="E25" s="6" t="n">
        <x:f>C25-D25</x:f>
        <x:v>22000</x:v>
      </x:c>
      <x:c r="F25" s="6" t="n">
        <x:f>F24+E25</x:f>
        <x:v>924000</x:v>
      </x:c>
      <x:c r="G25" s="6" t="n">
        <x:v>-91000</x:v>
      </x:c>
      <x:c r="H25" s="6" t="n">
        <x:v>136000</x:v>
      </x:c>
      <x:c r="I25" s="9" t="n">
        <x:v>13</x:v>
      </x:c>
      <x:c r="J25" s="9" t="n">
        <x:f>IF(I25=0,1,0)</x:f>
        <x:v>0</x:v>
      </x:c>
      <x:c r="K25" s="9" t="n">
        <x:v>270</x:v>
      </x:c>
      <x:c r="L25" s="11" t="n">
        <x:f>IF(K25=0,"n.a.",E25/(K25*10))</x:f>
        <x:v>8.148148148148149</x:v>
      </x:c>
      <x:c r="M25" s="11" t="n">
        <x:v>194</x:v>
      </x:c>
    </x:row>
    <x:row r="26" ht="25" customHeight="1">
      <x:c r="A26" s="2" t="str">
        <x:v>2026-10-19_Night</x:v>
      </x:c>
      <x:c r="B26" s="2" t="str">
        <x:v>後7夜</x:v>
      </x:c>
      <x:c r="C26" s="6" t="n">
        <x:v>81000</x:v>
      </x:c>
      <x:c r="D26" s="6" t="n">
        <x:v>105000</x:v>
      </x:c>
      <x:c r="E26" s="6" t="n">
        <x:f>C26-D26</x:f>
        <x:v>-24000</x:v>
      </x:c>
      <x:c r="F26" s="6" t="n">
        <x:f>F25+E26</x:f>
        <x:v>900000</x:v>
      </x:c>
      <x:c r="G26" s="6" t="n">
        <x:v>-68000</x:v>
      </x:c>
      <x:c r="H26" s="6" t="n">
        <x:v>97000</x:v>
      </x:c>
      <x:c r="I26" s="9" t="n">
        <x:v>12</x:v>
      </x:c>
      <x:c r="J26" s="9" t="n">
        <x:f>IF(I26=0,1,0)</x:f>
        <x:v>0</x:v>
      </x:c>
      <x:c r="K26" s="9" t="n">
        <x:v>210</x:v>
      </x:c>
      <x:c r="L26" s="11" t="n">
        <x:f>IF(K26=0,"n.a.",E26/(K26*10))</x:f>
        <x:v>-11.428571428571429</x:v>
      </x:c>
      <x:c r="M26" s="11" t="n">
        <x:v>90</x:v>
      </x:c>
    </x:row>
    <x:row r="27" ht="25" customHeight="1">
      <x:c r="A27" s="2" t="str">
        <x:v>2026-10-20_Night</x:v>
      </x:c>
      <x:c r="B27" s="2" t="str">
        <x:v>後7夜</x:v>
      </x:c>
      <x:c r="C27" s="6" t="n">
        <x:v>65000</x:v>
      </x:c>
      <x:c r="D27" s="6" t="n">
        <x:v>33000</x:v>
      </x:c>
      <x:c r="E27" s="6" t="n">
        <x:f>C27-D27</x:f>
        <x:v>32000</x:v>
      </x:c>
      <x:c r="F27" s="6" t="n">
        <x:f>F26+E27</x:f>
        <x:v>932000</x:v>
      </x:c>
      <x:c r="G27" s="6" t="n">
        <x:v>-8000</x:v>
      </x:c>
      <x:c r="H27" s="6" t="n">
        <x:v>53000</x:v>
      </x:c>
      <x:c r="I27" s="9" t="n">
        <x:v>7</x:v>
      </x:c>
      <x:c r="J27" s="9" t="n">
        <x:f>IF(I27=0,1,0)</x:f>
        <x:v>0</x:v>
      </x:c>
      <x:c r="K27" s="9" t="n">
        <x:v>100</x:v>
      </x:c>
      <x:c r="L27" s="11" t="n">
        <x:f>IF(K27=0,"n.a.",E27/(K27*10))</x:f>
        <x:v>32</x:v>
      </x:c>
      <x:c r="M27" s="11" t="n">
        <x:v>342.51666666666665</x:v>
      </x:c>
    </x:row>
    <x:row r="28" ht="25" customHeight="1">
      <x:c r="A28" s="2" t="str">
        <x:v>2026-10-21_Night</x:v>
      </x:c>
      <x:c r="B28" s="2" t="str">
        <x:v>後7夜</x:v>
      </x:c>
      <x:c r="C28" s="6" t="n">
        <x:v>71000</x:v>
      </x:c>
      <x:c r="D28" s="6" t="n">
        <x:v>89000</x:v>
      </x:c>
      <x:c r="E28" s="6" t="n">
        <x:f>C28-D28</x:f>
        <x:v>-18000</x:v>
      </x:c>
      <x:c r="F28" s="6" t="n">
        <x:f>F27+E28</x:f>
        <x:v>914000</x:v>
      </x:c>
      <x:c r="G28" s="6" t="n">
        <x:v>-50000</x:v>
      </x:c>
      <x:c r="H28" s="6" t="n">
        <x:v>131000</x:v>
      </x:c>
      <x:c r="I28" s="9" t="n">
        <x:v>5</x:v>
      </x:c>
      <x:c r="J28" s="9" t="n">
        <x:f>IF(I28=0,1,0)</x:f>
        <x:v>0</x:v>
      </x:c>
      <x:c r="K28" s="9" t="n">
        <x:v>170</x:v>
      </x:c>
      <x:c r="L28" s="11" t="n">
        <x:f>IF(K28=0,"n.a.",E28/(K28*10))</x:f>
        <x:v>-10.588235294117647</x:v>
      </x:c>
      <x:c r="M28" s="11" t="n">
        <x:v>150.21666666666667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137000</x:v>
      </x:c>
      <x:c r="D29" s="6" t="n">
        <x:v>0</x:v>
      </x:c>
      <x:c r="E29" s="6" t="n">
        <x:f>C29-D29</x:f>
        <x:v>137000</x:v>
      </x:c>
      <x:c r="F29" s="6" t="n">
        <x:f>F28+E29</x:f>
        <x:v>1051000</x:v>
      </x:c>
      <x:c r="G29" s="6" t="n">
        <x:v>-2000</x:v>
      </x:c>
      <x:c r="H29" s="6" t="n">
        <x:v>41000</x:v>
      </x:c>
      <x:c r="I29" s="9" t="n">
        <x:v>3</x:v>
      </x:c>
      <x:c r="J29" s="9" t="n">
        <x:f>IF(I29=0,1,0)</x:f>
        <x:v>0</x:v>
      </x:c>
      <x:c r="K29" s="9" t="n">
        <x:v>70</x:v>
      </x:c>
      <x:c r="L29" s="11" t="n">
        <x:f>IF(K29=0,"n.a.",E29/(K29*10))</x:f>
        <x:v>195.71428571428572</x:v>
      </x:c>
      <x:c r="M29" s="11" t="n">
        <x:v>28.116666666666667</x:v>
      </x:c>
    </x:row>
    <x:row r="30" ht="25" customHeight="1">
      <x:c r="A30" s="2" t="str">
        <x:v>2026-10-23_Night</x:v>
      </x:c>
      <x:c r="B30" s="2" t="str">
        <x:v>後7夜</x:v>
      </x:c>
      <x:c r="C30" s="6" t="n">
        <x:v>63000</x:v>
      </x:c>
      <x:c r="D30" s="6" t="n">
        <x:v>32000</x:v>
      </x:c>
      <x:c r="E30" s="6" t="n">
        <x:f>C30-D30</x:f>
        <x:v>31000</x:v>
      </x:c>
      <x:c r="F30" s="6" t="n">
        <x:f>F29+E30</x:f>
        <x:v>1082000</x:v>
      </x:c>
      <x:c r="G30" s="6" t="n">
        <x:v>-30000</x:v>
      </x:c>
      <x:c r="H30" s="6" t="n">
        <x:v>80000</x:v>
      </x:c>
      <x:c r="I30" s="9" t="n">
        <x:v>6</x:v>
      </x:c>
      <x:c r="J30" s="9" t="n">
        <x:f>IF(I30=0,1,0)</x:f>
        <x:v>0</x:v>
      </x:c>
      <x:c r="K30" s="9" t="n">
        <x:v>110</x:v>
      </x:c>
      <x:c r="L30" s="11" t="n">
        <x:f>IF(K30=0,"n.a.",E30/(K30*10))</x:f>
        <x:v>28.181818181818183</x:v>
      </x:c>
      <x:c r="M30" s="11" t="n">
        <x:v>123.36666666666666</x:v>
      </x:c>
    </x:row>
    <x:row r="31" ht="25" customHeight="1">
      <x:c r="A31" s="2" t="str">
        <x:v>2026-10-26_Night</x:v>
      </x:c>
      <x:c r="B31" s="2" t="str">
        <x:v>後7夜</x:v>
      </x:c>
      <x:c r="C31" s="6" t="n">
        <x:v>75000</x:v>
      </x:c>
      <x:c r="D31" s="6" t="n">
        <x:v>124000</x:v>
      </x:c>
      <x:c r="E31" s="6" t="n">
        <x:f>C31-D31</x:f>
        <x:v>-49000</x:v>
      </x:c>
      <x:c r="F31" s="6" t="n">
        <x:f>F30+E31</x:f>
        <x:v>1033000</x:v>
      </x:c>
      <x:c r="G31" s="6" t="n">
        <x:v>-52000</x:v>
      </x:c>
      <x:c r="H31" s="6" t="n">
        <x:v>119000</x:v>
      </x:c>
      <x:c r="I31" s="9" t="n">
        <x:v>11</x:v>
      </x:c>
      <x:c r="J31" s="9" t="n">
        <x:f>IF(I31=0,1,0)</x:f>
        <x:v>0</x:v>
      </x:c>
      <x:c r="K31" s="9" t="n">
        <x:v>160</x:v>
      </x:c>
      <x:c r="L31" s="11" t="n">
        <x:f>IF(K31=0,"n.a.",E31/(K31*10))</x:f>
        <x:v>-30.625</x:v>
      </x:c>
      <x:c r="M31" s="11" t="n">
        <x:v>116.28333333333333</x:v>
      </x:c>
    </x:row>
    <x:row r="32" ht="25" customHeight="1">
      <x:c r="A32" s="2" t="str">
        <x:v>2026-10-27_Night</x:v>
      </x:c>
      <x:c r="B32" s="2" t="str">
        <x:v>後7夜</x:v>
      </x:c>
      <x:c r="C32" s="6" t="n">
        <x:v>19000</x:v>
      </x:c>
      <x:c r="D32" s="6" t="n">
        <x:v>0</x:v>
      </x:c>
      <x:c r="E32" s="6" t="n">
        <x:f>C32-D32</x:f>
        <x:v>19000</x:v>
      </x:c>
      <x:c r="F32" s="6" t="n">
        <x:f>F31+E32</x:f>
        <x:v>1052000</x:v>
      </x:c>
      <x:c r="G32" s="6" t="n">
        <x:v>-3000</x:v>
      </x:c>
      <x:c r="H32" s="6" t="n">
        <x:v>16000</x:v>
      </x:c>
      <x:c r="I32" s="9" t="n">
        <x:v>2</x:v>
      </x:c>
      <x:c r="J32" s="9" t="n">
        <x:f>IF(I32=0,1,0)</x:f>
        <x:v>0</x:v>
      </x:c>
      <x:c r="K32" s="9" t="n">
        <x:v>20</x:v>
      </x:c>
      <x:c r="L32" s="11" t="n">
        <x:f>IF(K32=0,"n.a.",E32/(K32*10))</x:f>
        <x:v>95</x:v>
      </x:c>
      <x:c r="M32" s="11" t="n">
        <x:v>6</x:v>
      </x:c>
    </x:row>
    <x:row r="33" ht="25" customHeight="1">
      <x:c r="A33" s="7" t="str">
        <x:v>累計／場内最悪値</x:v>
      </x:c>
      <x:c r="B33" s="7"/>
      <x:c r="C33" s="8" t="n">
        <x:f>SUM(C6:C32)</x:f>
        <x:v>2227000</x:v>
      </x:c>
      <x:c r="D33" s="8" t="n">
        <x:f>SUM(D6:D32)</x:f>
        <x:v>1175000</x:v>
      </x:c>
      <x:c r="E33" s="8" t="n">
        <x:f>C33-D33</x:f>
        <x:v>1052000</x:v>
      </x:c>
      <x:c r="F33" s="8" t="n">
        <x:f>F32</x:f>
        <x:v>1052000</x:v>
      </x:c>
      <x:c r="G33" s="8" t="n">
        <x:f>MIN(G6:G32)</x:f>
        <x:v>-91000</x:v>
      </x:c>
      <x:c r="H33" s="8" t="n">
        <x:f>MAX(H6:H32)</x:f>
        <x:v>137000</x:v>
      </x:c>
      <x:c r="I33" s="10" t="n">
        <x:f>SUM(I6:I32)</x:f>
        <x:v>147</x:v>
      </x:c>
      <x:c r="J33" s="10" t="n">
        <x:f>SUM(J6:J32)</x:f>
        <x:v>0</x:v>
      </x:c>
      <x:c r="K33" s="10" t="n">
        <x:f>SUM(K6:K32)</x:f>
        <x:v>2910</x:v>
      </x:c>
      <x:c r="L33" s="12" t="n">
        <x:f>IF(K33=0,"n.a.",E33/(K33*10))</x:f>
        <x:v>36.15120274914089</x:v>
      </x:c>
      <x:c r="M33" s="12" t="n">
        <x:f>SUM(M6:M32)</x:f>
        <x:v>2571.5166666666673</x:v>
      </x:c>
    </x:row>
  </x:sheetData>
  <x:conditionalFormatting sqref="E6:G32">
    <x:cfRule type="cellIs" dxfId="10" priority="1" operator="lessThan">
      <x:formula>0</x:formula>
    </x:cfRule>
  </x:conditionalFormatting>
  <x:conditionalFormatting sqref="L6:L32">
    <x:cfRule type="cellIs" dxfId="1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a5b4f592444dc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NK225_U165_06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新しい反対価格帯維持で一回半減し追加も半量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2500</x:v>
      </x:c>
      <x:c r="D6" s="6" t="n">
        <x:v>22500</x:v>
      </x:c>
      <x:c r="E6" s="6" t="n">
        <x:f>C6-D6</x:f>
        <x:v>-20000</x:v>
      </x:c>
      <x:c r="F6" s="6" t="n">
        <x:f>E6</x:f>
        <x:v>-20000</x:v>
      </x:c>
      <x:c r="G6" s="6" t="n">
        <x:v>-20000</x:v>
      </x:c>
      <x:c r="H6" s="6" t="n">
        <x:v>40000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-40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16000</x:v>
      </x:c>
      <x:c r="D7" s="6" t="n">
        <x:v>11500</x:v>
      </x:c>
      <x:c r="E7" s="6" t="n">
        <x:f>C7-D7</x:f>
        <x:v>4500</x:v>
      </x:c>
      <x:c r="F7" s="6" t="n">
        <x:f>F6+E7</x:f>
        <x:v>-15500</x:v>
      </x:c>
      <x:c r="G7" s="6" t="n">
        <x:v>-25000</x:v>
      </x:c>
      <x:c r="H7" s="6" t="n">
        <x:v>25000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9</x:v>
      </x:c>
      <x:c r="M7" s="11" t="n">
        <x:v>39.95</x:v>
      </x:c>
    </x:row>
    <x:row r="8" ht="25" customHeight="1">
      <x:c r="A8" s="2" t="str">
        <x:v>2026-09-23_Night</x:v>
      </x:c>
      <x:c r="B8" s="2" t="str">
        <x:v>前20夜</x:v>
      </x:c>
      <x:c r="C8" s="6" t="n">
        <x:v>2500</x:v>
      </x:c>
      <x:c r="D8" s="6" t="n">
        <x:v>36000</x:v>
      </x:c>
      <x:c r="E8" s="6" t="n">
        <x:f>C8-D8</x:f>
        <x:v>-33500</x:v>
      </x:c>
      <x:c r="F8" s="6" t="n">
        <x:f>F7+E8</x:f>
        <x:v>-49000</x:v>
      </x:c>
      <x:c r="G8" s="6" t="n">
        <x:v>-38000</x:v>
      </x:c>
      <x:c r="H8" s="6" t="n">
        <x:v>38000</x:v>
      </x:c>
      <x:c r="I8" s="9" t="n">
        <x:v>3</x:v>
      </x:c>
      <x:c r="J8" s="9" t="n">
        <x:f>IF(I8=0,1,0)</x:f>
        <x:v>0</x:v>
      </x:c>
      <x:c r="K8" s="9" t="n">
        <x:v>65</x:v>
      </x:c>
      <x:c r="L8" s="11" t="n">
        <x:f>IF(K8=0,"n.a.",E8/(K8*10))</x:f>
        <x:v>-51.53846153846154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10000</x:v>
      </x:c>
      <x:c r="D9" s="6" t="n">
        <x:v>1000</x:v>
      </x:c>
      <x:c r="E9" s="6" t="n">
        <x:f>C9-D9</x:f>
        <x:v>9000</x:v>
      </x:c>
      <x:c r="F9" s="6" t="n">
        <x:f>F8+E9</x:f>
        <x:v>-40000</x:v>
      </x:c>
      <x:c r="G9" s="6" t="n">
        <x:v>-2500</x:v>
      </x:c>
      <x:c r="H9" s="6" t="n">
        <x:v>12000</x:v>
      </x:c>
      <x:c r="I9" s="9" t="n">
        <x:v>2</x:v>
      </x:c>
      <x:c r="J9" s="9" t="n">
        <x:f>IF(I9=0,1,0)</x:f>
        <x:v>0</x:v>
      </x:c>
      <x:c r="K9" s="9" t="n">
        <x:v>15</x:v>
      </x:c>
      <x:c r="L9" s="11" t="n">
        <x:f>IF(K9=0,"n.a.",E9/(K9*10))</x:f>
        <x:v>60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8500</x:v>
      </x:c>
      <x:c r="D10" s="6" t="n">
        <x:v>15500</x:v>
      </x:c>
      <x:c r="E10" s="6" t="n">
        <x:f>C10-D10</x:f>
        <x:v>-7000</x:v>
      </x:c>
      <x:c r="F10" s="6" t="n">
        <x:f>F9+E10</x:f>
        <x:v>-47000</x:v>
      </x:c>
      <x:c r="G10" s="6" t="n">
        <x:v>-18000</x:v>
      </x:c>
      <x:c r="H10" s="6" t="n">
        <x:v>19000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-11.666666666666666</x:v>
      </x:c>
      <x:c r="M10" s="11" t="n">
        <x:v>22.233333333333334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5000</x:v>
      </x:c>
      <x:c r="D11" s="6" t="n">
        <x:v>22500</x:v>
      </x:c>
      <x:c r="E11" s="6" t="n">
        <x:f>C11-D11</x:f>
        <x:v>-17500</x:v>
      </x:c>
      <x:c r="F11" s="6" t="n">
        <x:f>F10+E11</x:f>
        <x:v>-64500</x:v>
      </x:c>
      <x:c r="G11" s="6" t="n">
        <x:v>-23000</x:v>
      </x:c>
      <x:c r="H11" s="6" t="n">
        <x:v>26000</x:v>
      </x:c>
      <x:c r="I11" s="9" t="n">
        <x:v>4</x:v>
      </x:c>
      <x:c r="J11" s="9" t="n">
        <x:f>IF(I11=0,1,0)</x:f>
        <x:v>0</x:v>
      </x:c>
      <x:c r="K11" s="9" t="n">
        <x:v>55</x:v>
      </x:c>
      <x:c r="L11" s="11" t="n">
        <x:f>IF(K11=0,"n.a.",E11/(K11*10))</x:f>
        <x:v>-31.818181818181817</x:v>
      </x:c>
      <x:c r="M11" s="11" t="n">
        <x:v>11.85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53500</x:v>
      </x:c>
      <x:c r="D12" s="6" t="n">
        <x:v>15500</x:v>
      </x:c>
      <x:c r="E12" s="6" t="n">
        <x:f>C12-D12</x:f>
        <x:v>38000</x:v>
      </x:c>
      <x:c r="F12" s="6" t="n">
        <x:f>F11+E12</x:f>
        <x:v>-26500</x:v>
      </x:c>
      <x:c r="G12" s="6" t="n">
        <x:v>-20000</x:v>
      </x:c>
      <x:c r="H12" s="6" t="n">
        <x:v>42500</x:v>
      </x:c>
      <x:c r="I12" s="9" t="n">
        <x:v>6</x:v>
      </x:c>
      <x:c r="J12" s="9" t="n">
        <x:f>IF(I12=0,1,0)</x:f>
        <x:v>0</x:v>
      </x:c>
      <x:c r="K12" s="9" t="n">
        <x:v>135</x:v>
      </x:c>
      <x:c r="L12" s="11" t="n">
        <x:f>IF(K12=0,"n.a.",E12/(K12*10))</x:f>
        <x:v>28.14814814814815</x:v>
      </x:c>
      <x:c r="M12" s="11" t="n">
        <x:v>209.71666666666667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24500</x:v>
      </x:c>
      <x:c r="D13" s="6" t="n">
        <x:v>10000</x:v>
      </x:c>
      <x:c r="E13" s="6" t="n">
        <x:f>C13-D13</x:f>
        <x:v>14500</x:v>
      </x:c>
      <x:c r="F13" s="6" t="n">
        <x:f>F12+E13</x:f>
        <x:v>-12000</x:v>
      </x:c>
      <x:c r="G13" s="6" t="n">
        <x:v>-17500</x:v>
      </x:c>
      <x:c r="H13" s="6" t="n">
        <x:v>31500</x:v>
      </x:c>
      <x:c r="I13" s="9" t="n">
        <x:v>3</x:v>
      </x:c>
      <x:c r="J13" s="9" t="n">
        <x:f>IF(I13=0,1,0)</x:f>
        <x:v>0</x:v>
      </x:c>
      <x:c r="K13" s="9" t="n">
        <x:v>65</x:v>
      </x:c>
      <x:c r="L13" s="11" t="n">
        <x:f>IF(K13=0,"n.a.",E13/(K13*10))</x:f>
        <x:v>22.307692307692307</x:v>
      </x:c>
      <x:c r="M13" s="11" t="n">
        <x:v>35.833333333333336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124000</x:v>
      </x:c>
      <x:c r="D14" s="6" t="n">
        <x:v>56000</x:v>
      </x:c>
      <x:c r="E14" s="6" t="n">
        <x:f>C14-D14</x:f>
        <x:v>68000</x:v>
      </x:c>
      <x:c r="F14" s="6" t="n">
        <x:f>F13+E14</x:f>
        <x:v>56000</x:v>
      </x:c>
      <x:c r="G14" s="6" t="n">
        <x:v>-12000</x:v>
      </x:c>
      <x:c r="H14" s="6" t="n">
        <x:v>80000</x:v>
      </x:c>
      <x:c r="I14" s="9" t="n">
        <x:v>8</x:v>
      </x:c>
      <x:c r="J14" s="9" t="n">
        <x:f>IF(I14=0,1,0)</x:f>
        <x:v>0</x:v>
      </x:c>
      <x:c r="K14" s="9" t="n">
        <x:v>135</x:v>
      </x:c>
      <x:c r="L14" s="11" t="n">
        <x:f>IF(K14=0,"n.a.",E14/(K14*10))</x:f>
        <x:v>50.370370370370374</x:v>
      </x:c>
      <x:c r="M14" s="11" t="n">
        <x:v>344.73333333333335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164500</x:v>
      </x:c>
      <x:c r="D15" s="6" t="n">
        <x:v>56500</x:v>
      </x:c>
      <x:c r="E15" s="6" t="n">
        <x:f>C15-D15</x:f>
        <x:v>108000</x:v>
      </x:c>
      <x:c r="F15" s="6" t="n">
        <x:f>F14+E15</x:f>
        <x:v>164000</x:v>
      </x:c>
      <x:c r="G15" s="6" t="n">
        <x:v>-29000</x:v>
      </x:c>
      <x:c r="H15" s="6" t="n">
        <x:v>85000</x:v>
      </x:c>
      <x:c r="I15" s="9" t="n">
        <x:v>15</x:v>
      </x:c>
      <x:c r="J15" s="9" t="n">
        <x:f>IF(I15=0,1,0)</x:f>
        <x:v>0</x:v>
      </x:c>
      <x:c r="K15" s="9" t="n">
        <x:v>250</x:v>
      </x:c>
      <x:c r="L15" s="11" t="n">
        <x:f>IF(K15=0,"n.a.",E15/(K15*10))</x:f>
        <x:v>43.2</x:v>
      </x:c>
      <x:c r="M15" s="11" t="n">
        <x:v>343.8333333333333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51500</x:v>
      </x:c>
      <x:c r="D16" s="6" t="n">
        <x:v>38500</x:v>
      </x:c>
      <x:c r="E16" s="6" t="n">
        <x:f>C16-D16</x:f>
        <x:v>13000</x:v>
      </x:c>
      <x:c r="F16" s="6" t="n">
        <x:f>F15+E16</x:f>
        <x:v>177000</x:v>
      </x:c>
      <x:c r="G16" s="6" t="n">
        <x:v>-21500</x:v>
      </x:c>
      <x:c r="H16" s="6" t="n">
        <x:v>68000</x:v>
      </x:c>
      <x:c r="I16" s="9" t="n">
        <x:v>7</x:v>
      </x:c>
      <x:c r="J16" s="9" t="n">
        <x:f>IF(I16=0,1,0)</x:f>
        <x:v>0</x:v>
      </x:c>
      <x:c r="K16" s="9" t="n">
        <x:v>130</x:v>
      </x:c>
      <x:c r="L16" s="11" t="n">
        <x:f>IF(K16=0,"n.a.",E16/(K16*10))</x:f>
        <x:v>10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16500</x:v>
      </x:c>
      <x:c r="D17" s="6" t="n">
        <x:v>37500</x:v>
      </x:c>
      <x:c r="E17" s="6" t="n">
        <x:f>C17-D17</x:f>
        <x:v>-21000</x:v>
      </x:c>
      <x:c r="F17" s="6" t="n">
        <x:f>F16+E17</x:f>
        <x:v>156000</x:v>
      </x:c>
      <x:c r="G17" s="6" t="n">
        <x:v>-44000</x:v>
      </x:c>
      <x:c r="H17" s="6" t="n">
        <x:v>44000</x:v>
      </x:c>
      <x:c r="I17" s="9" t="n">
        <x:v>4</x:v>
      </x:c>
      <x:c r="J17" s="9" t="n">
        <x:f>IF(I17=0,1,0)</x:f>
        <x:v>0</x:v>
      </x:c>
      <x:c r="K17" s="9" t="n">
        <x:v>75</x:v>
      </x:c>
      <x:c r="L17" s="11" t="n">
        <x:f>IF(K17=0,"n.a.",E17/(K17*10))</x:f>
        <x:v>-28</x:v>
      </x:c>
      <x:c r="M17" s="11" t="n">
        <x:v>329.01666666666665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11500</x:v>
      </x:c>
      <x:c r="E18" s="6" t="n">
        <x:f>C18-D18</x:f>
        <x:v>-11500</x:v>
      </x:c>
      <x:c r="F18" s="6" t="n">
        <x:f>F17+E18</x:f>
        <x:v>144500</x:v>
      </x:c>
      <x:c r="G18" s="6" t="n">
        <x:v>-12500</x:v>
      </x:c>
      <x:c r="H18" s="6" t="n">
        <x:v>15000</x:v>
      </x:c>
      <x:c r="I18" s="9" t="n">
        <x:v>2</x:v>
      </x:c>
      <x:c r="J18" s="9" t="n">
        <x:f>IF(I18=0,1,0)</x:f>
        <x:v>0</x:v>
      </x:c>
      <x:c r="K18" s="9" t="n">
        <x:v>15</x:v>
      </x:c>
      <x:c r="L18" s="11" t="n">
        <x:f>IF(K18=0,"n.a.",E18/(K18*10))</x:f>
        <x:v>-76.66666666666667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178000</x:v>
      </x:c>
      <x:c r="D19" s="6" t="n">
        <x:v>43000</x:v>
      </x:c>
      <x:c r="E19" s="6" t="n">
        <x:f>C19-D19</x:f>
        <x:v>135000</x:v>
      </x:c>
      <x:c r="F19" s="6" t="n">
        <x:f>F18+E19</x:f>
        <x:v>279500</x:v>
      </x:c>
      <x:c r="G19" s="6" t="n">
        <x:v>-34500</x:v>
      </x:c>
      <x:c r="H19" s="6" t="n">
        <x:v>64000</x:v>
      </x:c>
      <x:c r="I19" s="9" t="n">
        <x:v>15</x:v>
      </x:c>
      <x:c r="J19" s="9" t="n">
        <x:f>IF(I19=0,1,0)</x:f>
        <x:v>0</x:v>
      </x:c>
      <x:c r="K19" s="9" t="n">
        <x:v>250</x:v>
      </x:c>
      <x:c r="L19" s="11" t="n">
        <x:f>IF(K19=0,"n.a.",E19/(K19*10))</x:f>
        <x:v>54</x:v>
      </x:c>
      <x:c r="M19" s="11" t="n">
        <x:v>188.65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8000</x:v>
      </x:c>
      <x:c r="D20" s="6" t="n">
        <x:v>6000</x:v>
      </x:c>
      <x:c r="E20" s="6" t="n">
        <x:f>C20-D20</x:f>
        <x:v>2000</x:v>
      </x:c>
      <x:c r="F20" s="6" t="n">
        <x:f>F19+E20</x:f>
        <x:v>281500</x:v>
      </x:c>
      <x:c r="G20" s="6" t="n">
        <x:v>-22500</x:v>
      </x:c>
      <x:c r="H20" s="6" t="n">
        <x:v>30000</x:v>
      </x:c>
      <x:c r="I20" s="9" t="n">
        <x:v>1</x:v>
      </x:c>
      <x:c r="J20" s="9" t="n">
        <x:f>IF(I20=0,1,0)</x:f>
        <x:v>0</x:v>
      </x:c>
      <x:c r="K20" s="9" t="n">
        <x:v>50</x:v>
      </x:c>
      <x:c r="L20" s="11" t="n">
        <x:f>IF(K20=0,"n.a.",E20/(K20*10))</x:f>
        <x:v>4</x:v>
      </x:c>
      <x:c r="M20" s="11" t="n">
        <x:v>53.05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41000</x:v>
      </x:c>
      <x:c r="D21" s="6" t="n">
        <x:v>5000</x:v>
      </x:c>
      <x:c r="E21" s="6" t="n">
        <x:f>C21-D21</x:f>
        <x:v>36000</x:v>
      </x:c>
      <x:c r="F21" s="6" t="n">
        <x:f>F20+E21</x:f>
        <x:v>317500</x:v>
      </x:c>
      <x:c r="G21" s="6" t="n">
        <x:v>-10000</x:v>
      </x:c>
      <x:c r="H21" s="6" t="n">
        <x:v>16500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72</x:v>
      </x:c>
      <x:c r="M21" s="11" t="n">
        <x:v>58.36666666666667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38000</x:v>
      </x:c>
      <x:c r="E22" s="6" t="n">
        <x:f>C22-D22</x:f>
        <x:v>-38000</x:v>
      </x:c>
      <x:c r="F22" s="6" t="n">
        <x:f>F21+E22</x:f>
        <x:v>279500</x:v>
      </x:c>
      <x:c r="G22" s="6" t="n">
        <x:v>-38000</x:v>
      </x:c>
      <x:c r="H22" s="6" t="n">
        <x:v>43000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-63.333333333333336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98500</x:v>
      </x:c>
      <x:c r="D23" s="6" t="n">
        <x:v>39500</x:v>
      </x:c>
      <x:c r="E23" s="6" t="n">
        <x:f>C23-D23</x:f>
        <x:v>59000</x:v>
      </x:c>
      <x:c r="F23" s="6" t="n">
        <x:f>F22+E23</x:f>
        <x:v>338500</x:v>
      </x:c>
      <x:c r="G23" s="6" t="n">
        <x:v>-39000</x:v>
      </x:c>
      <x:c r="H23" s="6" t="n">
        <x:v>41000</x:v>
      </x:c>
      <x:c r="I23" s="9" t="n">
        <x:v>4</x:v>
      </x:c>
      <x:c r="J23" s="9" t="n">
        <x:f>IF(I23=0,1,0)</x:f>
        <x:v>0</x:v>
      </x:c>
      <x:c r="K23" s="9" t="n">
        <x:v>90</x:v>
      </x:c>
      <x:c r="L23" s="11" t="n">
        <x:f>IF(K23=0,"n.a.",E23/(K23*10))</x:f>
        <x:v>65.55555555555556</x:v>
      </x:c>
      <x:c r="M23" s="11" t="n">
        <x:v>241.55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44500</x:v>
      </x:c>
      <x:c r="D24" s="6" t="n">
        <x:v>38000</x:v>
      </x:c>
      <x:c r="E24" s="6" t="n">
        <x:f>C24-D24</x:f>
        <x:v>6500</x:v>
      </x:c>
      <x:c r="F24" s="6" t="n">
        <x:f>F23+E24</x:f>
        <x:v>345000</x:v>
      </x:c>
      <x:c r="G24" s="6" t="n">
        <x:v>-24500</x:v>
      </x:c>
      <x:c r="H24" s="6" t="n">
        <x:v>46500</x:v>
      </x:c>
      <x:c r="I24" s="9" t="n">
        <x:v>7</x:v>
      </x:c>
      <x:c r="J24" s="9" t="n">
        <x:f>IF(I24=0,1,0)</x:f>
        <x:v>0</x:v>
      </x:c>
      <x:c r="K24" s="9" t="n">
        <x:v>80</x:v>
      </x:c>
      <x:c r="L24" s="11" t="n">
        <x:f>IF(K24=0,"n.a.",E24/(K24*10))</x:f>
        <x:v>8.125</x:v>
      </x:c>
      <x:c r="M24" s="11" t="n">
        <x:v>308.9166666666667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93000</x:v>
      </x:c>
      <x:c r="D25" s="6" t="n">
        <x:v>89500</x:v>
      </x:c>
      <x:c r="E25" s="6" t="n">
        <x:f>C25-D25</x:f>
        <x:v>3500</x:v>
      </x:c>
      <x:c r="F25" s="6" t="n">
        <x:f>F24+E25</x:f>
        <x:v>348500</x:v>
      </x:c>
      <x:c r="G25" s="6" t="n">
        <x:v>-53000</x:v>
      </x:c>
      <x:c r="H25" s="6" t="n">
        <x:v>68500</x:v>
      </x:c>
      <x:c r="I25" s="9" t="n">
        <x:v>13</x:v>
      </x:c>
      <x:c r="J25" s="9" t="n">
        <x:f>IF(I25=0,1,0)</x:f>
        <x:v>0</x:v>
      </x:c>
      <x:c r="K25" s="9" t="n">
        <x:v>260</x:v>
      </x:c>
      <x:c r="L25" s="11" t="n">
        <x:f>IF(K25=0,"n.a.",E25/(K25*10))</x:f>
        <x:v>1.3461538461538463</x:v>
      </x:c>
      <x:c r="M25" s="11" t="n">
        <x:v>264.31666666666666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61000</x:v>
      </x:c>
      <x:c r="D26" s="6" t="n">
        <x:v>65000</x:v>
      </x:c>
      <x:c r="E26" s="6" t="n">
        <x:f>C26-D26</x:f>
        <x:v>-4000</x:v>
      </x:c>
      <x:c r="F26" s="6" t="n">
        <x:f>F25+E26</x:f>
        <x:v>344500</x:v>
      </x:c>
      <x:c r="G26" s="6" t="n">
        <x:v>-49000</x:v>
      </x:c>
      <x:c r="H26" s="6" t="n">
        <x:v>60000</x:v>
      </x:c>
      <x:c r="I26" s="9" t="n">
        <x:v>12</x:v>
      </x:c>
      <x:c r="J26" s="9" t="n">
        <x:f>IF(I26=0,1,0)</x:f>
        <x:v>0</x:v>
      </x:c>
      <x:c r="K26" s="9" t="n">
        <x:v>195</x:v>
      </x:c>
      <x:c r="L26" s="11" t="n">
        <x:f>IF(K26=0,"n.a.",E26/(K26*10))</x:f>
        <x:v>-2.051282051282051</x:v>
      </x:c>
      <x:c r="M26" s="11" t="n">
        <x:v>221.13333333333333</x:v>
      </x:c>
    </x:row>
    <x:row r="27" ht="25" customHeight="1">
      <x:c r="A27" s="2" t="str">
        <x:v>2026-10-20_Night</x:v>
      </x:c>
      <x:c r="B27" s="2" t="str">
        <x:v>後7夜</x:v>
      </x:c>
      <x:c r="C27" s="6" t="n">
        <x:v>49500</x:v>
      </x:c>
      <x:c r="D27" s="6" t="n">
        <x:v>23500</x:v>
      </x:c>
      <x:c r="E27" s="6" t="n">
        <x:f>C27-D27</x:f>
        <x:v>26000</x:v>
      </x:c>
      <x:c r="F27" s="6" t="n">
        <x:f>F26+E27</x:f>
        <x:v>370500</x:v>
      </x:c>
      <x:c r="G27" s="6" t="n">
        <x:v>-6000</x:v>
      </x:c>
      <x:c r="H27" s="6" t="n">
        <x:v>28000</x:v>
      </x:c>
      <x:c r="I27" s="9" t="n">
        <x:v>7</x:v>
      </x:c>
      <x:c r="J27" s="9" t="n">
        <x:f>IF(I27=0,1,0)</x:f>
        <x:v>0</x:v>
      </x:c>
      <x:c r="K27" s="9" t="n">
        <x:v>90</x:v>
      </x:c>
      <x:c r="L27" s="11" t="n">
        <x:f>IF(K27=0,"n.a.",E27/(K27*10))</x:f>
        <x:v>28.88888888888889</x:v>
      </x:c>
      <x:c r="M27" s="11" t="n">
        <x:v>366.28333333333336</x:v>
      </x:c>
    </x:row>
    <x:row r="28" ht="25" customHeight="1">
      <x:c r="A28" s="2" t="str">
        <x:v>2026-10-21_Night</x:v>
      </x:c>
      <x:c r="B28" s="2" t="str">
        <x:v>後7夜</x:v>
      </x:c>
      <x:c r="C28" s="6" t="n">
        <x:v>32500</x:v>
      </x:c>
      <x:c r="D28" s="6" t="n">
        <x:v>70500</x:v>
      </x:c>
      <x:c r="E28" s="6" t="n">
        <x:f>C28-D28</x:f>
        <x:v>-38000</x:v>
      </x:c>
      <x:c r="F28" s="6" t="n">
        <x:f>F27+E28</x:f>
        <x:v>332500</x:v>
      </x:c>
      <x:c r="G28" s="6" t="n">
        <x:v>-38000</x:v>
      </x:c>
      <x:c r="H28" s="6" t="n">
        <x:v>74500</x:v>
      </x:c>
      <x:c r="I28" s="9" t="n">
        <x:v>5</x:v>
      </x:c>
      <x:c r="J28" s="9" t="n">
        <x:f>IF(I28=0,1,0)</x:f>
        <x:v>0</x:v>
      </x:c>
      <x:c r="K28" s="9" t="n">
        <x:v>165</x:v>
      </x:c>
      <x:c r="L28" s="11" t="n">
        <x:f>IF(K28=0,"n.a.",E28/(K28*10))</x:f>
        <x:v>-23.03030303030303</x:v>
      </x:c>
      <x:c r="M28" s="11" t="n">
        <x:v>155.93333333333334</x:v>
      </x:c>
    </x:row>
    <x:row r="29" ht="25" customHeight="1">
      <x:c r="A29" s="2" t="str">
        <x:v>2026-10-22_Night</x:v>
      </x:c>
      <x:c r="B29" s="2" t="str">
        <x:v>後7夜</x:v>
      </x:c>
      <x:c r="C29" s="6" t="n">
        <x:v>75000</x:v>
      </x:c>
      <x:c r="D29" s="6" t="n">
        <x:v>5000</x:v>
      </x:c>
      <x:c r="E29" s="6" t="n">
        <x:f>C29-D29</x:f>
        <x:v>70000</x:v>
      </x:c>
      <x:c r="F29" s="6" t="n">
        <x:f>F28+E29</x:f>
        <x:v>402500</x:v>
      </x:c>
      <x:c r="G29" s="6" t="n">
        <x:v>-2000</x:v>
      </x:c>
      <x:c r="H29" s="6" t="n">
        <x:v>22500</x:v>
      </x:c>
      <x:c r="I29" s="9" t="n">
        <x:v>3</x:v>
      </x:c>
      <x:c r="J29" s="9" t="n">
        <x:f>IF(I29=0,1,0)</x:f>
        <x:v>0</x:v>
      </x:c>
      <x:c r="K29" s="9" t="n">
        <x:v>70</x:v>
      </x:c>
      <x:c r="L29" s="11" t="n">
        <x:f>IF(K29=0,"n.a.",E29/(K29*10))</x:f>
        <x:v>100</x:v>
      </x:c>
      <x:c r="M29" s="11" t="n">
        <x:v>46.75</x:v>
      </x:c>
    </x:row>
    <x:row r="30" ht="25" customHeight="1">
      <x:c r="A30" s="2" t="str">
        <x:v>2026-10-23_Night</x:v>
      </x:c>
      <x:c r="B30" s="2" t="str">
        <x:v>後7夜</x:v>
      </x:c>
      <x:c r="C30" s="6" t="n">
        <x:v>28500</x:v>
      </x:c>
      <x:c r="D30" s="6" t="n">
        <x:v>18000</x:v>
      </x:c>
      <x:c r="E30" s="6" t="n">
        <x:f>C30-D30</x:f>
        <x:v>10500</x:v>
      </x:c>
      <x:c r="F30" s="6" t="n">
        <x:f>F29+E30</x:f>
        <x:v>413000</x:v>
      </x:c>
      <x:c r="G30" s="6" t="n">
        <x:v>-15000</x:v>
      </x:c>
      <x:c r="H30" s="6" t="n">
        <x:v>44000</x:v>
      </x:c>
      <x:c r="I30" s="9" t="n">
        <x:v>6</x:v>
      </x:c>
      <x:c r="J30" s="9" t="n">
        <x:f>IF(I30=0,1,0)</x:f>
        <x:v>0</x:v>
      </x:c>
      <x:c r="K30" s="9" t="n">
        <x:v>105</x:v>
      </x:c>
      <x:c r="L30" s="11" t="n">
        <x:f>IF(K30=0,"n.a.",E30/(K30*10))</x:f>
        <x:v>10</x:v>
      </x:c>
      <x:c r="M30" s="11" t="n">
        <x:v>125.13333333333334</x:v>
      </x:c>
    </x:row>
    <x:row r="31" ht="25" customHeight="1">
      <x:c r="A31" s="2" t="str">
        <x:v>2026-10-26_Night</x:v>
      </x:c>
      <x:c r="B31" s="2" t="str">
        <x:v>後7夜</x:v>
      </x:c>
      <x:c r="C31" s="6" t="n">
        <x:v>41500</x:v>
      </x:c>
      <x:c r="D31" s="6" t="n">
        <x:v>75000</x:v>
      </x:c>
      <x:c r="E31" s="6" t="n">
        <x:f>C31-D31</x:f>
        <x:v>-33500</x:v>
      </x:c>
      <x:c r="F31" s="6" t="n">
        <x:f>F30+E31</x:f>
        <x:v>379500</x:v>
      </x:c>
      <x:c r="G31" s="6" t="n">
        <x:v>-33500</x:v>
      </x:c>
      <x:c r="H31" s="6" t="n">
        <x:v>69000</x:v>
      </x:c>
      <x:c r="I31" s="9" t="n">
        <x:v>11</x:v>
      </x:c>
      <x:c r="J31" s="9" t="n">
        <x:f>IF(I31=0,1,0)</x:f>
        <x:v>0</x:v>
      </x:c>
      <x:c r="K31" s="9" t="n">
        <x:v>145</x:v>
      </x:c>
      <x:c r="L31" s="11" t="n">
        <x:f>IF(K31=0,"n.a.",E31/(K31*10))</x:f>
        <x:v>-23.103448275862068</x:v>
      </x:c>
      <x:c r="M31" s="11" t="n">
        <x:v>182.6</x:v>
      </x:c>
    </x:row>
    <x:row r="32" ht="25" customHeight="1">
      <x:c r="A32" s="2" t="str">
        <x:v>2026-10-27_Night</x:v>
      </x:c>
      <x:c r="B32" s="2" t="str">
        <x:v>後7夜</x:v>
      </x:c>
      <x:c r="C32" s="6" t="n">
        <x:v>4000</x:v>
      </x:c>
      <x:c r="D32" s="6" t="n">
        <x:v>500</x:v>
      </x:c>
      <x:c r="E32" s="6" t="n">
        <x:f>C32-D32</x:f>
        <x:v>3500</x:v>
      </x:c>
      <x:c r="F32" s="6" t="n">
        <x:f>F31+E32</x:f>
        <x:v>383000</x:v>
      </x:c>
      <x:c r="G32" s="6" t="n">
        <x:v>-3000</x:v>
      </x:c>
      <x:c r="H32" s="6" t="n">
        <x:v>12000</x:v>
      </x:c>
      <x:c r="I32" s="9" t="n">
        <x:v>2</x:v>
      </x:c>
      <x:c r="J32" s="9" t="n">
        <x:f>IF(I32=0,1,0)</x:f>
        <x:v>0</x:v>
      </x:c>
      <x:c r="K32" s="9" t="n">
        <x:v>15</x:v>
      </x:c>
      <x:c r="L32" s="11" t="n">
        <x:f>IF(K32=0,"n.a.",E32/(K32*10))</x:f>
        <x:v>23.333333333333332</x:v>
      </x:c>
      <x:c r="M32" s="11" t="n">
        <x:v>41.06666666666667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1234000</x:v>
      </x:c>
      <x:c r="D33" s="8" t="n">
        <x:f>SUM(D6:D32)</x:f>
        <x:v>851000</x:v>
      </x:c>
      <x:c r="E33" s="8" t="n">
        <x:f>C33-D33</x:f>
        <x:v>383000</x:v>
      </x:c>
      <x:c r="F33" s="8" t="n">
        <x:f>F32</x:f>
        <x:v>383000</x:v>
      </x:c>
      <x:c r="G33" s="8" t="n">
        <x:f>MIN(G6:G32)</x:f>
        <x:v>-53000</x:v>
      </x:c>
      <x:c r="H33" s="8" t="n">
        <x:f>MAX(H6:H32)</x:f>
        <x:v>85000</x:v>
      </x:c>
      <x:c r="I33" s="10" t="n">
        <x:f>SUM(I6:I32)</x:f>
        <x:v>147</x:v>
      </x:c>
      <x:c r="J33" s="10" t="n">
        <x:f>SUM(J6:J32)</x:f>
        <x:v>0</x:v>
      </x:c>
      <x:c r="K33" s="10" t="n">
        <x:f>SUM(K6:K32)</x:f>
        <x:v>2725</x:v>
      </x:c>
      <x:c r="L33" s="12" t="n">
        <x:f>IF(K33=0,"n.a.",E33/(K33*10))</x:f>
        <x:v>14.055045871559633</x:v>
      </x:c>
      <x:c r="M33" s="12" t="n">
        <x:f>SUM(M6:M32)</x:f>
        <x:v>3916.316666666666</x:v>
      </x:c>
    </x:row>
  </x:sheetData>
  <x:conditionalFormatting sqref="E6:G32">
    <x:cfRule type="cellIs" dxfId="12" priority="1" operator="lessThan">
      <x:formula>0</x:formula>
    </x:cfRule>
  </x:conditionalFormatting>
  <x:conditionalFormatting sqref="L6:L32">
    <x:cfRule type="cellIs" dxfId="1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c628f232a74be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NK225_U165_07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反対板で初回を見送り、同方向の板が続く時だけ追撃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45000</x:v>
      </x:c>
      <x:c r="E6" s="6" t="n">
        <x:f>C6-D6</x:f>
        <x:v>-45000</x:v>
      </x:c>
      <x:c r="F6" s="6" t="n">
        <x:f>E6</x:f>
        <x:v>-45000</x:v>
      </x:c>
      <x:c r="G6" s="6" t="n">
        <x:v>-45000</x:v>
      </x:c>
      <x:c r="H6" s="6" t="n">
        <x:v>65000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-90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32000</x:v>
      </x:c>
      <x:c r="D7" s="6" t="n">
        <x:v>8000</x:v>
      </x:c>
      <x:c r="E7" s="6" t="n">
        <x:f>C7-D7</x:f>
        <x:v>24000</x:v>
      </x:c>
      <x:c r="F7" s="6" t="n">
        <x:f>F6+E7</x:f>
        <x:v>-21000</x:v>
      </x:c>
      <x:c r="G7" s="6" t="n">
        <x:v>-35000</x:v>
      </x:c>
      <x:c r="H7" s="6" t="n">
        <x:v>50000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48</x:v>
      </x:c>
      <x:c r="M7" s="11" t="n">
        <x:v>39.95</x:v>
      </x:c>
    </x:row>
    <x:row r="8" ht="25" customHeight="1">
      <x:c r="A8" s="2" t="str">
        <x:v>2026-09-23_Night</x:v>
      </x:c>
      <x:c r="B8" s="2" t="str">
        <x:v>前20夜</x:v>
      </x:c>
      <x:c r="C8" s="6" t="n">
        <x:v>5000</x:v>
      </x:c>
      <x:c r="D8" s="6" t="n">
        <x:v>41000</x:v>
      </x:c>
      <x:c r="E8" s="6" t="n">
        <x:f>C8-D8</x:f>
        <x:v>-36000</x:v>
      </x:c>
      <x:c r="F8" s="6" t="n">
        <x:f>F7+E8</x:f>
        <x:v>-57000</x:v>
      </x:c>
      <x:c r="G8" s="6" t="n">
        <x:v>-44000</x:v>
      </x:c>
      <x:c r="H8" s="6" t="n">
        <x:v>44000</x:v>
      </x:c>
      <x:c r="I8" s="9" t="n">
        <x:v>3</x:v>
      </x:c>
      <x:c r="J8" s="9" t="n">
        <x:f>IF(I8=0,1,0)</x:f>
        <x:v>0</x:v>
      </x:c>
      <x:c r="K8" s="9" t="n">
        <x:v>70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16000</x:v>
      </x:c>
      <x:c r="D9" s="6" t="n">
        <x:v>0</x:v>
      </x:c>
      <x:c r="E9" s="6" t="n">
        <x:f>C9-D9</x:f>
        <x:v>16000</x:v>
      </x:c>
      <x:c r="F9" s="6" t="n">
        <x:f>F8+E9</x:f>
        <x:v>-41000</x:v>
      </x:c>
      <x:c r="G9" s="6" t="n">
        <x:v>-3000</x:v>
      </x:c>
      <x:c r="H9" s="6" t="n">
        <x:v>24000</x:v>
      </x:c>
      <x:c r="I9" s="9" t="n">
        <x:v>1</x:v>
      </x:c>
      <x:c r="J9" s="9" t="n">
        <x:f>IF(I9=0,1,0)</x:f>
        <x:v>0</x:v>
      </x:c>
      <x:c r="K9" s="9" t="n">
        <x:v>10</x:v>
      </x:c>
      <x:c r="L9" s="11" t="n">
        <x:f>IF(K9=0,"n.a.",E9/(K9*10))</x:f>
        <x:v>160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17000</x:v>
      </x:c>
      <x:c r="D10" s="6" t="n">
        <x:v>16000</x:v>
      </x:c>
      <x:c r="E10" s="6" t="n">
        <x:f>C10-D10</x:f>
        <x:v>1000</x:v>
      </x:c>
      <x:c r="F10" s="6" t="n">
        <x:f>F9+E10</x:f>
        <x:v>-40000</x:v>
      </x:c>
      <x:c r="G10" s="6" t="n">
        <x:v>-16000</x:v>
      </x:c>
      <x:c r="H10" s="6" t="n">
        <x:v>24000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1.6666666666666667</x:v>
      </x:c>
      <x:c r="M10" s="11" t="n">
        <x:v>22.233333333333334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10000</x:v>
      </x:c>
      <x:c r="D11" s="6" t="n">
        <x:v>9000</x:v>
      </x:c>
      <x:c r="E11" s="6" t="n">
        <x:f>C11-D11</x:f>
        <x:v>1000</x:v>
      </x:c>
      <x:c r="F11" s="6" t="n">
        <x:f>F10+E11</x:f>
        <x:v>-39000</x:v>
      </x:c>
      <x:c r="G11" s="6" t="n">
        <x:v>-10000</x:v>
      </x:c>
      <x:c r="H11" s="6" t="n">
        <x:v>30000</x:v>
      </x:c>
      <x:c r="I11" s="9" t="n">
        <x:v>2</x:v>
      </x:c>
      <x:c r="J11" s="9" t="n">
        <x:f>IF(I11=0,1,0)</x:f>
        <x:v>0</x:v>
      </x:c>
      <x:c r="K11" s="9" t="n">
        <x:v>30</x:v>
      </x:c>
      <x:c r="L11" s="11" t="n">
        <x:f>IF(K11=0,"n.a.",E11/(K11*10))</x:f>
        <x:v>3.3333333333333335</x:v>
      </x:c>
      <x:c r="M11" s="11" t="n">
        <x:v>10.183333333333334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23000</x:v>
      </x:c>
      <x:c r="D12" s="6" t="n">
        <x:v>25000</x:v>
      </x:c>
      <x:c r="E12" s="6" t="n">
        <x:f>C12-D12</x:f>
        <x:v>-2000</x:v>
      </x:c>
      <x:c r="F12" s="6" t="n">
        <x:f>F11+E12</x:f>
        <x:v>-41000</x:v>
      </x:c>
      <x:c r="G12" s="6" t="n">
        <x:v>-23000</x:v>
      </x:c>
      <x:c r="H12" s="6" t="n">
        <x:v>34000</x:v>
      </x:c>
      <x:c r="I12" s="9" t="n">
        <x:v>4</x:v>
      </x:c>
      <x:c r="J12" s="9" t="n">
        <x:f>IF(I12=0,1,0)</x:f>
        <x:v>0</x:v>
      </x:c>
      <x:c r="K12" s="9" t="n">
        <x:v>80</x:v>
      </x:c>
      <x:c r="L12" s="11" t="n">
        <x:f>IF(K12=0,"n.a.",E12/(K12*10))</x:f>
        <x:v>-2.5</x:v>
      </x:c>
      <x:c r="M12" s="11" t="n">
        <x:v>191.63333333333333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49000</x:v>
      </x:c>
      <x:c r="D13" s="6" t="n">
        <x:v>0</x:v>
      </x:c>
      <x:c r="E13" s="6" t="n">
        <x:f>C13-D13</x:f>
        <x:v>49000</x:v>
      </x:c>
      <x:c r="F13" s="6" t="n">
        <x:f>F12+E13</x:f>
        <x:v>8000</x:v>
      </x:c>
      <x:c r="G13" s="6" t="n">
        <x:v>-21000</x:v>
      </x:c>
      <x:c r="H13" s="6" t="n">
        <x:v>50000</x:v>
      </x:c>
      <x:c r="I13" s="9" t="n">
        <x:v>2</x:v>
      </x:c>
      <x:c r="J13" s="9" t="n">
        <x:f>IF(I13=0,1,0)</x:f>
        <x:v>0</x:v>
      </x:c>
      <x:c r="K13" s="9" t="n">
        <x:v>60</x:v>
      </x:c>
      <x:c r="L13" s="11" t="n">
        <x:f>IF(K13=0,"n.a.",E13/(K13*10))</x:f>
        <x:v>81.66666666666667</x:v>
      </x:c>
      <x:c r="M13" s="11" t="n">
        <x:v>35.833333333333336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190000</x:v>
      </x:c>
      <x:c r="D14" s="6" t="n">
        <x:v>54000</x:v>
      </x:c>
      <x:c r="E14" s="6" t="n">
        <x:f>C14-D14</x:f>
        <x:v>136000</x:v>
      </x:c>
      <x:c r="F14" s="6" t="n">
        <x:f>F13+E14</x:f>
        <x:v>144000</x:v>
      </x:c>
      <x:c r="G14" s="6" t="n">
        <x:v>-23000</x:v>
      </x:c>
      <x:c r="H14" s="6" t="n">
        <x:v>107000</x:v>
      </x:c>
      <x:c r="I14" s="9" t="n">
        <x:v>7</x:v>
      </x:c>
      <x:c r="J14" s="9" t="n">
        <x:f>IF(I14=0,1,0)</x:f>
        <x:v>0</x:v>
      </x:c>
      <x:c r="K14" s="9" t="n">
        <x:v>120</x:v>
      </x:c>
      <x:c r="L14" s="11" t="n">
        <x:f>IF(K14=0,"n.a.",E14/(K14*10))</x:f>
        <x:v>113.33333333333333</x:v>
      </x:c>
      <x:c r="M14" s="11" t="n">
        <x:v>336.48333333333335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293000</x:v>
      </x:c>
      <x:c r="D15" s="6" t="n">
        <x:v>48000</x:v>
      </x:c>
      <x:c r="E15" s="6" t="n">
        <x:f>C15-D15</x:f>
        <x:v>245000</x:v>
      </x:c>
      <x:c r="F15" s="6" t="n">
        <x:f>F14+E15</x:f>
        <x:v>389000</x:v>
      </x:c>
      <x:c r="G15" s="6" t="n">
        <x:v>-25000</x:v>
      </x:c>
      <x:c r="H15" s="6" t="n">
        <x:v>144000</x:v>
      </x:c>
      <x:c r="I15" s="9" t="n">
        <x:v>12</x:v>
      </x:c>
      <x:c r="J15" s="9" t="n">
        <x:f>IF(I15=0,1,0)</x:f>
        <x:v>0</x:v>
      </x:c>
      <x:c r="K15" s="9" t="n">
        <x:v>250</x:v>
      </x:c>
      <x:c r="L15" s="11" t="n">
        <x:f>IF(K15=0,"n.a.",E15/(K15*10))</x:f>
        <x:v>98</x:v>
      </x:c>
      <x:c r="M15" s="11" t="n">
        <x:v>343.8333333333333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98000</x:v>
      </x:c>
      <x:c r="D16" s="6" t="n">
        <x:v>64000</x:v>
      </x:c>
      <x:c r="E16" s="6" t="n">
        <x:f>C16-D16</x:f>
        <x:v>34000</x:v>
      </x:c>
      <x:c r="F16" s="6" t="n">
        <x:f>F15+E16</x:f>
        <x:v>423000</x:v>
      </x:c>
      <x:c r="G16" s="6" t="n">
        <x:v>-38000</x:v>
      </x:c>
      <x:c r="H16" s="6" t="n">
        <x:v>128000</x:v>
      </x:c>
      <x:c r="I16" s="9" t="n">
        <x:v>7</x:v>
      </x:c>
      <x:c r="J16" s="9" t="n">
        <x:f>IF(I16=0,1,0)</x:f>
        <x:v>0</x:v>
      </x:c>
      <x:c r="K16" s="9" t="n">
        <x:v>140</x:v>
      </x:c>
      <x:c r="L16" s="11" t="n">
        <x:f>IF(K16=0,"n.a.",E16/(K16*10))</x:f>
        <x:v>24.285714285714285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27000</x:v>
      </x:c>
      <x:c r="D17" s="6" t="n">
        <x:v>35000</x:v>
      </x:c>
      <x:c r="E17" s="6" t="n">
        <x:f>C17-D17</x:f>
        <x:v>-8000</x:v>
      </x:c>
      <x:c r="F17" s="6" t="n">
        <x:f>F16+E17</x:f>
        <x:v>415000</x:v>
      </x:c>
      <x:c r="G17" s="6" t="n">
        <x:v>-39000</x:v>
      </x:c>
      <x:c r="H17" s="6" t="n">
        <x:v>43000</x:v>
      </x:c>
      <x:c r="I17" s="9" t="n">
        <x:v>2</x:v>
      </x:c>
      <x:c r="J17" s="9" t="n">
        <x:f>IF(I17=0,1,0)</x:f>
        <x:v>0</x:v>
      </x:c>
      <x:c r="K17" s="9" t="n">
        <x:v>60</x:v>
      </x:c>
      <x:c r="L17" s="11" t="n">
        <x:f>IF(K17=0,"n.a.",E17/(K17*10))</x:f>
        <x:v>-13.333333333333334</x:v>
      </x:c>
      <x:c r="M17" s="11" t="n">
        <x:v>325.9166666666667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8000</x:v>
      </x:c>
      <x:c r="E18" s="6" t="n">
        <x:f>C18-D18</x:f>
        <x:v>-8000</x:v>
      </x:c>
      <x:c r="F18" s="6" t="n">
        <x:f>F17+E18</x:f>
        <x:v>407000</x:v>
      </x:c>
      <x:c r="G18" s="6" t="n">
        <x:v>-9000</x:v>
      </x:c>
      <x:c r="H18" s="6" t="n">
        <x:v>15000</x:v>
      </x:c>
      <x:c r="I18" s="9" t="n">
        <x:v>1</x:v>
      </x:c>
      <x:c r="J18" s="9" t="n">
        <x:f>IF(I18=0,1,0)</x:f>
        <x:v>0</x:v>
      </x:c>
      <x:c r="K18" s="9" t="n">
        <x:v>10</x:v>
      </x:c>
      <x:c r="L18" s="11" t="n">
        <x:f>IF(K18=0,"n.a.",E18/(K18*10))</x:f>
        <x:v>-80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318000</x:v>
      </x:c>
      <x:c r="D19" s="6" t="n">
        <x:v>4000</x:v>
      </x:c>
      <x:c r="E19" s="6" t="n">
        <x:f>C19-D19</x:f>
        <x:v>314000</x:v>
      </x:c>
      <x:c r="F19" s="6" t="n">
        <x:f>F18+E19</x:f>
        <x:v>721000</x:v>
      </x:c>
      <x:c r="G19" s="6" t="n">
        <x:v>-42000</x:v>
      </x:c>
      <x:c r="H19" s="6" t="n">
        <x:v>92000</x:v>
      </x:c>
      <x:c r="I19" s="9" t="n">
        <x:v>11</x:v>
      </x:c>
      <x:c r="J19" s="9" t="n">
        <x:f>IF(I19=0,1,0)</x:f>
        <x:v>0</x:v>
      </x:c>
      <x:c r="K19" s="9" t="n">
        <x:v>230</x:v>
      </x:c>
      <x:c r="L19" s="11" t="n">
        <x:f>IF(K19=0,"n.a.",E19/(K19*10))</x:f>
        <x:v>136.52173913043478</x:v>
      </x:c>
      <x:c r="M19" s="11" t="n">
        <x:v>188.45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721000</x:v>
      </x:c>
      <x:c r="G20" s="6" t="n">
        <x:v>0</x:v>
      </x:c>
      <x:c r="H20" s="6" t="n">
        <x:v>0</x:v>
      </x:c>
      <x:c r="I20" s="9" t="n">
        <x:v>0</x:v>
      </x:c>
      <x:c r="J20" s="9" t="n">
        <x:f>IF(I20=0,1,0)</x:f>
        <x:v>1</x:v>
      </x:c>
      <x:c r="K20" s="9" t="n">
        <x:v>0</x:v>
      </x:c>
      <x:c r="L20" s="11" t="str">
        <x:f>IF(K20=0,"n.a.",E20/(K20*10))</x:f>
        <x:v>n.a.</x:v>
      </x:c>
      <x:c r="M20" s="11" t="n">
        <x:v>0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82000</x:v>
      </x:c>
      <x:c r="D21" s="6" t="n">
        <x:v>0</x:v>
      </x:c>
      <x:c r="E21" s="6" t="n">
        <x:f>C21-D21</x:f>
        <x:v>82000</x:v>
      </x:c>
      <x:c r="F21" s="6" t="n">
        <x:f>F20+E21</x:f>
        <x:v>803000</x:v>
      </x:c>
      <x:c r="G21" s="6" t="n">
        <x:v>-10000</x:v>
      </x:c>
      <x:c r="H21" s="6" t="n">
        <x:v>33000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164</x:v>
      </x:c>
      <x:c r="M21" s="11" t="n">
        <x:v>58.36666666666667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53000</x:v>
      </x:c>
      <x:c r="E22" s="6" t="n">
        <x:f>C22-D22</x:f>
        <x:v>-53000</x:v>
      </x:c>
      <x:c r="F22" s="6" t="n">
        <x:f>F21+E22</x:f>
        <x:v>750000</x:v>
      </x:c>
      <x:c r="G22" s="6" t="n">
        <x:v>-53000</x:v>
      </x:c>
      <x:c r="H22" s="6" t="n">
        <x:v>58000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-88.33333333333333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197000</x:v>
      </x:c>
      <x:c r="D23" s="6" t="n">
        <x:v>39000</x:v>
      </x:c>
      <x:c r="E23" s="6" t="n">
        <x:f>C23-D23</x:f>
        <x:v>158000</x:v>
      </x:c>
      <x:c r="F23" s="6" t="n">
        <x:f>F22+E23</x:f>
        <x:v>908000</x:v>
      </x:c>
      <x:c r="G23" s="6" t="n">
        <x:v>-64000</x:v>
      </x:c>
      <x:c r="H23" s="6" t="n">
        <x:v>66000</x:v>
      </x:c>
      <x:c r="I23" s="9" t="n">
        <x:v>3</x:v>
      </x:c>
      <x:c r="J23" s="9" t="n">
        <x:f>IF(I23=0,1,0)</x:f>
        <x:v>0</x:v>
      </x:c>
      <x:c r="K23" s="9" t="n">
        <x:v>80</x:v>
      </x:c>
      <x:c r="L23" s="11" t="n">
        <x:f>IF(K23=0,"n.a.",E23/(K23*10))</x:f>
        <x:v>197.5</x:v>
      </x:c>
      <x:c r="M23" s="11" t="n">
        <x:v>232.9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86000</x:v>
      </x:c>
      <x:c r="D24" s="6" t="n">
        <x:v>47000</x:v>
      </x:c>
      <x:c r="E24" s="6" t="n">
        <x:f>C24-D24</x:f>
        <x:v>39000</x:v>
      </x:c>
      <x:c r="F24" s="6" t="n">
        <x:f>F23+E24</x:f>
        <x:v>947000</x:v>
      </x:c>
      <x:c r="G24" s="6" t="n">
        <x:v>-48000</x:v>
      </x:c>
      <x:c r="H24" s="6" t="n">
        <x:v>90000</x:v>
      </x:c>
      <x:c r="I24" s="9" t="n">
        <x:v>6</x:v>
      </x:c>
      <x:c r="J24" s="9" t="n">
        <x:f>IF(I24=0,1,0)</x:f>
        <x:v>0</x:v>
      </x:c>
      <x:c r="K24" s="9" t="n">
        <x:v>70</x:v>
      </x:c>
      <x:c r="L24" s="11" t="n">
        <x:f>IF(K24=0,"n.a.",E24/(K24*10))</x:f>
        <x:v>55.714285714285715</x:v>
      </x:c>
      <x:c r="M24" s="11" t="n">
        <x:v>308.9166666666667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161000</x:v>
      </x:c>
      <x:c r="D25" s="6" t="n">
        <x:v>109000</x:v>
      </x:c>
      <x:c r="E25" s="6" t="n">
        <x:f>C25-D25</x:f>
        <x:v>52000</x:v>
      </x:c>
      <x:c r="F25" s="6" t="n">
        <x:f>F24+E25</x:f>
        <x:v>999000</x:v>
      </x:c>
      <x:c r="G25" s="6" t="n">
        <x:v>-70000</x:v>
      </x:c>
      <x:c r="H25" s="6" t="n">
        <x:v>121000</x:v>
      </x:c>
      <x:c r="I25" s="9" t="n">
        <x:v>10</x:v>
      </x:c>
      <x:c r="J25" s="9" t="n">
        <x:f>IF(I25=0,1,0)</x:f>
        <x:v>0</x:v>
      </x:c>
      <x:c r="K25" s="9" t="n">
        <x:v>220</x:v>
      </x:c>
      <x:c r="L25" s="11" t="n">
        <x:f>IF(K25=0,"n.a.",E25/(K25*10))</x:f>
        <x:v>23.636363636363637</x:v>
      </x:c>
      <x:c r="M25" s="11" t="n">
        <x:v>241.96666666666667</x:v>
      </x:c>
    </x:row>
    <x:row r="26" ht="25" customHeight="1">
      <x:c r="A26" s="2" t="str">
        <x:v>2026-10-19_Night</x:v>
      </x:c>
      <x:c r="B26" s="2" t="str">
        <x:v>後7夜</x:v>
      </x:c>
      <x:c r="C26" s="6" t="n">
        <x:v>91000</x:v>
      </x:c>
      <x:c r="D26" s="6" t="n">
        <x:v>98000</x:v>
      </x:c>
      <x:c r="E26" s="6" t="n">
        <x:f>C26-D26</x:f>
        <x:v>-7000</x:v>
      </x:c>
      <x:c r="F26" s="6" t="n">
        <x:f>F25+E26</x:f>
        <x:v>992000</x:v>
      </x:c>
      <x:c r="G26" s="6" t="n">
        <x:v>-67000</x:v>
      </x:c>
      <x:c r="H26" s="6" t="n">
        <x:v>93000</x:v>
      </x:c>
      <x:c r="I26" s="9" t="n">
        <x:v>10</x:v>
      </x:c>
      <x:c r="J26" s="9" t="n">
        <x:f>IF(I26=0,1,0)</x:f>
        <x:v>0</x:v>
      </x:c>
      <x:c r="K26" s="9" t="n">
        <x:v>190</x:v>
      </x:c>
      <x:c r="L26" s="11" t="n">
        <x:f>IF(K26=0,"n.a.",E26/(K26*10))</x:f>
        <x:v>-3.6842105263157894</x:v>
      </x:c>
      <x:c r="M26" s="11" t="n">
        <x:v>221.13333333333333</x:v>
      </x:c>
    </x:row>
    <x:row r="27" ht="25" customHeight="1">
      <x:c r="A27" s="2" t="str">
        <x:v>2026-10-20_Night</x:v>
      </x:c>
      <x:c r="B27" s="2" t="str">
        <x:v>後7夜</x:v>
      </x:c>
      <x:c r="C27" s="6" t="n">
        <x:v>19000</x:v>
      </x:c>
      <x:c r="D27" s="6" t="n">
        <x:v>24000</x:v>
      </x:c>
      <x:c r="E27" s="6" t="n">
        <x:f>C27-D27</x:f>
        <x:v>-5000</x:v>
      </x:c>
      <x:c r="F27" s="6" t="n">
        <x:f>F26+E27</x:f>
        <x:v>987000</x:v>
      </x:c>
      <x:c r="G27" s="6" t="n">
        <x:v>-8000</x:v>
      </x:c>
      <x:c r="H27" s="6" t="n">
        <x:v>34000</x:v>
      </x:c>
      <x:c r="I27" s="9" t="n">
        <x:v>2</x:v>
      </x:c>
      <x:c r="J27" s="9" t="n">
        <x:f>IF(I27=0,1,0)</x:f>
        <x:v>0</x:v>
      </x:c>
      <x:c r="K27" s="9" t="n">
        <x:v>30</x:v>
      </x:c>
      <x:c r="L27" s="11" t="n">
        <x:f>IF(K27=0,"n.a.",E27/(K27*10))</x:f>
        <x:v>-16.666666666666668</x:v>
      </x:c>
      <x:c r="M27" s="11" t="n">
        <x:v>327.4166666666667</x:v>
      </x:c>
    </x:row>
    <x:row r="28" ht="25" customHeight="1">
      <x:c r="A28" s="2" t="str">
        <x:v>2026-10-21_Night</x:v>
      </x:c>
      <x:c r="B28" s="2" t="str">
        <x:v>後7夜</x:v>
      </x:c>
      <x:c r="C28" s="6" t="n">
        <x:v>38000</x:v>
      </x:c>
      <x:c r="D28" s="6" t="n">
        <x:v>40000</x:v>
      </x:c>
      <x:c r="E28" s="6" t="n">
        <x:f>C28-D28</x:f>
        <x:v>-2000</x:v>
      </x:c>
      <x:c r="F28" s="6" t="n">
        <x:f>F27+E28</x:f>
        <x:v>985000</x:v>
      </x:c>
      <x:c r="G28" s="6" t="n">
        <x:v>-50000</x:v>
      </x:c>
      <x:c r="H28" s="6" t="n">
        <x:v>92000</x:v>
      </x:c>
      <x:c r="I28" s="9" t="n">
        <x:v>2</x:v>
      </x:c>
      <x:c r="J28" s="9" t="n">
        <x:f>IF(I28=0,1,0)</x:f>
        <x:v>0</x:v>
      </x:c>
      <x:c r="K28" s="9" t="n">
        <x:v>100</x:v>
      </x:c>
      <x:c r="L28" s="11" t="n">
        <x:f>IF(K28=0,"n.a.",E28/(K28*10))</x:f>
        <x:v>-2</x:v>
      </x:c>
      <x:c r="M28" s="11" t="n">
        <x:v>41.5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143000</x:v>
      </x:c>
      <x:c r="D29" s="6" t="n">
        <x:v>0</x:v>
      </x:c>
      <x:c r="E29" s="6" t="n">
        <x:f>C29-D29</x:f>
        <x:v>143000</x:v>
      </x:c>
      <x:c r="F29" s="6" t="n">
        <x:f>F28+E29</x:f>
        <x:v>1128000</x:v>
      </x:c>
      <x:c r="G29" s="6" t="n">
        <x:v>-2000</x:v>
      </x:c>
      <x:c r="H29" s="6" t="n">
        <x:v>64000</x:v>
      </x:c>
      <x:c r="I29" s="9" t="n">
        <x:v>2</x:v>
      </x:c>
      <x:c r="J29" s="9" t="n">
        <x:f>IF(I29=0,1,0)</x:f>
        <x:v>0</x:v>
      </x:c>
      <x:c r="K29" s="9" t="n">
        <x:v>60</x:v>
      </x:c>
      <x:c r="L29" s="11" t="n">
        <x:f>IF(K29=0,"n.a.",E29/(K29*10))</x:f>
        <x:v>238.33333333333334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49000</x:v>
      </x:c>
      <x:c r="D30" s="6" t="n">
        <x:v>17000</x:v>
      </x:c>
      <x:c r="E30" s="6" t="n">
        <x:f>C30-D30</x:f>
        <x:v>32000</x:v>
      </x:c>
      <x:c r="F30" s="6" t="n">
        <x:f>F29+E30</x:f>
        <x:v>1160000</x:v>
      </x:c>
      <x:c r="G30" s="6" t="n">
        <x:v>-30000</x:v>
      </x:c>
      <x:c r="H30" s="6" t="n">
        <x:v>77000</x:v>
      </x:c>
      <x:c r="I30" s="9" t="n">
        <x:v>5</x:v>
      </x:c>
      <x:c r="J30" s="9" t="n">
        <x:f>IF(I30=0,1,0)</x:f>
        <x:v>0</x:v>
      </x:c>
      <x:c r="K30" s="9" t="n">
        <x:v>100</x:v>
      </x:c>
      <x:c r="L30" s="11" t="n">
        <x:f>IF(K30=0,"n.a.",E30/(K30*10))</x:f>
        <x:v>32</x:v>
      </x:c>
      <x:c r="M30" s="11" t="n">
        <x:v>335.15</x:v>
      </x:c>
    </x:row>
    <x:row r="31" ht="25" customHeight="1">
      <x:c r="A31" s="2" t="str">
        <x:v>2026-10-26_Night</x:v>
      </x:c>
      <x:c r="B31" s="2" t="str">
        <x:v>後7夜</x:v>
      </x:c>
      <x:c r="C31" s="6" t="n">
        <x:v>47000</x:v>
      </x:c>
      <x:c r="D31" s="6" t="n">
        <x:v>115000</x:v>
      </x:c>
      <x:c r="E31" s="6" t="n">
        <x:f>C31-D31</x:f>
        <x:v>-68000</x:v>
      </x:c>
      <x:c r="F31" s="6" t="n">
        <x:f>F30+E31</x:f>
        <x:v>1092000</x:v>
      </x:c>
      <x:c r="G31" s="6" t="n">
        <x:v>-68000</x:v>
      </x:c>
      <x:c r="H31" s="6" t="n">
        <x:v>89000</x:v>
      </x:c>
      <x:c r="I31" s="9" t="n">
        <x:v>8</x:v>
      </x:c>
      <x:c r="J31" s="9" t="n">
        <x:f>IF(I31=0,1,0)</x:f>
        <x:v>0</x:v>
      </x:c>
      <x:c r="K31" s="9" t="n">
        <x:v>130</x:v>
      </x:c>
      <x:c r="L31" s="11" t="n">
        <x:f>IF(K31=0,"n.a.",E31/(K31*10))</x:f>
        <x:v>-52.30769230769231</x:v>
      </x:c>
      <x:c r="M31" s="11" t="n">
        <x:v>180.48333333333332</x:v>
      </x:c>
    </x:row>
    <x:row r="32" ht="25" customHeight="1">
      <x:c r="A32" s="2" t="str">
        <x:v>2026-10-27_Night</x:v>
      </x:c>
      <x:c r="B32" s="2" t="str">
        <x:v>後7夜</x:v>
      </x:c>
      <x:c r="C32" s="6" t="n">
        <x:v>8000</x:v>
      </x:c>
      <x:c r="D32" s="6" t="n">
        <x:v>0</x:v>
      </x:c>
      <x:c r="E32" s="6" t="n">
        <x:f>C32-D32</x:f>
        <x:v>8000</x:v>
      </x:c>
      <x:c r="F32" s="6" t="n">
        <x:f>F31+E32</x:f>
        <x:v>1100000</x:v>
      </x:c>
      <x:c r="G32" s="6" t="n">
        <x:v>-3000</x:v>
      </x:c>
      <x:c r="H32" s="6" t="n">
        <x:v>24000</x:v>
      </x:c>
      <x:c r="I32" s="9" t="n">
        <x:v>2</x:v>
      </x:c>
      <x:c r="J32" s="9" t="n">
        <x:f>IF(I32=0,1,0)</x:f>
        <x:v>0</x:v>
      </x:c>
      <x:c r="K32" s="9" t="n">
        <x:v>20</x:v>
      </x:c>
      <x:c r="L32" s="11" t="n">
        <x:f>IF(K32=0,"n.a.",E32/(K32*10))</x:f>
        <x:v>40</x:v>
      </x:c>
      <x:c r="M32" s="11" t="n">
        <x:v>41.06666666666667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1999000</x:v>
      </x:c>
      <x:c r="D33" s="8" t="n">
        <x:f>SUM(D6:D32)</x:f>
        <x:v>899000</x:v>
      </x:c>
      <x:c r="E33" s="8" t="n">
        <x:f>C33-D33</x:f>
        <x:v>1100000</x:v>
      </x:c>
      <x:c r="F33" s="8" t="n">
        <x:f>F32</x:f>
        <x:v>1100000</x:v>
      </x:c>
      <x:c r="G33" s="8" t="n">
        <x:f>MIN(G6:G32)</x:f>
        <x:v>-70000</x:v>
      </x:c>
      <x:c r="H33" s="8" t="n">
        <x:f>MAX(H6:H32)</x:f>
        <x:v>144000</x:v>
      </x:c>
      <x:c r="I33" s="10" t="n">
        <x:f>SUM(I6:I32)</x:f>
        <x:v>109</x:v>
      </x:c>
      <x:c r="J33" s="10" t="n">
        <x:f>SUM(J6:J32)</x:f>
        <x:v>1</x:v>
      </x:c>
      <x:c r="K33" s="10" t="n">
        <x:f>SUM(K6:K32)</x:f>
        <x:v>2330</x:v>
      </x:c>
      <x:c r="L33" s="12" t="n">
        <x:f>IF(K33=0,"n.a.",E33/(K33*10))</x:f>
        <x:v>47.21030042918455</x:v>
      </x:c>
      <x:c r="M33" s="12" t="n">
        <x:f>SUM(M6:M32)</x:f>
        <x:v>3924.9499999999994</x:v>
      </x:c>
    </x:row>
  </x:sheetData>
  <x:conditionalFormatting sqref="E6:G32">
    <x:cfRule type="cellIs" dxfId="14" priority="1" operator="lessThan">
      <x:formula>0</x:formula>
    </x:cfRule>
  </x:conditionalFormatting>
  <x:conditionalFormatting sqref="L6:L32">
    <x:cfRule type="cellIs" dxfId="1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4393712fd143d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NK225_U165_08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反対板で初回見送り・追撃抑制、利益残玉の返済と逆行半減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2500</x:v>
      </x:c>
      <x:c r="D6" s="6" t="n">
        <x:v>22500</x:v>
      </x:c>
      <x:c r="E6" s="6" t="n">
        <x:f>C6-D6</x:f>
        <x:v>-20000</x:v>
      </x:c>
      <x:c r="F6" s="6" t="n">
        <x:f>E6</x:f>
        <x:v>-20000</x:v>
      </x:c>
      <x:c r="G6" s="6" t="n">
        <x:v>-20000</x:v>
      </x:c>
      <x:c r="H6" s="6" t="n">
        <x:v>40000</x:v>
      </x:c>
      <x:c r="I6" s="9" t="n">
        <x:v>1</x:v>
      </x:c>
      <x:c r="J6" s="9" t="n">
        <x:f>IF(I6=0,1,0)</x:f>
        <x:v>0</x:v>
      </x:c>
      <x:c r="K6" s="9" t="n">
        <x:v>50</x:v>
      </x:c>
      <x:c r="L6" s="11" t="n">
        <x:f>IF(K6=0,"n.a.",E6/(K6*10))</x:f>
        <x:v>-40</x:v>
      </x:c>
      <x:c r="M6" s="11" t="n">
        <x:v>5.666666666666667</x:v>
      </x:c>
    </x:row>
    <x:row r="7" ht="25" customHeight="1">
      <x:c r="A7" s="2" t="str">
        <x:v>2026-09-22_Night</x:v>
      </x:c>
      <x:c r="B7" s="2" t="str">
        <x:v>前20夜</x:v>
      </x:c>
      <x:c r="C7" s="6" t="n">
        <x:v>19000</x:v>
      </x:c>
      <x:c r="D7" s="6" t="n">
        <x:v>7500</x:v>
      </x:c>
      <x:c r="E7" s="6" t="n">
        <x:f>C7-D7</x:f>
        <x:v>11500</x:v>
      </x:c>
      <x:c r="F7" s="6" t="n">
        <x:f>F6+E7</x:f>
        <x:v>-8500</x:v>
      </x:c>
      <x:c r="G7" s="6" t="n">
        <x:v>-25000</x:v>
      </x:c>
      <x:c r="H7" s="6" t="n">
        <x:v>25000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23</x:v>
      </x:c>
      <x:c r="M7" s="11" t="n">
        <x:v>14.333333333333334</x:v>
      </x:c>
    </x:row>
    <x:row r="8" ht="25" customHeight="1">
      <x:c r="A8" s="2" t="str">
        <x:v>2026-09-23_Night</x:v>
      </x:c>
      <x:c r="B8" s="2" t="str">
        <x:v>前20夜</x:v>
      </x:c>
      <x:c r="C8" s="6" t="n">
        <x:v>2500</x:v>
      </x:c>
      <x:c r="D8" s="6" t="n">
        <x:v>36000</x:v>
      </x:c>
      <x:c r="E8" s="6" t="n">
        <x:f>C8-D8</x:f>
        <x:v>-33500</x:v>
      </x:c>
      <x:c r="F8" s="6" t="n">
        <x:f>F7+E8</x:f>
        <x:v>-42000</x:v>
      </x:c>
      <x:c r="G8" s="6" t="n">
        <x:v>-38000</x:v>
      </x:c>
      <x:c r="H8" s="6" t="n">
        <x:v>38000</x:v>
      </x:c>
      <x:c r="I8" s="9" t="n">
        <x:v>3</x:v>
      </x:c>
      <x:c r="J8" s="9" t="n">
        <x:f>IF(I8=0,1,0)</x:f>
        <x:v>0</x:v>
      </x:c>
      <x:c r="K8" s="9" t="n">
        <x:v>65</x:v>
      </x:c>
      <x:c r="L8" s="11" t="n">
        <x:f>IF(K8=0,"n.a.",E8/(K8*10))</x:f>
        <x:v>-51.53846153846154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8000</x:v>
      </x:c>
      <x:c r="D9" s="6" t="n">
        <x:v>1000</x:v>
      </x:c>
      <x:c r="E9" s="6" t="n">
        <x:f>C9-D9</x:f>
        <x:v>7000</x:v>
      </x:c>
      <x:c r="F9" s="6" t="n">
        <x:f>F8+E9</x:f>
        <x:v>-35000</x:v>
      </x:c>
      <x:c r="G9" s="6" t="n">
        <x:v>-2500</x:v>
      </x:c>
      <x:c r="H9" s="6" t="n">
        <x:v>12000</x:v>
      </x:c>
      <x:c r="I9" s="9" t="n">
        <x:v>1</x:v>
      </x:c>
      <x:c r="J9" s="9" t="n">
        <x:f>IF(I9=0,1,0)</x:f>
        <x:v>0</x:v>
      </x:c>
      <x:c r="K9" s="9" t="n">
        <x:v>10</x:v>
      </x:c>
      <x:c r="L9" s="11" t="n">
        <x:f>IF(K9=0,"n.a.",E9/(K9*10))</x:f>
        <x:v>70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10000</x:v>
      </x:c>
      <x:c r="D10" s="6" t="n">
        <x:v>15500</x:v>
      </x:c>
      <x:c r="E10" s="6" t="n">
        <x:f>C10-D10</x:f>
        <x:v>-5500</x:v>
      </x:c>
      <x:c r="F10" s="6" t="n">
        <x:f>F9+E10</x:f>
        <x:v>-40500</x:v>
      </x:c>
      <x:c r="G10" s="6" t="n">
        <x:v>-18000</x:v>
      </x:c>
      <x:c r="H10" s="6" t="n">
        <x:v>19000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-9.166666666666666</x:v>
      </x:c>
      <x:c r="M10" s="11" t="n">
        <x:v>16.833333333333332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5000</x:v>
      </x:c>
      <x:c r="D11" s="6" t="n">
        <x:v>4500</x:v>
      </x:c>
      <x:c r="E11" s="6" t="n">
        <x:f>C11-D11</x:f>
        <x:v>500</x:v>
      </x:c>
      <x:c r="F11" s="6" t="n">
        <x:f>F10+E11</x:f>
        <x:v>-40000</x:v>
      </x:c>
      <x:c r="G11" s="6" t="n">
        <x:v>-5000</x:v>
      </x:c>
      <x:c r="H11" s="6" t="n">
        <x:v>15000</x:v>
      </x:c>
      <x:c r="I11" s="9" t="n">
        <x:v>2</x:v>
      </x:c>
      <x:c r="J11" s="9" t="n">
        <x:f>IF(I11=0,1,0)</x:f>
        <x:v>0</x:v>
      </x:c>
      <x:c r="K11" s="9" t="n">
        <x:v>25</x:v>
      </x:c>
      <x:c r="L11" s="11" t="n">
        <x:f>IF(K11=0,"n.a.",E11/(K11*10))</x:f>
        <x:v>2</x:v>
      </x:c>
      <x:c r="M11" s="11" t="n">
        <x:v>10.183333333333334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14000</x:v>
      </x:c>
      <x:c r="D12" s="6" t="n">
        <x:v>15500</x:v>
      </x:c>
      <x:c r="E12" s="6" t="n">
        <x:f>C12-D12</x:f>
        <x:v>-1500</x:v>
      </x:c>
      <x:c r="F12" s="6" t="n">
        <x:f>F11+E12</x:f>
        <x:v>-41500</x:v>
      </x:c>
      <x:c r="G12" s="6" t="n">
        <x:v>-20000</x:v>
      </x:c>
      <x:c r="H12" s="6" t="n">
        <x:v>21000</x:v>
      </x:c>
      <x:c r="I12" s="9" t="n">
        <x:v>4</x:v>
      </x:c>
      <x:c r="J12" s="9" t="n">
        <x:f>IF(I12=0,1,0)</x:f>
        <x:v>0</x:v>
      </x:c>
      <x:c r="K12" s="9" t="n">
        <x:v>80</x:v>
      </x:c>
      <x:c r="L12" s="11" t="n">
        <x:f>IF(K12=0,"n.a.",E12/(K12*10))</x:f>
        <x:v>-1.875</x:v>
      </x:c>
      <x:c r="M12" s="11" t="n">
        <x:v>163.75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26500</x:v>
      </x:c>
      <x:c r="D13" s="6" t="n">
        <x:v>7000</x:v>
      </x:c>
      <x:c r="E13" s="6" t="n">
        <x:f>C13-D13</x:f>
        <x:v>19500</x:v>
      </x:c>
      <x:c r="F13" s="6" t="n">
        <x:f>F12+E13</x:f>
        <x:v>-22000</x:v>
      </x:c>
      <x:c r="G13" s="6" t="n">
        <x:v>-17500</x:v>
      </x:c>
      <x:c r="H13" s="6" t="n">
        <x:v>23000</x:v>
      </x:c>
      <x:c r="I13" s="9" t="n">
        <x:v>2</x:v>
      </x:c>
      <x:c r="J13" s="9" t="n">
        <x:f>IF(I13=0,1,0)</x:f>
        <x:v>0</x:v>
      </x:c>
      <x:c r="K13" s="9" t="n">
        <x:v>60</x:v>
      </x:c>
      <x:c r="L13" s="11" t="n">
        <x:f>IF(K13=0,"n.a.",E13/(K13*10))</x:f>
        <x:v>32.5</x:v>
      </x:c>
      <x:c r="M13" s="11" t="n">
        <x:v>33.416666666666664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102000</x:v>
      </x:c>
      <x:c r="D14" s="6" t="n">
        <x:v>33000</x:v>
      </x:c>
      <x:c r="E14" s="6" t="n">
        <x:f>C14-D14</x:f>
        <x:v>69000</x:v>
      </x:c>
      <x:c r="F14" s="6" t="n">
        <x:f>F13+E14</x:f>
        <x:v>47000</x:v>
      </x:c>
      <x:c r="G14" s="6" t="n">
        <x:v>-12000</x:v>
      </x:c>
      <x:c r="H14" s="6" t="n">
        <x:v>56500</x:v>
      </x:c>
      <x:c r="I14" s="9" t="n">
        <x:v>7</x:v>
      </x:c>
      <x:c r="J14" s="9" t="n">
        <x:f>IF(I14=0,1,0)</x:f>
        <x:v>0</x:v>
      </x:c>
      <x:c r="K14" s="9" t="n">
        <x:v>115</x:v>
      </x:c>
      <x:c r="L14" s="11" t="n">
        <x:f>IF(K14=0,"n.a.",E14/(K14*10))</x:f>
        <x:v>60</x:v>
      </x:c>
      <x:c r="M14" s="11" t="n">
        <x:v>131.5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147500</x:v>
      </x:c>
      <x:c r="D15" s="6" t="n">
        <x:v>52000</x:v>
      </x:c>
      <x:c r="E15" s="6" t="n">
        <x:f>C15-D15</x:f>
        <x:v>95500</x:v>
      </x:c>
      <x:c r="F15" s="6" t="n">
        <x:f>F14+E15</x:f>
        <x:v>142500</x:v>
      </x:c>
      <x:c r="G15" s="6" t="n">
        <x:v>-24500</x:v>
      </x:c>
      <x:c r="H15" s="6" t="n">
        <x:v>68000</x:v>
      </x:c>
      <x:c r="I15" s="9" t="n">
        <x:v>12</x:v>
      </x:c>
      <x:c r="J15" s="9" t="n">
        <x:f>IF(I15=0,1,0)</x:f>
        <x:v>0</x:v>
      </x:c>
      <x:c r="K15" s="9" t="n">
        <x:v>235</x:v>
      </x:c>
      <x:c r="L15" s="11" t="n">
        <x:f>IF(K15=0,"n.a.",E15/(K15*10))</x:f>
        <x:v>40.638297872340424</x:v>
      </x:c>
      <x:c r="M15" s="11" t="n">
        <x:v>343.65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61000</x:v>
      </x:c>
      <x:c r="D16" s="6" t="n">
        <x:v>38500</x:v>
      </x:c>
      <x:c r="E16" s="6" t="n">
        <x:f>C16-D16</x:f>
        <x:v>22500</x:v>
      </x:c>
      <x:c r="F16" s="6" t="n">
        <x:f>F15+E16</x:f>
        <x:v>165000</x:v>
      </x:c>
      <x:c r="G16" s="6" t="n">
        <x:v>-21500</x:v>
      </x:c>
      <x:c r="H16" s="6" t="n">
        <x:v>58500</x:v>
      </x:c>
      <x:c r="I16" s="9" t="n">
        <x:v>7</x:v>
      </x:c>
      <x:c r="J16" s="9" t="n">
        <x:f>IF(I16=0,1,0)</x:f>
        <x:v>0</x:v>
      </x:c>
      <x:c r="K16" s="9" t="n">
        <x:v>130</x:v>
      </x:c>
      <x:c r="L16" s="11" t="n">
        <x:f>IF(K16=0,"n.a.",E16/(K16*10))</x:f>
        <x:v>17.307692307692307</x:v>
      </x:c>
      <x:c r="M16" s="11" t="n">
        <x:v>158.21666666666667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13500</x:v>
      </x:c>
      <x:c r="D17" s="6" t="n">
        <x:v>32000</x:v>
      </x:c>
      <x:c r="E17" s="6" t="n">
        <x:f>C17-D17</x:f>
        <x:v>-18500</x:v>
      </x:c>
      <x:c r="F17" s="6" t="n">
        <x:f>F16+E17</x:f>
        <x:v>146500</x:v>
      </x:c>
      <x:c r="G17" s="6" t="n">
        <x:v>-34000</x:v>
      </x:c>
      <x:c r="H17" s="6" t="n">
        <x:v>35000</x:v>
      </x:c>
      <x:c r="I17" s="9" t="n">
        <x:v>2</x:v>
      </x:c>
      <x:c r="J17" s="9" t="n">
        <x:f>IF(I17=0,1,0)</x:f>
        <x:v>0</x:v>
      </x:c>
      <x:c r="K17" s="9" t="n">
        <x:v>60</x:v>
      </x:c>
      <x:c r="L17" s="11" t="n">
        <x:f>IF(K17=0,"n.a.",E17/(K17*10))</x:f>
        <x:v>-30.833333333333332</x:v>
      </x:c>
      <x:c r="M17" s="11" t="n">
        <x:v>325.9166666666667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0</x:v>
      </x:c>
      <x:c r="D18" s="6" t="n">
        <x:v>4500</x:v>
      </x:c>
      <x:c r="E18" s="6" t="n">
        <x:f>C18-D18</x:f>
        <x:v>-4500</x:v>
      </x:c>
      <x:c r="F18" s="6" t="n">
        <x:f>F17+E18</x:f>
        <x:v>142000</x:v>
      </x:c>
      <x:c r="G18" s="6" t="n">
        <x:v>-5000</x:v>
      </x:c>
      <x:c r="H18" s="6" t="n">
        <x:v>7500</x:v>
      </x:c>
      <x:c r="I18" s="9" t="n">
        <x:v>1</x:v>
      </x:c>
      <x:c r="J18" s="9" t="n">
        <x:f>IF(I18=0,1,0)</x:f>
        <x:v>0</x:v>
      </x:c>
      <x:c r="K18" s="9" t="n">
        <x:v>10</x:v>
      </x:c>
      <x:c r="L18" s="11" t="n">
        <x:f>IF(K18=0,"n.a.",E18/(K18*10))</x:f>
        <x:v>-45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156000</x:v>
      </x:c>
      <x:c r="D19" s="6" t="n">
        <x:v>23000</x:v>
      </x:c>
      <x:c r="E19" s="6" t="n">
        <x:f>C19-D19</x:f>
        <x:v>133000</x:v>
      </x:c>
      <x:c r="F19" s="6" t="n">
        <x:f>F18+E19</x:f>
        <x:v>275000</x:v>
      </x:c>
      <x:c r="G19" s="6" t="n">
        <x:v>-34500</x:v>
      </x:c>
      <x:c r="H19" s="6" t="n">
        <x:v>51500</x:v>
      </x:c>
      <x:c r="I19" s="9" t="n">
        <x:v>11</x:v>
      </x:c>
      <x:c r="J19" s="9" t="n">
        <x:f>IF(I19=0,1,0)</x:f>
        <x:v>0</x:v>
      </x:c>
      <x:c r="K19" s="9" t="n">
        <x:v>215</x:v>
      </x:c>
      <x:c r="L19" s="11" t="n">
        <x:f>IF(K19=0,"n.a.",E19/(K19*10))</x:f>
        <x:v>61.86046511627907</x:v>
      </x:c>
      <x:c r="M19" s="11" t="n">
        <x:v>181.4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0</x:v>
      </x:c>
      <x:c r="D20" s="6" t="n">
        <x:v>0</x:v>
      </x:c>
      <x:c r="E20" s="6" t="n">
        <x:f>C20-D20</x:f>
        <x:v>0</x:v>
      </x:c>
      <x:c r="F20" s="6" t="n">
        <x:f>F19+E20</x:f>
        <x:v>275000</x:v>
      </x:c>
      <x:c r="G20" s="6" t="n">
        <x:v>0</x:v>
      </x:c>
      <x:c r="H20" s="6" t="n">
        <x:v>0</x:v>
      </x:c>
      <x:c r="I20" s="9" t="n">
        <x:v>0</x:v>
      </x:c>
      <x:c r="J20" s="9" t="n">
        <x:f>IF(I20=0,1,0)</x:f>
        <x:v>1</x:v>
      </x:c>
      <x:c r="K20" s="9" t="n">
        <x:v>0</x:v>
      </x:c>
      <x:c r="L20" s="11" t="str">
        <x:f>IF(K20=0,"n.a.",E20/(K20*10))</x:f>
        <x:v>n.a.</x:v>
      </x:c>
      <x:c r="M20" s="11" t="n">
        <x:v>0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46000</x:v>
      </x:c>
      <x:c r="D21" s="6" t="n">
        <x:v>5000</x:v>
      </x:c>
      <x:c r="E21" s="6" t="n">
        <x:f>C21-D21</x:f>
        <x:v>41000</x:v>
      </x:c>
      <x:c r="F21" s="6" t="n">
        <x:f>F20+E21</x:f>
        <x:v>316000</x:v>
      </x:c>
      <x:c r="G21" s="6" t="n">
        <x:v>-10000</x:v>
      </x:c>
      <x:c r="H21" s="6" t="n">
        <x:v>11500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82</x:v>
      </x:c>
      <x:c r="M21" s="11" t="n">
        <x:v>11.183333333333334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38000</x:v>
      </x:c>
      <x:c r="E22" s="6" t="n">
        <x:f>C22-D22</x:f>
        <x:v>-38000</x:v>
      </x:c>
      <x:c r="F22" s="6" t="n">
        <x:f>F21+E22</x:f>
        <x:v>278000</x:v>
      </x:c>
      <x:c r="G22" s="6" t="n">
        <x:v>-38000</x:v>
      </x:c>
      <x:c r="H22" s="6" t="n">
        <x:v>43000</x:v>
      </x:c>
      <x:c r="I22" s="9" t="n">
        <x:v>2</x:v>
      </x:c>
      <x:c r="J22" s="9" t="n">
        <x:f>IF(I22=0,1,0)</x:f>
        <x:v>0</x:v>
      </x:c>
      <x:c r="K22" s="9" t="n">
        <x:v>60</x:v>
      </x:c>
      <x:c r="L22" s="11" t="n">
        <x:f>IF(K22=0,"n.a.",E22/(K22*10))</x:f>
        <x:v>-63.333333333333336</x:v>
      </x:c>
      <x:c r="M22" s="11" t="n">
        <x:v>7.2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87000</x:v>
      </x:c>
      <x:c r="D23" s="6" t="n">
        <x:v>27500</x:v>
      </x:c>
      <x:c r="E23" s="6" t="n">
        <x:f>C23-D23</x:f>
        <x:v>59500</x:v>
      </x:c>
      <x:c r="F23" s="6" t="n">
        <x:f>F22+E23</x:f>
        <x:v>337500</x:v>
      </x:c>
      <x:c r="G23" s="6" t="n">
        <x:v>-40000</x:v>
      </x:c>
      <x:c r="H23" s="6" t="n">
        <x:v>42000</x:v>
      </x:c>
      <x:c r="I23" s="9" t="n">
        <x:v>3</x:v>
      </x:c>
      <x:c r="J23" s="9" t="n">
        <x:f>IF(I23=0,1,0)</x:f>
        <x:v>0</x:v>
      </x:c>
      <x:c r="K23" s="9" t="n">
        <x:v>80</x:v>
      </x:c>
      <x:c r="L23" s="11" t="n">
        <x:f>IF(K23=0,"n.a.",E23/(K23*10))</x:f>
        <x:v>74.375</x:v>
      </x:c>
      <x:c r="M23" s="11" t="n">
        <x:v>137.78333333333333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37000</x:v>
      </x:c>
      <x:c r="D24" s="6" t="n">
        <x:v>28500</x:v>
      </x:c>
      <x:c r="E24" s="6" t="n">
        <x:f>C24-D24</x:f>
        <x:v>8500</x:v>
      </x:c>
      <x:c r="F24" s="6" t="n">
        <x:f>F23+E24</x:f>
        <x:v>346000</x:v>
      </x:c>
      <x:c r="G24" s="6" t="n">
        <x:v>-24500</x:v>
      </x:c>
      <x:c r="H24" s="6" t="n">
        <x:v>46500</x:v>
      </x:c>
      <x:c r="I24" s="9" t="n">
        <x:v>6</x:v>
      </x:c>
      <x:c r="J24" s="9" t="n">
        <x:f>IF(I24=0,1,0)</x:f>
        <x:v>0</x:v>
      </x:c>
      <x:c r="K24" s="9" t="n">
        <x:v>60</x:v>
      </x:c>
      <x:c r="L24" s="11" t="n">
        <x:f>IF(K24=0,"n.a.",E24/(K24*10))</x:f>
        <x:v>14.166666666666666</x:v>
      </x:c>
      <x:c r="M24" s="11" t="n">
        <x:v>227.55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71000</x:v>
      </x:c>
      <x:c r="D25" s="6" t="n">
        <x:v>63500</x:v>
      </x:c>
      <x:c r="E25" s="6" t="n">
        <x:f>C25-D25</x:f>
        <x:v>7500</x:v>
      </x:c>
      <x:c r="F25" s="6" t="n">
        <x:f>F24+E25</x:f>
        <x:v>353500</x:v>
      </x:c>
      <x:c r="G25" s="6" t="n">
        <x:v>-49500</x:v>
      </x:c>
      <x:c r="H25" s="6" t="n">
        <x:v>76000</x:v>
      </x:c>
      <x:c r="I25" s="9" t="n">
        <x:v>10</x:v>
      </x:c>
      <x:c r="J25" s="9" t="n">
        <x:f>IF(I25=0,1,0)</x:f>
        <x:v>0</x:v>
      </x:c>
      <x:c r="K25" s="9" t="n">
        <x:v>215</x:v>
      </x:c>
      <x:c r="L25" s="11" t="n">
        <x:f>IF(K25=0,"n.a.",E25/(K25*10))</x:f>
        <x:v>3.488372093023256</x:v>
      </x:c>
      <x:c r="M25" s="11" t="n">
        <x:v>180.36666666666667</x:v>
      </x:c>
    </x:row>
    <x:row r="26" ht="25" customHeight="1">
      <x:c r="A26" s="2" t="str">
        <x:v>2026-10-19_Night</x:v>
      </x:c>
      <x:c r="B26" s="2" t="str">
        <x:v>後7夜</x:v>
      </x:c>
      <x:c r="C26" s="6" t="n">
        <x:v>50000</x:v>
      </x:c>
      <x:c r="D26" s="6" t="n">
        <x:v>61500</x:v>
      </x:c>
      <x:c r="E26" s="6" t="n">
        <x:f>C26-D26</x:f>
        <x:v>-11500</x:v>
      </x:c>
      <x:c r="F26" s="6" t="n">
        <x:f>F25+E26</x:f>
        <x:v>342000</x:v>
      </x:c>
      <x:c r="G26" s="6" t="n">
        <x:v>-48500</x:v>
      </x:c>
      <x:c r="H26" s="6" t="n">
        <x:v>56000</x:v>
      </x:c>
      <x:c r="I26" s="9" t="n">
        <x:v>10</x:v>
      </x:c>
      <x:c r="J26" s="9" t="n">
        <x:f>IF(I26=0,1,0)</x:f>
        <x:v>0</x:v>
      </x:c>
      <x:c r="K26" s="9" t="n">
        <x:v>185</x:v>
      </x:c>
      <x:c r="L26" s="11" t="n">
        <x:f>IF(K26=0,"n.a.",E26/(K26*10))</x:f>
        <x:v>-6.216216216216216</x:v>
      </x:c>
      <x:c r="M26" s="11" t="n">
        <x:v>90</x:v>
      </x:c>
    </x:row>
    <x:row r="27" ht="25" customHeight="1">
      <x:c r="A27" s="2" t="str">
        <x:v>2026-10-20_Night</x:v>
      </x:c>
      <x:c r="B27" s="2" t="str">
        <x:v>後7夜</x:v>
      </x:c>
      <x:c r="C27" s="6" t="n">
        <x:v>9500</x:v>
      </x:c>
      <x:c r="D27" s="6" t="n">
        <x:v>13500</x:v>
      </x:c>
      <x:c r="E27" s="6" t="n">
        <x:f>C27-D27</x:f>
        <x:v>-4000</x:v>
      </x:c>
      <x:c r="F27" s="6" t="n">
        <x:f>F26+E27</x:f>
        <x:v>338000</x:v>
      </x:c>
      <x:c r="G27" s="6" t="n">
        <x:v>-5500</x:v>
      </x:c>
      <x:c r="H27" s="6" t="n">
        <x:v>17500</x:v>
      </x:c>
      <x:c r="I27" s="9" t="n">
        <x:v>2</x:v>
      </x:c>
      <x:c r="J27" s="9" t="n">
        <x:f>IF(I27=0,1,0)</x:f>
        <x:v>0</x:v>
      </x:c>
      <x:c r="K27" s="9" t="n">
        <x:v>30</x:v>
      </x:c>
      <x:c r="L27" s="11" t="n">
        <x:f>IF(K27=0,"n.a.",E27/(K27*10))</x:f>
        <x:v>-13.333333333333334</x:v>
      </x:c>
      <x:c r="M27" s="11" t="n">
        <x:v>327.4166666666667</x:v>
      </x:c>
    </x:row>
    <x:row r="28" ht="25" customHeight="1">
      <x:c r="A28" s="2" t="str">
        <x:v>2026-10-21_Night</x:v>
      </x:c>
      <x:c r="B28" s="2" t="str">
        <x:v>後7夜</x:v>
      </x:c>
      <x:c r="C28" s="6" t="n">
        <x:v>22000</x:v>
      </x:c>
      <x:c r="D28" s="6" t="n">
        <x:v>35000</x:v>
      </x:c>
      <x:c r="E28" s="6" t="n">
        <x:f>C28-D28</x:f>
        <x:v>-13000</x:v>
      </x:c>
      <x:c r="F28" s="6" t="n">
        <x:f>F27+E28</x:f>
        <x:v>325000</x:v>
      </x:c>
      <x:c r="G28" s="6" t="n">
        <x:v>-32500</x:v>
      </x:c>
      <x:c r="H28" s="6" t="n">
        <x:v>50500</x:v>
      </x:c>
      <x:c r="I28" s="9" t="n">
        <x:v>2</x:v>
      </x:c>
      <x:c r="J28" s="9" t="n">
        <x:f>IF(I28=0,1,0)</x:f>
        <x:v>0</x:v>
      </x:c>
      <x:c r="K28" s="9" t="n">
        <x:v>100</x:v>
      </x:c>
      <x:c r="L28" s="11" t="n">
        <x:f>IF(K28=0,"n.a.",E28/(K28*10))</x:f>
        <x:v>-13</x:v>
      </x:c>
      <x:c r="M28" s="11" t="n">
        <x:v>25.866666666666667</x:v>
      </x:c>
    </x:row>
    <x:row r="29" ht="25" customHeight="1">
      <x:c r="A29" s="2" t="str">
        <x:v>2026-10-22_Night</x:v>
      </x:c>
      <x:c r="B29" s="2" t="str">
        <x:v>後7夜</x:v>
      </x:c>
      <x:c r="C29" s="6" t="n">
        <x:v>79500</x:v>
      </x:c>
      <x:c r="D29" s="6" t="n">
        <x:v>5000</x:v>
      </x:c>
      <x:c r="E29" s="6" t="n">
        <x:f>C29-D29</x:f>
        <x:v>74500</x:v>
      </x:c>
      <x:c r="F29" s="6" t="n">
        <x:f>F28+E29</x:f>
        <x:v>399500</x:v>
      </x:c>
      <x:c r="G29" s="6" t="n">
        <x:v>-2000</x:v>
      </x:c>
      <x:c r="H29" s="6" t="n">
        <x:v>30000</x:v>
      </x:c>
      <x:c r="I29" s="9" t="n">
        <x:v>2</x:v>
      </x:c>
      <x:c r="J29" s="9" t="n">
        <x:f>IF(I29=0,1,0)</x:f>
        <x:v>0</x:v>
      </x:c>
      <x:c r="K29" s="9" t="n">
        <x:v>60</x:v>
      </x:c>
      <x:c r="L29" s="11" t="n">
        <x:f>IF(K29=0,"n.a.",E29/(K29*10))</x:f>
        <x:v>124.16666666666667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32000</x:v>
      </x:c>
      <x:c r="D30" s="6" t="n">
        <x:v>8500</x:v>
      </x:c>
      <x:c r="E30" s="6" t="n">
        <x:f>C30-D30</x:f>
        <x:v>23500</x:v>
      </x:c>
      <x:c r="F30" s="6" t="n">
        <x:f>F29+E30</x:f>
        <x:v>423000</x:v>
      </x:c>
      <x:c r="G30" s="6" t="n">
        <x:v>-15000</x:v>
      </x:c>
      <x:c r="H30" s="6" t="n">
        <x:v>38500</x:v>
      </x:c>
      <x:c r="I30" s="9" t="n">
        <x:v>5</x:v>
      </x:c>
      <x:c r="J30" s="9" t="n">
        <x:f>IF(I30=0,1,0)</x:f>
        <x:v>0</x:v>
      </x:c>
      <x:c r="K30" s="9" t="n">
        <x:v>100</x:v>
      </x:c>
      <x:c r="L30" s="11" t="n">
        <x:f>IF(K30=0,"n.a.",E30/(K30*10))</x:f>
        <x:v>23.5</x:v>
      </x:c>
      <x:c r="M30" s="11" t="n">
        <x:v>122.31666666666666</x:v>
      </x:c>
    </x:row>
    <x:row r="31" ht="25" customHeight="1">
      <x:c r="A31" s="2" t="str">
        <x:v>2026-10-26_Night</x:v>
      </x:c>
      <x:c r="B31" s="2" t="str">
        <x:v>後7夜</x:v>
      </x:c>
      <x:c r="C31" s="6" t="n">
        <x:v>24500</x:v>
      </x:c>
      <x:c r="D31" s="6" t="n">
        <x:v>70500</x:v>
      </x:c>
      <x:c r="E31" s="6" t="n">
        <x:f>C31-D31</x:f>
        <x:v>-46000</x:v>
      </x:c>
      <x:c r="F31" s="6" t="n">
        <x:f>F30+E31</x:f>
        <x:v>377000</x:v>
      </x:c>
      <x:c r="G31" s="6" t="n">
        <x:v>-46000</x:v>
      </x:c>
      <x:c r="H31" s="6" t="n">
        <x:v>53000</x:v>
      </x:c>
      <x:c r="I31" s="9" t="n">
        <x:v>8</x:v>
      </x:c>
      <x:c r="J31" s="9" t="n">
        <x:f>IF(I31=0,1,0)</x:f>
        <x:v>0</x:v>
      </x:c>
      <x:c r="K31" s="9" t="n">
        <x:v>125</x:v>
      </x:c>
      <x:c r="L31" s="11" t="n">
        <x:f>IF(K31=0,"n.a.",E31/(K31*10))</x:f>
        <x:v>-36.8</x:v>
      </x:c>
      <x:c r="M31" s="11" t="n">
        <x:v>180.48333333333332</x:v>
      </x:c>
    </x:row>
    <x:row r="32" ht="25" customHeight="1">
      <x:c r="A32" s="2" t="str">
        <x:v>2026-10-27_Night</x:v>
      </x:c>
      <x:c r="B32" s="2" t="str">
        <x:v>後7夜</x:v>
      </x:c>
      <x:c r="C32" s="6" t="n">
        <x:v>9500</x:v>
      </x:c>
      <x:c r="D32" s="6" t="n">
        <x:v>500</x:v>
      </x:c>
      <x:c r="E32" s="6" t="n">
        <x:f>C32-D32</x:f>
        <x:v>9000</x:v>
      </x:c>
      <x:c r="F32" s="6" t="n">
        <x:f>F31+E32</x:f>
        <x:v>386000</x:v>
      </x:c>
      <x:c r="G32" s="6" t="n">
        <x:v>-3000</x:v>
      </x:c>
      <x:c r="H32" s="6" t="n">
        <x:v>8000</x:v>
      </x:c>
      <x:c r="I32" s="9" t="n">
        <x:v>2</x:v>
      </x:c>
      <x:c r="J32" s="9" t="n">
        <x:f>IF(I32=0,1,0)</x:f>
        <x:v>0</x:v>
      </x:c>
      <x:c r="K32" s="9" t="n">
        <x:v>15</x:v>
      </x:c>
      <x:c r="L32" s="11" t="n">
        <x:f>IF(K32=0,"n.a.",E32/(K32*10))</x:f>
        <x:v>60</x:v>
      </x:c>
      <x:c r="M32" s="11" t="n">
        <x:v>6</x:v>
      </x:c>
    </x:row>
    <x:row r="33" ht="25" customHeight="1">
      <x:c r="A33" s="7" t="str">
        <x:v>累計／場内最悪値</x:v>
      </x:c>
      <x:c r="B33" s="7"/>
      <x:c r="C33" s="8" t="n">
        <x:f>SUM(C6:C32)</x:f>
        <x:v>1035500</x:v>
      </x:c>
      <x:c r="D33" s="8" t="n">
        <x:f>SUM(D6:D32)</x:f>
        <x:v>649500</x:v>
      </x:c>
      <x:c r="E33" s="8" t="n">
        <x:f>C33-D33</x:f>
        <x:v>386000</x:v>
      </x:c>
      <x:c r="F33" s="8" t="n">
        <x:f>F32</x:f>
        <x:v>386000</x:v>
      </x:c>
      <x:c r="G33" s="8" t="n">
        <x:f>MIN(G6:G32)</x:f>
        <x:v>-49500</x:v>
      </x:c>
      <x:c r="H33" s="8" t="n">
        <x:f>MAX(H6:H32)</x:f>
        <x:v>76000</x:v>
      </x:c>
      <x:c r="I33" s="10" t="n">
        <x:f>SUM(I6:I32)</x:f>
        <x:v>109</x:v>
      </x:c>
      <x:c r="J33" s="10" t="n">
        <x:f>SUM(J6:J32)</x:f>
        <x:v>1</x:v>
      </x:c>
      <x:c r="K33" s="10" t="n">
        <x:f>SUM(K6:K32)</x:f>
        <x:v>2245</x:v>
      </x:c>
      <x:c r="L33" s="12" t="n">
        <x:f>IF(K33=0,"n.a.",E33/(K33*10))</x:f>
        <x:v>17.193763919821826</x:v>
      </x:c>
      <x:c r="M33" s="12" t="n">
        <x:f>SUM(M6:M32)</x:f>
        <x:v>2939.6166666666663</x:v>
      </x:c>
    </x:row>
  </x:sheetData>
  <x:conditionalFormatting sqref="E6:G32">
    <x:cfRule type="cellIs" dxfId="16" priority="1" operator="lessThan">
      <x:formula>0</x:formula>
    </x:cfRule>
  </x:conditionalFormatting>
  <x:conditionalFormatting sqref="L6:L32">
    <x:cfRule type="cellIs" dxfId="1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62fe71cb46483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NK225_U165_09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初回見送り・追撃抑制・残玉返済・逆行半減を15秒窓で判定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0</x:v>
      </x:c>
      <x:c r="D6" s="6" t="n">
        <x:v>0</x:v>
      </x:c>
      <x:c r="E6" s="6" t="n">
        <x:f>C6-D6</x:f>
        <x:v>0</x:v>
      </x:c>
      <x:c r="F6" s="6" t="n">
        <x:f>E6</x:f>
        <x:v>0</x:v>
      </x:c>
      <x:c r="G6" s="6" t="n">
        <x:v>0</x:v>
      </x:c>
      <x:c r="H6" s="6" t="n">
        <x:v>0</x:v>
      </x:c>
      <x:c r="I6" s="9" t="n">
        <x:v>0</x:v>
      </x:c>
      <x:c r="J6" s="9" t="n">
        <x:f>IF(I6=0,1,0)</x:f>
        <x:v>1</x:v>
      </x:c>
      <x:c r="K6" s="9" t="n">
        <x:v>0</x:v>
      </x:c>
      <x:c r="L6" s="11" t="str">
        <x:f>IF(K6=0,"n.a.",E6/(K6*10))</x:f>
        <x:v>n.a.</x:v>
      </x:c>
      <x:c r="M6" s="11" t="n">
        <x:v>0</x:v>
      </x:c>
    </x:row>
    <x:row r="7" ht="25" customHeight="1">
      <x:c r="A7" s="2" t="str">
        <x:v>2026-09-22_Night</x:v>
      </x:c>
      <x:c r="B7" s="2" t="str">
        <x:v>前20夜</x:v>
      </x:c>
      <x:c r="C7" s="6" t="n">
        <x:v>19000</x:v>
      </x:c>
      <x:c r="D7" s="6" t="n">
        <x:v>7500</x:v>
      </x:c>
      <x:c r="E7" s="6" t="n">
        <x:f>C7-D7</x:f>
        <x:v>11500</x:v>
      </x:c>
      <x:c r="F7" s="6" t="n">
        <x:f>F6+E7</x:f>
        <x:v>11500</x:v>
      </x:c>
      <x:c r="G7" s="6" t="n">
        <x:v>-25000</x:v>
      </x:c>
      <x:c r="H7" s="6" t="n">
        <x:v>25000</x:v>
      </x:c>
      <x:c r="I7" s="9" t="n">
        <x:v>1</x:v>
      </x:c>
      <x:c r="J7" s="9" t="n">
        <x:f>IF(I7=0,1,0)</x:f>
        <x:v>0</x:v>
      </x:c>
      <x:c r="K7" s="9" t="n">
        <x:v>50</x:v>
      </x:c>
      <x:c r="L7" s="11" t="n">
        <x:f>IF(K7=0,"n.a.",E7/(K7*10))</x:f>
        <x:v>23</x:v>
      </x:c>
      <x:c r="M7" s="11" t="n">
        <x:v>14.333333333333334</x:v>
      </x:c>
    </x:row>
    <x:row r="8" ht="25" customHeight="1">
      <x:c r="A8" s="2" t="str">
        <x:v>2026-09-23_Night</x:v>
      </x:c>
      <x:c r="B8" s="2" t="str">
        <x:v>前20夜</x:v>
      </x:c>
      <x:c r="C8" s="6" t="n">
        <x:v>5000</x:v>
      </x:c>
      <x:c r="D8" s="6" t="n">
        <x:v>41000</x:v>
      </x:c>
      <x:c r="E8" s="6" t="n">
        <x:f>C8-D8</x:f>
        <x:v>-36000</x:v>
      </x:c>
      <x:c r="F8" s="6" t="n">
        <x:f>F7+E8</x:f>
        <x:v>-24500</x:v>
      </x:c>
      <x:c r="G8" s="6" t="n">
        <x:v>-44000</x:v>
      </x:c>
      <x:c r="H8" s="6" t="n">
        <x:v>44000</x:v>
      </x:c>
      <x:c r="I8" s="9" t="n">
        <x:v>3</x:v>
      </x:c>
      <x:c r="J8" s="9" t="n">
        <x:f>IF(I8=0,1,0)</x:f>
        <x:v>0</x:v>
      </x:c>
      <x:c r="K8" s="9" t="n">
        <x:v>70</x:v>
      </x:c>
      <x:c r="L8" s="11" t="n">
        <x:f>IF(K8=0,"n.a.",E8/(K8*10))</x:f>
        <x:v>-51.42857142857143</x:v>
      </x:c>
      <x:c r="M8" s="11" t="n">
        <x:v>5.3</x:v>
      </x:c>
    </x:row>
    <x:row r="9" ht="25" customHeight="1">
      <x:c r="A9" s="2" t="str">
        <x:v>2026-09-24_Night</x:v>
      </x:c>
      <x:c r="B9" s="2" t="str">
        <x:v>前20夜</x:v>
      </x:c>
      <x:c r="C9" s="6" t="n">
        <x:v>8000</x:v>
      </x:c>
      <x:c r="D9" s="6" t="n">
        <x:v>1500</x:v>
      </x:c>
      <x:c r="E9" s="6" t="n">
        <x:f>C9-D9</x:f>
        <x:v>6500</x:v>
      </x:c>
      <x:c r="F9" s="6" t="n">
        <x:f>F8+E9</x:f>
        <x:v>-18000</x:v>
      </x:c>
      <x:c r="G9" s="6" t="n">
        <x:v>-3000</x:v>
      </x:c>
      <x:c r="H9" s="6" t="n">
        <x:v>12000</x:v>
      </x:c>
      <x:c r="I9" s="9" t="n">
        <x:v>1</x:v>
      </x:c>
      <x:c r="J9" s="9" t="n">
        <x:f>IF(I9=0,1,0)</x:f>
        <x:v>0</x:v>
      </x:c>
      <x:c r="K9" s="9" t="n">
        <x:v>10</x:v>
      </x:c>
      <x:c r="L9" s="11" t="n">
        <x:f>IF(K9=0,"n.a.",E9/(K9*10))</x:f>
        <x:v>65</x:v>
      </x:c>
      <x:c r="M9" s="11" t="n">
        <x:v>99.11666666666666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17000</x:v>
      </x:c>
      <x:c r="D10" s="6" t="n">
        <x:v>11000</x:v>
      </x:c>
      <x:c r="E10" s="6" t="n">
        <x:f>C10-D10</x:f>
        <x:v>6000</x:v>
      </x:c>
      <x:c r="F10" s="6" t="n">
        <x:f>F9+E10</x:f>
        <x:v>-12000</x:v>
      </x:c>
      <x:c r="G10" s="6" t="n">
        <x:v>-18500</x:v>
      </x:c>
      <x:c r="H10" s="6" t="n">
        <x:v>21000</x:v>
      </x:c>
      <x:c r="I10" s="9" t="n">
        <x:v>2</x:v>
      </x:c>
      <x:c r="J10" s="9" t="n">
        <x:f>IF(I10=0,1,0)</x:f>
        <x:v>0</x:v>
      </x:c>
      <x:c r="K10" s="9" t="n">
        <x:v>60</x:v>
      </x:c>
      <x:c r="L10" s="11" t="n">
        <x:f>IF(K10=0,"n.a.",E10/(K10*10))</x:f>
        <x:v>10</x:v>
      </x:c>
      <x:c r="M10" s="11" t="n">
        <x:v>16.833333333333332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5000</x:v>
      </x:c>
      <x:c r="D11" s="6" t="n">
        <x:v>26000</x:v>
      </x:c>
      <x:c r="E11" s="6" t="n">
        <x:f>C11-D11</x:f>
        <x:v>-21000</x:v>
      </x:c>
      <x:c r="F11" s="6" t="n">
        <x:f>F10+E11</x:f>
        <x:v>-33000</x:v>
      </x:c>
      <x:c r="G11" s="6" t="n">
        <x:v>-26500</x:v>
      </x:c>
      <x:c r="H11" s="6" t="n">
        <x:v>29500</x:v>
      </x:c>
      <x:c r="I11" s="9" t="n">
        <x:v>4</x:v>
      </x:c>
      <x:c r="J11" s="9" t="n">
        <x:f>IF(I11=0,1,0)</x:f>
        <x:v>0</x:v>
      </x:c>
      <x:c r="K11" s="9" t="n">
        <x:v>55</x:v>
      </x:c>
      <x:c r="L11" s="11" t="n">
        <x:f>IF(K11=0,"n.a.",E11/(K11*10))</x:f>
        <x:v>-38.18181818181818</x:v>
      </x:c>
      <x:c r="M11" s="11" t="n">
        <x:v>11.85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18500</x:v>
      </x:c>
      <x:c r="D12" s="6" t="n">
        <x:v>17500</x:v>
      </x:c>
      <x:c r="E12" s="6" t="n">
        <x:f>C12-D12</x:f>
        <x:v>1000</x:v>
      </x:c>
      <x:c r="F12" s="6" t="n">
        <x:f>F11+E12</x:f>
        <x:v>-32000</x:v>
      </x:c>
      <x:c r="G12" s="6" t="n">
        <x:v>-22000</x:v>
      </x:c>
      <x:c r="H12" s="6" t="n">
        <x:v>28500</x:v>
      </x:c>
      <x:c r="I12" s="9" t="n">
        <x:v>4</x:v>
      </x:c>
      <x:c r="J12" s="9" t="n">
        <x:f>IF(I12=0,1,0)</x:f>
        <x:v>0</x:v>
      </x:c>
      <x:c r="K12" s="9" t="n">
        <x:v>80</x:v>
      </x:c>
      <x:c r="L12" s="11" t="n">
        <x:f>IF(K12=0,"n.a.",E12/(K12*10))</x:f>
        <x:v>1.25</x:v>
      </x:c>
      <x:c r="M12" s="11" t="n">
        <x:v>163.81666666666666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27000</x:v>
      </x:c>
      <x:c r="D13" s="6" t="n">
        <x:v>13000</x:v>
      </x:c>
      <x:c r="E13" s="6" t="n">
        <x:f>C13-D13</x:f>
        <x:v>14000</x:v>
      </x:c>
      <x:c r="F13" s="6" t="n">
        <x:f>F12+E13</x:f>
        <x:v>-18000</x:v>
      </x:c>
      <x:c r="G13" s="6" t="n">
        <x:v>-23500</x:v>
      </x:c>
      <x:c r="H13" s="6" t="n">
        <x:v>30500</x:v>
      </x:c>
      <x:c r="I13" s="9" t="n">
        <x:v>2</x:v>
      </x:c>
      <x:c r="J13" s="9" t="n">
        <x:f>IF(I13=0,1,0)</x:f>
        <x:v>0</x:v>
      </x:c>
      <x:c r="K13" s="9" t="n">
        <x:v>60</x:v>
      </x:c>
      <x:c r="L13" s="11" t="n">
        <x:f>IF(K13=0,"n.a.",E13/(K13*10))</x:f>
        <x:v>23.333333333333332</x:v>
      </x:c>
      <x:c r="M13" s="11" t="n">
        <x:v>33.416666666666664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108500</x:v>
      </x:c>
      <x:c r="D14" s="6" t="n">
        <x:v>59000</x:v>
      </x:c>
      <x:c r="E14" s="6" t="n">
        <x:f>C14-D14</x:f>
        <x:v>49500</x:v>
      </x:c>
      <x:c r="F14" s="6" t="n">
        <x:f>F13+E14</x:f>
        <x:v>31500</x:v>
      </x:c>
      <x:c r="G14" s="6" t="n">
        <x:v>-12000</x:v>
      </x:c>
      <x:c r="H14" s="6" t="n">
        <x:v>83500</x:v>
      </x:c>
      <x:c r="I14" s="9" t="n">
        <x:v>8</x:v>
      </x:c>
      <x:c r="J14" s="9" t="n">
        <x:f>IF(I14=0,1,0)</x:f>
        <x:v>0</x:v>
      </x:c>
      <x:c r="K14" s="9" t="n">
        <x:v>140</x:v>
      </x:c>
      <x:c r="L14" s="11" t="n">
        <x:f>IF(K14=0,"n.a.",E14/(K14*10))</x:f>
        <x:v>35.357142857142854</x:v>
      </x:c>
      <x:c r="M14" s="11" t="n">
        <x:v>142.21666666666667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149500</x:v>
      </x:c>
      <x:c r="D15" s="6" t="n">
        <x:v>66000</x:v>
      </x:c>
      <x:c r="E15" s="6" t="n">
        <x:f>C15-D15</x:f>
        <x:v>83500</x:v>
      </x:c>
      <x:c r="F15" s="6" t="n">
        <x:f>F14+E15</x:f>
        <x:v>115000</x:v>
      </x:c>
      <x:c r="G15" s="6" t="n">
        <x:v>-30500</x:v>
      </x:c>
      <x:c r="H15" s="6" t="n">
        <x:v>71000</x:v>
      </x:c>
      <x:c r="I15" s="9" t="n">
        <x:v>13</x:v>
      </x:c>
      <x:c r="J15" s="9" t="n">
        <x:f>IF(I15=0,1,0)</x:f>
        <x:v>0</x:v>
      </x:c>
      <x:c r="K15" s="9" t="n">
        <x:v>240</x:v>
      </x:c>
      <x:c r="L15" s="11" t="n">
        <x:f>IF(K15=0,"n.a.",E15/(K15*10))</x:f>
        <x:v>34.791666666666664</x:v>
      </x:c>
      <x:c r="M15" s="11" t="n">
        <x:v>343.65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32500</x:v>
      </x:c>
      <x:c r="D16" s="6" t="n">
        <x:v>51500</x:v>
      </x:c>
      <x:c r="E16" s="6" t="n">
        <x:f>C16-D16</x:f>
        <x:v>-19000</x:v>
      </x:c>
      <x:c r="F16" s="6" t="n">
        <x:f>F15+E16</x:f>
        <x:v>96000</x:v>
      </x:c>
      <x:c r="G16" s="6" t="n">
        <x:v>-19000</x:v>
      </x:c>
      <x:c r="H16" s="6" t="n">
        <x:v>68000</x:v>
      </x:c>
      <x:c r="I16" s="9" t="n">
        <x:v>5</x:v>
      </x:c>
      <x:c r="J16" s="9" t="n">
        <x:f>IF(I16=0,1,0)</x:f>
        <x:v>0</x:v>
      </x:c>
      <x:c r="K16" s="9" t="n">
        <x:v>120</x:v>
      </x:c>
      <x:c r="L16" s="11" t="n">
        <x:f>IF(K16=0,"n.a.",E16/(K16*10))</x:f>
        <x:v>-15.833333333333334</x:v>
      </x:c>
      <x:c r="M16" s="11" t="n">
        <x:v>190.08333333333334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13500</x:v>
      </x:c>
      <x:c r="D17" s="6" t="n">
        <x:v>43000</x:v>
      </x:c>
      <x:c r="E17" s="6" t="n">
        <x:f>C17-D17</x:f>
        <x:v>-29500</x:v>
      </x:c>
      <x:c r="F17" s="6" t="n">
        <x:f>F16+E17</x:f>
        <x:v>66500</x:v>
      </x:c>
      <x:c r="G17" s="6" t="n">
        <x:v>-45000</x:v>
      </x:c>
      <x:c r="H17" s="6" t="n">
        <x:v>45000</x:v>
      </x:c>
      <x:c r="I17" s="9" t="n">
        <x:v>3</x:v>
      </x:c>
      <x:c r="J17" s="9" t="n">
        <x:f>IF(I17=0,1,0)</x:f>
        <x:v>0</x:v>
      </x:c>
      <x:c r="K17" s="9" t="n">
        <x:v>70</x:v>
      </x:c>
      <x:c r="L17" s="11" t="n">
        <x:f>IF(K17=0,"n.a.",E17/(K17*10))</x:f>
        <x:v>-42.142857142857146</x:v>
      </x:c>
      <x:c r="M17" s="11" t="n">
        <x:v>329.01666666666665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1000</x:v>
      </x:c>
      <x:c r="D18" s="6" t="n">
        <x:v>4000</x:v>
      </x:c>
      <x:c r="E18" s="6" t="n">
        <x:f>C18-D18</x:f>
        <x:v>-3000</x:v>
      </x:c>
      <x:c r="F18" s="6" t="n">
        <x:f>F17+E18</x:f>
        <x:v>63500</x:v>
      </x:c>
      <x:c r="G18" s="6" t="n">
        <x:v>-3500</x:v>
      </x:c>
      <x:c r="H18" s="6" t="n">
        <x:v>9500</x:v>
      </x:c>
      <x:c r="I18" s="9" t="n">
        <x:v>1</x:v>
      </x:c>
      <x:c r="J18" s="9" t="n">
        <x:f>IF(I18=0,1,0)</x:f>
        <x:v>0</x:v>
      </x:c>
      <x:c r="K18" s="9" t="n">
        <x:v>10</x:v>
      </x:c>
      <x:c r="L18" s="11" t="n">
        <x:f>IF(K18=0,"n.a.",E18/(K18*10))</x:f>
        <x:v>-30</x:v>
      </x:c>
      <x:c r="M18" s="11" t="n">
        <x:v>18.033333333333335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155000</x:v>
      </x:c>
      <x:c r="D19" s="6" t="n">
        <x:v>45000</x:v>
      </x:c>
      <x:c r="E19" s="6" t="n">
        <x:f>C19-D19</x:f>
        <x:v>110000</x:v>
      </x:c>
      <x:c r="F19" s="6" t="n">
        <x:f>F18+E19</x:f>
        <x:v>173500</x:v>
      </x:c>
      <x:c r="G19" s="6" t="n">
        <x:v>-34500</x:v>
      </x:c>
      <x:c r="H19" s="6" t="n">
        <x:v>43500</x:v>
      </x:c>
      <x:c r="I19" s="9" t="n">
        <x:v>13</x:v>
      </x:c>
      <x:c r="J19" s="9" t="n">
        <x:f>IF(I19=0,1,0)</x:f>
        <x:v>0</x:v>
      </x:c>
      <x:c r="K19" s="9" t="n">
        <x:v>240</x:v>
      </x:c>
      <x:c r="L19" s="11" t="n">
        <x:f>IF(K19=0,"n.a.",E19/(K19*10))</x:f>
        <x:v>45.833333333333336</x:v>
      </x:c>
      <x:c r="M19" s="11" t="n">
        <x:v>181.6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9500</x:v>
      </x:c>
      <x:c r="D20" s="6" t="n">
        <x:v>7500</x:v>
      </x:c>
      <x:c r="E20" s="6" t="n">
        <x:f>C20-D20</x:f>
        <x:v>2000</x:v>
      </x:c>
      <x:c r="F20" s="6" t="n">
        <x:f>F19+E20</x:f>
        <x:v>175500</x:v>
      </x:c>
      <x:c r="G20" s="6" t="n">
        <x:v>-25000</x:v>
      </x:c>
      <x:c r="H20" s="6" t="n">
        <x:v>30000</x:v>
      </x:c>
      <x:c r="I20" s="9" t="n">
        <x:v>1</x:v>
      </x:c>
      <x:c r="J20" s="9" t="n">
        <x:f>IF(I20=0,1,0)</x:f>
        <x:v>0</x:v>
      </x:c>
      <x:c r="K20" s="9" t="n">
        <x:v>50</x:v>
      </x:c>
      <x:c r="L20" s="11" t="n">
        <x:f>IF(K20=0,"n.a.",E20/(K20*10))</x:f>
        <x:v>4</x:v>
      </x:c>
      <x:c r="M20" s="11" t="n">
        <x:v>11.916666666666666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54000</x:v>
      </x:c>
      <x:c r="D21" s="6" t="n">
        <x:v>0</x:v>
      </x:c>
      <x:c r="E21" s="6" t="n">
        <x:f>C21-D21</x:f>
        <x:v>54000</x:v>
      </x:c>
      <x:c r="F21" s="6" t="n">
        <x:f>F20+E21</x:f>
        <x:v>229500</x:v>
      </x:c>
      <x:c r="G21" s="6" t="n">
        <x:v>-10000</x:v>
      </x:c>
      <x:c r="H21" s="6" t="n">
        <x:v>20000</x:v>
      </x:c>
      <x:c r="I21" s="9" t="n">
        <x:v>1</x:v>
      </x:c>
      <x:c r="J21" s="9" t="n">
        <x:f>IF(I21=0,1,0)</x:f>
        <x:v>0</x:v>
      </x:c>
      <x:c r="K21" s="9" t="n">
        <x:v>50</x:v>
      </x:c>
      <x:c r="L21" s="11" t="n">
        <x:f>IF(K21=0,"n.a.",E21/(K21*10))</x:f>
        <x:v>108</x:v>
      </x:c>
      <x:c r="M21" s="11" t="n">
        <x:v>12.266666666666667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0</x:v>
      </x:c>
      <x:c r="D22" s="6" t="n">
        <x:v>5500</x:v>
      </x:c>
      <x:c r="E22" s="6" t="n">
        <x:f>C22-D22</x:f>
        <x:v>-5500</x:v>
      </x:c>
      <x:c r="F22" s="6" t="n">
        <x:f>F21+E22</x:f>
        <x:v>224000</x:v>
      </x:c>
      <x:c r="G22" s="6" t="n">
        <x:v>-5500</x:v>
      </x:c>
      <x:c r="H22" s="6" t="n">
        <x:v>5500</x:v>
      </x:c>
      <x:c r="I22" s="9" t="n">
        <x:v>1</x:v>
      </x:c>
      <x:c r="J22" s="9" t="n">
        <x:f>IF(I22=0,1,0)</x:f>
        <x:v>0</x:v>
      </x:c>
      <x:c r="K22" s="9" t="n">
        <x:v>10</x:v>
      </x:c>
      <x:c r="L22" s="11" t="n">
        <x:f>IF(K22=0,"n.a.",E22/(K22*10))</x:f>
        <x:v>-55</x:v>
      </x:c>
      <x:c r="M22" s="11" t="n">
        <x:v>2.75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86000</x:v>
      </x:c>
      <x:c r="D23" s="6" t="n">
        <x:v>50000</x:v>
      </x:c>
      <x:c r="E23" s="6" t="n">
        <x:f>C23-D23</x:f>
        <x:v>36000</x:v>
      </x:c>
      <x:c r="F23" s="6" t="n">
        <x:f>F22+E23</x:f>
        <x:v>260000</x:v>
      </x:c>
      <x:c r="G23" s="6" t="n">
        <x:v>-49500</x:v>
      </x:c>
      <x:c r="H23" s="6" t="n">
        <x:v>51500</x:v>
      </x:c>
      <x:c r="I23" s="9" t="n">
        <x:v>4</x:v>
      </x:c>
      <x:c r="J23" s="9" t="n">
        <x:f>IF(I23=0,1,0)</x:f>
        <x:v>0</x:v>
      </x:c>
      <x:c r="K23" s="9" t="n">
        <x:v>90</x:v>
      </x:c>
      <x:c r="L23" s="11" t="n">
        <x:f>IF(K23=0,"n.a.",E23/(K23*10))</x:f>
        <x:v>40</x:v>
      </x:c>
      <x:c r="M23" s="11" t="n">
        <x:v>147.43333333333334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38000</x:v>
      </x:c>
      <x:c r="D24" s="6" t="n">
        <x:v>32500</x:v>
      </x:c>
      <x:c r="E24" s="6" t="n">
        <x:f>C24-D24</x:f>
        <x:v>5500</x:v>
      </x:c>
      <x:c r="F24" s="6" t="n">
        <x:f>F23+E24</x:f>
        <x:v>265500</x:v>
      </x:c>
      <x:c r="G24" s="6" t="n">
        <x:v>-18000</x:v>
      </x:c>
      <x:c r="H24" s="6" t="n">
        <x:v>38000</x:v>
      </x:c>
      <x:c r="I24" s="9" t="n">
        <x:v>6</x:v>
      </x:c>
      <x:c r="J24" s="9" t="n">
        <x:f>IF(I24=0,1,0)</x:f>
        <x:v>0</x:v>
      </x:c>
      <x:c r="K24" s="9" t="n">
        <x:v>75</x:v>
      </x:c>
      <x:c r="L24" s="11" t="n">
        <x:f>IF(K24=0,"n.a.",E24/(K24*10))</x:f>
        <x:v>7.333333333333333</x:v>
      </x:c>
      <x:c r="M24" s="11" t="n">
        <x:v>227.55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105500</x:v>
      </x:c>
      <x:c r="D25" s="6" t="n">
        <x:v>81000</x:v>
      </x:c>
      <x:c r="E25" s="6" t="n">
        <x:f>C25-D25</x:f>
        <x:v>24500</x:v>
      </x:c>
      <x:c r="F25" s="6" t="n">
        <x:f>F24+E25</x:f>
        <x:v>290000</x:v>
      </x:c>
      <x:c r="G25" s="6" t="n">
        <x:v>-36500</x:v>
      </x:c>
      <x:c r="H25" s="6" t="n">
        <x:v>86500</x:v>
      </x:c>
      <x:c r="I25" s="9" t="n">
        <x:v>12</x:v>
      </x:c>
      <x:c r="J25" s="9" t="n">
        <x:f>IF(I25=0,1,0)</x:f>
        <x:v>0</x:v>
      </x:c>
      <x:c r="K25" s="9" t="n">
        <x:v>255</x:v>
      </x:c>
      <x:c r="L25" s="11" t="n">
        <x:f>IF(K25=0,"n.a.",E25/(K25*10))</x:f>
        <x:v>9.607843137254902</x:v>
      </x:c>
      <x:c r="M25" s="11" t="n">
        <x:v>194.16666666666666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48500</x:v>
      </x:c>
      <x:c r="D26" s="6" t="n">
        <x:v>57500</x:v>
      </x:c>
      <x:c r="E26" s="6" t="n">
        <x:f>C26-D26</x:f>
        <x:v>-9000</x:v>
      </x:c>
      <x:c r="F26" s="6" t="n">
        <x:f>F25+E26</x:f>
        <x:v>281000</x:v>
      </x:c>
      <x:c r="G26" s="6" t="n">
        <x:v>-41500</x:v>
      </x:c>
      <x:c r="H26" s="6" t="n">
        <x:v>53000</x:v>
      </x:c>
      <x:c r="I26" s="9" t="n">
        <x:v>10</x:v>
      </x:c>
      <x:c r="J26" s="9" t="n">
        <x:f>IF(I26=0,1,0)</x:f>
        <x:v>0</x:v>
      </x:c>
      <x:c r="K26" s="9" t="n">
        <x:v>185</x:v>
      </x:c>
      <x:c r="L26" s="11" t="n">
        <x:f>IF(K26=0,"n.a.",E26/(K26*10))</x:f>
        <x:v>-4.864864864864865</x:v>
      </x:c>
      <x:c r="M26" s="11" t="n">
        <x:v>88.38333333333334</x:v>
      </x:c>
    </x:row>
    <x:row r="27" ht="25" customHeight="1">
      <x:c r="A27" s="2" t="str">
        <x:v>2026-10-20_Night</x:v>
      </x:c>
      <x:c r="B27" s="2" t="str">
        <x:v>後7夜</x:v>
      </x:c>
      <x:c r="C27" s="6" t="n">
        <x:v>55000</x:v>
      </x:c>
      <x:c r="D27" s="6" t="n">
        <x:v>23500</x:v>
      </x:c>
      <x:c r="E27" s="6" t="n">
        <x:f>C27-D27</x:f>
        <x:v>31500</x:v>
      </x:c>
      <x:c r="F27" s="6" t="n">
        <x:f>F26+E27</x:f>
        <x:v>312500</x:v>
      </x:c>
      <x:c r="G27" s="6" t="n">
        <x:v>-8000</x:v>
      </x:c>
      <x:c r="H27" s="6" t="n">
        <x:v>45500</x:v>
      </x:c>
      <x:c r="I27" s="9" t="n">
        <x:v>7</x:v>
      </x:c>
      <x:c r="J27" s="9" t="n">
        <x:f>IF(I27=0,1,0)</x:f>
        <x:v>0</x:v>
      </x:c>
      <x:c r="K27" s="9" t="n">
        <x:v>100</x:v>
      </x:c>
      <x:c r="L27" s="11" t="n">
        <x:f>IF(K27=0,"n.a.",E27/(K27*10))</x:f>
        <x:v>31.5</x:v>
      </x:c>
      <x:c r="M27" s="11" t="n">
        <x:v>343.93333333333334</x:v>
      </x:c>
    </x:row>
    <x:row r="28" ht="25" customHeight="1">
      <x:c r="A28" s="2" t="str">
        <x:v>2026-10-21_Night</x:v>
      </x:c>
      <x:c r="B28" s="2" t="str">
        <x:v>後7夜</x:v>
      </x:c>
      <x:c r="C28" s="6" t="n">
        <x:v>38000</x:v>
      </x:c>
      <x:c r="D28" s="6" t="n">
        <x:v>68500</x:v>
      </x:c>
      <x:c r="E28" s="6" t="n">
        <x:f>C28-D28</x:f>
        <x:v>-30500</x:v>
      </x:c>
      <x:c r="F28" s="6" t="n">
        <x:f>F27+E28</x:f>
        <x:v>282000</x:v>
      </x:c>
      <x:c r="G28" s="6" t="n">
        <x:v>-40000</x:v>
      </x:c>
      <x:c r="H28" s="6" t="n">
        <x:v>63500</x:v>
      </x:c>
      <x:c r="I28" s="9" t="n">
        <x:v>4</x:v>
      </x:c>
      <x:c r="J28" s="9" t="n">
        <x:f>IF(I28=0,1,0)</x:f>
        <x:v>0</x:v>
      </x:c>
      <x:c r="K28" s="9" t="n">
        <x:v>160</x:v>
      </x:c>
      <x:c r="L28" s="11" t="n">
        <x:f>IF(K28=0,"n.a.",E28/(K28*10))</x:f>
        <x:v>-19.0625</x:v>
      </x:c>
      <x:c r="M28" s="11" t="n">
        <x:v>151.23333333333332</x:v>
      </x:c>
    </x:row>
    <x:row r="29" ht="25" customHeight="1">
      <x:c r="A29" s="2" t="str">
        <x:v>2026-10-22_Night</x:v>
      </x:c>
      <x:c r="B29" s="2" t="str">
        <x:v>後7夜</x:v>
      </x:c>
      <x:c r="C29" s="6" t="n">
        <x:v>88500</x:v>
      </x:c>
      <x:c r="D29" s="6" t="n">
        <x:v>0</x:v>
      </x:c>
      <x:c r="E29" s="6" t="n">
        <x:f>C29-D29</x:f>
        <x:v>88500</x:v>
      </x:c>
      <x:c r="F29" s="6" t="n">
        <x:f>F28+E29</x:f>
        <x:v>370500</x:v>
      </x:c>
      <x:c r="G29" s="6" t="n">
        <x:v>-2000</x:v>
      </x:c>
      <x:c r="H29" s="6" t="n">
        <x:v>31000</x:v>
      </x:c>
      <x:c r="I29" s="9" t="n">
        <x:v>2</x:v>
      </x:c>
      <x:c r="J29" s="9" t="n">
        <x:f>IF(I29=0,1,0)</x:f>
        <x:v>0</x:v>
      </x:c>
      <x:c r="K29" s="9" t="n">
        <x:v>60</x:v>
      </x:c>
      <x:c r="L29" s="11" t="n">
        <x:f>IF(K29=0,"n.a.",E29/(K29*10))</x:f>
        <x:v>147.5</x:v>
      </x:c>
      <x:c r="M29" s="11" t="n">
        <x:v>116.13333333333334</x:v>
      </x:c>
    </x:row>
    <x:row r="30" ht="25" customHeight="1">
      <x:c r="A30" s="2" t="str">
        <x:v>2026-10-23_Night</x:v>
      </x:c>
      <x:c r="B30" s="2" t="str">
        <x:v>後7夜</x:v>
      </x:c>
      <x:c r="C30" s="6" t="n">
        <x:v>34500</x:v>
      </x:c>
      <x:c r="D30" s="6" t="n">
        <x:v>16000</x:v>
      </x:c>
      <x:c r="E30" s="6" t="n">
        <x:f>C30-D30</x:f>
        <x:v>18500</x:v>
      </x:c>
      <x:c r="F30" s="6" t="n">
        <x:f>F29+E30</x:f>
        <x:v>389000</x:v>
      </x:c>
      <x:c r="G30" s="6" t="n">
        <x:v>-22500</x:v>
      </x:c>
      <x:c r="H30" s="6" t="n">
        <x:v>38500</x:v>
      </x:c>
      <x:c r="I30" s="9" t="n">
        <x:v>5</x:v>
      </x:c>
      <x:c r="J30" s="9" t="n">
        <x:f>IF(I30=0,1,0)</x:f>
        <x:v>0</x:v>
      </x:c>
      <x:c r="K30" s="9" t="n">
        <x:v>100</x:v>
      </x:c>
      <x:c r="L30" s="11" t="n">
        <x:f>IF(K30=0,"n.a.",E30/(K30*10))</x:f>
        <x:v>18.5</x:v>
      </x:c>
      <x:c r="M30" s="11" t="n">
        <x:v>124.36666666666666</x:v>
      </x:c>
    </x:row>
    <x:row r="31" ht="25" customHeight="1">
      <x:c r="A31" s="2" t="str">
        <x:v>2026-10-26_Night</x:v>
      </x:c>
      <x:c r="B31" s="2" t="str">
        <x:v>後7夜</x:v>
      </x:c>
      <x:c r="C31" s="6" t="n">
        <x:v>45500</x:v>
      </x:c>
      <x:c r="D31" s="6" t="n">
        <x:v>84500</x:v>
      </x:c>
      <x:c r="E31" s="6" t="n">
        <x:f>C31-D31</x:f>
        <x:v>-39000</x:v>
      </x:c>
      <x:c r="F31" s="6" t="n">
        <x:f>F30+E31</x:f>
        <x:v>350000</x:v>
      </x:c>
      <x:c r="G31" s="6" t="n">
        <x:v>-39000</x:v>
      </x:c>
      <x:c r="H31" s="6" t="n">
        <x:v>75500</x:v>
      </x:c>
      <x:c r="I31" s="9" t="n">
        <x:v>11</x:v>
      </x:c>
      <x:c r="J31" s="9" t="n">
        <x:f>IF(I31=0,1,0)</x:f>
        <x:v>0</x:v>
      </x:c>
      <x:c r="K31" s="9" t="n">
        <x:v>145</x:v>
      </x:c>
      <x:c r="L31" s="11" t="n">
        <x:f>IF(K31=0,"n.a.",E31/(K31*10))</x:f>
        <x:v>-26.896551724137932</x:v>
      </x:c>
      <x:c r="M31" s="11" t="n">
        <x:v>116.28333333333333</x:v>
      </x:c>
    </x:row>
    <x:row r="32" ht="25" customHeight="1">
      <x:c r="A32" s="2" t="str">
        <x:v>2026-10-27_Night</x:v>
      </x:c>
      <x:c r="B32" s="2" t="str">
        <x:v>後7夜</x:v>
      </x:c>
      <x:c r="C32" s="6" t="n">
        <x:v>15000</x:v>
      </x:c>
      <x:c r="D32" s="6" t="n">
        <x:v>0</x:v>
      </x:c>
      <x:c r="E32" s="6" t="n">
        <x:f>C32-D32</x:f>
        <x:v>15000</x:v>
      </x:c>
      <x:c r="F32" s="6" t="n">
        <x:f>F31+E32</x:f>
        <x:v>365000</x:v>
      </x:c>
      <x:c r="G32" s="6" t="n">
        <x:v>-3000</x:v>
      </x:c>
      <x:c r="H32" s="6" t="n">
        <x:v>9000</x:v>
      </x:c>
      <x:c r="I32" s="9" t="n">
        <x:v>2</x:v>
      </x:c>
      <x:c r="J32" s="9" t="n">
        <x:f>IF(I32=0,1,0)</x:f>
        <x:v>0</x:v>
      </x:c>
      <x:c r="K32" s="9" t="n">
        <x:v>20</x:v>
      </x:c>
      <x:c r="L32" s="11" t="n">
        <x:f>IF(K32=0,"n.a.",E32/(K32*10))</x:f>
        <x:v>75</x:v>
      </x:c>
      <x:c r="M32" s="11" t="n">
        <x:v>5.283333333333333</x:v>
      </x:c>
    </x:row>
    <x:row r="33" ht="25" customHeight="1">
      <x:c r="A33" s="7" t="str">
        <x:v>累計／場内最悪値</x:v>
      </x:c>
      <x:c r="B33" s="7"/>
      <x:c r="C33" s="8" t="n">
        <x:f>SUM(C6:C32)</x:f>
        <x:v>1177500</x:v>
      </x:c>
      <x:c r="D33" s="8" t="n">
        <x:f>SUM(D6:D32)</x:f>
        <x:v>812500</x:v>
      </x:c>
      <x:c r="E33" s="8" t="n">
        <x:f>C33-D33</x:f>
        <x:v>365000</x:v>
      </x:c>
      <x:c r="F33" s="8" t="n">
        <x:f>F32</x:f>
        <x:v>365000</x:v>
      </x:c>
      <x:c r="G33" s="8" t="n">
        <x:f>MIN(G6:G32)</x:f>
        <x:v>-49500</x:v>
      </x:c>
      <x:c r="H33" s="8" t="n">
        <x:f>MAX(H6:H32)</x:f>
        <x:v>86500</x:v>
      </x:c>
      <x:c r="I33" s="10" t="n">
        <x:f>SUM(I6:I32)</x:f>
        <x:v>126</x:v>
      </x:c>
      <x:c r="J33" s="10" t="n">
        <x:f>SUM(J6:J32)</x:f>
        <x:v>1</x:v>
      </x:c>
      <x:c r="K33" s="10" t="n">
        <x:f>SUM(K6:K32)</x:f>
        <x:v>2505</x:v>
      </x:c>
      <x:c r="L33" s="12" t="n">
        <x:f>IF(K33=0,"n.a.",E33/(K33*10))</x:f>
        <x:v>14.570858283433134</x:v>
      </x:c>
      <x:c r="M33" s="12" t="n">
        <x:f>SUM(M6:M32)</x:f>
        <x:v>3090.9666666666662</x:v>
      </x:c>
    </x:row>
  </x:sheetData>
  <x:conditionalFormatting sqref="E6:G32">
    <x:cfRule type="cellIs" dxfId="18" priority="1" operator="lessThan">
      <x:formula>0</x:formula>
    </x:cfRule>
  </x:conditionalFormatting>
  <x:conditionalFormatting sqref="L6:L32">
    <x:cfRule type="cellIs" dxfId="1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a210e01b4c4ba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NK225_U165_10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価格だけの新価格維持と押戻り入口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198000</x:v>
      </x:c>
      <x:c r="D6" s="6" t="n">
        <x:v>840000</x:v>
      </x:c>
      <x:c r="E6" s="6" t="n">
        <x:f>C6-D6</x:f>
        <x:v>-642000</x:v>
      </x:c>
      <x:c r="F6" s="6" t="n">
        <x:f>E6</x:f>
        <x:v>-642000</x:v>
      </x:c>
      <x:c r="G6" s="6" t="n">
        <x:v>-644000</x:v>
      </x:c>
      <x:c r="H6" s="6" t="n">
        <x:v>648000</x:v>
      </x:c>
      <x:c r="I6" s="9" t="n">
        <x:v>187</x:v>
      </x:c>
      <x:c r="J6" s="9" t="n">
        <x:f>IF(I6=0,1,0)</x:f>
        <x:v>0</x:v>
      </x:c>
      <x:c r="K6" s="9" t="n">
        <x:v>3740</x:v>
      </x:c>
      <x:c r="L6" s="11" t="n">
        <x:f>IF(K6=0,"n.a.",E6/(K6*10))</x:f>
        <x:v>-17.165775401069517</x:v>
      </x:c>
      <x:c r="M6" s="11" t="n">
        <x:v>260.8833333333333</x:v>
      </x:c>
    </x:row>
    <x:row r="7" ht="25" customHeight="1">
      <x:c r="A7" s="2" t="str">
        <x:v>2026-09-22_Night</x:v>
      </x:c>
      <x:c r="B7" s="2" t="str">
        <x:v>前20夜</x:v>
      </x:c>
      <x:c r="C7" s="6" t="n">
        <x:v>392000</x:v>
      </x:c>
      <x:c r="D7" s="6" t="n">
        <x:v>1830000</x:v>
      </x:c>
      <x:c r="E7" s="6" t="n">
        <x:f>C7-D7</x:f>
        <x:v>-1438000</x:v>
      </x:c>
      <x:c r="F7" s="6" t="n">
        <x:f>F6+E7</x:f>
        <x:v>-2080000</x:v>
      </x:c>
      <x:c r="G7" s="6" t="n">
        <x:v>-1438000</x:v>
      </x:c>
      <x:c r="H7" s="6" t="n">
        <x:v>1452000</x:v>
      </x:c>
      <x:c r="I7" s="9" t="n">
        <x:v>417</x:v>
      </x:c>
      <x:c r="J7" s="9" t="n">
        <x:f>IF(I7=0,1,0)</x:f>
        <x:v>0</x:v>
      </x:c>
      <x:c r="K7" s="9" t="n">
        <x:v>8340</x:v>
      </x:c>
      <x:c r="L7" s="11" t="n">
        <x:f>IF(K7=0,"n.a.",E7/(K7*10))</x:f>
        <x:v>-17.24220623501199</x:v>
      </x:c>
      <x:c r="M7" s="11" t="n">
        <x:v>254.46666666666667</x:v>
      </x:c>
    </x:row>
    <x:row r="8" ht="25" customHeight="1">
      <x:c r="A8" s="2" t="str">
        <x:v>2026-09-23_Night</x:v>
      </x:c>
      <x:c r="B8" s="2" t="str">
        <x:v>前20夜</x:v>
      </x:c>
      <x:c r="C8" s="6" t="n">
        <x:v>454000</x:v>
      </x:c>
      <x:c r="D8" s="6" t="n">
        <x:v>2798000</x:v>
      </x:c>
      <x:c r="E8" s="6" t="n">
        <x:f>C8-D8</x:f>
        <x:v>-2344000</x:v>
      </x:c>
      <x:c r="F8" s="6" t="n">
        <x:f>F7+E8</x:f>
        <x:v>-4424000</x:v>
      </x:c>
      <x:c r="G8" s="6" t="n">
        <x:v>-2344000</x:v>
      </x:c>
      <x:c r="H8" s="6" t="n">
        <x:v>2350000</x:v>
      </x:c>
      <x:c r="I8" s="9" t="n">
        <x:v>591</x:v>
      </x:c>
      <x:c r="J8" s="9" t="n">
        <x:f>IF(I8=0,1,0)</x:f>
        <x:v>0</x:v>
      </x:c>
      <x:c r="K8" s="9" t="n">
        <x:v>11820</x:v>
      </x:c>
      <x:c r="L8" s="11" t="n">
        <x:f>IF(K8=0,"n.a.",E8/(K8*10))</x:f>
        <x:v>-19.830795262267344</x:v>
      </x:c>
      <x:c r="M8" s="11" t="n">
        <x:v>309.55</x:v>
      </x:c>
    </x:row>
    <x:row r="9" ht="25" customHeight="1">
      <x:c r="A9" s="2" t="str">
        <x:v>2026-09-24_Night</x:v>
      </x:c>
      <x:c r="B9" s="2" t="str">
        <x:v>前20夜</x:v>
      </x:c>
      <x:c r="C9" s="6" t="n">
        <x:v>1366000</x:v>
      </x:c>
      <x:c r="D9" s="6" t="n">
        <x:v>3548000</x:v>
      </x:c>
      <x:c r="E9" s="6" t="n">
        <x:f>C9-D9</x:f>
        <x:v>-2182000</x:v>
      </x:c>
      <x:c r="F9" s="6" t="n">
        <x:f>F8+E9</x:f>
        <x:v>-6606000</x:v>
      </x:c>
      <x:c r="G9" s="6" t="n">
        <x:v>-2322000</x:v>
      </x:c>
      <x:c r="H9" s="6" t="n">
        <x:v>2322000</x:v>
      </x:c>
      <x:c r="I9" s="9" t="n">
        <x:v>837</x:v>
      </x:c>
      <x:c r="J9" s="9" t="n">
        <x:f>IF(I9=0,1,0)</x:f>
        <x:v>0</x:v>
      </x:c>
      <x:c r="K9" s="9" t="n">
        <x:v>16740</x:v>
      </x:c>
      <x:c r="L9" s="11" t="n">
        <x:f>IF(K9=0,"n.a.",E9/(K9*10))</x:f>
        <x:v>-13.034647550776583</x:v>
      </x:c>
      <x:c r="M9" s="11" t="n">
        <x:v>318.46666666666664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768000</x:v>
      </x:c>
      <x:c r="D10" s="6" t="n">
        <x:v>2328000</x:v>
      </x:c>
      <x:c r="E10" s="6" t="n">
        <x:f>C10-D10</x:f>
        <x:v>-1560000</x:v>
      </x:c>
      <x:c r="F10" s="6" t="n">
        <x:f>F9+E10</x:f>
        <x:v>-8166000</x:v>
      </x:c>
      <x:c r="G10" s="6" t="n">
        <x:v>-1560000</x:v>
      </x:c>
      <x:c r="H10" s="6" t="n">
        <x:v>1604000</x:v>
      </x:c>
      <x:c r="I10" s="9" t="n">
        <x:v>593</x:v>
      </x:c>
      <x:c r="J10" s="9" t="n">
        <x:f>IF(I10=0,1,0)</x:f>
        <x:v>0</x:v>
      </x:c>
      <x:c r="K10" s="9" t="n">
        <x:v>11860</x:v>
      </x:c>
      <x:c r="L10" s="11" t="n">
        <x:f>IF(K10=0,"n.a.",E10/(K10*10))</x:f>
        <x:v>-13.15345699831366</x:v>
      </x:c>
      <x:c r="M10" s="11" t="n">
        <x:v>339.0833333333333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1304000</x:v>
      </x:c>
      <x:c r="D11" s="6" t="n">
        <x:v>3450000</x:v>
      </x:c>
      <x:c r="E11" s="6" t="n">
        <x:f>C11-D11</x:f>
        <x:v>-2146000</x:v>
      </x:c>
      <x:c r="F11" s="6" t="n">
        <x:f>F10+E11</x:f>
        <x:v>-10312000</x:v>
      </x:c>
      <x:c r="G11" s="6" t="n">
        <x:v>-2272000</x:v>
      </x:c>
      <x:c r="H11" s="6" t="n">
        <x:v>2292000</x:v>
      </x:c>
      <x:c r="I11" s="9" t="n">
        <x:v>817</x:v>
      </x:c>
      <x:c r="J11" s="9" t="n">
        <x:f>IF(I11=0,1,0)</x:f>
        <x:v>0</x:v>
      </x:c>
      <x:c r="K11" s="9" t="n">
        <x:v>16340</x:v>
      </x:c>
      <x:c r="L11" s="11" t="n">
        <x:f>IF(K11=0,"n.a.",E11/(K11*10))</x:f>
        <x:v>-13.13341493268054</x:v>
      </x:c>
      <x:c r="M11" s="11" t="n">
        <x:v>355.15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906000</x:v>
      </x:c>
      <x:c r="D12" s="6" t="n">
        <x:v>2816000</x:v>
      </x:c>
      <x:c r="E12" s="6" t="n">
        <x:f>C12-D12</x:f>
        <x:v>-1910000</x:v>
      </x:c>
      <x:c r="F12" s="6" t="n">
        <x:f>F11+E12</x:f>
        <x:v>-12222000</x:v>
      </x:c>
      <x:c r="G12" s="6" t="n">
        <x:v>-1916000</x:v>
      </x:c>
      <x:c r="H12" s="6" t="n">
        <x:v>1942000</x:v>
      </x:c>
      <x:c r="I12" s="9" t="n">
        <x:v>681</x:v>
      </x:c>
      <x:c r="J12" s="9" t="n">
        <x:f>IF(I12=0,1,0)</x:f>
        <x:v>0</x:v>
      </x:c>
      <x:c r="K12" s="9" t="n">
        <x:v>13620</x:v>
      </x:c>
      <x:c r="L12" s="11" t="n">
        <x:f>IF(K12=0,"n.a.",E12/(K12*10))</x:f>
        <x:v>-14.023494860499266</x:v>
      </x:c>
      <x:c r="M12" s="11" t="n">
        <x:v>306.03333333333336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942000</x:v>
      </x:c>
      <x:c r="D13" s="6" t="n">
        <x:v>3396000</x:v>
      </x:c>
      <x:c r="E13" s="6" t="n">
        <x:f>C13-D13</x:f>
        <x:v>-2454000</x:v>
      </x:c>
      <x:c r="F13" s="6" t="n">
        <x:f>F12+E13</x:f>
        <x:v>-14676000</x:v>
      </x:c>
      <x:c r="G13" s="6" t="n">
        <x:v>-2460000</x:v>
      </x:c>
      <x:c r="H13" s="6" t="n">
        <x:v>2470000</x:v>
      </x:c>
      <x:c r="I13" s="9" t="n">
        <x:v>774</x:v>
      </x:c>
      <x:c r="J13" s="9" t="n">
        <x:f>IF(I13=0,1,0)</x:f>
        <x:v>0</x:v>
      </x:c>
      <x:c r="K13" s="9" t="n">
        <x:v>15480</x:v>
      </x:c>
      <x:c r="L13" s="11" t="n">
        <x:f>IF(K13=0,"n.a.",E13/(K13*10))</x:f>
        <x:v>-15.852713178294573</x:v>
      </x:c>
      <x:c r="M13" s="11" t="n">
        <x:v>315.9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1812000</x:v>
      </x:c>
      <x:c r="D14" s="6" t="n">
        <x:v>5288000</x:v>
      </x:c>
      <x:c r="E14" s="6" t="n">
        <x:f>C14-D14</x:f>
        <x:v>-3476000</x:v>
      </x:c>
      <x:c r="F14" s="6" t="n">
        <x:f>F13+E14</x:f>
        <x:v>-18152000</x:v>
      </x:c>
      <x:c r="G14" s="6" t="n">
        <x:v>-3476000</x:v>
      </x:c>
      <x:c r="H14" s="6" t="n">
        <x:v>3514000</x:v>
      </x:c>
      <x:c r="I14" s="9" t="n">
        <x:v>1259</x:v>
      </x:c>
      <x:c r="J14" s="9" t="n">
        <x:f>IF(I14=0,1,0)</x:f>
        <x:v>0</x:v>
      </x:c>
      <x:c r="K14" s="9" t="n">
        <x:v>25180</x:v>
      </x:c>
      <x:c r="L14" s="11" t="n">
        <x:f>IF(K14=0,"n.a.",E14/(K14*10))</x:f>
        <x:v>-13.80460683081811</x:v>
      </x:c>
      <x:c r="M14" s="11" t="n">
        <x:v>314.85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708000</x:v>
      </x:c>
      <x:c r="D15" s="6" t="n">
        <x:v>3640000</x:v>
      </x:c>
      <x:c r="E15" s="6" t="n">
        <x:f>C15-D15</x:f>
        <x:v>-2932000</x:v>
      </x:c>
      <x:c r="F15" s="6" t="n">
        <x:f>F14+E15</x:f>
        <x:v>-21084000</x:v>
      </x:c>
      <x:c r="G15" s="6" t="n">
        <x:v>-2946000</x:v>
      </x:c>
      <x:c r="H15" s="6" t="n">
        <x:v>2946000</x:v>
      </x:c>
      <x:c r="I15" s="9" t="n">
        <x:v>800</x:v>
      </x:c>
      <x:c r="J15" s="9" t="n">
        <x:f>IF(I15=0,1,0)</x:f>
        <x:v>0</x:v>
      </x:c>
      <x:c r="K15" s="9" t="n">
        <x:v>16000</x:v>
      </x:c>
      <x:c r="L15" s="11" t="n">
        <x:f>IF(K15=0,"n.a.",E15/(K15*10))</x:f>
        <x:v>-18.325</x:v>
      </x:c>
      <x:c r="M15" s="11" t="n">
        <x:v>324.81666666666666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454000</x:v>
      </x:c>
      <x:c r="D16" s="6" t="n">
        <x:v>1362000</x:v>
      </x:c>
      <x:c r="E16" s="6" t="n">
        <x:f>C16-D16</x:f>
        <x:v>-908000</x:v>
      </x:c>
      <x:c r="F16" s="6" t="n">
        <x:f>F15+E16</x:f>
        <x:v>-21992000</x:v>
      </x:c>
      <x:c r="G16" s="6" t="n">
        <x:v>-922000</x:v>
      </x:c>
      <x:c r="H16" s="6" t="n">
        <x:v>922000</x:v>
      </x:c>
      <x:c r="I16" s="9" t="n">
        <x:v>357</x:v>
      </x:c>
      <x:c r="J16" s="9" t="n">
        <x:f>IF(I16=0,1,0)</x:f>
        <x:v>0</x:v>
      </x:c>
      <x:c r="K16" s="9" t="n">
        <x:v>7140</x:v>
      </x:c>
      <x:c r="L16" s="11" t="n">
        <x:f>IF(K16=0,"n.a.",E16/(K16*10))</x:f>
        <x:v>-12.717086834733893</x:v>
      </x:c>
      <x:c r="M16" s="11" t="n">
        <x:v>311.75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430000</x:v>
      </x:c>
      <x:c r="D17" s="6" t="n">
        <x:v>966000</x:v>
      </x:c>
      <x:c r="E17" s="6" t="n">
        <x:f>C17-D17</x:f>
        <x:v>-536000</x:v>
      </x:c>
      <x:c r="F17" s="6" t="n">
        <x:f>F16+E17</x:f>
        <x:v>-22528000</x:v>
      </x:c>
      <x:c r="G17" s="6" t="n">
        <x:v>-578000</x:v>
      </x:c>
      <x:c r="H17" s="6" t="n">
        <x:v>728000</x:v>
      </x:c>
      <x:c r="I17" s="9" t="n">
        <x:v>246</x:v>
      </x:c>
      <x:c r="J17" s="9" t="n">
        <x:f>IF(I17=0,1,0)</x:f>
        <x:v>0</x:v>
      </x:c>
      <x:c r="K17" s="9" t="n">
        <x:v>4920</x:v>
      </x:c>
      <x:c r="L17" s="11" t="n">
        <x:f>IF(K17=0,"n.a.",E17/(K17*10))</x:f>
        <x:v>-10.894308943089431</x:v>
      </x:c>
      <x:c r="M17" s="11" t="n">
        <x:v>317.8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362000</x:v>
      </x:c>
      <x:c r="D18" s="6" t="n">
        <x:v>2092000</x:v>
      </x:c>
      <x:c r="E18" s="6" t="n">
        <x:f>C18-D18</x:f>
        <x:v>-1730000</x:v>
      </x:c>
      <x:c r="F18" s="6" t="n">
        <x:f>F17+E18</x:f>
        <x:v>-24258000</x:v>
      </x:c>
      <x:c r="G18" s="6" t="n">
        <x:v>-1740000</x:v>
      </x:c>
      <x:c r="H18" s="6" t="n">
        <x:v>1748000</x:v>
      </x:c>
      <x:c r="I18" s="9" t="n">
        <x:v>454</x:v>
      </x:c>
      <x:c r="J18" s="9" t="n">
        <x:f>IF(I18=0,1,0)</x:f>
        <x:v>0</x:v>
      </x:c>
      <x:c r="K18" s="9" t="n">
        <x:v>9080</x:v>
      </x:c>
      <x:c r="L18" s="11" t="n">
        <x:f>IF(K18=0,"n.a.",E18/(K18*10))</x:f>
        <x:v>-19.05286343612335</x:v>
      </x:c>
      <x:c r="M18" s="11" t="n">
        <x:v>359.95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1676000</x:v>
      </x:c>
      <x:c r="D19" s="6" t="n">
        <x:v>4640000</x:v>
      </x:c>
      <x:c r="E19" s="6" t="n">
        <x:f>C19-D19</x:f>
        <x:v>-2964000</x:v>
      </x:c>
      <x:c r="F19" s="6" t="n">
        <x:f>F18+E19</x:f>
        <x:v>-27222000</x:v>
      </x:c>
      <x:c r="G19" s="6" t="n">
        <x:v>-2964000</x:v>
      </x:c>
      <x:c r="H19" s="6" t="n">
        <x:v>2972000</x:v>
      </x:c>
      <x:c r="I19" s="9" t="n">
        <x:v>1104</x:v>
      </x:c>
      <x:c r="J19" s="9" t="n">
        <x:f>IF(I19=0,1,0)</x:f>
        <x:v>0</x:v>
      </x:c>
      <x:c r="K19" s="9" t="n">
        <x:v>22080</x:v>
      </x:c>
      <x:c r="L19" s="11" t="n">
        <x:f>IF(K19=0,"n.a.",E19/(K19*10))</x:f>
        <x:v>-13.423913043478262</x:v>
      </x:c>
      <x:c r="M19" s="11" t="n">
        <x:v>323.0833333333333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422000</x:v>
      </x:c>
      <x:c r="D20" s="6" t="n">
        <x:v>1620000</x:v>
      </x:c>
      <x:c r="E20" s="6" t="n">
        <x:f>C20-D20</x:f>
        <x:v>-1198000</x:v>
      </x:c>
      <x:c r="F20" s="6" t="n">
        <x:f>F19+E20</x:f>
        <x:v>-28420000</x:v>
      </x:c>
      <x:c r="G20" s="6" t="n">
        <x:v>-1198000</x:v>
      </x:c>
      <x:c r="H20" s="6" t="n">
        <x:v>1212000</x:v>
      </x:c>
      <x:c r="I20" s="9" t="n">
        <x:v>363</x:v>
      </x:c>
      <x:c r="J20" s="9" t="n">
        <x:f>IF(I20=0,1,0)</x:f>
        <x:v>0</x:v>
      </x:c>
      <x:c r="K20" s="9" t="n">
        <x:v>7260</x:v>
      </x:c>
      <x:c r="L20" s="11" t="n">
        <x:f>IF(K20=0,"n.a.",E20/(K20*10))</x:f>
        <x:v>-16.50137741046832</x:v>
      </x:c>
      <x:c r="M20" s="11" t="n">
        <x:v>280.45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242000</x:v>
      </x:c>
      <x:c r="D21" s="6" t="n">
        <x:v>1296000</x:v>
      </x:c>
      <x:c r="E21" s="6" t="n">
        <x:f>C21-D21</x:f>
        <x:v>-1054000</x:v>
      </x:c>
      <x:c r="F21" s="6" t="n">
        <x:f>F20+E21</x:f>
        <x:v>-29474000</x:v>
      </x:c>
      <x:c r="G21" s="6" t="n">
        <x:v>-1054000</x:v>
      </x:c>
      <x:c r="H21" s="6" t="n">
        <x:v>1080000</x:v>
      </x:c>
      <x:c r="I21" s="9" t="n">
        <x:v>289</x:v>
      </x:c>
      <x:c r="J21" s="9" t="n">
        <x:f>IF(I21=0,1,0)</x:f>
        <x:v>0</x:v>
      </x:c>
      <x:c r="K21" s="9" t="n">
        <x:v>5780</x:v>
      </x:c>
      <x:c r="L21" s="11" t="n">
        <x:f>IF(K21=0,"n.a.",E21/(K21*10))</x:f>
        <x:v>-18.235294117647058</x:v>
      </x:c>
      <x:c r="M21" s="11" t="n">
        <x:v>297.1666666666667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506000</x:v>
      </x:c>
      <x:c r="D22" s="6" t="n">
        <x:v>1910000</x:v>
      </x:c>
      <x:c r="E22" s="6" t="n">
        <x:f>C22-D22</x:f>
        <x:v>-1404000</x:v>
      </x:c>
      <x:c r="F22" s="6" t="n">
        <x:f>F21+E22</x:f>
        <x:v>-30878000</x:v>
      </x:c>
      <x:c r="G22" s="6" t="n">
        <x:v>-1404000</x:v>
      </x:c>
      <x:c r="H22" s="6" t="n">
        <x:v>1404000</x:v>
      </x:c>
      <x:c r="I22" s="9" t="n">
        <x:v>417</x:v>
      </x:c>
      <x:c r="J22" s="9" t="n">
        <x:f>IF(I22=0,1,0)</x:f>
        <x:v>0</x:v>
      </x:c>
      <x:c r="K22" s="9" t="n">
        <x:v>8340</x:v>
      </x:c>
      <x:c r="L22" s="11" t="n">
        <x:f>IF(K22=0,"n.a.",E22/(K22*10))</x:f>
        <x:v>-16.834532374100718</x:v>
      </x:c>
      <x:c r="M22" s="11" t="n">
        <x:v>309.15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754000</x:v>
      </x:c>
      <x:c r="D23" s="6" t="n">
        <x:v>3848000</x:v>
      </x:c>
      <x:c r="E23" s="6" t="n">
        <x:f>C23-D23</x:f>
        <x:v>-3094000</x:v>
      </x:c>
      <x:c r="F23" s="6" t="n">
        <x:f>F22+E23</x:f>
        <x:v>-33972000</x:v>
      </x:c>
      <x:c r="G23" s="6" t="n">
        <x:v>-3094000</x:v>
      </x:c>
      <x:c r="H23" s="6" t="n">
        <x:v>3094000</x:v>
      </x:c>
      <x:c r="I23" s="9" t="n">
        <x:v>877</x:v>
      </x:c>
      <x:c r="J23" s="9" t="n">
        <x:f>IF(I23=0,1,0)</x:f>
        <x:v>0</x:v>
      </x:c>
      <x:c r="K23" s="9" t="n">
        <x:v>17540</x:v>
      </x:c>
      <x:c r="L23" s="11" t="n">
        <x:f>IF(K23=0,"n.a.",E23/(K23*10))</x:f>
        <x:v>-17.639680729760546</x:v>
      </x:c>
      <x:c r="M23" s="11" t="n">
        <x:v>303.9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1460000</x:v>
      </x:c>
      <x:c r="D24" s="6" t="n">
        <x:v>4860000</x:v>
      </x:c>
      <x:c r="E24" s="6" t="n">
        <x:f>C24-D24</x:f>
        <x:v>-3400000</x:v>
      </x:c>
      <x:c r="F24" s="6" t="n">
        <x:f>F23+E24</x:f>
        <x:v>-37372000</x:v>
      </x:c>
      <x:c r="G24" s="6" t="n">
        <x:v>-3400000</x:v>
      </x:c>
      <x:c r="H24" s="6" t="n">
        <x:v>3482000</x:v>
      </x:c>
      <x:c r="I24" s="9" t="n">
        <x:v>1103</x:v>
      </x:c>
      <x:c r="J24" s="9" t="n">
        <x:f>IF(I24=0,1,0)</x:f>
        <x:v>0</x:v>
      </x:c>
      <x:c r="K24" s="9" t="n">
        <x:v>22060</x:v>
      </x:c>
      <x:c r="L24" s="11" t="n">
        <x:f>IF(K24=0,"n.a.",E24/(K24*10))</x:f>
        <x:v>-15.41251133272892</x:v>
      </x:c>
      <x:c r="M24" s="11" t="n">
        <x:v>311.45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2090000</x:v>
      </x:c>
      <x:c r="D25" s="6" t="n">
        <x:v>6168000</x:v>
      </x:c>
      <x:c r="E25" s="6" t="n">
        <x:f>C25-D25</x:f>
        <x:v>-4078000</x:v>
      </x:c>
      <x:c r="F25" s="6" t="n">
        <x:f>F24+E25</x:f>
        <x:v>-41450000</x:v>
      </x:c>
      <x:c r="G25" s="6" t="n">
        <x:v>-4138000</x:v>
      </x:c>
      <x:c r="H25" s="6" t="n">
        <x:v>4140000</x:v>
      </x:c>
      <x:c r="I25" s="9" t="n">
        <x:v>1516</x:v>
      </x:c>
      <x:c r="J25" s="9" t="n">
        <x:f>IF(I25=0,1,0)</x:f>
        <x:v>0</x:v>
      </x:c>
      <x:c r="K25" s="9" t="n">
        <x:v>30320</x:v>
      </x:c>
      <x:c r="L25" s="11" t="n">
        <x:f>IF(K25=0,"n.a.",E25/(K25*10))</x:f>
        <x:v>-13.449868073878628</x:v>
      </x:c>
      <x:c r="M25" s="11" t="n">
        <x:v>337.1</x:v>
      </x:c>
    </x:row>
    <x:row r="26" ht="25" customHeight="1">
      <x:c r="A26" s="2" t="str">
        <x:v>2026-10-19_Night</x:v>
      </x:c>
      <x:c r="B26" s="2" t="str">
        <x:v>後7夜</x:v>
      </x:c>
      <x:c r="C26" s="6" t="n">
        <x:v>1348000</x:v>
      </x:c>
      <x:c r="D26" s="6" t="n">
        <x:v>3132000</x:v>
      </x:c>
      <x:c r="E26" s="6" t="n">
        <x:f>C26-D26</x:f>
        <x:v>-1784000</x:v>
      </x:c>
      <x:c r="F26" s="6" t="n">
        <x:f>F25+E26</x:f>
        <x:v>-43234000</x:v>
      </x:c>
      <x:c r="G26" s="6" t="n">
        <x:v>-1844000</x:v>
      </x:c>
      <x:c r="H26" s="6" t="n">
        <x:v>1844000</x:v>
      </x:c>
      <x:c r="I26" s="9" t="n">
        <x:v>789</x:v>
      </x:c>
      <x:c r="J26" s="9" t="n">
        <x:f>IF(I26=0,1,0)</x:f>
        <x:v>0</x:v>
      </x:c>
      <x:c r="K26" s="9" t="n">
        <x:v>15780</x:v>
      </x:c>
      <x:c r="L26" s="11" t="n">
        <x:f>IF(K26=0,"n.a.",E26/(K26*10))</x:f>
        <x:v>-11.305449936628644</x:v>
      </x:c>
      <x:c r="M26" s="11" t="n">
        <x:v>326.51666666666665</x:v>
      </x:c>
    </x:row>
    <x:row r="27" ht="25" customHeight="1">
      <x:c r="A27" s="2" t="str">
        <x:v>2026-10-20_Night</x:v>
      </x:c>
      <x:c r="B27" s="2" t="str">
        <x:v>後7夜</x:v>
      </x:c>
      <x:c r="C27" s="6" t="n">
        <x:v>864000</x:v>
      </x:c>
      <x:c r="D27" s="6" t="n">
        <x:v>4028000</x:v>
      </x:c>
      <x:c r="E27" s="6" t="n">
        <x:f>C27-D27</x:f>
        <x:v>-3164000</x:v>
      </x:c>
      <x:c r="F27" s="6" t="n">
        <x:f>F26+E27</x:f>
        <x:v>-46398000</x:v>
      </x:c>
      <x:c r="G27" s="6" t="n">
        <x:v>-3250000</x:v>
      </x:c>
      <x:c r="H27" s="6" t="n">
        <x:v>3286000</x:v>
      </x:c>
      <x:c r="I27" s="9" t="n">
        <x:v>904</x:v>
      </x:c>
      <x:c r="J27" s="9" t="n">
        <x:f>IF(I27=0,1,0)</x:f>
        <x:v>0</x:v>
      </x:c>
      <x:c r="K27" s="9" t="n">
        <x:v>18080</x:v>
      </x:c>
      <x:c r="L27" s="11" t="n">
        <x:f>IF(K27=0,"n.a.",E27/(K27*10))</x:f>
        <x:v>-17.5</x:v>
      </x:c>
      <x:c r="M27" s="11" t="n">
        <x:v>324.56666666666666</x:v>
      </x:c>
    </x:row>
    <x:row r="28" ht="25" customHeight="1">
      <x:c r="A28" s="2" t="str">
        <x:v>2026-10-21_Night</x:v>
      </x:c>
      <x:c r="B28" s="2" t="str">
        <x:v>後7夜</x:v>
      </x:c>
      <x:c r="C28" s="6" t="n">
        <x:v>1214000</x:v>
      </x:c>
      <x:c r="D28" s="6" t="n">
        <x:v>3338000</x:v>
      </x:c>
      <x:c r="E28" s="6" t="n">
        <x:f>C28-D28</x:f>
        <x:v>-2124000</x:v>
      </x:c>
      <x:c r="F28" s="6" t="n">
        <x:f>F27+E28</x:f>
        <x:v>-48522000</x:v>
      </x:c>
      <x:c r="G28" s="6" t="n">
        <x:v>-2172000</x:v>
      </x:c>
      <x:c r="H28" s="6" t="n">
        <x:v>2172000</x:v>
      </x:c>
      <x:c r="I28" s="9" t="n">
        <x:v>816</x:v>
      </x:c>
      <x:c r="J28" s="9" t="n">
        <x:f>IF(I28=0,1,0)</x:f>
        <x:v>0</x:v>
      </x:c>
      <x:c r="K28" s="9" t="n">
        <x:v>16320</x:v>
      </x:c>
      <x:c r="L28" s="11" t="n">
        <x:f>IF(K28=0,"n.a.",E28/(K28*10))</x:f>
        <x:v>-13.014705882352942</x:v>
      </x:c>
      <x:c r="M28" s="11" t="n">
        <x:v>325.7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1664000</x:v>
      </x:c>
      <x:c r="D29" s="6" t="n">
        <x:v>4608000</x:v>
      </x:c>
      <x:c r="E29" s="6" t="n">
        <x:f>C29-D29</x:f>
        <x:v>-2944000</x:v>
      </x:c>
      <x:c r="F29" s="6" t="n">
        <x:f>F28+E29</x:f>
        <x:v>-51466000</x:v>
      </x:c>
      <x:c r="G29" s="6" t="n">
        <x:v>-2980000</x:v>
      </x:c>
      <x:c r="H29" s="6" t="n">
        <x:v>3038000</x:v>
      </x:c>
      <x:c r="I29" s="9" t="n">
        <x:v>1096</x:v>
      </x:c>
      <x:c r="J29" s="9" t="n">
        <x:f>IF(I29=0,1,0)</x:f>
        <x:v>0</x:v>
      </x:c>
      <x:c r="K29" s="9" t="n">
        <x:v>21920</x:v>
      </x:c>
      <x:c r="L29" s="11" t="n">
        <x:f>IF(K29=0,"n.a.",E29/(K29*10))</x:f>
        <x:v>-13.430656934306569</x:v>
      </x:c>
      <x:c r="M29" s="11" t="n">
        <x:v>344.2</x:v>
      </x:c>
    </x:row>
    <x:row r="30" ht="25" customHeight="1">
      <x:c r="A30" s="2" t="str">
        <x:v>2026-10-23_Night</x:v>
      </x:c>
      <x:c r="B30" s="2" t="str">
        <x:v>後7夜</x:v>
      </x:c>
      <x:c r="C30" s="6" t="n">
        <x:v>1092000</x:v>
      </x:c>
      <x:c r="D30" s="6" t="n">
        <x:v>3718000</x:v>
      </x:c>
      <x:c r="E30" s="6" t="n">
        <x:f>C30-D30</x:f>
        <x:v>-2626000</x:v>
      </x:c>
      <x:c r="F30" s="6" t="n">
        <x:f>F29+E30</x:f>
        <x:v>-54092000</x:v>
      </x:c>
      <x:c r="G30" s="6" t="n">
        <x:v>-2656000</x:v>
      </x:c>
      <x:c r="H30" s="6" t="n">
        <x:v>2656000</x:v>
      </x:c>
      <x:c r="I30" s="9" t="n">
        <x:v>882</x:v>
      </x:c>
      <x:c r="J30" s="9" t="n">
        <x:f>IF(I30=0,1,0)</x:f>
        <x:v>0</x:v>
      </x:c>
      <x:c r="K30" s="9" t="n">
        <x:v>17640</x:v>
      </x:c>
      <x:c r="L30" s="11" t="n">
        <x:f>IF(K30=0,"n.a.",E30/(K30*10))</x:f>
        <x:v>-14.886621315192743</x:v>
      </x:c>
      <x:c r="M30" s="11" t="n">
        <x:v>340.31666666666666</x:v>
      </x:c>
    </x:row>
    <x:row r="31" ht="25" customHeight="1">
      <x:c r="A31" s="2" t="str">
        <x:v>2026-10-26_Night</x:v>
      </x:c>
      <x:c r="B31" s="2" t="str">
        <x:v>後7夜</x:v>
      </x:c>
      <x:c r="C31" s="6" t="n">
        <x:v>1392000</x:v>
      </x:c>
      <x:c r="D31" s="6" t="n">
        <x:v>2692000</x:v>
      </x:c>
      <x:c r="E31" s="6" t="n">
        <x:f>C31-D31</x:f>
        <x:v>-1300000</x:v>
      </x:c>
      <x:c r="F31" s="6" t="n">
        <x:f>F30+E31</x:f>
        <x:v>-55392000</x:v>
      </x:c>
      <x:c r="G31" s="6" t="n">
        <x:v>-1300000</x:v>
      </x:c>
      <x:c r="H31" s="6" t="n">
        <x:v>1320000</x:v>
      </x:c>
      <x:c r="I31" s="9" t="n">
        <x:v>735</x:v>
      </x:c>
      <x:c r="J31" s="9" t="n">
        <x:f>IF(I31=0,1,0)</x:f>
        <x:v>0</x:v>
      </x:c>
      <x:c r="K31" s="9" t="n">
        <x:v>14700</x:v>
      </x:c>
      <x:c r="L31" s="11" t="n">
        <x:f>IF(K31=0,"n.a.",E31/(K31*10))</x:f>
        <x:v>-8.843537414965986</x:v>
      </x:c>
      <x:c r="M31" s="11" t="n">
        <x:v>304.1</x:v>
      </x:c>
    </x:row>
    <x:row r="32" ht="25" customHeight="1">
      <x:c r="A32" s="2" t="str">
        <x:v>2026-10-27_Night</x:v>
      </x:c>
      <x:c r="B32" s="2" t="str">
        <x:v>後7夜</x:v>
      </x:c>
      <x:c r="C32" s="6" t="n">
        <x:v>450000</x:v>
      </x:c>
      <x:c r="D32" s="6" t="n">
        <x:v>2008000</x:v>
      </x:c>
      <x:c r="E32" s="6" t="n">
        <x:f>C32-D32</x:f>
        <x:v>-1558000</x:v>
      </x:c>
      <x:c r="F32" s="6" t="n">
        <x:f>F31+E32</x:f>
        <x:v>-56950000</x:v>
      </x:c>
      <x:c r="G32" s="6" t="n">
        <x:v>-1558000</x:v>
      </x:c>
      <x:c r="H32" s="6" t="n">
        <x:v>1602000</x:v>
      </x:c>
      <x:c r="I32" s="9" t="n">
        <x:v>482</x:v>
      </x:c>
      <x:c r="J32" s="9" t="n">
        <x:f>IF(I32=0,1,0)</x:f>
        <x:v>0</x:v>
      </x:c>
      <x:c r="K32" s="9" t="n">
        <x:v>9640</x:v>
      </x:c>
      <x:c r="L32" s="11" t="n">
        <x:f>IF(K32=0,"n.a.",E32/(K32*10))</x:f>
        <x:v>-16.16182572614108</x:v>
      </x:c>
      <x:c r="M32" s="11" t="n">
        <x:v>279.01666666666665</x:v>
      </x:c>
    </x:row>
    <x:row r="33" ht="25" customHeight="1">
      <x:c r="A33" s="7" t="str">
        <x:v>累計／場内最悪値</x:v>
      </x:c>
      <x:c r="B33" s="7"/>
      <x:c r="C33" s="8" t="n">
        <x:f>SUM(C6:C32)</x:f>
        <x:v>25270000</x:v>
      </x:c>
      <x:c r="D33" s="8" t="n">
        <x:f>SUM(D6:D32)</x:f>
        <x:v>82220000</x:v>
      </x:c>
      <x:c r="E33" s="8" t="n">
        <x:f>C33-D33</x:f>
        <x:v>-56950000</x:v>
      </x:c>
      <x:c r="F33" s="8" t="n">
        <x:f>F32</x:f>
        <x:v>-56950000</x:v>
      </x:c>
      <x:c r="G33" s="8" t="n">
        <x:f>MIN(G6:G32)</x:f>
        <x:v>-4138000</x:v>
      </x:c>
      <x:c r="H33" s="8" t="n">
        <x:f>MAX(H6:H32)</x:f>
        <x:v>4140000</x:v>
      </x:c>
      <x:c r="I33" s="10" t="n">
        <x:f>SUM(I6:I32)</x:f>
        <x:v>19386</x:v>
      </x:c>
      <x:c r="J33" s="10" t="n">
        <x:f>SUM(J6:J32)</x:f>
        <x:v>0</x:v>
      </x:c>
      <x:c r="K33" s="10" t="n">
        <x:f>SUM(K6:K32)</x:f>
        <x:v>387720</x:v>
      </x:c>
      <x:c r="L33" s="12" t="n">
        <x:f>IF(K33=0,"n.a.",E33/(K33*10))</x:f>
        <x:v>-14.68843495305891</x:v>
      </x:c>
      <x:c r="M33" s="12" t="n">
        <x:f>SUM(M6:M32)</x:f>
        <x:v>8495.416666666664</x:v>
      </x:c>
    </x:row>
  </x:sheetData>
  <x:conditionalFormatting sqref="E6:G32">
    <x:cfRule type="cellIs" dxfId="20" priority="1" operator="lessThan">
      <x:formula>0</x:formula>
    </x:cfRule>
  </x:conditionalFormatting>
  <x:conditionalFormatting sqref="L6:L32">
    <x:cfRule type="cellIs" dxfId="2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56b8f4b033445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NK225_U165_11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10と反対回復価格通過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76000</x:v>
      </x:c>
      <x:c r="D6" s="6" t="n">
        <x:v>146000</x:v>
      </x:c>
      <x:c r="E6" s="6" t="n">
        <x:f>C6-D6</x:f>
        <x:v>-70000</x:v>
      </x:c>
      <x:c r="F6" s="6" t="n">
        <x:f>E6</x:f>
        <x:v>-70000</x:v>
      </x:c>
      <x:c r="G6" s="6" t="n">
        <x:v>-100000</x:v>
      </x:c>
      <x:c r="H6" s="6" t="n">
        <x:v>100000</x:v>
      </x:c>
      <x:c r="I6" s="9" t="n">
        <x:v>35</x:v>
      </x:c>
      <x:c r="J6" s="9" t="n">
        <x:f>IF(I6=0,1,0)</x:f>
        <x:v>0</x:v>
      </x:c>
      <x:c r="K6" s="9" t="n">
        <x:v>700</x:v>
      </x:c>
      <x:c r="L6" s="11" t="n">
        <x:f>IF(K6=0,"n.a.",E6/(K6*10))</x:f>
        <x:v>-10</x:v>
      </x:c>
      <x:c r="M6" s="11" t="n">
        <x:v>61.43333333333333</x:v>
      </x:c>
    </x:row>
    <x:row r="7" ht="25" customHeight="1">
      <x:c r="A7" s="2" t="str">
        <x:v>2026-09-22_Night</x:v>
      </x:c>
      <x:c r="B7" s="2" t="str">
        <x:v>前20夜</x:v>
      </x:c>
      <x:c r="C7" s="6" t="n">
        <x:v>28000</x:v>
      </x:c>
      <x:c r="D7" s="6" t="n">
        <x:v>412000</x:v>
      </x:c>
      <x:c r="E7" s="6" t="n">
        <x:f>C7-D7</x:f>
        <x:v>-384000</x:v>
      </x:c>
      <x:c r="F7" s="6" t="n">
        <x:f>F6+E7</x:f>
        <x:v>-454000</x:v>
      </x:c>
      <x:c r="G7" s="6" t="n">
        <x:v>-388000</x:v>
      </x:c>
      <x:c r="H7" s="6" t="n">
        <x:v>402000</x:v>
      </x:c>
      <x:c r="I7" s="9" t="n">
        <x:v>79</x:v>
      </x:c>
      <x:c r="J7" s="9" t="n">
        <x:f>IF(I7=0,1,0)</x:f>
        <x:v>0</x:v>
      </x:c>
      <x:c r="K7" s="9" t="n">
        <x:v>1580</x:v>
      </x:c>
      <x:c r="L7" s="11" t="n">
        <x:f>IF(K7=0,"n.a.",E7/(K7*10))</x:f>
        <x:v>-24.303797468354432</x:v>
      </x:c>
      <x:c r="M7" s="11" t="n">
        <x:v>44.68333333333333</x:v>
      </x:c>
    </x:row>
    <x:row r="8" ht="25" customHeight="1">
      <x:c r="A8" s="2" t="str">
        <x:v>2026-09-23_Night</x:v>
      </x:c>
      <x:c r="B8" s="2" t="str">
        <x:v>前20夜</x:v>
      </x:c>
      <x:c r="C8" s="6" t="n">
        <x:v>126000</x:v>
      </x:c>
      <x:c r="D8" s="6" t="n">
        <x:v>688000</x:v>
      </x:c>
      <x:c r="E8" s="6" t="n">
        <x:f>C8-D8</x:f>
        <x:v>-562000</x:v>
      </x:c>
      <x:c r="F8" s="6" t="n">
        <x:f>F7+E8</x:f>
        <x:v>-1016000</x:v>
      </x:c>
      <x:c r="G8" s="6" t="n">
        <x:v>-568000</x:v>
      </x:c>
      <x:c r="H8" s="6" t="n">
        <x:v>568000</x:v>
      </x:c>
      <x:c r="I8" s="9" t="n">
        <x:v>144</x:v>
      </x:c>
      <x:c r="J8" s="9" t="n">
        <x:f>IF(I8=0,1,0)</x:f>
        <x:v>0</x:v>
      </x:c>
      <x:c r="K8" s="9" t="n">
        <x:v>2880</x:v>
      </x:c>
      <x:c r="L8" s="11" t="n">
        <x:f>IF(K8=0,"n.a.",E8/(K8*10))</x:f>
        <x:v>-19.51388888888889</x:v>
      </x:c>
      <x:c r="M8" s="11" t="n">
        <x:v>74.03333333333333</x:v>
      </x:c>
    </x:row>
    <x:row r="9" ht="25" customHeight="1">
      <x:c r="A9" s="2" t="str">
        <x:v>2026-09-24_Night</x:v>
      </x:c>
      <x:c r="B9" s="2" t="str">
        <x:v>前20夜</x:v>
      </x:c>
      <x:c r="C9" s="6" t="n">
        <x:v>370000</x:v>
      </x:c>
      <x:c r="D9" s="6" t="n">
        <x:v>990000</x:v>
      </x:c>
      <x:c r="E9" s="6" t="n">
        <x:f>C9-D9</x:f>
        <x:v>-620000</x:v>
      </x:c>
      <x:c r="F9" s="6" t="n">
        <x:f>F8+E9</x:f>
        <x:v>-1636000</x:v>
      </x:c>
      <x:c r="G9" s="6" t="n">
        <x:v>-620000</x:v>
      </x:c>
      <x:c r="H9" s="6" t="n">
        <x:v>620000</x:v>
      </x:c>
      <x:c r="I9" s="9" t="n">
        <x:v>227</x:v>
      </x:c>
      <x:c r="J9" s="9" t="n">
        <x:f>IF(I9=0,1,0)</x:f>
        <x:v>0</x:v>
      </x:c>
      <x:c r="K9" s="9" t="n">
        <x:v>4540</x:v>
      </x:c>
      <x:c r="L9" s="11" t="n">
        <x:f>IF(K9=0,"n.a.",E9/(K9*10))</x:f>
        <x:v>-13.656387665198238</x:v>
      </x:c>
      <x:c r="M9" s="11" t="n">
        <x:v>100.76666666666667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250000</x:v>
      </x:c>
      <x:c r="D10" s="6" t="n">
        <x:v>586000</x:v>
      </x:c>
      <x:c r="E10" s="6" t="n">
        <x:f>C10-D10</x:f>
        <x:v>-336000</x:v>
      </x:c>
      <x:c r="F10" s="6" t="n">
        <x:f>F9+E10</x:f>
        <x:v>-1972000</x:v>
      </x:c>
      <x:c r="G10" s="6" t="n">
        <x:v>-336000</x:v>
      </x:c>
      <x:c r="H10" s="6" t="n">
        <x:v>436000</x:v>
      </x:c>
      <x:c r="I10" s="9" t="n">
        <x:v>146</x:v>
      </x:c>
      <x:c r="J10" s="9" t="n">
        <x:f>IF(I10=0,1,0)</x:f>
        <x:v>0</x:v>
      </x:c>
      <x:c r="K10" s="9" t="n">
        <x:v>2920</x:v>
      </x:c>
      <x:c r="L10" s="11" t="n">
        <x:f>IF(K10=0,"n.a.",E10/(K10*10))</x:f>
        <x:v>-11.506849315068493</x:v>
      </x:c>
      <x:c r="M10" s="11" t="n">
        <x:v>101.36666666666666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396000</x:v>
      </x:c>
      <x:c r="D11" s="6" t="n">
        <x:v>864000</x:v>
      </x:c>
      <x:c r="E11" s="6" t="n">
        <x:f>C11-D11</x:f>
        <x:v>-468000</x:v>
      </x:c>
      <x:c r="F11" s="6" t="n">
        <x:f>F10+E11</x:f>
        <x:v>-2440000</x:v>
      </x:c>
      <x:c r="G11" s="6" t="n">
        <x:v>-546000</x:v>
      </x:c>
      <x:c r="H11" s="6" t="n">
        <x:v>586000</x:v>
      </x:c>
      <x:c r="I11" s="9" t="n">
        <x:v>208</x:v>
      </x:c>
      <x:c r="J11" s="9" t="n">
        <x:f>IF(I11=0,1,0)</x:f>
        <x:v>0</x:v>
      </x:c>
      <x:c r="K11" s="9" t="n">
        <x:v>4160</x:v>
      </x:c>
      <x:c r="L11" s="11" t="n">
        <x:f>IF(K11=0,"n.a.",E11/(K11*10))</x:f>
        <x:v>-11.25</x:v>
      </x:c>
      <x:c r="M11" s="11" t="n">
        <x:v>139.93333333333334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146000</x:v>
      </x:c>
      <x:c r="D12" s="6" t="n">
        <x:v>704000</x:v>
      </x:c>
      <x:c r="E12" s="6" t="n">
        <x:f>C12-D12</x:f>
        <x:v>-558000</x:v>
      </x:c>
      <x:c r="F12" s="6" t="n">
        <x:f>F11+E12</x:f>
        <x:v>-2998000</x:v>
      </x:c>
      <x:c r="G12" s="6" t="n">
        <x:v>-564000</x:v>
      </x:c>
      <x:c r="H12" s="6" t="n">
        <x:v>564000</x:v>
      </x:c>
      <x:c r="I12" s="9" t="n">
        <x:v>174</x:v>
      </x:c>
      <x:c r="J12" s="9" t="n">
        <x:f>IF(I12=0,1,0)</x:f>
        <x:v>0</x:v>
      </x:c>
      <x:c r="K12" s="9" t="n">
        <x:v>3480</x:v>
      </x:c>
      <x:c r="L12" s="11" t="n">
        <x:f>IF(K12=0,"n.a.",E12/(K12*10))</x:f>
        <x:v>-16.03448275862069</x:v>
      </x:c>
      <x:c r="M12" s="11" t="n">
        <x:v>97.8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176000</x:v>
      </x:c>
      <x:c r="D13" s="6" t="n">
        <x:v>714000</x:v>
      </x:c>
      <x:c r="E13" s="6" t="n">
        <x:f>C13-D13</x:f>
        <x:v>-538000</x:v>
      </x:c>
      <x:c r="F13" s="6" t="n">
        <x:f>F12+E13</x:f>
        <x:v>-3536000</x:v>
      </x:c>
      <x:c r="G13" s="6" t="n">
        <x:v>-538000</x:v>
      </x:c>
      <x:c r="H13" s="6" t="n">
        <x:v>558000</x:v>
      </x:c>
      <x:c r="I13" s="9" t="n">
        <x:v>175</x:v>
      </x:c>
      <x:c r="J13" s="9" t="n">
        <x:f>IF(I13=0,1,0)</x:f>
        <x:v>0</x:v>
      </x:c>
      <x:c r="K13" s="9" t="n">
        <x:v>3500</x:v>
      </x:c>
      <x:c r="L13" s="11" t="n">
        <x:f>IF(K13=0,"n.a.",E13/(K13*10))</x:f>
        <x:v>-15.371428571428572</x:v>
      </x:c>
      <x:c r="M13" s="11" t="n">
        <x:v>79.76666666666667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468000</x:v>
      </x:c>
      <x:c r="D14" s="6" t="n">
        <x:v>1430000</x:v>
      </x:c>
      <x:c r="E14" s="6" t="n">
        <x:f>C14-D14</x:f>
        <x:v>-962000</x:v>
      </x:c>
      <x:c r="F14" s="6" t="n">
        <x:f>F13+E14</x:f>
        <x:v>-4498000</x:v>
      </x:c>
      <x:c r="G14" s="6" t="n">
        <x:v>-972000</x:v>
      </x:c>
      <x:c r="H14" s="6" t="n">
        <x:v>980000</x:v>
      </x:c>
      <x:c r="I14" s="9" t="n">
        <x:v>339</x:v>
      </x:c>
      <x:c r="J14" s="9" t="n">
        <x:f>IF(I14=0,1,0)</x:f>
        <x:v>0</x:v>
      </x:c>
      <x:c r="K14" s="9" t="n">
        <x:v>6780</x:v>
      </x:c>
      <x:c r="L14" s="11" t="n">
        <x:f>IF(K14=0,"n.a.",E14/(K14*10))</x:f>
        <x:v>-14.188790560471977</x:v>
      </x:c>
      <x:c r="M14" s="11" t="n">
        <x:v>116.58333333333333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100000</x:v>
      </x:c>
      <x:c r="D15" s="6" t="n">
        <x:v>874000</x:v>
      </x:c>
      <x:c r="E15" s="6" t="n">
        <x:f>C15-D15</x:f>
        <x:v>-774000</x:v>
      </x:c>
      <x:c r="F15" s="6" t="n">
        <x:f>F14+E15</x:f>
        <x:v>-5272000</x:v>
      </x:c>
      <x:c r="G15" s="6" t="n">
        <x:v>-774000</x:v>
      </x:c>
      <x:c r="H15" s="6" t="n">
        <x:v>778000</x:v>
      </x:c>
      <x:c r="I15" s="9" t="n">
        <x:v>187</x:v>
      </x:c>
      <x:c r="J15" s="9" t="n">
        <x:f>IF(I15=0,1,0)</x:f>
        <x:v>0</x:v>
      </x:c>
      <x:c r="K15" s="9" t="n">
        <x:v>3740</x:v>
      </x:c>
      <x:c r="L15" s="11" t="n">
        <x:f>IF(K15=0,"n.a.",E15/(K15*10))</x:f>
        <x:v>-20.6951871657754</x:v>
      </x:c>
      <x:c r="M15" s="11" t="n">
        <x:v>93.95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188000</x:v>
      </x:c>
      <x:c r="D16" s="6" t="n">
        <x:v>236000</x:v>
      </x:c>
      <x:c r="E16" s="6" t="n">
        <x:f>C16-D16</x:f>
        <x:v>-48000</x:v>
      </x:c>
      <x:c r="F16" s="6" t="n">
        <x:f>F15+E16</x:f>
        <x:v>-5320000</x:v>
      </x:c>
      <x:c r="G16" s="6" t="n">
        <x:v>-118000</x:v>
      </x:c>
      <x:c r="H16" s="6" t="n">
        <x:v>118000</x:v>
      </x:c>
      <x:c r="I16" s="9" t="n">
        <x:v>79</x:v>
      </x:c>
      <x:c r="J16" s="9" t="n">
        <x:f>IF(I16=0,1,0)</x:f>
        <x:v>0</x:v>
      </x:c>
      <x:c r="K16" s="9" t="n">
        <x:v>1580</x:v>
      </x:c>
      <x:c r="L16" s="11" t="n">
        <x:f>IF(K16=0,"n.a.",E16/(K16*10))</x:f>
        <x:v>-3.037974683544304</x:v>
      </x:c>
      <x:c r="M16" s="11" t="n">
        <x:v>110.36666666666666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174000</x:v>
      </x:c>
      <x:c r="D17" s="6" t="n">
        <x:v>118000</x:v>
      </x:c>
      <x:c r="E17" s="6" t="n">
        <x:f>C17-D17</x:f>
        <x:v>56000</x:v>
      </x:c>
      <x:c r="F17" s="6" t="n">
        <x:f>F16+E17</x:f>
        <x:v>-5264000</x:v>
      </x:c>
      <x:c r="G17" s="6" t="n">
        <x:v>-12000</x:v>
      </x:c>
      <x:c r="H17" s="6" t="n">
        <x:v>102000</x:v>
      </x:c>
      <x:c r="I17" s="9" t="n">
        <x:v>48</x:v>
      </x:c>
      <x:c r="J17" s="9" t="n">
        <x:f>IF(I17=0,1,0)</x:f>
        <x:v>0</x:v>
      </x:c>
      <x:c r="K17" s="9" t="n">
        <x:v>960</x:v>
      </x:c>
      <x:c r="L17" s="11" t="n">
        <x:f>IF(K17=0,"n.a.",E17/(K17*10))</x:f>
        <x:v>5.833333333333333</x:v>
      </x:c>
      <x:c r="M17" s="11" t="n">
        <x:v>136.33333333333334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64000</x:v>
      </x:c>
      <x:c r="D18" s="6" t="n">
        <x:v>346000</x:v>
      </x:c>
      <x:c r="E18" s="6" t="n">
        <x:f>C18-D18</x:f>
        <x:v>-282000</x:v>
      </x:c>
      <x:c r="F18" s="6" t="n">
        <x:f>F17+E18</x:f>
        <x:v>-5546000</x:v>
      </x:c>
      <x:c r="G18" s="6" t="n">
        <x:v>-302000</x:v>
      </x:c>
      <x:c r="H18" s="6" t="n">
        <x:v>304000</x:v>
      </x:c>
      <x:c r="I18" s="9" t="n">
        <x:v>87</x:v>
      </x:c>
      <x:c r="J18" s="9" t="n">
        <x:f>IF(I18=0,1,0)</x:f>
        <x:v>0</x:v>
      </x:c>
      <x:c r="K18" s="9" t="n">
        <x:v>1740</x:v>
      </x:c>
      <x:c r="L18" s="11" t="n">
        <x:f>IF(K18=0,"n.a.",E18/(K18*10))</x:f>
        <x:v>-16.20689655172414</x:v>
      </x:c>
      <x:c r="M18" s="11" t="n">
        <x:v>71.03333333333333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572000</x:v>
      </x:c>
      <x:c r="D19" s="6" t="n">
        <x:v>1312000</x:v>
      </x:c>
      <x:c r="E19" s="6" t="n">
        <x:f>C19-D19</x:f>
        <x:v>-740000</x:v>
      </x:c>
      <x:c r="F19" s="6" t="n">
        <x:f>F18+E19</x:f>
        <x:v>-6286000</x:v>
      </x:c>
      <x:c r="G19" s="6" t="n">
        <x:v>-746000</x:v>
      </x:c>
      <x:c r="H19" s="6" t="n">
        <x:v>746000</x:v>
      </x:c>
      <x:c r="I19" s="9" t="n">
        <x:v>323</x:v>
      </x:c>
      <x:c r="J19" s="9" t="n">
        <x:f>IF(I19=0,1,0)</x:f>
        <x:v>0</x:v>
      </x:c>
      <x:c r="K19" s="9" t="n">
        <x:v>6460</x:v>
      </x:c>
      <x:c r="L19" s="11" t="n">
        <x:f>IF(K19=0,"n.a.",E19/(K19*10))</x:f>
        <x:v>-11.455108359133128</x:v>
      </x:c>
      <x:c r="M19" s="11" t="n">
        <x:v>131.31666666666666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108000</x:v>
      </x:c>
      <x:c r="D20" s="6" t="n">
        <x:v>416000</x:v>
      </x:c>
      <x:c r="E20" s="6" t="n">
        <x:f>C20-D20</x:f>
        <x:v>-308000</x:v>
      </x:c>
      <x:c r="F20" s="6" t="n">
        <x:f>F19+E20</x:f>
        <x:v>-6594000</x:v>
      </x:c>
      <x:c r="G20" s="6" t="n">
        <x:v>-308000</x:v>
      </x:c>
      <x:c r="H20" s="6" t="n">
        <x:v>308000</x:v>
      </x:c>
      <x:c r="I20" s="9" t="n">
        <x:v>86</x:v>
      </x:c>
      <x:c r="J20" s="9" t="n">
        <x:f>IF(I20=0,1,0)</x:f>
        <x:v>0</x:v>
      </x:c>
      <x:c r="K20" s="9" t="n">
        <x:v>1720</x:v>
      </x:c>
      <x:c r="L20" s="11" t="n">
        <x:f>IF(K20=0,"n.a.",E20/(K20*10))</x:f>
        <x:v>-17.906976744186046</x:v>
      </x:c>
      <x:c r="M20" s="11" t="n">
        <x:v>63.266666666666666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38000</x:v>
      </x:c>
      <x:c r="D21" s="6" t="n">
        <x:v>272000</x:v>
      </x:c>
      <x:c r="E21" s="6" t="n">
        <x:f>C21-D21</x:f>
        <x:v>-234000</x:v>
      </x:c>
      <x:c r="F21" s="6" t="n">
        <x:f>F20+E21</x:f>
        <x:v>-6828000</x:v>
      </x:c>
      <x:c r="G21" s="6" t="n">
        <x:v>-234000</x:v>
      </x:c>
      <x:c r="H21" s="6" t="n">
        <x:v>234000</x:v>
      </x:c>
      <x:c r="I21" s="9" t="n">
        <x:v>52</x:v>
      </x:c>
      <x:c r="J21" s="9" t="n">
        <x:f>IF(I21=0,1,0)</x:f>
        <x:v>0</x:v>
      </x:c>
      <x:c r="K21" s="9" t="n">
        <x:v>1040</x:v>
      </x:c>
      <x:c r="L21" s="11" t="n">
        <x:f>IF(K21=0,"n.a.",E21/(K21*10))</x:f>
        <x:v>-22.5</x:v>
      </x:c>
      <x:c r="M21" s="11" t="n">
        <x:v>30.533333333333335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92000</x:v>
      </x:c>
      <x:c r="D22" s="6" t="n">
        <x:v>292000</x:v>
      </x:c>
      <x:c r="E22" s="6" t="n">
        <x:f>C22-D22</x:f>
        <x:v>-200000</x:v>
      </x:c>
      <x:c r="F22" s="6" t="n">
        <x:f>F21+E22</x:f>
        <x:v>-7028000</x:v>
      </x:c>
      <x:c r="G22" s="6" t="n">
        <x:v>-200000</x:v>
      </x:c>
      <x:c r="H22" s="6" t="n">
        <x:v>206000</x:v>
      </x:c>
      <x:c r="I22" s="9" t="n">
        <x:v>66</x:v>
      </x:c>
      <x:c r="J22" s="9" t="n">
        <x:f>IF(I22=0,1,0)</x:f>
        <x:v>0</x:v>
      </x:c>
      <x:c r="K22" s="9" t="n">
        <x:v>1320</x:v>
      </x:c>
      <x:c r="L22" s="11" t="n">
        <x:f>IF(K22=0,"n.a.",E22/(K22*10))</x:f>
        <x:v>-15.151515151515152</x:v>
      </x:c>
      <x:c r="M22" s="11" t="n">
        <x:v>63.9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78000</x:v>
      </x:c>
      <x:c r="D23" s="6" t="n">
        <x:v>916000</x:v>
      </x:c>
      <x:c r="E23" s="6" t="n">
        <x:f>C23-D23</x:f>
        <x:v>-838000</x:v>
      </x:c>
      <x:c r="F23" s="6" t="n">
        <x:f>F22+E23</x:f>
        <x:v>-7866000</x:v>
      </x:c>
      <x:c r="G23" s="6" t="n">
        <x:v>-850000</x:v>
      </x:c>
      <x:c r="H23" s="6" t="n">
        <x:v>850000</x:v>
      </x:c>
      <x:c r="I23" s="9" t="n">
        <x:v>184</x:v>
      </x:c>
      <x:c r="J23" s="9" t="n">
        <x:f>IF(I23=0,1,0)</x:f>
        <x:v>0</x:v>
      </x:c>
      <x:c r="K23" s="9" t="n">
        <x:v>3680</x:v>
      </x:c>
      <x:c r="L23" s="11" t="n">
        <x:f>IF(K23=0,"n.a.",E23/(K23*10))</x:f>
        <x:v>-22.77173913043478</x:v>
      </x:c>
      <x:c r="M23" s="11" t="n">
        <x:v>80.4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402000</x:v>
      </x:c>
      <x:c r="D24" s="6" t="n">
        <x:v>1502000</x:v>
      </x:c>
      <x:c r="E24" s="6" t="n">
        <x:f>C24-D24</x:f>
        <x:v>-1100000</x:v>
      </x:c>
      <x:c r="F24" s="6" t="n">
        <x:f>F23+E24</x:f>
        <x:v>-8966000</x:v>
      </x:c>
      <x:c r="G24" s="6" t="n">
        <x:v>-1108000</x:v>
      </x:c>
      <x:c r="H24" s="6" t="n">
        <x:v>1128000</x:v>
      </x:c>
      <x:c r="I24" s="9" t="n">
        <x:v>328</x:v>
      </x:c>
      <x:c r="J24" s="9" t="n">
        <x:f>IF(I24=0,1,0)</x:f>
        <x:v>0</x:v>
      </x:c>
      <x:c r="K24" s="9" t="n">
        <x:v>6560</x:v>
      </x:c>
      <x:c r="L24" s="11" t="n">
        <x:f>IF(K24=0,"n.a.",E24/(K24*10))</x:f>
        <x:v>-16.76829268292683</x:v>
      </x:c>
      <x:c r="M24" s="11" t="n">
        <x:v>108.88333333333334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626000</x:v>
      </x:c>
      <x:c r="D25" s="6" t="n">
        <x:v>1552000</x:v>
      </x:c>
      <x:c r="E25" s="6" t="n">
        <x:f>C25-D25</x:f>
        <x:v>-926000</x:v>
      </x:c>
      <x:c r="F25" s="6" t="n">
        <x:f>F24+E25</x:f>
        <x:v>-9892000</x:v>
      </x:c>
      <x:c r="G25" s="6" t="n">
        <x:v>-926000</x:v>
      </x:c>
      <x:c r="H25" s="6" t="n">
        <x:v>1058000</x:v>
      </x:c>
      <x:c r="I25" s="9" t="n">
        <x:v>381</x:v>
      </x:c>
      <x:c r="J25" s="9" t="n">
        <x:f>IF(I25=0,1,0)</x:f>
        <x:v>0</x:v>
      </x:c>
      <x:c r="K25" s="9" t="n">
        <x:v>7620</x:v>
      </x:c>
      <x:c r="L25" s="11" t="n">
        <x:f>IF(K25=0,"n.a.",E25/(K25*10))</x:f>
        <x:v>-12.152230971128608</x:v>
      </x:c>
      <x:c r="M25" s="11" t="n">
        <x:v>110.61666666666666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414000</x:v>
      </x:c>
      <x:c r="D26" s="6" t="n">
        <x:v>834000</x:v>
      </x:c>
      <x:c r="E26" s="6" t="n">
        <x:f>C26-D26</x:f>
        <x:v>-420000</x:v>
      </x:c>
      <x:c r="F26" s="6" t="n">
        <x:f>F25+E26</x:f>
        <x:v>-10312000</x:v>
      </x:c>
      <x:c r="G26" s="6" t="n">
        <x:v>-432000</x:v>
      </x:c>
      <x:c r="H26" s="6" t="n">
        <x:v>432000</x:v>
      </x:c>
      <x:c r="I26" s="9" t="n">
        <x:v>203</x:v>
      </x:c>
      <x:c r="J26" s="9" t="n">
        <x:f>IF(I26=0,1,0)</x:f>
        <x:v>0</x:v>
      </x:c>
      <x:c r="K26" s="9" t="n">
        <x:v>4060</x:v>
      </x:c>
      <x:c r="L26" s="11" t="n">
        <x:f>IF(K26=0,"n.a.",E26/(K26*10))</x:f>
        <x:v>-10.344827586206897</x:v>
      </x:c>
      <x:c r="M26" s="11" t="n">
        <x:v>110.9</x:v>
      </x:c>
    </x:row>
    <x:row r="27" ht="25" customHeight="1">
      <x:c r="A27" s="2" t="str">
        <x:v>2026-10-20_Night</x:v>
      </x:c>
      <x:c r="B27" s="2" t="str">
        <x:v>後7夜</x:v>
      </x:c>
      <x:c r="C27" s="6" t="n">
        <x:v>212000</x:v>
      </x:c>
      <x:c r="D27" s="6" t="n">
        <x:v>1030000</x:v>
      </x:c>
      <x:c r="E27" s="6" t="n">
        <x:f>C27-D27</x:f>
        <x:v>-818000</x:v>
      </x:c>
      <x:c r="F27" s="6" t="n">
        <x:f>F26+E27</x:f>
        <x:v>-11130000</x:v>
      </x:c>
      <x:c r="G27" s="6" t="n">
        <x:v>-818000</x:v>
      </x:c>
      <x:c r="H27" s="6" t="n">
        <x:v>846000</x:v>
      </x:c>
      <x:c r="I27" s="9" t="n">
        <x:v>232</x:v>
      </x:c>
      <x:c r="J27" s="9" t="n">
        <x:f>IF(I27=0,1,0)</x:f>
        <x:v>0</x:v>
      </x:c>
      <x:c r="K27" s="9" t="n">
        <x:v>4640</x:v>
      </x:c>
      <x:c r="L27" s="11" t="n">
        <x:f>IF(K27=0,"n.a.",E27/(K27*10))</x:f>
        <x:v>-17.629310344827587</x:v>
      </x:c>
      <x:c r="M27" s="11" t="n">
        <x:v>90.9</x:v>
      </x:c>
    </x:row>
    <x:row r="28" ht="25" customHeight="1">
      <x:c r="A28" s="2" t="str">
        <x:v>2026-10-21_Night</x:v>
      </x:c>
      <x:c r="B28" s="2" t="str">
        <x:v>後7夜</x:v>
      </x:c>
      <x:c r="C28" s="6" t="n">
        <x:v>316000</x:v>
      </x:c>
      <x:c r="D28" s="6" t="n">
        <x:v>892000</x:v>
      </x:c>
      <x:c r="E28" s="6" t="n">
        <x:f>C28-D28</x:f>
        <x:v>-576000</x:v>
      </x:c>
      <x:c r="F28" s="6" t="n">
        <x:f>F27+E28</x:f>
        <x:v>-11706000</x:v>
      </x:c>
      <x:c r="G28" s="6" t="n">
        <x:v>-590000</x:v>
      </x:c>
      <x:c r="H28" s="6" t="n">
        <x:v>590000</x:v>
      </x:c>
      <x:c r="I28" s="9" t="n">
        <x:v>222</x:v>
      </x:c>
      <x:c r="J28" s="9" t="n">
        <x:f>IF(I28=0,1,0)</x:f>
        <x:v>0</x:v>
      </x:c>
      <x:c r="K28" s="9" t="n">
        <x:v>4440</x:v>
      </x:c>
      <x:c r="L28" s="11" t="n">
        <x:f>IF(K28=0,"n.a.",E28/(K28*10))</x:f>
        <x:v>-12.972972972972974</x:v>
      </x:c>
      <x:c r="M28" s="11" t="n">
        <x:v>92.33333333333333</x:v>
      </x:c>
    </x:row>
    <x:row r="29" ht="25" customHeight="1">
      <x:c r="A29" s="2" t="str">
        <x:v>2026-10-22_Night</x:v>
      </x:c>
      <x:c r="B29" s="2" t="str">
        <x:v>後7夜</x:v>
      </x:c>
      <x:c r="C29" s="6" t="n">
        <x:v>504000</x:v>
      </x:c>
      <x:c r="D29" s="6" t="n">
        <x:v>1372000</x:v>
      </x:c>
      <x:c r="E29" s="6" t="n">
        <x:f>C29-D29</x:f>
        <x:v>-868000</x:v>
      </x:c>
      <x:c r="F29" s="6" t="n">
        <x:f>F28+E29</x:f>
        <x:v>-12574000</x:v>
      </x:c>
      <x:c r="G29" s="6" t="n">
        <x:v>-898000</x:v>
      </x:c>
      <x:c r="H29" s="6" t="n">
        <x:v>998000</x:v>
      </x:c>
      <x:c r="I29" s="9" t="n">
        <x:v>328</x:v>
      </x:c>
      <x:c r="J29" s="9" t="n">
        <x:f>IF(I29=0,1,0)</x:f>
        <x:v>0</x:v>
      </x:c>
      <x:c r="K29" s="9" t="n">
        <x:v>6560</x:v>
      </x:c>
      <x:c r="L29" s="11" t="n">
        <x:f>IF(K29=0,"n.a.",E29/(K29*10))</x:f>
        <x:v>-13.231707317073171</x:v>
      </x:c>
      <x:c r="M29" s="11" t="n">
        <x:v>152.28333333333333</x:v>
      </x:c>
    </x:row>
    <x:row r="30" ht="25" customHeight="1">
      <x:c r="A30" s="2" t="str">
        <x:v>2026-10-23_Night</x:v>
      </x:c>
      <x:c r="B30" s="2" t="str">
        <x:v>後7夜</x:v>
      </x:c>
      <x:c r="C30" s="6" t="n">
        <x:v>202000</x:v>
      </x:c>
      <x:c r="D30" s="6" t="n">
        <x:v>1212000</x:v>
      </x:c>
      <x:c r="E30" s="6" t="n">
        <x:f>C30-D30</x:f>
        <x:v>-1010000</x:v>
      </x:c>
      <x:c r="F30" s="6" t="n">
        <x:f>F29+E30</x:f>
        <x:v>-13584000</x:v>
      </x:c>
      <x:c r="G30" s="6" t="n">
        <x:v>-1010000</x:v>
      </x:c>
      <x:c r="H30" s="6" t="n">
        <x:v>1034000</x:v>
      </x:c>
      <x:c r="I30" s="9" t="n">
        <x:v>259</x:v>
      </x:c>
      <x:c r="J30" s="9" t="n">
        <x:f>IF(I30=0,1,0)</x:f>
        <x:v>0</x:v>
      </x:c>
      <x:c r="K30" s="9" t="n">
        <x:v>5180</x:v>
      </x:c>
      <x:c r="L30" s="11" t="n">
        <x:f>IF(K30=0,"n.a.",E30/(K30*10))</x:f>
        <x:v>-19.498069498069498</x:v>
      </x:c>
      <x:c r="M30" s="11" t="n">
        <x:v>104</x:v>
      </x:c>
    </x:row>
    <x:row r="31" ht="25" customHeight="1">
      <x:c r="A31" s="2" t="str">
        <x:v>2026-10-26_Night</x:v>
      </x:c>
      <x:c r="B31" s="2" t="str">
        <x:v>後7夜</x:v>
      </x:c>
      <x:c r="C31" s="6" t="n">
        <x:v>264000</x:v>
      </x:c>
      <x:c r="D31" s="6" t="n">
        <x:v>746000</x:v>
      </x:c>
      <x:c r="E31" s="6" t="n">
        <x:f>C31-D31</x:f>
        <x:v>-482000</x:v>
      </x:c>
      <x:c r="F31" s="6" t="n">
        <x:f>F30+E31</x:f>
        <x:v>-14066000</x:v>
      </x:c>
      <x:c r="G31" s="6" t="n">
        <x:v>-482000</x:v>
      </x:c>
      <x:c r="H31" s="6" t="n">
        <x:v>560000</x:v>
      </x:c>
      <x:c r="I31" s="9" t="n">
        <x:v>195</x:v>
      </x:c>
      <x:c r="J31" s="9" t="n">
        <x:f>IF(I31=0,1,0)</x:f>
        <x:v>0</x:v>
      </x:c>
      <x:c r="K31" s="9" t="n">
        <x:v>3900</x:v>
      </x:c>
      <x:c r="L31" s="11" t="n">
        <x:f>IF(K31=0,"n.a.",E31/(K31*10))</x:f>
        <x:v>-12.35897435897436</x:v>
      </x:c>
      <x:c r="M31" s="11" t="n">
        <x:v>130.51666666666668</x:v>
      </x:c>
    </x:row>
    <x:row r="32" ht="25" customHeight="1">
      <x:c r="A32" s="2" t="str">
        <x:v>2026-10-27_Night</x:v>
      </x:c>
      <x:c r="B32" s="2" t="str">
        <x:v>後7夜</x:v>
      </x:c>
      <x:c r="C32" s="6" t="n">
        <x:v>136000</x:v>
      </x:c>
      <x:c r="D32" s="6" t="n">
        <x:v>364000</x:v>
      </x:c>
      <x:c r="E32" s="6" t="n">
        <x:f>C32-D32</x:f>
        <x:v>-228000</x:v>
      </x:c>
      <x:c r="F32" s="6" t="n">
        <x:f>F31+E32</x:f>
        <x:v>-14294000</x:v>
      </x:c>
      <x:c r="G32" s="6" t="n">
        <x:v>-232000</x:v>
      </x:c>
      <x:c r="H32" s="6" t="n">
        <x:v>296000</x:v>
      </x:c>
      <x:c r="I32" s="9" t="n">
        <x:v>119</x:v>
      </x:c>
      <x:c r="J32" s="9" t="n">
        <x:f>IF(I32=0,1,0)</x:f>
        <x:v>0</x:v>
      </x:c>
      <x:c r="K32" s="9" t="n">
        <x:v>2380</x:v>
      </x:c>
      <x:c r="L32" s="11" t="n">
        <x:f>IF(K32=0,"n.a.",E32/(K32*10))</x:f>
        <x:v>-9.579831932773109</x:v>
      </x:c>
      <x:c r="M32" s="11" t="n">
        <x:v>68.65</x:v>
      </x:c>
    </x:row>
    <x:row r="33" ht="25" customHeight="1">
      <x:c r="A33" s="7" t="str">
        <x:v>累計／場内最悪値</x:v>
      </x:c>
      <x:c r="B33" s="7"/>
      <x:c r="C33" s="8" t="n">
        <x:f>SUM(C6:C32)</x:f>
        <x:v>6526000</x:v>
      </x:c>
      <x:c r="D33" s="8" t="n">
        <x:f>SUM(D6:D32)</x:f>
        <x:v>20820000</x:v>
      </x:c>
      <x:c r="E33" s="8" t="n">
        <x:f>C33-D33</x:f>
        <x:v>-14294000</x:v>
      </x:c>
      <x:c r="F33" s="8" t="n">
        <x:f>F32</x:f>
        <x:v>-14294000</x:v>
      </x:c>
      <x:c r="G33" s="8" t="n">
        <x:f>MIN(G6:G32)</x:f>
        <x:v>-1108000</x:v>
      </x:c>
      <x:c r="H33" s="8" t="n">
        <x:f>MAX(H6:H32)</x:f>
        <x:v>1128000</x:v>
      </x:c>
      <x:c r="I33" s="10" t="n">
        <x:f>SUM(I6:I32)</x:f>
        <x:v>4906</x:v>
      </x:c>
      <x:c r="J33" s="10" t="n">
        <x:f>SUM(J6:J32)</x:f>
        <x:v>0</x:v>
      </x:c>
      <x:c r="K33" s="10" t="n">
        <x:f>SUM(K6:K32)</x:f>
        <x:v>98120</x:v>
      </x:c>
      <x:c r="L33" s="12" t="n">
        <x:f>IF(K33=0,"n.a.",E33/(K33*10))</x:f>
        <x:v>-14.567876070118222</x:v>
      </x:c>
      <x:c r="M33" s="12" t="n">
        <x:f>SUM(M6:M32)</x:f>
        <x:v>2566.5500000000006</x:v>
      </x:c>
    </x:row>
  </x:sheetData>
  <x:conditionalFormatting sqref="E6:G32">
    <x:cfRule type="cellIs" dxfId="22" priority="1" operator="lessThan">
      <x:formula>0</x:formula>
    </x:cfRule>
  </x:conditionalFormatting>
  <x:conditionalFormatting sqref="L6:L32">
    <x:cfRule type="cellIs" dxfId="2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636141a5fb9418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NK225_U165_12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11の同じ仮想枠指示を厳密半量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38000</x:v>
      </x:c>
      <x:c r="D6" s="6" t="n">
        <x:v>73000</x:v>
      </x:c>
      <x:c r="E6" s="6" t="n">
        <x:f>C6-D6</x:f>
        <x:v>-35000</x:v>
      </x:c>
      <x:c r="F6" s="6" t="n">
        <x:f>E6</x:f>
        <x:v>-35000</x:v>
      </x:c>
      <x:c r="G6" s="6" t="n">
        <x:v>-50000</x:v>
      </x:c>
      <x:c r="H6" s="6" t="n">
        <x:v>50000</x:v>
      </x:c>
      <x:c r="I6" s="9" t="n">
        <x:v>35</x:v>
      </x:c>
      <x:c r="J6" s="9" t="n">
        <x:f>IF(I6=0,1,0)</x:f>
        <x:v>0</x:v>
      </x:c>
      <x:c r="K6" s="9" t="n">
        <x:v>350</x:v>
      </x:c>
      <x:c r="L6" s="11" t="n">
        <x:f>IF(K6=0,"n.a.",E6/(K6*10))</x:f>
        <x:v>-10</x:v>
      </x:c>
      <x:c r="M6" s="11" t="n">
        <x:v>61.43333333333333</x:v>
      </x:c>
    </x:row>
    <x:row r="7" ht="25" customHeight="1">
      <x:c r="A7" s="2" t="str">
        <x:v>2026-09-22_Night</x:v>
      </x:c>
      <x:c r="B7" s="2" t="str">
        <x:v>前20夜</x:v>
      </x:c>
      <x:c r="C7" s="6" t="n">
        <x:v>14000</x:v>
      </x:c>
      <x:c r="D7" s="6" t="n">
        <x:v>206000</x:v>
      </x:c>
      <x:c r="E7" s="6" t="n">
        <x:f>C7-D7</x:f>
        <x:v>-192000</x:v>
      </x:c>
      <x:c r="F7" s="6" t="n">
        <x:f>F6+E7</x:f>
        <x:v>-227000</x:v>
      </x:c>
      <x:c r="G7" s="6" t="n">
        <x:v>-194000</x:v>
      </x:c>
      <x:c r="H7" s="6" t="n">
        <x:v>201000</x:v>
      </x:c>
      <x:c r="I7" s="9" t="n">
        <x:v>79</x:v>
      </x:c>
      <x:c r="J7" s="9" t="n">
        <x:f>IF(I7=0,1,0)</x:f>
        <x:v>0</x:v>
      </x:c>
      <x:c r="K7" s="9" t="n">
        <x:v>790</x:v>
      </x:c>
      <x:c r="L7" s="11" t="n">
        <x:f>IF(K7=0,"n.a.",E7/(K7*10))</x:f>
        <x:v>-24.303797468354432</x:v>
      </x:c>
      <x:c r="M7" s="11" t="n">
        <x:v>44.68333333333333</x:v>
      </x:c>
    </x:row>
    <x:row r="8" ht="25" customHeight="1">
      <x:c r="A8" s="2" t="str">
        <x:v>2026-09-23_Night</x:v>
      </x:c>
      <x:c r="B8" s="2" t="str">
        <x:v>前20夜</x:v>
      </x:c>
      <x:c r="C8" s="6" t="n">
        <x:v>63000</x:v>
      </x:c>
      <x:c r="D8" s="6" t="n">
        <x:v>344000</x:v>
      </x:c>
      <x:c r="E8" s="6" t="n">
        <x:f>C8-D8</x:f>
        <x:v>-281000</x:v>
      </x:c>
      <x:c r="F8" s="6" t="n">
        <x:f>F7+E8</x:f>
        <x:v>-508000</x:v>
      </x:c>
      <x:c r="G8" s="6" t="n">
        <x:v>-284000</x:v>
      </x:c>
      <x:c r="H8" s="6" t="n">
        <x:v>284000</x:v>
      </x:c>
      <x:c r="I8" s="9" t="n">
        <x:v>144</x:v>
      </x:c>
      <x:c r="J8" s="9" t="n">
        <x:f>IF(I8=0,1,0)</x:f>
        <x:v>0</x:v>
      </x:c>
      <x:c r="K8" s="9" t="n">
        <x:v>1440</x:v>
      </x:c>
      <x:c r="L8" s="11" t="n">
        <x:f>IF(K8=0,"n.a.",E8/(K8*10))</x:f>
        <x:v>-19.51388888888889</x:v>
      </x:c>
      <x:c r="M8" s="11" t="n">
        <x:v>74.03333333333333</x:v>
      </x:c>
    </x:row>
    <x:row r="9" ht="25" customHeight="1">
      <x:c r="A9" s="2" t="str">
        <x:v>2026-09-24_Night</x:v>
      </x:c>
      <x:c r="B9" s="2" t="str">
        <x:v>前20夜</x:v>
      </x:c>
      <x:c r="C9" s="6" t="n">
        <x:v>185000</x:v>
      </x:c>
      <x:c r="D9" s="6" t="n">
        <x:v>495000</x:v>
      </x:c>
      <x:c r="E9" s="6" t="n">
        <x:f>C9-D9</x:f>
        <x:v>-310000</x:v>
      </x:c>
      <x:c r="F9" s="6" t="n">
        <x:f>F8+E9</x:f>
        <x:v>-818000</x:v>
      </x:c>
      <x:c r="G9" s="6" t="n">
        <x:v>-310000</x:v>
      </x:c>
      <x:c r="H9" s="6" t="n">
        <x:v>310000</x:v>
      </x:c>
      <x:c r="I9" s="9" t="n">
        <x:v>227</x:v>
      </x:c>
      <x:c r="J9" s="9" t="n">
        <x:f>IF(I9=0,1,0)</x:f>
        <x:v>0</x:v>
      </x:c>
      <x:c r="K9" s="9" t="n">
        <x:v>2270</x:v>
      </x:c>
      <x:c r="L9" s="11" t="n">
        <x:f>IF(K9=0,"n.a.",E9/(K9*10))</x:f>
        <x:v>-13.656387665198238</x:v>
      </x:c>
      <x:c r="M9" s="11" t="n">
        <x:v>100.76666666666667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125000</x:v>
      </x:c>
      <x:c r="D10" s="6" t="n">
        <x:v>293000</x:v>
      </x:c>
      <x:c r="E10" s="6" t="n">
        <x:f>C10-D10</x:f>
        <x:v>-168000</x:v>
      </x:c>
      <x:c r="F10" s="6" t="n">
        <x:f>F9+E10</x:f>
        <x:v>-986000</x:v>
      </x:c>
      <x:c r="G10" s="6" t="n">
        <x:v>-168000</x:v>
      </x:c>
      <x:c r="H10" s="6" t="n">
        <x:v>218000</x:v>
      </x:c>
      <x:c r="I10" s="9" t="n">
        <x:v>146</x:v>
      </x:c>
      <x:c r="J10" s="9" t="n">
        <x:f>IF(I10=0,1,0)</x:f>
        <x:v>0</x:v>
      </x:c>
      <x:c r="K10" s="9" t="n">
        <x:v>1460</x:v>
      </x:c>
      <x:c r="L10" s="11" t="n">
        <x:f>IF(K10=0,"n.a.",E10/(K10*10))</x:f>
        <x:v>-11.506849315068493</x:v>
      </x:c>
      <x:c r="M10" s="11" t="n">
        <x:v>101.36666666666666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198000</x:v>
      </x:c>
      <x:c r="D11" s="6" t="n">
        <x:v>432000</x:v>
      </x:c>
      <x:c r="E11" s="6" t="n">
        <x:f>C11-D11</x:f>
        <x:v>-234000</x:v>
      </x:c>
      <x:c r="F11" s="6" t="n">
        <x:f>F10+E11</x:f>
        <x:v>-1220000</x:v>
      </x:c>
      <x:c r="G11" s="6" t="n">
        <x:v>-273000</x:v>
      </x:c>
      <x:c r="H11" s="6" t="n">
        <x:v>293000</x:v>
      </x:c>
      <x:c r="I11" s="9" t="n">
        <x:v>208</x:v>
      </x:c>
      <x:c r="J11" s="9" t="n">
        <x:f>IF(I11=0,1,0)</x:f>
        <x:v>0</x:v>
      </x:c>
      <x:c r="K11" s="9" t="n">
        <x:v>2080</x:v>
      </x:c>
      <x:c r="L11" s="11" t="n">
        <x:f>IF(K11=0,"n.a.",E11/(K11*10))</x:f>
        <x:v>-11.25</x:v>
      </x:c>
      <x:c r="M11" s="11" t="n">
        <x:v>139.93333333333334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73000</x:v>
      </x:c>
      <x:c r="D12" s="6" t="n">
        <x:v>352000</x:v>
      </x:c>
      <x:c r="E12" s="6" t="n">
        <x:f>C12-D12</x:f>
        <x:v>-279000</x:v>
      </x:c>
      <x:c r="F12" s="6" t="n">
        <x:f>F11+E12</x:f>
        <x:v>-1499000</x:v>
      </x:c>
      <x:c r="G12" s="6" t="n">
        <x:v>-282000</x:v>
      </x:c>
      <x:c r="H12" s="6" t="n">
        <x:v>282000</x:v>
      </x:c>
      <x:c r="I12" s="9" t="n">
        <x:v>174</x:v>
      </x:c>
      <x:c r="J12" s="9" t="n">
        <x:f>IF(I12=0,1,0)</x:f>
        <x:v>0</x:v>
      </x:c>
      <x:c r="K12" s="9" t="n">
        <x:v>1740</x:v>
      </x:c>
      <x:c r="L12" s="11" t="n">
        <x:f>IF(K12=0,"n.a.",E12/(K12*10))</x:f>
        <x:v>-16.03448275862069</x:v>
      </x:c>
      <x:c r="M12" s="11" t="n">
        <x:v>97.8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88000</x:v>
      </x:c>
      <x:c r="D13" s="6" t="n">
        <x:v>357000</x:v>
      </x:c>
      <x:c r="E13" s="6" t="n">
        <x:f>C13-D13</x:f>
        <x:v>-269000</x:v>
      </x:c>
      <x:c r="F13" s="6" t="n">
        <x:f>F12+E13</x:f>
        <x:v>-1768000</x:v>
      </x:c>
      <x:c r="G13" s="6" t="n">
        <x:v>-269000</x:v>
      </x:c>
      <x:c r="H13" s="6" t="n">
        <x:v>279000</x:v>
      </x:c>
      <x:c r="I13" s="9" t="n">
        <x:v>175</x:v>
      </x:c>
      <x:c r="J13" s="9" t="n">
        <x:f>IF(I13=0,1,0)</x:f>
        <x:v>0</x:v>
      </x:c>
      <x:c r="K13" s="9" t="n">
        <x:v>1750</x:v>
      </x:c>
      <x:c r="L13" s="11" t="n">
        <x:f>IF(K13=0,"n.a.",E13/(K13*10))</x:f>
        <x:v>-15.371428571428572</x:v>
      </x:c>
      <x:c r="M13" s="11" t="n">
        <x:v>79.76666666666667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234000</x:v>
      </x:c>
      <x:c r="D14" s="6" t="n">
        <x:v>715000</x:v>
      </x:c>
      <x:c r="E14" s="6" t="n">
        <x:f>C14-D14</x:f>
        <x:v>-481000</x:v>
      </x:c>
      <x:c r="F14" s="6" t="n">
        <x:f>F13+E14</x:f>
        <x:v>-2249000</x:v>
      </x:c>
      <x:c r="G14" s="6" t="n">
        <x:v>-486000</x:v>
      </x:c>
      <x:c r="H14" s="6" t="n">
        <x:v>490000</x:v>
      </x:c>
      <x:c r="I14" s="9" t="n">
        <x:v>339</x:v>
      </x:c>
      <x:c r="J14" s="9" t="n">
        <x:f>IF(I14=0,1,0)</x:f>
        <x:v>0</x:v>
      </x:c>
      <x:c r="K14" s="9" t="n">
        <x:v>3390</x:v>
      </x:c>
      <x:c r="L14" s="11" t="n">
        <x:f>IF(K14=0,"n.a.",E14/(K14*10))</x:f>
        <x:v>-14.188790560471977</x:v>
      </x:c>
      <x:c r="M14" s="11" t="n">
        <x:v>116.58333333333333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50000</x:v>
      </x:c>
      <x:c r="D15" s="6" t="n">
        <x:v>437000</x:v>
      </x:c>
      <x:c r="E15" s="6" t="n">
        <x:f>C15-D15</x:f>
        <x:v>-387000</x:v>
      </x:c>
      <x:c r="F15" s="6" t="n">
        <x:f>F14+E15</x:f>
        <x:v>-2636000</x:v>
      </x:c>
      <x:c r="G15" s="6" t="n">
        <x:v>-387000</x:v>
      </x:c>
      <x:c r="H15" s="6" t="n">
        <x:v>389000</x:v>
      </x:c>
      <x:c r="I15" s="9" t="n">
        <x:v>187</x:v>
      </x:c>
      <x:c r="J15" s="9" t="n">
        <x:f>IF(I15=0,1,0)</x:f>
        <x:v>0</x:v>
      </x:c>
      <x:c r="K15" s="9" t="n">
        <x:v>1870</x:v>
      </x:c>
      <x:c r="L15" s="11" t="n">
        <x:f>IF(K15=0,"n.a.",E15/(K15*10))</x:f>
        <x:v>-20.6951871657754</x:v>
      </x:c>
      <x:c r="M15" s="11" t="n">
        <x:v>93.95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94000</x:v>
      </x:c>
      <x:c r="D16" s="6" t="n">
        <x:v>118000</x:v>
      </x:c>
      <x:c r="E16" s="6" t="n">
        <x:f>C16-D16</x:f>
        <x:v>-24000</x:v>
      </x:c>
      <x:c r="F16" s="6" t="n">
        <x:f>F15+E16</x:f>
        <x:v>-2660000</x:v>
      </x:c>
      <x:c r="G16" s="6" t="n">
        <x:v>-59000</x:v>
      </x:c>
      <x:c r="H16" s="6" t="n">
        <x:v>59000</x:v>
      </x:c>
      <x:c r="I16" s="9" t="n">
        <x:v>79</x:v>
      </x:c>
      <x:c r="J16" s="9" t="n">
        <x:f>IF(I16=0,1,0)</x:f>
        <x:v>0</x:v>
      </x:c>
      <x:c r="K16" s="9" t="n">
        <x:v>790</x:v>
      </x:c>
      <x:c r="L16" s="11" t="n">
        <x:f>IF(K16=0,"n.a.",E16/(K16*10))</x:f>
        <x:v>-3.037974683544304</x:v>
      </x:c>
      <x:c r="M16" s="11" t="n">
        <x:v>110.36666666666666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87000</x:v>
      </x:c>
      <x:c r="D17" s="6" t="n">
        <x:v>59000</x:v>
      </x:c>
      <x:c r="E17" s="6" t="n">
        <x:f>C17-D17</x:f>
        <x:v>28000</x:v>
      </x:c>
      <x:c r="F17" s="6" t="n">
        <x:f>F16+E17</x:f>
        <x:v>-2632000</x:v>
      </x:c>
      <x:c r="G17" s="6" t="n">
        <x:v>-6000</x:v>
      </x:c>
      <x:c r="H17" s="6" t="n">
        <x:v>51000</x:v>
      </x:c>
      <x:c r="I17" s="9" t="n">
        <x:v>48</x:v>
      </x:c>
      <x:c r="J17" s="9" t="n">
        <x:f>IF(I17=0,1,0)</x:f>
        <x:v>0</x:v>
      </x:c>
      <x:c r="K17" s="9" t="n">
        <x:v>480</x:v>
      </x:c>
      <x:c r="L17" s="11" t="n">
        <x:f>IF(K17=0,"n.a.",E17/(K17*10))</x:f>
        <x:v>5.833333333333333</x:v>
      </x:c>
      <x:c r="M17" s="11" t="n">
        <x:v>136.33333333333334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32000</x:v>
      </x:c>
      <x:c r="D18" s="6" t="n">
        <x:v>173000</x:v>
      </x:c>
      <x:c r="E18" s="6" t="n">
        <x:f>C18-D18</x:f>
        <x:v>-141000</x:v>
      </x:c>
      <x:c r="F18" s="6" t="n">
        <x:f>F17+E18</x:f>
        <x:v>-2773000</x:v>
      </x:c>
      <x:c r="G18" s="6" t="n">
        <x:v>-151000</x:v>
      </x:c>
      <x:c r="H18" s="6" t="n">
        <x:v>152000</x:v>
      </x:c>
      <x:c r="I18" s="9" t="n">
        <x:v>87</x:v>
      </x:c>
      <x:c r="J18" s="9" t="n">
        <x:f>IF(I18=0,1,0)</x:f>
        <x:v>0</x:v>
      </x:c>
      <x:c r="K18" s="9" t="n">
        <x:v>870</x:v>
      </x:c>
      <x:c r="L18" s="11" t="n">
        <x:f>IF(K18=0,"n.a.",E18/(K18*10))</x:f>
        <x:v>-16.20689655172414</x:v>
      </x:c>
      <x:c r="M18" s="11" t="n">
        <x:v>71.03333333333333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286000</x:v>
      </x:c>
      <x:c r="D19" s="6" t="n">
        <x:v>656000</x:v>
      </x:c>
      <x:c r="E19" s="6" t="n">
        <x:f>C19-D19</x:f>
        <x:v>-370000</x:v>
      </x:c>
      <x:c r="F19" s="6" t="n">
        <x:f>F18+E19</x:f>
        <x:v>-3143000</x:v>
      </x:c>
      <x:c r="G19" s="6" t="n">
        <x:v>-373000</x:v>
      </x:c>
      <x:c r="H19" s="6" t="n">
        <x:v>373000</x:v>
      </x:c>
      <x:c r="I19" s="9" t="n">
        <x:v>323</x:v>
      </x:c>
      <x:c r="J19" s="9" t="n">
        <x:f>IF(I19=0,1,0)</x:f>
        <x:v>0</x:v>
      </x:c>
      <x:c r="K19" s="9" t="n">
        <x:v>3230</x:v>
      </x:c>
      <x:c r="L19" s="11" t="n">
        <x:f>IF(K19=0,"n.a.",E19/(K19*10))</x:f>
        <x:v>-11.455108359133128</x:v>
      </x:c>
      <x:c r="M19" s="11" t="n">
        <x:v>131.31666666666666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54000</x:v>
      </x:c>
      <x:c r="D20" s="6" t="n">
        <x:v>208000</x:v>
      </x:c>
      <x:c r="E20" s="6" t="n">
        <x:f>C20-D20</x:f>
        <x:v>-154000</x:v>
      </x:c>
      <x:c r="F20" s="6" t="n">
        <x:f>F19+E20</x:f>
        <x:v>-3297000</x:v>
      </x:c>
      <x:c r="G20" s="6" t="n">
        <x:v>-154000</x:v>
      </x:c>
      <x:c r="H20" s="6" t="n">
        <x:v>154000</x:v>
      </x:c>
      <x:c r="I20" s="9" t="n">
        <x:v>86</x:v>
      </x:c>
      <x:c r="J20" s="9" t="n">
        <x:f>IF(I20=0,1,0)</x:f>
        <x:v>0</x:v>
      </x:c>
      <x:c r="K20" s="9" t="n">
        <x:v>860</x:v>
      </x:c>
      <x:c r="L20" s="11" t="n">
        <x:f>IF(K20=0,"n.a.",E20/(K20*10))</x:f>
        <x:v>-17.906976744186046</x:v>
      </x:c>
      <x:c r="M20" s="11" t="n">
        <x:v>63.266666666666666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19000</x:v>
      </x:c>
      <x:c r="D21" s="6" t="n">
        <x:v>136000</x:v>
      </x:c>
      <x:c r="E21" s="6" t="n">
        <x:f>C21-D21</x:f>
        <x:v>-117000</x:v>
      </x:c>
      <x:c r="F21" s="6" t="n">
        <x:f>F20+E21</x:f>
        <x:v>-3414000</x:v>
      </x:c>
      <x:c r="G21" s="6" t="n">
        <x:v>-117000</x:v>
      </x:c>
      <x:c r="H21" s="6" t="n">
        <x:v>117000</x:v>
      </x:c>
      <x:c r="I21" s="9" t="n">
        <x:v>52</x:v>
      </x:c>
      <x:c r="J21" s="9" t="n">
        <x:f>IF(I21=0,1,0)</x:f>
        <x:v>0</x:v>
      </x:c>
      <x:c r="K21" s="9" t="n">
        <x:v>520</x:v>
      </x:c>
      <x:c r="L21" s="11" t="n">
        <x:f>IF(K21=0,"n.a.",E21/(K21*10))</x:f>
        <x:v>-22.5</x:v>
      </x:c>
      <x:c r="M21" s="11" t="n">
        <x:v>30.533333333333335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46000</x:v>
      </x:c>
      <x:c r="D22" s="6" t="n">
        <x:v>146000</x:v>
      </x:c>
      <x:c r="E22" s="6" t="n">
        <x:f>C22-D22</x:f>
        <x:v>-100000</x:v>
      </x:c>
      <x:c r="F22" s="6" t="n">
        <x:f>F21+E22</x:f>
        <x:v>-3514000</x:v>
      </x:c>
      <x:c r="G22" s="6" t="n">
        <x:v>-100000</x:v>
      </x:c>
      <x:c r="H22" s="6" t="n">
        <x:v>103000</x:v>
      </x:c>
      <x:c r="I22" s="9" t="n">
        <x:v>66</x:v>
      </x:c>
      <x:c r="J22" s="9" t="n">
        <x:f>IF(I22=0,1,0)</x:f>
        <x:v>0</x:v>
      </x:c>
      <x:c r="K22" s="9" t="n">
        <x:v>660</x:v>
      </x:c>
      <x:c r="L22" s="11" t="n">
        <x:f>IF(K22=0,"n.a.",E22/(K22*10))</x:f>
        <x:v>-15.151515151515152</x:v>
      </x:c>
      <x:c r="M22" s="11" t="n">
        <x:v>63.9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39000</x:v>
      </x:c>
      <x:c r="D23" s="6" t="n">
        <x:v>458000</x:v>
      </x:c>
      <x:c r="E23" s="6" t="n">
        <x:f>C23-D23</x:f>
        <x:v>-419000</x:v>
      </x:c>
      <x:c r="F23" s="6" t="n">
        <x:f>F22+E23</x:f>
        <x:v>-3933000</x:v>
      </x:c>
      <x:c r="G23" s="6" t="n">
        <x:v>-425000</x:v>
      </x:c>
      <x:c r="H23" s="6" t="n">
        <x:v>425000</x:v>
      </x:c>
      <x:c r="I23" s="9" t="n">
        <x:v>184</x:v>
      </x:c>
      <x:c r="J23" s="9" t="n">
        <x:f>IF(I23=0,1,0)</x:f>
        <x:v>0</x:v>
      </x:c>
      <x:c r="K23" s="9" t="n">
        <x:v>1840</x:v>
      </x:c>
      <x:c r="L23" s="11" t="n">
        <x:f>IF(K23=0,"n.a.",E23/(K23*10))</x:f>
        <x:v>-22.77173913043478</x:v>
      </x:c>
      <x:c r="M23" s="11" t="n">
        <x:v>80.4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201000</x:v>
      </x:c>
      <x:c r="D24" s="6" t="n">
        <x:v>751000</x:v>
      </x:c>
      <x:c r="E24" s="6" t="n">
        <x:f>C24-D24</x:f>
        <x:v>-550000</x:v>
      </x:c>
      <x:c r="F24" s="6" t="n">
        <x:f>F23+E24</x:f>
        <x:v>-4483000</x:v>
      </x:c>
      <x:c r="G24" s="6" t="n">
        <x:v>-554000</x:v>
      </x:c>
      <x:c r="H24" s="6" t="n">
        <x:v>564000</x:v>
      </x:c>
      <x:c r="I24" s="9" t="n">
        <x:v>328</x:v>
      </x:c>
      <x:c r="J24" s="9" t="n">
        <x:f>IF(I24=0,1,0)</x:f>
        <x:v>0</x:v>
      </x:c>
      <x:c r="K24" s="9" t="n">
        <x:v>3280</x:v>
      </x:c>
      <x:c r="L24" s="11" t="n">
        <x:f>IF(K24=0,"n.a.",E24/(K24*10))</x:f>
        <x:v>-16.76829268292683</x:v>
      </x:c>
      <x:c r="M24" s="11" t="n">
        <x:v>108.88333333333334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313000</x:v>
      </x:c>
      <x:c r="D25" s="6" t="n">
        <x:v>776000</x:v>
      </x:c>
      <x:c r="E25" s="6" t="n">
        <x:f>C25-D25</x:f>
        <x:v>-463000</x:v>
      </x:c>
      <x:c r="F25" s="6" t="n">
        <x:f>F24+E25</x:f>
        <x:v>-4946000</x:v>
      </x:c>
      <x:c r="G25" s="6" t="n">
        <x:v>-463000</x:v>
      </x:c>
      <x:c r="H25" s="6" t="n">
        <x:v>529000</x:v>
      </x:c>
      <x:c r="I25" s="9" t="n">
        <x:v>381</x:v>
      </x:c>
      <x:c r="J25" s="9" t="n">
        <x:f>IF(I25=0,1,0)</x:f>
        <x:v>0</x:v>
      </x:c>
      <x:c r="K25" s="9" t="n">
        <x:v>3810</x:v>
      </x:c>
      <x:c r="L25" s="11" t="n">
        <x:f>IF(K25=0,"n.a.",E25/(K25*10))</x:f>
        <x:v>-12.152230971128608</x:v>
      </x:c>
      <x:c r="M25" s="11" t="n">
        <x:v>110.61666666666666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207000</x:v>
      </x:c>
      <x:c r="D26" s="6" t="n">
        <x:v>417000</x:v>
      </x:c>
      <x:c r="E26" s="6" t="n">
        <x:f>C26-D26</x:f>
        <x:v>-210000</x:v>
      </x:c>
      <x:c r="F26" s="6" t="n">
        <x:f>F25+E26</x:f>
        <x:v>-5156000</x:v>
      </x:c>
      <x:c r="G26" s="6" t="n">
        <x:v>-216000</x:v>
      </x:c>
      <x:c r="H26" s="6" t="n">
        <x:v>216000</x:v>
      </x:c>
      <x:c r="I26" s="9" t="n">
        <x:v>203</x:v>
      </x:c>
      <x:c r="J26" s="9" t="n">
        <x:f>IF(I26=0,1,0)</x:f>
        <x:v>0</x:v>
      </x:c>
      <x:c r="K26" s="9" t="n">
        <x:v>2030</x:v>
      </x:c>
      <x:c r="L26" s="11" t="n">
        <x:f>IF(K26=0,"n.a.",E26/(K26*10))</x:f>
        <x:v>-10.344827586206897</x:v>
      </x:c>
      <x:c r="M26" s="11" t="n">
        <x:v>110.9</x:v>
      </x:c>
    </x:row>
    <x:row r="27" ht="25" customHeight="1">
      <x:c r="A27" s="2" t="str">
        <x:v>2026-10-20_Night</x:v>
      </x:c>
      <x:c r="B27" s="2" t="str">
        <x:v>後7夜</x:v>
      </x:c>
      <x:c r="C27" s="6" t="n">
        <x:v>106000</x:v>
      </x:c>
      <x:c r="D27" s="6" t="n">
        <x:v>515000</x:v>
      </x:c>
      <x:c r="E27" s="6" t="n">
        <x:f>C27-D27</x:f>
        <x:v>-409000</x:v>
      </x:c>
      <x:c r="F27" s="6" t="n">
        <x:f>F26+E27</x:f>
        <x:v>-5565000</x:v>
      </x:c>
      <x:c r="G27" s="6" t="n">
        <x:v>-409000</x:v>
      </x:c>
      <x:c r="H27" s="6" t="n">
        <x:v>423000</x:v>
      </x:c>
      <x:c r="I27" s="9" t="n">
        <x:v>232</x:v>
      </x:c>
      <x:c r="J27" s="9" t="n">
        <x:f>IF(I27=0,1,0)</x:f>
        <x:v>0</x:v>
      </x:c>
      <x:c r="K27" s="9" t="n">
        <x:v>2320</x:v>
      </x:c>
      <x:c r="L27" s="11" t="n">
        <x:f>IF(K27=0,"n.a.",E27/(K27*10))</x:f>
        <x:v>-17.629310344827587</x:v>
      </x:c>
      <x:c r="M27" s="11" t="n">
        <x:v>90.9</x:v>
      </x:c>
    </x:row>
    <x:row r="28" ht="25" customHeight="1">
      <x:c r="A28" s="2" t="str">
        <x:v>2026-10-21_Night</x:v>
      </x:c>
      <x:c r="B28" s="2" t="str">
        <x:v>後7夜</x:v>
      </x:c>
      <x:c r="C28" s="6" t="n">
        <x:v>158000</x:v>
      </x:c>
      <x:c r="D28" s="6" t="n">
        <x:v>446000</x:v>
      </x:c>
      <x:c r="E28" s="6" t="n">
        <x:f>C28-D28</x:f>
        <x:v>-288000</x:v>
      </x:c>
      <x:c r="F28" s="6" t="n">
        <x:f>F27+E28</x:f>
        <x:v>-5853000</x:v>
      </x:c>
      <x:c r="G28" s="6" t="n">
        <x:v>-295000</x:v>
      </x:c>
      <x:c r="H28" s="6" t="n">
        <x:v>295000</x:v>
      </x:c>
      <x:c r="I28" s="9" t="n">
        <x:v>222</x:v>
      </x:c>
      <x:c r="J28" s="9" t="n">
        <x:f>IF(I28=0,1,0)</x:f>
        <x:v>0</x:v>
      </x:c>
      <x:c r="K28" s="9" t="n">
        <x:v>2220</x:v>
      </x:c>
      <x:c r="L28" s="11" t="n">
        <x:f>IF(K28=0,"n.a.",E28/(K28*10))</x:f>
        <x:v>-12.972972972972974</x:v>
      </x:c>
      <x:c r="M28" s="11" t="n">
        <x:v>92.33333333333333</x:v>
      </x:c>
    </x:row>
    <x:row r="29" ht="25" customHeight="1">
      <x:c r="A29" s="2" t="str">
        <x:v>2026-10-22_Night</x:v>
      </x:c>
      <x:c r="B29" s="2" t="str">
        <x:v>後7夜</x:v>
      </x:c>
      <x:c r="C29" s="6" t="n">
        <x:v>252000</x:v>
      </x:c>
      <x:c r="D29" s="6" t="n">
        <x:v>686000</x:v>
      </x:c>
      <x:c r="E29" s="6" t="n">
        <x:f>C29-D29</x:f>
        <x:v>-434000</x:v>
      </x:c>
      <x:c r="F29" s="6" t="n">
        <x:f>F28+E29</x:f>
        <x:v>-6287000</x:v>
      </x:c>
      <x:c r="G29" s="6" t="n">
        <x:v>-449000</x:v>
      </x:c>
      <x:c r="H29" s="6" t="n">
        <x:v>499000</x:v>
      </x:c>
      <x:c r="I29" s="9" t="n">
        <x:v>328</x:v>
      </x:c>
      <x:c r="J29" s="9" t="n">
        <x:f>IF(I29=0,1,0)</x:f>
        <x:v>0</x:v>
      </x:c>
      <x:c r="K29" s="9" t="n">
        <x:v>3280</x:v>
      </x:c>
      <x:c r="L29" s="11" t="n">
        <x:f>IF(K29=0,"n.a.",E29/(K29*10))</x:f>
        <x:v>-13.231707317073171</x:v>
      </x:c>
      <x:c r="M29" s="11" t="n">
        <x:v>152.28333333333333</x:v>
      </x:c>
    </x:row>
    <x:row r="30" ht="25" customHeight="1">
      <x:c r="A30" s="2" t="str">
        <x:v>2026-10-23_Night</x:v>
      </x:c>
      <x:c r="B30" s="2" t="str">
        <x:v>後7夜</x:v>
      </x:c>
      <x:c r="C30" s="6" t="n">
        <x:v>101000</x:v>
      </x:c>
      <x:c r="D30" s="6" t="n">
        <x:v>606000</x:v>
      </x:c>
      <x:c r="E30" s="6" t="n">
        <x:f>C30-D30</x:f>
        <x:v>-505000</x:v>
      </x:c>
      <x:c r="F30" s="6" t="n">
        <x:f>F29+E30</x:f>
        <x:v>-6792000</x:v>
      </x:c>
      <x:c r="G30" s="6" t="n">
        <x:v>-505000</x:v>
      </x:c>
      <x:c r="H30" s="6" t="n">
        <x:v>517000</x:v>
      </x:c>
      <x:c r="I30" s="9" t="n">
        <x:v>259</x:v>
      </x:c>
      <x:c r="J30" s="9" t="n">
        <x:f>IF(I30=0,1,0)</x:f>
        <x:v>0</x:v>
      </x:c>
      <x:c r="K30" s="9" t="n">
        <x:v>2590</x:v>
      </x:c>
      <x:c r="L30" s="11" t="n">
        <x:f>IF(K30=0,"n.a.",E30/(K30*10))</x:f>
        <x:v>-19.498069498069498</x:v>
      </x:c>
      <x:c r="M30" s="11" t="n">
        <x:v>104</x:v>
      </x:c>
    </x:row>
    <x:row r="31" ht="25" customHeight="1">
      <x:c r="A31" s="2" t="str">
        <x:v>2026-10-26_Night</x:v>
      </x:c>
      <x:c r="B31" s="2" t="str">
        <x:v>後7夜</x:v>
      </x:c>
      <x:c r="C31" s="6" t="n">
        <x:v>132000</x:v>
      </x:c>
      <x:c r="D31" s="6" t="n">
        <x:v>373000</x:v>
      </x:c>
      <x:c r="E31" s="6" t="n">
        <x:f>C31-D31</x:f>
        <x:v>-241000</x:v>
      </x:c>
      <x:c r="F31" s="6" t="n">
        <x:f>F30+E31</x:f>
        <x:v>-7033000</x:v>
      </x:c>
      <x:c r="G31" s="6" t="n">
        <x:v>-241000</x:v>
      </x:c>
      <x:c r="H31" s="6" t="n">
        <x:v>280000</x:v>
      </x:c>
      <x:c r="I31" s="9" t="n">
        <x:v>195</x:v>
      </x:c>
      <x:c r="J31" s="9" t="n">
        <x:f>IF(I31=0,1,0)</x:f>
        <x:v>0</x:v>
      </x:c>
      <x:c r="K31" s="9" t="n">
        <x:v>1950</x:v>
      </x:c>
      <x:c r="L31" s="11" t="n">
        <x:f>IF(K31=0,"n.a.",E31/(K31*10))</x:f>
        <x:v>-12.35897435897436</x:v>
      </x:c>
      <x:c r="M31" s="11" t="n">
        <x:v>130.51666666666668</x:v>
      </x:c>
    </x:row>
    <x:row r="32" ht="25" customHeight="1">
      <x:c r="A32" s="2" t="str">
        <x:v>2026-10-27_Night</x:v>
      </x:c>
      <x:c r="B32" s="2" t="str">
        <x:v>後7夜</x:v>
      </x:c>
      <x:c r="C32" s="6" t="n">
        <x:v>68000</x:v>
      </x:c>
      <x:c r="D32" s="6" t="n">
        <x:v>182000</x:v>
      </x:c>
      <x:c r="E32" s="6" t="n">
        <x:f>C32-D32</x:f>
        <x:v>-114000</x:v>
      </x:c>
      <x:c r="F32" s="6" t="n">
        <x:f>F31+E32</x:f>
        <x:v>-7147000</x:v>
      </x:c>
      <x:c r="G32" s="6" t="n">
        <x:v>-116000</x:v>
      </x:c>
      <x:c r="H32" s="6" t="n">
        <x:v>148000</x:v>
      </x:c>
      <x:c r="I32" s="9" t="n">
        <x:v>119</x:v>
      </x:c>
      <x:c r="J32" s="9" t="n">
        <x:f>IF(I32=0,1,0)</x:f>
        <x:v>0</x:v>
      </x:c>
      <x:c r="K32" s="9" t="n">
        <x:v>1190</x:v>
      </x:c>
      <x:c r="L32" s="11" t="n">
        <x:f>IF(K32=0,"n.a.",E32/(K32*10))</x:f>
        <x:v>-9.579831932773109</x:v>
      </x:c>
      <x:c r="M32" s="11" t="n">
        <x:v>68.65</x:v>
      </x:c>
    </x:row>
    <x:row r="33" ht="25" customHeight="1">
      <x:c r="A33" s="7" t="str">
        <x:v>累計／場内最悪値</x:v>
      </x:c>
      <x:c r="B33" s="7"/>
      <x:c r="C33" s="8" t="n">
        <x:f>SUM(C6:C32)</x:f>
        <x:v>3263000</x:v>
      </x:c>
      <x:c r="D33" s="8" t="n">
        <x:f>SUM(D6:D32)</x:f>
        <x:v>10410000</x:v>
      </x:c>
      <x:c r="E33" s="8" t="n">
        <x:f>C33-D33</x:f>
        <x:v>-7147000</x:v>
      </x:c>
      <x:c r="F33" s="8" t="n">
        <x:f>F32</x:f>
        <x:v>-7147000</x:v>
      </x:c>
      <x:c r="G33" s="8" t="n">
        <x:f>MIN(G6:G32)</x:f>
        <x:v>-554000</x:v>
      </x:c>
      <x:c r="H33" s="8" t="n">
        <x:f>MAX(H6:H32)</x:f>
        <x:v>564000</x:v>
      </x:c>
      <x:c r="I33" s="10" t="n">
        <x:f>SUM(I6:I32)</x:f>
        <x:v>4906</x:v>
      </x:c>
      <x:c r="J33" s="10" t="n">
        <x:f>SUM(J6:J32)</x:f>
        <x:v>0</x:v>
      </x:c>
      <x:c r="K33" s="10" t="n">
        <x:f>SUM(K6:K32)</x:f>
        <x:v>49060</x:v>
      </x:c>
      <x:c r="L33" s="12" t="n">
        <x:f>IF(K33=0,"n.a.",E33/(K33*10))</x:f>
        <x:v>-14.567876070118222</x:v>
      </x:c>
      <x:c r="M33" s="12" t="n">
        <x:f>SUM(M6:M32)</x:f>
        <x:v>2566.5500000000006</x:v>
      </x:c>
    </x:row>
  </x:sheetData>
  <x:conditionalFormatting sqref="E6:G32">
    <x:cfRule type="cellIs" dxfId="24" priority="1" operator="lessThan">
      <x:formula>0</x:formula>
    </x:cfRule>
  </x:conditionalFormatting>
  <x:conditionalFormatting sqref="L6:L32">
    <x:cfRule type="cellIs" dxfId="2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59fcab037248c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NK225_U165_13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10の100円利確を30円起動40円追尾へ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204000</x:v>
      </x:c>
      <x:c r="D6" s="6" t="n">
        <x:v>840000</x:v>
      </x:c>
      <x:c r="E6" s="6" t="n">
        <x:f>C6-D6</x:f>
        <x:v>-636000</x:v>
      </x:c>
      <x:c r="F6" s="6" t="n">
        <x:f>E6</x:f>
        <x:v>-636000</x:v>
      </x:c>
      <x:c r="G6" s="6" t="n">
        <x:v>-638000</x:v>
      </x:c>
      <x:c r="H6" s="6" t="n">
        <x:v>642000</x:v>
      </x:c>
      <x:c r="I6" s="9" t="n">
        <x:v>188</x:v>
      </x:c>
      <x:c r="J6" s="9" t="n">
        <x:f>IF(I6=0,1,0)</x:f>
        <x:v>0</x:v>
      </x:c>
      <x:c r="K6" s="9" t="n">
        <x:v>3760</x:v>
      </x:c>
      <x:c r="L6" s="11" t="n">
        <x:f>IF(K6=0,"n.a.",E6/(K6*10))</x:f>
        <x:v>-16.914893617021278</x:v>
      </x:c>
      <x:c r="M6" s="11" t="n">
        <x:v>259.96666666666664</x:v>
      </x:c>
    </x:row>
    <x:row r="7" ht="25" customHeight="1">
      <x:c r="A7" s="2" t="str">
        <x:v>2026-09-22_Night</x:v>
      </x:c>
      <x:c r="B7" s="2" t="str">
        <x:v>前20夜</x:v>
      </x:c>
      <x:c r="C7" s="6" t="n">
        <x:v>414000</x:v>
      </x:c>
      <x:c r="D7" s="6" t="n">
        <x:v>1856000</x:v>
      </x:c>
      <x:c r="E7" s="6" t="n">
        <x:f>C7-D7</x:f>
        <x:v>-1442000</x:v>
      </x:c>
      <x:c r="F7" s="6" t="n">
        <x:f>F6+E7</x:f>
        <x:v>-2078000</x:v>
      </x:c>
      <x:c r="G7" s="6" t="n">
        <x:v>-1442000</x:v>
      </x:c>
      <x:c r="H7" s="6" t="n">
        <x:v>1456000</x:v>
      </x:c>
      <x:c r="I7" s="9" t="n">
        <x:v>425</x:v>
      </x:c>
      <x:c r="J7" s="9" t="n">
        <x:f>IF(I7=0,1,0)</x:f>
        <x:v>0</x:v>
      </x:c>
      <x:c r="K7" s="9" t="n">
        <x:v>8500</x:v>
      </x:c>
      <x:c r="L7" s="11" t="n">
        <x:f>IF(K7=0,"n.a.",E7/(K7*10))</x:f>
        <x:v>-16.96470588235294</x:v>
      </x:c>
      <x:c r="M7" s="11" t="n">
        <x:v>254.45</x:v>
      </x:c>
    </x:row>
    <x:row r="8" ht="25" customHeight="1">
      <x:c r="A8" s="2" t="str">
        <x:v>2026-09-23_Night</x:v>
      </x:c>
      <x:c r="B8" s="2" t="str">
        <x:v>前20夜</x:v>
      </x:c>
      <x:c r="C8" s="6" t="n">
        <x:v>438000</x:v>
      </x:c>
      <x:c r="D8" s="6" t="n">
        <x:v>2818000</x:v>
      </x:c>
      <x:c r="E8" s="6" t="n">
        <x:f>C8-D8</x:f>
        <x:v>-2380000</x:v>
      </x:c>
      <x:c r="F8" s="6" t="n">
        <x:f>F7+E8</x:f>
        <x:v>-4458000</x:v>
      </x:c>
      <x:c r="G8" s="6" t="n">
        <x:v>-2380000</x:v>
      </x:c>
      <x:c r="H8" s="6" t="n">
        <x:v>2386000</x:v>
      </x:c>
      <x:c r="I8" s="9" t="n">
        <x:v>606</x:v>
      </x:c>
      <x:c r="J8" s="9" t="n">
        <x:f>IF(I8=0,1,0)</x:f>
        <x:v>0</x:v>
      </x:c>
      <x:c r="K8" s="9" t="n">
        <x:v>12120</x:v>
      </x:c>
      <x:c r="L8" s="11" t="n">
        <x:f>IF(K8=0,"n.a.",E8/(K8*10))</x:f>
        <x:v>-19.636963696369637</x:v>
      </x:c>
      <x:c r="M8" s="11" t="n">
        <x:v>309.5</x:v>
      </x:c>
    </x:row>
    <x:row r="9" ht="25" customHeight="1">
      <x:c r="A9" s="2" t="str">
        <x:v>2026-09-24_Night</x:v>
      </x:c>
      <x:c r="B9" s="2" t="str">
        <x:v>前20夜</x:v>
      </x:c>
      <x:c r="C9" s="6" t="n">
        <x:v>1322000</x:v>
      </x:c>
      <x:c r="D9" s="6" t="n">
        <x:v>3596000</x:v>
      </x:c>
      <x:c r="E9" s="6" t="n">
        <x:f>C9-D9</x:f>
        <x:v>-2274000</x:v>
      </x:c>
      <x:c r="F9" s="6" t="n">
        <x:f>F8+E9</x:f>
        <x:v>-6732000</x:v>
      </x:c>
      <x:c r="G9" s="6" t="n">
        <x:v>-2408000</x:v>
      </x:c>
      <x:c r="H9" s="6" t="n">
        <x:v>2408000</x:v>
      </x:c>
      <x:c r="I9" s="9" t="n">
        <x:v>849</x:v>
      </x:c>
      <x:c r="J9" s="9" t="n">
        <x:f>IF(I9=0,1,0)</x:f>
        <x:v>0</x:v>
      </x:c>
      <x:c r="K9" s="9" t="n">
        <x:v>16980</x:v>
      </x:c>
      <x:c r="L9" s="11" t="n">
        <x:f>IF(K9=0,"n.a.",E9/(K9*10))</x:f>
        <x:v>-13.392226148409893</x:v>
      </x:c>
      <x:c r="M9" s="11" t="n">
        <x:v>316.1666666666667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722000</x:v>
      </x:c>
      <x:c r="D10" s="6" t="n">
        <x:v>2352000</x:v>
      </x:c>
      <x:c r="E10" s="6" t="n">
        <x:f>C10-D10</x:f>
        <x:v>-1630000</x:v>
      </x:c>
      <x:c r="F10" s="6" t="n">
        <x:f>F9+E10</x:f>
        <x:v>-8362000</x:v>
      </x:c>
      <x:c r="G10" s="6" t="n">
        <x:v>-1630000</x:v>
      </x:c>
      <x:c r="H10" s="6" t="n">
        <x:v>1678000</x:v>
      </x:c>
      <x:c r="I10" s="9" t="n">
        <x:v>607</x:v>
      </x:c>
      <x:c r="J10" s="9" t="n">
        <x:f>IF(I10=0,1,0)</x:f>
        <x:v>0</x:v>
      </x:c>
      <x:c r="K10" s="9" t="n">
        <x:v>12140</x:v>
      </x:c>
      <x:c r="L10" s="11" t="n">
        <x:f>IF(K10=0,"n.a.",E10/(K10*10))</x:f>
        <x:v>-13.42668863261944</x:v>
      </x:c>
      <x:c r="M10" s="11" t="n">
        <x:v>337.48333333333335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1234000</x:v>
      </x:c>
      <x:c r="D11" s="6" t="n">
        <x:v>3496000</x:v>
      </x:c>
      <x:c r="E11" s="6" t="n">
        <x:f>C11-D11</x:f>
        <x:v>-2262000</x:v>
      </x:c>
      <x:c r="F11" s="6" t="n">
        <x:f>F10+E11</x:f>
        <x:v>-10624000</x:v>
      </x:c>
      <x:c r="G11" s="6" t="n">
        <x:v>-2312000</x:v>
      </x:c>
      <x:c r="H11" s="6" t="n">
        <x:v>2332000</x:v>
      </x:c>
      <x:c r="I11" s="9" t="n">
        <x:v>826</x:v>
      </x:c>
      <x:c r="J11" s="9" t="n">
        <x:f>IF(I11=0,1,0)</x:f>
        <x:v>0</x:v>
      </x:c>
      <x:c r="K11" s="9" t="n">
        <x:v>16520</x:v>
      </x:c>
      <x:c r="L11" s="11" t="n">
        <x:f>IF(K11=0,"n.a.",E11/(K11*10))</x:f>
        <x:v>-13.692493946731235</x:v>
      </x:c>
      <x:c r="M11" s="11" t="n">
        <x:v>356.06666666666666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886000</x:v>
      </x:c>
      <x:c r="D12" s="6" t="n">
        <x:v>2884000</x:v>
      </x:c>
      <x:c r="E12" s="6" t="n">
        <x:f>C12-D12</x:f>
        <x:v>-1998000</x:v>
      </x:c>
      <x:c r="F12" s="6" t="n">
        <x:f>F11+E12</x:f>
        <x:v>-12622000</x:v>
      </x:c>
      <x:c r="G12" s="6" t="n">
        <x:v>-2012000</x:v>
      </x:c>
      <x:c r="H12" s="6" t="n">
        <x:v>2038000</x:v>
      </x:c>
      <x:c r="I12" s="9" t="n">
        <x:v>703</x:v>
      </x:c>
      <x:c r="J12" s="9" t="n">
        <x:f>IF(I12=0,1,0)</x:f>
        <x:v>0</x:v>
      </x:c>
      <x:c r="K12" s="9" t="n">
        <x:v>14060</x:v>
      </x:c>
      <x:c r="L12" s="11" t="n">
        <x:f>IF(K12=0,"n.a.",E12/(K12*10))</x:f>
        <x:v>-14.210526315789474</x:v>
      </x:c>
      <x:c r="M12" s="11" t="n">
        <x:v>305.9166666666667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984000</x:v>
      </x:c>
      <x:c r="D13" s="6" t="n">
        <x:v>3432000</x:v>
      </x:c>
      <x:c r="E13" s="6" t="n">
        <x:f>C13-D13</x:f>
        <x:v>-2448000</x:v>
      </x:c>
      <x:c r="F13" s="6" t="n">
        <x:f>F12+E13</x:f>
        <x:v>-15070000</x:v>
      </x:c>
      <x:c r="G13" s="6" t="n">
        <x:v>-2454000</x:v>
      </x:c>
      <x:c r="H13" s="6" t="n">
        <x:v>2460000</x:v>
      </x:c>
      <x:c r="I13" s="9" t="n">
        <x:v>804</x:v>
      </x:c>
      <x:c r="J13" s="9" t="n">
        <x:f>IF(I13=0,1,0)</x:f>
        <x:v>0</x:v>
      </x:c>
      <x:c r="K13" s="9" t="n">
        <x:v>16080</x:v>
      </x:c>
      <x:c r="L13" s="11" t="n">
        <x:f>IF(K13=0,"n.a.",E13/(K13*10))</x:f>
        <x:v>-15.223880597014926</x:v>
      </x:c>
      <x:c r="M13" s="11" t="n">
        <x:v>315.76666666666665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1774000</x:v>
      </x:c>
      <x:c r="D14" s="6" t="n">
        <x:v>5336000</x:v>
      </x:c>
      <x:c r="E14" s="6" t="n">
        <x:f>C14-D14</x:f>
        <x:v>-3562000</x:v>
      </x:c>
      <x:c r="F14" s="6" t="n">
        <x:f>F13+E14</x:f>
        <x:v>-18632000</x:v>
      </x:c>
      <x:c r="G14" s="6" t="n">
        <x:v>-3562000</x:v>
      </x:c>
      <x:c r="H14" s="6" t="n">
        <x:v>3602000</x:v>
      </x:c>
      <x:c r="I14" s="9" t="n">
        <x:v>1281</x:v>
      </x:c>
      <x:c r="J14" s="9" t="n">
        <x:f>IF(I14=0,1,0)</x:f>
        <x:v>0</x:v>
      </x:c>
      <x:c r="K14" s="9" t="n">
        <x:v>25620</x:v>
      </x:c>
      <x:c r="L14" s="11" t="n">
        <x:f>IF(K14=0,"n.a.",E14/(K14*10))</x:f>
        <x:v>-13.9032006245121</x:v>
      </x:c>
      <x:c r="M14" s="11" t="n">
        <x:v>314.6166666666667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776000</x:v>
      </x:c>
      <x:c r="D15" s="6" t="n">
        <x:v>3640000</x:v>
      </x:c>
      <x:c r="E15" s="6" t="n">
        <x:f>C15-D15</x:f>
        <x:v>-2864000</x:v>
      </x:c>
      <x:c r="F15" s="6" t="n">
        <x:f>F14+E15</x:f>
        <x:v>-21496000</x:v>
      </x:c>
      <x:c r="G15" s="6" t="n">
        <x:v>-2876000</x:v>
      </x:c>
      <x:c r="H15" s="6" t="n">
        <x:v>2876000</x:v>
      </x:c>
      <x:c r="I15" s="9" t="n">
        <x:v>806</x:v>
      </x:c>
      <x:c r="J15" s="9" t="n">
        <x:f>IF(I15=0,1,0)</x:f>
        <x:v>0</x:v>
      </x:c>
      <x:c r="K15" s="9" t="n">
        <x:v>16120</x:v>
      </x:c>
      <x:c r="L15" s="11" t="n">
        <x:f>IF(K15=0,"n.a.",E15/(K15*10))</x:f>
        <x:v>-17.766749379652605</x:v>
      </x:c>
      <x:c r="M15" s="11" t="n">
        <x:v>323.71666666666664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502000</x:v>
      </x:c>
      <x:c r="D16" s="6" t="n">
        <x:v>1398000</x:v>
      </x:c>
      <x:c r="E16" s="6" t="n">
        <x:f>C16-D16</x:f>
        <x:v>-896000</x:v>
      </x:c>
      <x:c r="F16" s="6" t="n">
        <x:f>F15+E16</x:f>
        <x:v>-22392000</x:v>
      </x:c>
      <x:c r="G16" s="6" t="n">
        <x:v>-912000</x:v>
      </x:c>
      <x:c r="H16" s="6" t="n">
        <x:v>912000</x:v>
      </x:c>
      <x:c r="I16" s="9" t="n">
        <x:v>367</x:v>
      </x:c>
      <x:c r="J16" s="9" t="n">
        <x:f>IF(I16=0,1,0)</x:f>
        <x:v>0</x:v>
      </x:c>
      <x:c r="K16" s="9" t="n">
        <x:v>7340</x:v>
      </x:c>
      <x:c r="L16" s="11" t="n">
        <x:f>IF(K16=0,"n.a.",E16/(K16*10))</x:f>
        <x:v>-12.207084468664851</x:v>
      </x:c>
      <x:c r="M16" s="11" t="n">
        <x:v>307.45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450000</x:v>
      </x:c>
      <x:c r="D17" s="6" t="n">
        <x:v>946000</x:v>
      </x:c>
      <x:c r="E17" s="6" t="n">
        <x:f>C17-D17</x:f>
        <x:v>-496000</x:v>
      </x:c>
      <x:c r="F17" s="6" t="n">
        <x:f>F16+E17</x:f>
        <x:v>-22888000</x:v>
      </x:c>
      <x:c r="G17" s="6" t="n">
        <x:v>-522000</x:v>
      </x:c>
      <x:c r="H17" s="6" t="n">
        <x:v>696000</x:v>
      </x:c>
      <x:c r="I17" s="9" t="n">
        <x:v>242</x:v>
      </x:c>
      <x:c r="J17" s="9" t="n">
        <x:f>IF(I17=0,1,0)</x:f>
        <x:v>0</x:v>
      </x:c>
      <x:c r="K17" s="9" t="n">
        <x:v>4840</x:v>
      </x:c>
      <x:c r="L17" s="11" t="n">
        <x:f>IF(K17=0,"n.a.",E17/(K17*10))</x:f>
        <x:v>-10.24793388429752</x:v>
      </x:c>
      <x:c r="M17" s="11" t="n">
        <x:v>315.95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372000</x:v>
      </x:c>
      <x:c r="D18" s="6" t="n">
        <x:v>2120000</x:v>
      </x:c>
      <x:c r="E18" s="6" t="n">
        <x:f>C18-D18</x:f>
        <x:v>-1748000</x:v>
      </x:c>
      <x:c r="F18" s="6" t="n">
        <x:f>F17+E18</x:f>
        <x:v>-24636000</x:v>
      </x:c>
      <x:c r="G18" s="6" t="n">
        <x:v>-1762000</x:v>
      </x:c>
      <x:c r="H18" s="6" t="n">
        <x:v>1770000</x:v>
      </x:c>
      <x:c r="I18" s="9" t="n">
        <x:v>467</x:v>
      </x:c>
      <x:c r="J18" s="9" t="n">
        <x:f>IF(I18=0,1,0)</x:f>
        <x:v>0</x:v>
      </x:c>
      <x:c r="K18" s="9" t="n">
        <x:v>9340</x:v>
      </x:c>
      <x:c r="L18" s="11" t="n">
        <x:f>IF(K18=0,"n.a.",E18/(K18*10))</x:f>
        <x:v>-18.715203426124198</x:v>
      </x:c>
      <x:c r="M18" s="11" t="n">
        <x:v>350.3833333333333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1568000</x:v>
      </x:c>
      <x:c r="D19" s="6" t="n">
        <x:v>4600000</x:v>
      </x:c>
      <x:c r="E19" s="6" t="n">
        <x:f>C19-D19</x:f>
        <x:v>-3032000</x:v>
      </x:c>
      <x:c r="F19" s="6" t="n">
        <x:f>F18+E19</x:f>
        <x:v>-27668000</x:v>
      </x:c>
      <x:c r="G19" s="6" t="n">
        <x:v>-3032000</x:v>
      </x:c>
      <x:c r="H19" s="6" t="n">
        <x:v>3040000</x:v>
      </x:c>
      <x:c r="I19" s="9" t="n">
        <x:v>1123</x:v>
      </x:c>
      <x:c r="J19" s="9" t="n">
        <x:f>IF(I19=0,1,0)</x:f>
        <x:v>0</x:v>
      </x:c>
      <x:c r="K19" s="9" t="n">
        <x:v>22460</x:v>
      </x:c>
      <x:c r="L19" s="11" t="n">
        <x:f>IF(K19=0,"n.a.",E19/(K19*10))</x:f>
        <x:v>-13.499554764024934</x:v>
      </x:c>
      <x:c r="M19" s="11" t="n">
        <x:v>321.8666666666667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378000</x:v>
      </x:c>
      <x:c r="D20" s="6" t="n">
        <x:v>1642000</x:v>
      </x:c>
      <x:c r="E20" s="6" t="n">
        <x:f>C20-D20</x:f>
        <x:v>-1264000</x:v>
      </x:c>
      <x:c r="F20" s="6" t="n">
        <x:f>F19+E20</x:f>
        <x:v>-28932000</x:v>
      </x:c>
      <x:c r="G20" s="6" t="n">
        <x:v>-1264000</x:v>
      </x:c>
      <x:c r="H20" s="6" t="n">
        <x:v>1274000</x:v>
      </x:c>
      <x:c r="I20" s="9" t="n">
        <x:v>373</x:v>
      </x:c>
      <x:c r="J20" s="9" t="n">
        <x:f>IF(I20=0,1,0)</x:f>
        <x:v>0</x:v>
      </x:c>
      <x:c r="K20" s="9" t="n">
        <x:v>7460</x:v>
      </x:c>
      <x:c r="L20" s="11" t="n">
        <x:f>IF(K20=0,"n.a.",E20/(K20*10))</x:f>
        <x:v>-16.943699731903486</x:v>
      </x:c>
      <x:c r="M20" s="11" t="n">
        <x:v>280.45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252000</x:v>
      </x:c>
      <x:c r="D21" s="6" t="n">
        <x:v>1304000</x:v>
      </x:c>
      <x:c r="E21" s="6" t="n">
        <x:f>C21-D21</x:f>
        <x:v>-1052000</x:v>
      </x:c>
      <x:c r="F21" s="6" t="n">
        <x:f>F20+E21</x:f>
        <x:v>-29984000</x:v>
      </x:c>
      <x:c r="G21" s="6" t="n">
        <x:v>-1052000</x:v>
      </x:c>
      <x:c r="H21" s="6" t="n">
        <x:v>1078000</x:v>
      </x:c>
      <x:c r="I21" s="9" t="n">
        <x:v>297</x:v>
      </x:c>
      <x:c r="J21" s="9" t="n">
        <x:f>IF(I21=0,1,0)</x:f>
        <x:v>0</x:v>
      </x:c>
      <x:c r="K21" s="9" t="n">
        <x:v>5940</x:v>
      </x:c>
      <x:c r="L21" s="11" t="n">
        <x:f>IF(K21=0,"n.a.",E21/(K21*10))</x:f>
        <x:v>-17.71043771043771</x:v>
      </x:c>
      <x:c r="M21" s="11" t="n">
        <x:v>295.76666666666665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438000</x:v>
      </x:c>
      <x:c r="D22" s="6" t="n">
        <x:v>1934000</x:v>
      </x:c>
      <x:c r="E22" s="6" t="n">
        <x:f>C22-D22</x:f>
        <x:v>-1496000</x:v>
      </x:c>
      <x:c r="F22" s="6" t="n">
        <x:f>F21+E22</x:f>
        <x:v>-31480000</x:v>
      </x:c>
      <x:c r="G22" s="6" t="n">
        <x:v>-1498000</x:v>
      </x:c>
      <x:c r="H22" s="6" t="n">
        <x:v>1498000</x:v>
      </x:c>
      <x:c r="I22" s="9" t="n">
        <x:v>427</x:v>
      </x:c>
      <x:c r="J22" s="9" t="n">
        <x:f>IF(I22=0,1,0)</x:f>
        <x:v>0</x:v>
      </x:c>
      <x:c r="K22" s="9" t="n">
        <x:v>8540</x:v>
      </x:c>
      <x:c r="L22" s="11" t="n">
        <x:f>IF(K22=0,"n.a.",E22/(K22*10))</x:f>
        <x:v>-17.517564402810304</x:v>
      </x:c>
      <x:c r="M22" s="11" t="n">
        <x:v>287.01666666666665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842000</x:v>
      </x:c>
      <x:c r="D23" s="6" t="n">
        <x:v>3870000</x:v>
      </x:c>
      <x:c r="E23" s="6" t="n">
        <x:f>C23-D23</x:f>
        <x:v>-3028000</x:v>
      </x:c>
      <x:c r="F23" s="6" t="n">
        <x:f>F22+E23</x:f>
        <x:v>-34508000</x:v>
      </x:c>
      <x:c r="G23" s="6" t="n">
        <x:v>-3028000</x:v>
      </x:c>
      <x:c r="H23" s="6" t="n">
        <x:v>3028000</x:v>
      </x:c>
      <x:c r="I23" s="9" t="n">
        <x:v>883</x:v>
      </x:c>
      <x:c r="J23" s="9" t="n">
        <x:f>IF(I23=0,1,0)</x:f>
        <x:v>0</x:v>
      </x:c>
      <x:c r="K23" s="9" t="n">
        <x:v>17660</x:v>
      </x:c>
      <x:c r="L23" s="11" t="n">
        <x:f>IF(K23=0,"n.a.",E23/(K23*10))</x:f>
        <x:v>-17.146092865232163</x:v>
      </x:c>
      <x:c r="M23" s="11" t="n">
        <x:v>302.6333333333333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1256000</x:v>
      </x:c>
      <x:c r="D24" s="6" t="n">
        <x:v>4904000</x:v>
      </x:c>
      <x:c r="E24" s="6" t="n">
        <x:f>C24-D24</x:f>
        <x:v>-3648000</x:v>
      </x:c>
      <x:c r="F24" s="6" t="n">
        <x:f>F23+E24</x:f>
        <x:v>-38156000</x:v>
      </x:c>
      <x:c r="G24" s="6" t="n">
        <x:v>-3648000</x:v>
      </x:c>
      <x:c r="H24" s="6" t="n">
        <x:v>3718000</x:v>
      </x:c>
      <x:c r="I24" s="9" t="n">
        <x:v>1137</x:v>
      </x:c>
      <x:c r="J24" s="9" t="n">
        <x:f>IF(I24=0,1,0)</x:f>
        <x:v>0</x:v>
      </x:c>
      <x:c r="K24" s="9" t="n">
        <x:v>22740</x:v>
      </x:c>
      <x:c r="L24" s="11" t="n">
        <x:f>IF(K24=0,"n.a.",E24/(K24*10))</x:f>
        <x:v>-16.04221635883905</x:v>
      </x:c>
      <x:c r="M24" s="11" t="n">
        <x:v>311.06666666666666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1994000</x:v>
      </x:c>
      <x:c r="D25" s="6" t="n">
        <x:v>6228000</x:v>
      </x:c>
      <x:c r="E25" s="6" t="n">
        <x:f>C25-D25</x:f>
        <x:v>-4234000</x:v>
      </x:c>
      <x:c r="F25" s="6" t="n">
        <x:f>F24+E25</x:f>
        <x:v>-42390000</x:v>
      </x:c>
      <x:c r="G25" s="6" t="n">
        <x:v>-4260000</x:v>
      </x:c>
      <x:c r="H25" s="6" t="n">
        <x:v>4262000</x:v>
      </x:c>
      <x:c r="I25" s="9" t="n">
        <x:v>1549</x:v>
      </x:c>
      <x:c r="J25" s="9" t="n">
        <x:f>IF(I25=0,1,0)</x:f>
        <x:v>0</x:v>
      </x:c>
      <x:c r="K25" s="9" t="n">
        <x:v>30980</x:v>
      </x:c>
      <x:c r="L25" s="11" t="n">
        <x:f>IF(K25=0,"n.a.",E25/(K25*10))</x:f>
        <x:v>-13.666881859264041</x:v>
      </x:c>
      <x:c r="M25" s="11" t="n">
        <x:v>336.7</x:v>
      </x:c>
    </x:row>
    <x:row r="26" ht="25" customHeight="1">
      <x:c r="A26" s="2" t="str">
        <x:v>2026-10-19_Night</x:v>
      </x:c>
      <x:c r="B26" s="2" t="str">
        <x:v>後7夜</x:v>
      </x:c>
      <x:c r="C26" s="6" t="n">
        <x:v>1268000</x:v>
      </x:c>
      <x:c r="D26" s="6" t="n">
        <x:v>3184000</x:v>
      </x:c>
      <x:c r="E26" s="6" t="n">
        <x:f>C26-D26</x:f>
        <x:v>-1916000</x:v>
      </x:c>
      <x:c r="F26" s="6" t="n">
        <x:f>F25+E26</x:f>
        <x:v>-44306000</x:v>
      </x:c>
      <x:c r="G26" s="6" t="n">
        <x:v>-1976000</x:v>
      </x:c>
      <x:c r="H26" s="6" t="n">
        <x:v>1976000</x:v>
      </x:c>
      <x:c r="I26" s="9" t="n">
        <x:v>807</x:v>
      </x:c>
      <x:c r="J26" s="9" t="n">
        <x:f>IF(I26=0,1,0)</x:f>
        <x:v>0</x:v>
      </x:c>
      <x:c r="K26" s="9" t="n">
        <x:v>16140</x:v>
      </x:c>
      <x:c r="L26" s="11" t="n">
        <x:f>IF(K26=0,"n.a.",E26/(K26*10))</x:f>
        <x:v>-11.871127633209417</x:v>
      </x:c>
      <x:c r="M26" s="11" t="n">
        <x:v>322.81666666666666</x:v>
      </x:c>
    </x:row>
    <x:row r="27" ht="25" customHeight="1">
      <x:c r="A27" s="2" t="str">
        <x:v>2026-10-20_Night</x:v>
      </x:c>
      <x:c r="B27" s="2" t="str">
        <x:v>後7夜</x:v>
      </x:c>
      <x:c r="C27" s="6" t="n">
        <x:v>810000</x:v>
      </x:c>
      <x:c r="D27" s="6" t="n">
        <x:v>4092000</x:v>
      </x:c>
      <x:c r="E27" s="6" t="n">
        <x:f>C27-D27</x:f>
        <x:v>-3282000</x:v>
      </x:c>
      <x:c r="F27" s="6" t="n">
        <x:f>F26+E27</x:f>
        <x:v>-47588000</x:v>
      </x:c>
      <x:c r="G27" s="6" t="n">
        <x:v>-3330000</x:v>
      </x:c>
      <x:c r="H27" s="6" t="n">
        <x:v>3354000</x:v>
      </x:c>
      <x:c r="I27" s="9" t="n">
        <x:v>925</x:v>
      </x:c>
      <x:c r="J27" s="9" t="n">
        <x:f>IF(I27=0,1,0)</x:f>
        <x:v>0</x:v>
      </x:c>
      <x:c r="K27" s="9" t="n">
        <x:v>18500</x:v>
      </x:c>
      <x:c r="L27" s="11" t="n">
        <x:f>IF(K27=0,"n.a.",E27/(K27*10))</x:f>
        <x:v>-17.74054054054054</x:v>
      </x:c>
      <x:c r="M27" s="11" t="n">
        <x:v>324.71666666666664</x:v>
      </x:c>
    </x:row>
    <x:row r="28" ht="25" customHeight="1">
      <x:c r="A28" s="2" t="str">
        <x:v>2026-10-21_Night</x:v>
      </x:c>
      <x:c r="B28" s="2" t="str">
        <x:v>後7夜</x:v>
      </x:c>
      <x:c r="C28" s="6" t="n">
        <x:v>1190000</x:v>
      </x:c>
      <x:c r="D28" s="6" t="n">
        <x:v>3356000</x:v>
      </x:c>
      <x:c r="E28" s="6" t="n">
        <x:f>C28-D28</x:f>
        <x:v>-2166000</x:v>
      </x:c>
      <x:c r="F28" s="6" t="n">
        <x:f>F27+E28</x:f>
        <x:v>-49754000</x:v>
      </x:c>
      <x:c r="G28" s="6" t="n">
        <x:v>-2214000</x:v>
      </x:c>
      <x:c r="H28" s="6" t="n">
        <x:v>2214000</x:v>
      </x:c>
      <x:c r="I28" s="9" t="n">
        <x:v>832</x:v>
      </x:c>
      <x:c r="J28" s="9" t="n">
        <x:f>IF(I28=0,1,0)</x:f>
        <x:v>0</x:v>
      </x:c>
      <x:c r="K28" s="9" t="n">
        <x:v>16640</x:v>
      </x:c>
      <x:c r="L28" s="11" t="n">
        <x:f>IF(K28=0,"n.a.",E28/(K28*10))</x:f>
        <x:v>-13.016826923076923</x:v>
      </x:c>
      <x:c r="M28" s="11" t="n">
        <x:v>324.81666666666666</x:v>
      </x:c>
    </x:row>
    <x:row r="29" ht="25" customHeight="1">
      <x:c r="A29" s="2" t="str">
        <x:v>2026-10-22_Night</x:v>
      </x:c>
      <x:c r="B29" s="2" t="str">
        <x:v>後7夜</x:v>
      </x:c>
      <x:c r="C29" s="6" t="n">
        <x:v>1516000</x:v>
      </x:c>
      <x:c r="D29" s="6" t="n">
        <x:v>4646000</x:v>
      </x:c>
      <x:c r="E29" s="6" t="n">
        <x:f>C29-D29</x:f>
        <x:v>-3130000</x:v>
      </x:c>
      <x:c r="F29" s="6" t="n">
        <x:f>F28+E29</x:f>
        <x:v>-52884000</x:v>
      </x:c>
      <x:c r="G29" s="6" t="n">
        <x:v>-3166000</x:v>
      </x:c>
      <x:c r="H29" s="6" t="n">
        <x:v>3212000</x:v>
      </x:c>
      <x:c r="I29" s="9" t="n">
        <x:v>1127</x:v>
      </x:c>
      <x:c r="J29" s="9" t="n">
        <x:f>IF(I29=0,1,0)</x:f>
        <x:v>0</x:v>
      </x:c>
      <x:c r="K29" s="9" t="n">
        <x:v>22540</x:v>
      </x:c>
      <x:c r="L29" s="11" t="n">
        <x:f>IF(K29=0,"n.a.",E29/(K29*10))</x:f>
        <x:v>-13.88642413487134</x:v>
      </x:c>
      <x:c r="M29" s="11" t="n">
        <x:v>341.75</x:v>
      </x:c>
    </x:row>
    <x:row r="30" ht="25" customHeight="1">
      <x:c r="A30" s="2" t="str">
        <x:v>2026-10-23_Night</x:v>
      </x:c>
      <x:c r="B30" s="2" t="str">
        <x:v>後7夜</x:v>
      </x:c>
      <x:c r="C30" s="6" t="n">
        <x:v>1068000</x:v>
      </x:c>
      <x:c r="D30" s="6" t="n">
        <x:v>3788000</x:v>
      </x:c>
      <x:c r="E30" s="6" t="n">
        <x:f>C30-D30</x:f>
        <x:v>-2720000</x:v>
      </x:c>
      <x:c r="F30" s="6" t="n">
        <x:f>F29+E30</x:f>
        <x:v>-55604000</x:v>
      </x:c>
      <x:c r="G30" s="6" t="n">
        <x:v>-2730000</x:v>
      </x:c>
      <x:c r="H30" s="6" t="n">
        <x:v>2730000</x:v>
      </x:c>
      <x:c r="I30" s="9" t="n">
        <x:v>906</x:v>
      </x:c>
      <x:c r="J30" s="9" t="n">
        <x:f>IF(I30=0,1,0)</x:f>
        <x:v>0</x:v>
      </x:c>
      <x:c r="K30" s="9" t="n">
        <x:v>18120</x:v>
      </x:c>
      <x:c r="L30" s="11" t="n">
        <x:f>IF(K30=0,"n.a.",E30/(K30*10))</x:f>
        <x:v>-15.01103752759382</x:v>
      </x:c>
      <x:c r="M30" s="11" t="n">
        <x:v>339.6333333333333</x:v>
      </x:c>
    </x:row>
    <x:row r="31" ht="25" customHeight="1">
      <x:c r="A31" s="2" t="str">
        <x:v>2026-10-26_Night</x:v>
      </x:c>
      <x:c r="B31" s="2" t="str">
        <x:v>後7夜</x:v>
      </x:c>
      <x:c r="C31" s="6" t="n">
        <x:v>1296000</x:v>
      </x:c>
      <x:c r="D31" s="6" t="n">
        <x:v>2684000</x:v>
      </x:c>
      <x:c r="E31" s="6" t="n">
        <x:f>C31-D31</x:f>
        <x:v>-1388000</x:v>
      </x:c>
      <x:c r="F31" s="6" t="n">
        <x:f>F30+E31</x:f>
        <x:v>-56992000</x:v>
      </x:c>
      <x:c r="G31" s="6" t="n">
        <x:v>-1388000</x:v>
      </x:c>
      <x:c r="H31" s="6" t="n">
        <x:v>1408000</x:v>
      </x:c>
      <x:c r="I31" s="9" t="n">
        <x:v>753</x:v>
      </x:c>
      <x:c r="J31" s="9" t="n">
        <x:f>IF(I31=0,1,0)</x:f>
        <x:v>0</x:v>
      </x:c>
      <x:c r="K31" s="9" t="n">
        <x:v>15060</x:v>
      </x:c>
      <x:c r="L31" s="11" t="n">
        <x:f>IF(K31=0,"n.a.",E31/(K31*10))</x:f>
        <x:v>-9.216467463479416</x:v>
      </x:c>
      <x:c r="M31" s="11" t="n">
        <x:v>303.28333333333336</x:v>
      </x:c>
    </x:row>
    <x:row r="32" ht="25" customHeight="1">
      <x:c r="A32" s="2" t="str">
        <x:v>2026-10-27_Night</x:v>
      </x:c>
      <x:c r="B32" s="2" t="str">
        <x:v>後7夜</x:v>
      </x:c>
      <x:c r="C32" s="6" t="n">
        <x:v>458000</x:v>
      </x:c>
      <x:c r="D32" s="6" t="n">
        <x:v>2056000</x:v>
      </x:c>
      <x:c r="E32" s="6" t="n">
        <x:f>C32-D32</x:f>
        <x:v>-1598000</x:v>
      </x:c>
      <x:c r="F32" s="6" t="n">
        <x:f>F31+E32</x:f>
        <x:v>-58590000</x:v>
      </x:c>
      <x:c r="G32" s="6" t="n">
        <x:v>-1598000</x:v>
      </x:c>
      <x:c r="H32" s="6" t="n">
        <x:v>1634000</x:v>
      </x:c>
      <x:c r="I32" s="9" t="n">
        <x:v>501</x:v>
      </x:c>
      <x:c r="J32" s="9" t="n">
        <x:f>IF(I32=0,1,0)</x:f>
        <x:v>0</x:v>
      </x:c>
      <x:c r="K32" s="9" t="n">
        <x:v>10020</x:v>
      </x:c>
      <x:c r="L32" s="11" t="n">
        <x:f>IF(K32=0,"n.a.",E32/(K32*10))</x:f>
        <x:v>-15.94810379241517</x:v>
      </x:c>
      <x:c r="M32" s="11" t="n">
        <x:v>277.53333333333336</x:v>
      </x:c>
    </x:row>
    <x:row r="33" ht="25" customHeight="1">
      <x:c r="A33" s="7" t="str">
        <x:v>累計／場内最悪値</x:v>
      </x:c>
      <x:c r="B33" s="7"/>
      <x:c r="C33" s="8" t="n">
        <x:f>SUM(C6:C32)</x:f>
        <x:v>24412000</x:v>
      </x:c>
      <x:c r="D33" s="8" t="n">
        <x:f>SUM(D6:D32)</x:f>
        <x:v>83002000</x:v>
      </x:c>
      <x:c r="E33" s="8" t="n">
        <x:f>C33-D33</x:f>
        <x:v>-58590000</x:v>
      </x:c>
      <x:c r="F33" s="8" t="n">
        <x:f>F32</x:f>
        <x:v>-58590000</x:v>
      </x:c>
      <x:c r="G33" s="8" t="n">
        <x:f>MIN(G6:G32)</x:f>
        <x:v>-4260000</x:v>
      </x:c>
      <x:c r="H33" s="8" t="n">
        <x:f>MAX(H6:H32)</x:f>
        <x:v>4262000</x:v>
      </x:c>
      <x:c r="I33" s="10" t="n">
        <x:f>SUM(I6:I32)</x:f>
        <x:v>19811</x:v>
      </x:c>
      <x:c r="J33" s="10" t="n">
        <x:f>SUM(J6:J32)</x:f>
        <x:v>0</x:v>
      </x:c>
      <x:c r="K33" s="10" t="n">
        <x:f>SUM(K6:K32)</x:f>
        <x:v>396220</x:v>
      </x:c>
      <x:c r="L33" s="12" t="n">
        <x:f>IF(K33=0,"n.a.",E33/(K33*10))</x:f>
        <x:v>-14.78723941244763</x:v>
      </x:c>
      <x:c r="M33" s="12" t="n">
        <x:f>SUM(M6:M32)</x:f>
        <x:v>8437.483333333332</x:v>
      </x:c>
    </x:row>
  </x:sheetData>
  <x:conditionalFormatting sqref="E6:G32">
    <x:cfRule type="cellIs" dxfId="26" priority="1" operator="lessThan">
      <x:formula>0</x:formula>
    </x:cfRule>
  </x:conditionalFormatting>
  <x:conditionalFormatting sqref="L6:L32">
    <x:cfRule type="cellIs" dxfId="2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0d824ee611450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NK225_U165_14　米国開始後の損益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 t="str">
        <x:v>11の100円利確を30円起動40円追尾へ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4" t="str">
        <x:v>片側上限micro100枚＝mini10枚相当／1pt・1micro＝10円／手数料0／ラージ気配で約定。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3" customHeight="1">
      <x:c r="A5" s="16" t="str">
        <x:v>セッション</x:v>
      </x:c>
      <x:c r="B5" s="16" t="str">
        <x:v>資料区分</x:v>
      </x:c>
      <x:c r="C5" s="16" t="str">
        <x:v>利益（円）</x:v>
      </x:c>
      <x:c r="D5" s="16" t="str">
        <x:v>損失（円）</x:v>
      </x:c>
      <x:c r="E5" s="16" t="str">
        <x:v>収支（円）</x:v>
      </x:c>
      <x:c r="F5" s="16" t="str">
        <x:v>累計（円）</x:v>
      </x:c>
      <x:c r="G5" s="16" t="str">
        <x:v>場内最悪収支（円）</x:v>
      </x:c>
      <x:c r="H5" s="16" t="str">
        <x:v>最大下落額（円）</x:v>
      </x:c>
      <x:c r="I5" s="16" t="str">
        <x:v>新規回数</x:v>
      </x:c>
      <x:c r="J5" s="16" t="str">
        <x:v>無取引</x:v>
      </x:c>
      <x:c r="K5" s="16" t="str">
        <x:v>返済micro枚数</x:v>
      </x:c>
      <x:c r="L5" s="16" t="str">
        <x:v>返済1枚平均（pt）</x:v>
      </x:c>
      <x:c r="M5" s="16" t="str">
        <x:v>保有時間（分）</x:v>
      </x:c>
    </x:row>
    <x:row r="6" ht="25" customHeight="1">
      <x:c r="A6" s="2" t="str">
        <x:v>2026-09-21_Night</x:v>
      </x:c>
      <x:c r="B6" s="2" t="str">
        <x:v>前20夜</x:v>
      </x:c>
      <x:c r="C6" s="6" t="n">
        <x:v>58000</x:v>
      </x:c>
      <x:c r="D6" s="6" t="n">
        <x:v>146000</x:v>
      </x:c>
      <x:c r="E6" s="6" t="n">
        <x:f>C6-D6</x:f>
        <x:v>-88000</x:v>
      </x:c>
      <x:c r="F6" s="6" t="n">
        <x:f>E6</x:f>
        <x:v>-88000</x:v>
      </x:c>
      <x:c r="G6" s="6" t="n">
        <x:v>-98000</x:v>
      </x:c>
      <x:c r="H6" s="6" t="n">
        <x:v>98000</x:v>
      </x:c>
      <x:c r="I6" s="9" t="n">
        <x:v>35</x:v>
      </x:c>
      <x:c r="J6" s="9" t="n">
        <x:f>IF(I6=0,1,0)</x:f>
        <x:v>0</x:v>
      </x:c>
      <x:c r="K6" s="9" t="n">
        <x:v>700</x:v>
      </x:c>
      <x:c r="L6" s="11" t="n">
        <x:f>IF(K6=0,"n.a.",E6/(K6*10))</x:f>
        <x:v>-12.571428571428571</x:v>
      </x:c>
      <x:c r="M6" s="11" t="n">
        <x:v>61.05</x:v>
      </x:c>
    </x:row>
    <x:row r="7" ht="25" customHeight="1">
      <x:c r="A7" s="2" t="str">
        <x:v>2026-09-22_Night</x:v>
      </x:c>
      <x:c r="B7" s="2" t="str">
        <x:v>前20夜</x:v>
      </x:c>
      <x:c r="C7" s="6" t="n">
        <x:v>50000</x:v>
      </x:c>
      <x:c r="D7" s="6" t="n">
        <x:v>412000</x:v>
      </x:c>
      <x:c r="E7" s="6" t="n">
        <x:f>C7-D7</x:f>
        <x:v>-362000</x:v>
      </x:c>
      <x:c r="F7" s="6" t="n">
        <x:f>F6+E7</x:f>
        <x:v>-450000</x:v>
      </x:c>
      <x:c r="G7" s="6" t="n">
        <x:v>-366000</x:v>
      </x:c>
      <x:c r="H7" s="6" t="n">
        <x:v>380000</x:v>
      </x:c>
      <x:c r="I7" s="9" t="n">
        <x:v>79</x:v>
      </x:c>
      <x:c r="J7" s="9" t="n">
        <x:f>IF(I7=0,1,0)</x:f>
        <x:v>0</x:v>
      </x:c>
      <x:c r="K7" s="9" t="n">
        <x:v>1580</x:v>
      </x:c>
      <x:c r="L7" s="11" t="n">
        <x:f>IF(K7=0,"n.a.",E7/(K7*10))</x:f>
        <x:v>-22.911392405063292</x:v>
      </x:c>
      <x:c r="M7" s="11" t="n">
        <x:v>43.233333333333334</x:v>
      </x:c>
    </x:row>
    <x:row r="8" ht="25" customHeight="1">
      <x:c r="A8" s="2" t="str">
        <x:v>2026-09-23_Night</x:v>
      </x:c>
      <x:c r="B8" s="2" t="str">
        <x:v>前20夜</x:v>
      </x:c>
      <x:c r="C8" s="6" t="n">
        <x:v>104000</x:v>
      </x:c>
      <x:c r="D8" s="6" t="n">
        <x:v>686000</x:v>
      </x:c>
      <x:c r="E8" s="6" t="n">
        <x:f>C8-D8</x:f>
        <x:v>-582000</x:v>
      </x:c>
      <x:c r="F8" s="6" t="n">
        <x:f>F7+E8</x:f>
        <x:v>-1032000</x:v>
      </x:c>
      <x:c r="G8" s="6" t="n">
        <x:v>-588000</x:v>
      </x:c>
      <x:c r="H8" s="6" t="n">
        <x:v>588000</x:v>
      </x:c>
      <x:c r="I8" s="9" t="n">
        <x:v>144</x:v>
      </x:c>
      <x:c r="J8" s="9" t="n">
        <x:f>IF(I8=0,1,0)</x:f>
        <x:v>0</x:v>
      </x:c>
      <x:c r="K8" s="9" t="n">
        <x:v>2880</x:v>
      </x:c>
      <x:c r="L8" s="11" t="n">
        <x:f>IF(K8=0,"n.a.",E8/(K8*10))</x:f>
        <x:v>-20.208333333333332</x:v>
      </x:c>
      <x:c r="M8" s="11" t="n">
        <x:v>71.95</x:v>
      </x:c>
    </x:row>
    <x:row r="9" ht="25" customHeight="1">
      <x:c r="A9" s="2" t="str">
        <x:v>2026-09-24_Night</x:v>
      </x:c>
      <x:c r="B9" s="2" t="str">
        <x:v>前20夜</x:v>
      </x:c>
      <x:c r="C9" s="6" t="n">
        <x:v>386000</x:v>
      </x:c>
      <x:c r="D9" s="6" t="n">
        <x:v>978000</x:v>
      </x:c>
      <x:c r="E9" s="6" t="n">
        <x:f>C9-D9</x:f>
        <x:v>-592000</x:v>
      </x:c>
      <x:c r="F9" s="6" t="n">
        <x:f>F8+E9</x:f>
        <x:v>-1624000</x:v>
      </x:c>
      <x:c r="G9" s="6" t="n">
        <x:v>-592000</x:v>
      </x:c>
      <x:c r="H9" s="6" t="n">
        <x:v>592000</x:v>
      </x:c>
      <x:c r="I9" s="9" t="n">
        <x:v>228</x:v>
      </x:c>
      <x:c r="J9" s="9" t="n">
        <x:f>IF(I9=0,1,0)</x:f>
        <x:v>0</x:v>
      </x:c>
      <x:c r="K9" s="9" t="n">
        <x:v>4560</x:v>
      </x:c>
      <x:c r="L9" s="11" t="n">
        <x:f>IF(K9=0,"n.a.",E9/(K9*10))</x:f>
        <x:v>-12.982456140350877</x:v>
      </x:c>
      <x:c r="M9" s="11" t="n">
        <x:v>97.46666666666667</x:v>
      </x:c>
    </x:row>
    <x:row r="10" ht="25" customHeight="1">
      <x:c r="A10" s="2" t="str">
        <x:v>2026-09-25_Night</x:v>
      </x:c>
      <x:c r="B10" s="2" t="str">
        <x:v>前20夜</x:v>
      </x:c>
      <x:c r="C10" s="6" t="n">
        <x:v>186000</x:v>
      </x:c>
      <x:c r="D10" s="6" t="n">
        <x:v>582000</x:v>
      </x:c>
      <x:c r="E10" s="6" t="n">
        <x:f>C10-D10</x:f>
        <x:v>-396000</x:v>
      </x:c>
      <x:c r="F10" s="6" t="n">
        <x:f>F9+E10</x:f>
        <x:v>-2020000</x:v>
      </x:c>
      <x:c r="G10" s="6" t="n">
        <x:v>-396000</x:v>
      </x:c>
      <x:c r="H10" s="6" t="n">
        <x:v>460000</x:v>
      </x:c>
      <x:c r="I10" s="9" t="n">
        <x:v>147</x:v>
      </x:c>
      <x:c r="J10" s="9" t="n">
        <x:f>IF(I10=0,1,0)</x:f>
        <x:v>0</x:v>
      </x:c>
      <x:c r="K10" s="9" t="n">
        <x:v>2940</x:v>
      </x:c>
      <x:c r="L10" s="11" t="n">
        <x:f>IF(K10=0,"n.a.",E10/(K10*10))</x:f>
        <x:v>-13.46938775510204</x:v>
      </x:c>
      <x:c r="M10" s="11" t="n">
        <x:v>99.16666666666667</x:v>
      </x:c>
    </x:row>
    <x:row r="11" ht="25" customHeight="1">
      <x:c r="A11" s="2" t="str">
        <x:v>2026-09-28_Night</x:v>
      </x:c>
      <x:c r="B11" s="2" t="str">
        <x:v>前20夜</x:v>
      </x:c>
      <x:c r="C11" s="6" t="n">
        <x:v>326000</x:v>
      </x:c>
      <x:c r="D11" s="6" t="n">
        <x:v>870000</x:v>
      </x:c>
      <x:c r="E11" s="6" t="n">
        <x:f>C11-D11</x:f>
        <x:v>-544000</x:v>
      </x:c>
      <x:c r="F11" s="6" t="n">
        <x:f>F10+E11</x:f>
        <x:v>-2564000</x:v>
      </x:c>
      <x:c r="G11" s="6" t="n">
        <x:v>-608000</x:v>
      </x:c>
      <x:c r="H11" s="6" t="n">
        <x:v>624000</x:v>
      </x:c>
      <x:c r="I11" s="9" t="n">
        <x:v>210</x:v>
      </x:c>
      <x:c r="J11" s="9" t="n">
        <x:f>IF(I11=0,1,0)</x:f>
        <x:v>0</x:v>
      </x:c>
      <x:c r="K11" s="9" t="n">
        <x:v>4200</x:v>
      </x:c>
      <x:c r="L11" s="11" t="n">
        <x:f>IF(K11=0,"n.a.",E11/(K11*10))</x:f>
        <x:v>-12.952380952380953</x:v>
      </x:c>
      <x:c r="M11" s="11" t="n">
        <x:v>138.2</x:v>
      </x:c>
    </x:row>
    <x:row r="12" ht="25" customHeight="1">
      <x:c r="A12" s="2" t="str">
        <x:v>2026-09-29_Night</x:v>
      </x:c>
      <x:c r="B12" s="2" t="str">
        <x:v>前20夜</x:v>
      </x:c>
      <x:c r="C12" s="6" t="n">
        <x:v>196000</x:v>
      </x:c>
      <x:c r="D12" s="6" t="n">
        <x:v>672000</x:v>
      </x:c>
      <x:c r="E12" s="6" t="n">
        <x:f>C12-D12</x:f>
        <x:v>-476000</x:v>
      </x:c>
      <x:c r="F12" s="6" t="n">
        <x:f>F11+E12</x:f>
        <x:v>-3040000</x:v>
      </x:c>
      <x:c r="G12" s="6" t="n">
        <x:v>-482000</x:v>
      </x:c>
      <x:c r="H12" s="6" t="n">
        <x:v>482000</x:v>
      </x:c>
      <x:c r="I12" s="9" t="n">
        <x:v>175</x:v>
      </x:c>
      <x:c r="J12" s="9" t="n">
        <x:f>IF(I12=0,1,0)</x:f>
        <x:v>0</x:v>
      </x:c>
      <x:c r="K12" s="9" t="n">
        <x:v>3500</x:v>
      </x:c>
      <x:c r="L12" s="11" t="n">
        <x:f>IF(K12=0,"n.a.",E12/(K12*10))</x:f>
        <x:v>-13.6</x:v>
      </x:c>
      <x:c r="M12" s="11" t="n">
        <x:v>94.95</x:v>
      </x:c>
    </x:row>
    <x:row r="13" ht="25" customHeight="1">
      <x:c r="A13" s="2" t="str">
        <x:v>2026-09-30_Night</x:v>
      </x:c>
      <x:c r="B13" s="2" t="str">
        <x:v>前20夜</x:v>
      </x:c>
      <x:c r="C13" s="6" t="n">
        <x:v>166000</x:v>
      </x:c>
      <x:c r="D13" s="6" t="n">
        <x:v>716000</x:v>
      </x:c>
      <x:c r="E13" s="6" t="n">
        <x:f>C13-D13</x:f>
        <x:v>-550000</x:v>
      </x:c>
      <x:c r="F13" s="6" t="n">
        <x:f>F12+E13</x:f>
        <x:v>-3590000</x:v>
      </x:c>
      <x:c r="G13" s="6" t="n">
        <x:v>-550000</x:v>
      </x:c>
      <x:c r="H13" s="6" t="n">
        <x:v>566000</x:v>
      </x:c>
      <x:c r="I13" s="9" t="n">
        <x:v>176</x:v>
      </x:c>
      <x:c r="J13" s="9" t="n">
        <x:f>IF(I13=0,1,0)</x:f>
        <x:v>0</x:v>
      </x:c>
      <x:c r="K13" s="9" t="n">
        <x:v>3520</x:v>
      </x:c>
      <x:c r="L13" s="11" t="n">
        <x:f>IF(K13=0,"n.a.",E13/(K13*10))</x:f>
        <x:v>-15.625</x:v>
      </x:c>
      <x:c r="M13" s="11" t="n">
        <x:v>78.91666666666667</x:v>
      </x:c>
    </x:row>
    <x:row r="14" ht="25" customHeight="1">
      <x:c r="A14" s="2" t="str">
        <x:v>2026-10-01_Night</x:v>
      </x:c>
      <x:c r="B14" s="2" t="str">
        <x:v>前20夜</x:v>
      </x:c>
      <x:c r="C14" s="6" t="n">
        <x:v>468000</x:v>
      </x:c>
      <x:c r="D14" s="6" t="n">
        <x:v>1426000</x:v>
      </x:c>
      <x:c r="E14" s="6" t="n">
        <x:f>C14-D14</x:f>
        <x:v>-958000</x:v>
      </x:c>
      <x:c r="F14" s="6" t="n">
        <x:f>F13+E14</x:f>
        <x:v>-4548000</x:v>
      </x:c>
      <x:c r="G14" s="6" t="n">
        <x:v>-958000</x:v>
      </x:c>
      <x:c r="H14" s="6" t="n">
        <x:v>970000</x:v>
      </x:c>
      <x:c r="I14" s="9" t="n">
        <x:v>342</x:v>
      </x:c>
      <x:c r="J14" s="9" t="n">
        <x:f>IF(I14=0,1,0)</x:f>
        <x:v>0</x:v>
      </x:c>
      <x:c r="K14" s="9" t="n">
        <x:v>6840</x:v>
      </x:c>
      <x:c r="L14" s="11" t="n">
        <x:f>IF(K14=0,"n.a.",E14/(K14*10))</x:f>
        <x:v>-14.005847953216374</x:v>
      </x:c>
      <x:c r="M14" s="11" t="n">
        <x:v>114.68333333333334</x:v>
      </x:c>
    </x:row>
    <x:row r="15" ht="25" customHeight="1">
      <x:c r="A15" s="2" t="str">
        <x:v>2026-10-02_Night</x:v>
      </x:c>
      <x:c r="B15" s="2" t="str">
        <x:v>前20夜</x:v>
      </x:c>
      <x:c r="C15" s="6" t="n">
        <x:v>130000</x:v>
      </x:c>
      <x:c r="D15" s="6" t="n">
        <x:v>868000</x:v>
      </x:c>
      <x:c r="E15" s="6" t="n">
        <x:f>C15-D15</x:f>
        <x:v>-738000</x:v>
      </x:c>
      <x:c r="F15" s="6" t="n">
        <x:f>F14+E15</x:f>
        <x:v>-5286000</x:v>
      </x:c>
      <x:c r="G15" s="6" t="n">
        <x:v>-738000</x:v>
      </x:c>
      <x:c r="H15" s="6" t="n">
        <x:v>744000</x:v>
      </x:c>
      <x:c r="I15" s="9" t="n">
        <x:v>188</x:v>
      </x:c>
      <x:c r="J15" s="9" t="n">
        <x:f>IF(I15=0,1,0)</x:f>
        <x:v>0</x:v>
      </x:c>
      <x:c r="K15" s="9" t="n">
        <x:v>3760</x:v>
      </x:c>
      <x:c r="L15" s="11" t="n">
        <x:f>IF(K15=0,"n.a.",E15/(K15*10))</x:f>
        <x:v>-19.627659574468087</x:v>
      </x:c>
      <x:c r="M15" s="11" t="n">
        <x:v>87.18333333333334</x:v>
      </x:c>
    </x:row>
    <x:row r="16" ht="25" customHeight="1">
      <x:c r="A16" s="2" t="str">
        <x:v>2026-10-05_Night</x:v>
      </x:c>
      <x:c r="B16" s="2" t="str">
        <x:v>前20夜</x:v>
      </x:c>
      <x:c r="C16" s="6" t="n">
        <x:v>220000</x:v>
      </x:c>
      <x:c r="D16" s="6" t="n">
        <x:v>228000</x:v>
      </x:c>
      <x:c r="E16" s="6" t="n">
        <x:f>C16-D16</x:f>
        <x:v>-8000</x:v>
      </x:c>
      <x:c r="F16" s="6" t="n">
        <x:f>F15+E16</x:f>
        <x:v>-5294000</x:v>
      </x:c>
      <x:c r="G16" s="6" t="n">
        <x:v>-102000</x:v>
      </x:c>
      <x:c r="H16" s="6" t="n">
        <x:v>102000</x:v>
      </x:c>
      <x:c r="I16" s="9" t="n">
        <x:v>79</x:v>
      </x:c>
      <x:c r="J16" s="9" t="n">
        <x:f>IF(I16=0,1,0)</x:f>
        <x:v>0</x:v>
      </x:c>
      <x:c r="K16" s="9" t="n">
        <x:v>1580</x:v>
      </x:c>
      <x:c r="L16" s="11" t="n">
        <x:f>IF(K16=0,"n.a.",E16/(K16*10))</x:f>
        <x:v>-0.5063291139240507</x:v>
      </x:c>
      <x:c r="M16" s="11" t="n">
        <x:v>98.01666666666667</x:v>
      </x:c>
    </x:row>
    <x:row r="17" ht="25" customHeight="1">
      <x:c r="A17" s="2" t="str">
        <x:v>2026-10-06_Night</x:v>
      </x:c>
      <x:c r="B17" s="2" t="str">
        <x:v>前20夜</x:v>
      </x:c>
      <x:c r="C17" s="6" t="n">
        <x:v>140000</x:v>
      </x:c>
      <x:c r="D17" s="6" t="n">
        <x:v>114000</x:v>
      </x:c>
      <x:c r="E17" s="6" t="n">
        <x:f>C17-D17</x:f>
        <x:v>26000</x:v>
      </x:c>
      <x:c r="F17" s="6" t="n">
        <x:f>F16+E17</x:f>
        <x:v>-5268000</x:v>
      </x:c>
      <x:c r="G17" s="6" t="n">
        <x:v>-30000</x:v>
      </x:c>
      <x:c r="H17" s="6" t="n">
        <x:v>86000</x:v>
      </x:c>
      <x:c r="I17" s="9" t="n">
        <x:v>48</x:v>
      </x:c>
      <x:c r="J17" s="9" t="n">
        <x:f>IF(I17=0,1,0)</x:f>
        <x:v>0</x:v>
      </x:c>
      <x:c r="K17" s="9" t="n">
        <x:v>960</x:v>
      </x:c>
      <x:c r="L17" s="11" t="n">
        <x:f>IF(K17=0,"n.a.",E17/(K17*10))</x:f>
        <x:v>2.7083333333333335</x:v>
      </x:c>
      <x:c r="M17" s="11" t="n">
        <x:v>134.11666666666667</x:v>
      </x:c>
    </x:row>
    <x:row r="18" ht="25" customHeight="1">
      <x:c r="A18" s="2" t="str">
        <x:v>2026-10-07_Night</x:v>
      </x:c>
      <x:c r="B18" s="2" t="str">
        <x:v>前20夜</x:v>
      </x:c>
      <x:c r="C18" s="6" t="n">
        <x:v>74000</x:v>
      </x:c>
      <x:c r="D18" s="6" t="n">
        <x:v>336000</x:v>
      </x:c>
      <x:c r="E18" s="6" t="n">
        <x:f>C18-D18</x:f>
        <x:v>-262000</x:v>
      </x:c>
      <x:c r="F18" s="6" t="n">
        <x:f>F17+E18</x:f>
        <x:v>-5530000</x:v>
      </x:c>
      <x:c r="G18" s="6" t="n">
        <x:v>-282000</x:v>
      </x:c>
      <x:c r="H18" s="6" t="n">
        <x:v>284000</x:v>
      </x:c>
      <x:c r="I18" s="9" t="n">
        <x:v>87</x:v>
      </x:c>
      <x:c r="J18" s="9" t="n">
        <x:f>IF(I18=0,1,0)</x:f>
        <x:v>0</x:v>
      </x:c>
      <x:c r="K18" s="9" t="n">
        <x:v>1740</x:v>
      </x:c>
      <x:c r="L18" s="11" t="n">
        <x:f>IF(K18=0,"n.a.",E18/(K18*10))</x:f>
        <x:v>-15.057471264367816</x:v>
      </x:c>
      <x:c r="M18" s="11" t="n">
        <x:v>68.95</x:v>
      </x:c>
    </x:row>
    <x:row r="19" ht="25" customHeight="1">
      <x:c r="A19" s="2" t="str">
        <x:v>2026-10-08_Night</x:v>
      </x:c>
      <x:c r="B19" s="2" t="str">
        <x:v>前20夜</x:v>
      </x:c>
      <x:c r="C19" s="6" t="n">
        <x:v>500000</x:v>
      </x:c>
      <x:c r="D19" s="6" t="n">
        <x:v>1302000</x:v>
      </x:c>
      <x:c r="E19" s="6" t="n">
        <x:f>C19-D19</x:f>
        <x:v>-802000</x:v>
      </x:c>
      <x:c r="F19" s="6" t="n">
        <x:f>F18+E19</x:f>
        <x:v>-6332000</x:v>
      </x:c>
      <x:c r="G19" s="6" t="n">
        <x:v>-808000</x:v>
      </x:c>
      <x:c r="H19" s="6" t="n">
        <x:v>808000</x:v>
      </x:c>
      <x:c r="I19" s="9" t="n">
        <x:v>325</x:v>
      </x:c>
      <x:c r="J19" s="9" t="n">
        <x:f>IF(I19=0,1,0)</x:f>
        <x:v>0</x:v>
      </x:c>
      <x:c r="K19" s="9" t="n">
        <x:v>6500</x:v>
      </x:c>
      <x:c r="L19" s="11" t="n">
        <x:f>IF(K19=0,"n.a.",E19/(K19*10))</x:f>
        <x:v>-12.338461538461539</x:v>
      </x:c>
      <x:c r="M19" s="11" t="n">
        <x:v>130.58333333333334</x:v>
      </x:c>
    </x:row>
    <x:row r="20" ht="25" customHeight="1">
      <x:c r="A20" s="2" t="str">
        <x:v>2026-10-09_Night</x:v>
      </x:c>
      <x:c r="B20" s="2" t="str">
        <x:v>前20夜</x:v>
      </x:c>
      <x:c r="C20" s="6" t="n">
        <x:v>88000</x:v>
      </x:c>
      <x:c r="D20" s="6" t="n">
        <x:v>410000</x:v>
      </x:c>
      <x:c r="E20" s="6" t="n">
        <x:f>C20-D20</x:f>
        <x:v>-322000</x:v>
      </x:c>
      <x:c r="F20" s="6" t="n">
        <x:f>F19+E20</x:f>
        <x:v>-6654000</x:v>
      </x:c>
      <x:c r="G20" s="6" t="n">
        <x:v>-322000</x:v>
      </x:c>
      <x:c r="H20" s="6" t="n">
        <x:v>322000</x:v>
      </x:c>
      <x:c r="I20" s="9" t="n">
        <x:v>86</x:v>
      </x:c>
      <x:c r="J20" s="9" t="n">
        <x:f>IF(I20=0,1,0)</x:f>
        <x:v>0</x:v>
      </x:c>
      <x:c r="K20" s="9" t="n">
        <x:v>1720</x:v>
      </x:c>
      <x:c r="L20" s="11" t="n">
        <x:f>IF(K20=0,"n.a.",E20/(K20*10))</x:f>
        <x:v>-18.72093023255814</x:v>
      </x:c>
      <x:c r="M20" s="11" t="n">
        <x:v>60.71666666666667</x:v>
      </x:c>
    </x:row>
    <x:row r="21" ht="25" customHeight="1">
      <x:c r="A21" s="2" t="str">
        <x:v>2026-10-12_Night</x:v>
      </x:c>
      <x:c r="B21" s="2" t="str">
        <x:v>前20夜</x:v>
      </x:c>
      <x:c r="C21" s="6" t="n">
        <x:v>40000</x:v>
      </x:c>
      <x:c r="D21" s="6" t="n">
        <x:v>272000</x:v>
      </x:c>
      <x:c r="E21" s="6" t="n">
        <x:f>C21-D21</x:f>
        <x:v>-232000</x:v>
      </x:c>
      <x:c r="F21" s="6" t="n">
        <x:f>F20+E21</x:f>
        <x:v>-6886000</x:v>
      </x:c>
      <x:c r="G21" s="6" t="n">
        <x:v>-232000</x:v>
      </x:c>
      <x:c r="H21" s="6" t="n">
        <x:v>232000</x:v>
      </x:c>
      <x:c r="I21" s="9" t="n">
        <x:v>52</x:v>
      </x:c>
      <x:c r="J21" s="9" t="n">
        <x:f>IF(I21=0,1,0)</x:f>
        <x:v>0</x:v>
      </x:c>
      <x:c r="K21" s="9" t="n">
        <x:v>1040</x:v>
      </x:c>
      <x:c r="L21" s="11" t="n">
        <x:f>IF(K21=0,"n.a.",E21/(K21*10))</x:f>
        <x:v>-22.307692307692307</x:v>
      </x:c>
      <x:c r="M21" s="11" t="n">
        <x:v>30.766666666666666</x:v>
      </x:c>
    </x:row>
    <x:row r="22" ht="25" customHeight="1">
      <x:c r="A22" s="2" t="str">
        <x:v>2026-10-13_Night</x:v>
      </x:c>
      <x:c r="B22" s="2" t="str">
        <x:v>前20夜</x:v>
      </x:c>
      <x:c r="C22" s="6" t="n">
        <x:v>74000</x:v>
      </x:c>
      <x:c r="D22" s="6" t="n">
        <x:v>290000</x:v>
      </x:c>
      <x:c r="E22" s="6" t="n">
        <x:f>C22-D22</x:f>
        <x:v>-216000</x:v>
      </x:c>
      <x:c r="F22" s="6" t="n">
        <x:f>F21+E22</x:f>
        <x:v>-7102000</x:v>
      </x:c>
      <x:c r="G22" s="6" t="n">
        <x:v>-216000</x:v>
      </x:c>
      <x:c r="H22" s="6" t="n">
        <x:v>222000</x:v>
      </x:c>
      <x:c r="I22" s="9" t="n">
        <x:v>66</x:v>
      </x:c>
      <x:c r="J22" s="9" t="n">
        <x:f>IF(I22=0,1,0)</x:f>
        <x:v>0</x:v>
      </x:c>
      <x:c r="K22" s="9" t="n">
        <x:v>1320</x:v>
      </x:c>
      <x:c r="L22" s="11" t="n">
        <x:f>IF(K22=0,"n.a.",E22/(K22*10))</x:f>
        <x:v>-16.363636363636363</x:v>
      </x:c>
      <x:c r="M22" s="11" t="n">
        <x:v>55.4</x:v>
      </x:c>
    </x:row>
    <x:row r="23" ht="25" customHeight="1">
      <x:c r="A23" s="2" t="str">
        <x:v>2026-10-14_Night</x:v>
      </x:c>
      <x:c r="B23" s="2" t="str">
        <x:v>前20夜</x:v>
      </x:c>
      <x:c r="C23" s="6" t="n">
        <x:v>96000</x:v>
      </x:c>
      <x:c r="D23" s="6" t="n">
        <x:v>908000</x:v>
      </x:c>
      <x:c r="E23" s="6" t="n">
        <x:f>C23-D23</x:f>
        <x:v>-812000</x:v>
      </x:c>
      <x:c r="F23" s="6" t="n">
        <x:f>F22+E23</x:f>
        <x:v>-7914000</x:v>
      </x:c>
      <x:c r="G23" s="6" t="n">
        <x:v>-824000</x:v>
      </x:c>
      <x:c r="H23" s="6" t="n">
        <x:v>824000</x:v>
      </x:c>
      <x:c r="I23" s="9" t="n">
        <x:v>184</x:v>
      </x:c>
      <x:c r="J23" s="9" t="n">
        <x:f>IF(I23=0,1,0)</x:f>
        <x:v>0</x:v>
      </x:c>
      <x:c r="K23" s="9" t="n">
        <x:v>3680</x:v>
      </x:c>
      <x:c r="L23" s="11" t="n">
        <x:f>IF(K23=0,"n.a.",E23/(K23*10))</x:f>
        <x:v>-22.065217391304348</x:v>
      </x:c>
      <x:c r="M23" s="11" t="n">
        <x:v>80.06666666666666</x:v>
      </x:c>
    </x:row>
    <x:row r="24" ht="25" customHeight="1">
      <x:c r="A24" s="2" t="str">
        <x:v>2026-10-15_Night</x:v>
      </x:c>
      <x:c r="B24" s="2" t="str">
        <x:v>前20夜</x:v>
      </x:c>
      <x:c r="C24" s="6" t="n">
        <x:v>348000</x:v>
      </x:c>
      <x:c r="D24" s="6" t="n">
        <x:v>1488000</x:v>
      </x:c>
      <x:c r="E24" s="6" t="n">
        <x:f>C24-D24</x:f>
        <x:v>-1140000</x:v>
      </x:c>
      <x:c r="F24" s="6" t="n">
        <x:f>F23+E24</x:f>
        <x:v>-9054000</x:v>
      </x:c>
      <x:c r="G24" s="6" t="n">
        <x:v>-1148000</x:v>
      </x:c>
      <x:c r="H24" s="6" t="n">
        <x:v>1168000</x:v>
      </x:c>
      <x:c r="I24" s="9" t="n">
        <x:v>328</x:v>
      </x:c>
      <x:c r="J24" s="9" t="n">
        <x:f>IF(I24=0,1,0)</x:f>
        <x:v>0</x:v>
      </x:c>
      <x:c r="K24" s="9" t="n">
        <x:v>6560</x:v>
      </x:c>
      <x:c r="L24" s="11" t="n">
        <x:f>IF(K24=0,"n.a.",E24/(K24*10))</x:f>
        <x:v>-17.378048780487806</x:v>
      </x:c>
      <x:c r="M24" s="11" t="n">
        <x:v>106.25</x:v>
      </x:c>
    </x:row>
    <x:row r="25" ht="25" customHeight="1">
      <x:c r="A25" s="2" t="str">
        <x:v>2026-10-16_Night</x:v>
      </x:c>
      <x:c r="B25" s="2" t="str">
        <x:v>前20夜</x:v>
      </x:c>
      <x:c r="C25" s="6" t="n">
        <x:v>534000</x:v>
      </x:c>
      <x:c r="D25" s="6" t="n">
        <x:v>1544000</x:v>
      </x:c>
      <x:c r="E25" s="6" t="n">
        <x:f>C25-D25</x:f>
        <x:v>-1010000</x:v>
      </x:c>
      <x:c r="F25" s="6" t="n">
        <x:f>F24+E25</x:f>
        <x:v>-10064000</x:v>
      </x:c>
      <x:c r="G25" s="6" t="n">
        <x:v>-1010000</x:v>
      </x:c>
      <x:c r="H25" s="6" t="n">
        <x:v>1100000</x:v>
      </x:c>
      <x:c r="I25" s="9" t="n">
        <x:v>382</x:v>
      </x:c>
      <x:c r="J25" s="9" t="n">
        <x:f>IF(I25=0,1,0)</x:f>
        <x:v>0</x:v>
      </x:c>
      <x:c r="K25" s="9" t="n">
        <x:v>7640</x:v>
      </x:c>
      <x:c r="L25" s="11" t="n">
        <x:f>IF(K25=0,"n.a.",E25/(K25*10))</x:f>
        <x:v>-13.219895287958115</x:v>
      </x:c>
      <x:c r="M25" s="11" t="n">
        <x:v>107.11666666666666</x:v>
      </x:c>
    </x:row>
    <x:row r="26" ht="25" customHeight="1">
      <x:c r="A26" s="2" t="str">
        <x:v>2026-10-19_Night</x:v>
      </x:c>
      <x:c r="B26" s="2" t="str">
        <x:v>後7夜</x:v>
      </x:c>
      <x:c r="C26" s="6" t="n">
        <x:v>390000</x:v>
      </x:c>
      <x:c r="D26" s="6" t="n">
        <x:v>842000</x:v>
      </x:c>
      <x:c r="E26" s="6" t="n">
        <x:f>C26-D26</x:f>
        <x:v>-452000</x:v>
      </x:c>
      <x:c r="F26" s="6" t="n">
        <x:f>F25+E26</x:f>
        <x:v>-10516000</x:v>
      </x:c>
      <x:c r="G26" s="6" t="n">
        <x:v>-470000</x:v>
      </x:c>
      <x:c r="H26" s="6" t="n">
        <x:v>470000</x:v>
      </x:c>
      <x:c r="I26" s="9" t="n">
        <x:v>204</x:v>
      </x:c>
      <x:c r="J26" s="9" t="n">
        <x:f>IF(I26=0,1,0)</x:f>
        <x:v>0</x:v>
      </x:c>
      <x:c r="K26" s="9" t="n">
        <x:v>4080</x:v>
      </x:c>
      <x:c r="L26" s="11" t="n">
        <x:f>IF(K26=0,"n.a.",E26/(K26*10))</x:f>
        <x:v>-11.07843137254902</x:v>
      </x:c>
      <x:c r="M26" s="11" t="n">
        <x:v>104.41666666666667</x:v>
      </x:c>
    </x:row>
    <x:row r="27" ht="25" customHeight="1">
      <x:c r="A27" s="2" t="str">
        <x:v>2026-10-20_Night</x:v>
      </x:c>
      <x:c r="B27" s="2" t="str">
        <x:v>後7夜</x:v>
      </x:c>
      <x:c r="C27" s="6" t="n">
        <x:v>192000</x:v>
      </x:c>
      <x:c r="D27" s="6" t="n">
        <x:v>1024000</x:v>
      </x:c>
      <x:c r="E27" s="6" t="n">
        <x:f>C27-D27</x:f>
        <x:v>-832000</x:v>
      </x:c>
      <x:c r="F27" s="6" t="n">
        <x:f>F26+E27</x:f>
        <x:v>-11348000</x:v>
      </x:c>
      <x:c r="G27" s="6" t="n">
        <x:v>-832000</x:v>
      </x:c>
      <x:c r="H27" s="6" t="n">
        <x:v>858000</x:v>
      </x:c>
      <x:c r="I27" s="9" t="n">
        <x:v>231</x:v>
      </x:c>
      <x:c r="J27" s="9" t="n">
        <x:f>IF(I27=0,1,0)</x:f>
        <x:v>0</x:v>
      </x:c>
      <x:c r="K27" s="9" t="n">
        <x:v>4620</x:v>
      </x:c>
      <x:c r="L27" s="11" t="n">
        <x:f>IF(K27=0,"n.a.",E27/(K27*10))</x:f>
        <x:v>-18.00865800865801</x:v>
      </x:c>
      <x:c r="M27" s="11" t="n">
        <x:v>89.33333333333333</x:v>
      </x:c>
    </x:row>
    <x:row r="28" ht="25" customHeight="1">
      <x:c r="A28" s="2" t="str">
        <x:v>2026-10-21_Night</x:v>
      </x:c>
      <x:c r="B28" s="2" t="str">
        <x:v>後7夜</x:v>
      </x:c>
      <x:c r="C28" s="6" t="n">
        <x:v>340000</x:v>
      </x:c>
      <x:c r="D28" s="6" t="n">
        <x:v>880000</x:v>
      </x:c>
      <x:c r="E28" s="6" t="n">
        <x:f>C28-D28</x:f>
        <x:v>-540000</x:v>
      </x:c>
      <x:c r="F28" s="6" t="n">
        <x:f>F27+E28</x:f>
        <x:v>-11888000</x:v>
      </x:c>
      <x:c r="G28" s="6" t="n">
        <x:v>-556000</x:v>
      </x:c>
      <x:c r="H28" s="6" t="n">
        <x:v>556000</x:v>
      </x:c>
      <x:c r="I28" s="9" t="n">
        <x:v>222</x:v>
      </x:c>
      <x:c r="J28" s="9" t="n">
        <x:f>IF(I28=0,1,0)</x:f>
        <x:v>0</x:v>
      </x:c>
      <x:c r="K28" s="9" t="n">
        <x:v>4440</x:v>
      </x:c>
      <x:c r="L28" s="11" t="n">
        <x:f>IF(K28=0,"n.a.",E28/(K28*10))</x:f>
        <x:v>-12.162162162162161</x:v>
      </x:c>
      <x:c r="M28" s="11" t="n">
        <x:v>91.48333333333333</x:v>
      </x:c>
    </x:row>
    <x:row r="29" ht="25" customHeight="1">
      <x:c r="A29" s="2" t="str">
        <x:v>2026-10-22_Night</x:v>
      </x:c>
      <x:c r="B29" s="2" t="str">
        <x:v>後7夜</x:v>
      </x:c>
      <x:c r="C29" s="6" t="n">
        <x:v>472000</x:v>
      </x:c>
      <x:c r="D29" s="6" t="n">
        <x:v>1352000</x:v>
      </x:c>
      <x:c r="E29" s="6" t="n">
        <x:f>C29-D29</x:f>
        <x:v>-880000</x:v>
      </x:c>
      <x:c r="F29" s="6" t="n">
        <x:f>F28+E29</x:f>
        <x:v>-12768000</x:v>
      </x:c>
      <x:c r="G29" s="6" t="n">
        <x:v>-910000</x:v>
      </x:c>
      <x:c r="H29" s="6" t="n">
        <x:v>988000</x:v>
      </x:c>
      <x:c r="I29" s="9" t="n">
        <x:v>328</x:v>
      </x:c>
      <x:c r="J29" s="9" t="n">
        <x:f>IF(I29=0,1,0)</x:f>
        <x:v>0</x:v>
      </x:c>
      <x:c r="K29" s="9" t="n">
        <x:v>6560</x:v>
      </x:c>
      <x:c r="L29" s="11" t="n">
        <x:f>IF(K29=0,"n.a.",E29/(K29*10))</x:f>
        <x:v>-13.414634146341463</x:v>
      </x:c>
      <x:c r="M29" s="11" t="n">
        <x:v>146.3</x:v>
      </x:c>
    </x:row>
    <x:row r="30" ht="25" customHeight="1">
      <x:c r="A30" s="2" t="str">
        <x:v>2026-10-23_Night</x:v>
      </x:c>
      <x:c r="B30" s="2" t="str">
        <x:v>後7夜</x:v>
      </x:c>
      <x:c r="C30" s="6" t="n">
        <x:v>178000</x:v>
      </x:c>
      <x:c r="D30" s="6" t="n">
        <x:v>1218000</x:v>
      </x:c>
      <x:c r="E30" s="6" t="n">
        <x:f>C30-D30</x:f>
        <x:v>-1040000</x:v>
      </x:c>
      <x:c r="F30" s="6" t="n">
        <x:f>F29+E30</x:f>
        <x:v>-13808000</x:v>
      </x:c>
      <x:c r="G30" s="6" t="n">
        <x:v>-1040000</x:v>
      </x:c>
      <x:c r="H30" s="6" t="n">
        <x:v>1072000</x:v>
      </x:c>
      <x:c r="I30" s="9" t="n">
        <x:v>260</x:v>
      </x:c>
      <x:c r="J30" s="9" t="n">
        <x:f>IF(I30=0,1,0)</x:f>
        <x:v>0</x:v>
      </x:c>
      <x:c r="K30" s="9" t="n">
        <x:v>5200</x:v>
      </x:c>
      <x:c r="L30" s="11" t="n">
        <x:f>IF(K30=0,"n.a.",E30/(K30*10))</x:f>
        <x:v>-20</x:v>
      </x:c>
      <x:c r="M30" s="11" t="n">
        <x:v>102.66666666666667</x:v>
      </x:c>
    </x:row>
    <x:row r="31" ht="25" customHeight="1">
      <x:c r="A31" s="2" t="str">
        <x:v>2026-10-26_Night</x:v>
      </x:c>
      <x:c r="B31" s="2" t="str">
        <x:v>後7夜</x:v>
      </x:c>
      <x:c r="C31" s="6" t="n">
        <x:v>248000</x:v>
      </x:c>
      <x:c r="D31" s="6" t="n">
        <x:v>712000</x:v>
      </x:c>
      <x:c r="E31" s="6" t="n">
        <x:f>C31-D31</x:f>
        <x:v>-464000</x:v>
      </x:c>
      <x:c r="F31" s="6" t="n">
        <x:f>F30+E31</x:f>
        <x:v>-14272000</x:v>
      </x:c>
      <x:c r="G31" s="6" t="n">
        <x:v>-464000</x:v>
      </x:c>
      <x:c r="H31" s="6" t="n">
        <x:v>504000</x:v>
      </x:c>
      <x:c r="I31" s="9" t="n">
        <x:v>195</x:v>
      </x:c>
      <x:c r="J31" s="9" t="n">
        <x:f>IF(I31=0,1,0)</x:f>
        <x:v>0</x:v>
      </x:c>
      <x:c r="K31" s="9" t="n">
        <x:v>3900</x:v>
      </x:c>
      <x:c r="L31" s="11" t="n">
        <x:f>IF(K31=0,"n.a.",E31/(K31*10))</x:f>
        <x:v>-11.897435897435898</x:v>
      </x:c>
      <x:c r="M31" s="11" t="n">
        <x:v>128.3</x:v>
      </x:c>
    </x:row>
    <x:row r="32" ht="25" customHeight="1">
      <x:c r="A32" s="2" t="str">
        <x:v>2026-10-27_Night</x:v>
      </x:c>
      <x:c r="B32" s="2" t="str">
        <x:v>後7夜</x:v>
      </x:c>
      <x:c r="C32" s="6" t="n">
        <x:v>160000</x:v>
      </x:c>
      <x:c r="D32" s="6" t="n">
        <x:v>350000</x:v>
      </x:c>
      <x:c r="E32" s="6" t="n">
        <x:f>C32-D32</x:f>
        <x:v>-190000</x:v>
      </x:c>
      <x:c r="F32" s="6" t="n">
        <x:f>F31+E32</x:f>
        <x:v>-14462000</x:v>
      </x:c>
      <x:c r="G32" s="6" t="n">
        <x:v>-194000</x:v>
      </x:c>
      <x:c r="H32" s="6" t="n">
        <x:v>264000</x:v>
      </x:c>
      <x:c r="I32" s="9" t="n">
        <x:v>118</x:v>
      </x:c>
      <x:c r="J32" s="9" t="n">
        <x:f>IF(I32=0,1,0)</x:f>
        <x:v>0</x:v>
      </x:c>
      <x:c r="K32" s="9" t="n">
        <x:v>2360</x:v>
      </x:c>
      <x:c r="L32" s="11" t="n">
        <x:f>IF(K32=0,"n.a.",E32/(K32*10))</x:f>
        <x:v>-8.05084745762712</x:v>
      </x:c>
      <x:c r="M32" s="11" t="n">
        <x:v>67.41666666666667</x:v>
      </x:c>
    </x:row>
    <x:row r="33" ht="25" customHeight="1">
      <x:c r="A33" s="7" t="str">
        <x:v>累計／場内最悪値</x:v>
      </x:c>
      <x:c r="B33" s="7"/>
      <x:c r="C33" s="8" t="n">
        <x:f>SUM(C6:C32)</x:f>
        <x:v>6164000</x:v>
      </x:c>
      <x:c r="D33" s="8" t="n">
        <x:f>SUM(D6:D32)</x:f>
        <x:v>20626000</x:v>
      </x:c>
      <x:c r="E33" s="8" t="n">
        <x:f>C33-D33</x:f>
        <x:v>-14462000</x:v>
      </x:c>
      <x:c r="F33" s="8" t="n">
        <x:f>F32</x:f>
        <x:v>-14462000</x:v>
      </x:c>
      <x:c r="G33" s="8" t="n">
        <x:f>MIN(G6:G32)</x:f>
        <x:v>-1148000</x:v>
      </x:c>
      <x:c r="H33" s="8" t="n">
        <x:f>MAX(H6:H32)</x:f>
        <x:v>1168000</x:v>
      </x:c>
      <x:c r="I33" s="10" t="n">
        <x:f>SUM(I6:I32)</x:f>
        <x:v>4919</x:v>
      </x:c>
      <x:c r="J33" s="10" t="n">
        <x:f>SUM(J6:J32)</x:f>
        <x:v>0</x:v>
      </x:c>
      <x:c r="K33" s="10" t="n">
        <x:f>SUM(K6:K32)</x:f>
        <x:v>98380</x:v>
      </x:c>
      <x:c r="L33" s="12" t="n">
        <x:f>IF(K33=0,"n.a.",E33/(K33*10))</x:f>
        <x:v>-14.700142305346615</x:v>
      </x:c>
      <x:c r="M33" s="12" t="n">
        <x:f>SUM(M6:M32)</x:f>
        <x:v>2488.7</x:v>
      </x:c>
    </x:row>
  </x:sheetData>
  <x:conditionalFormatting sqref="E6:G32">
    <x:cfRule type="cellIs" dxfId="28" priority="1" operator="lessThan">
      <x:formula>0</x:formula>
    </x:cfRule>
  </x:conditionalFormatting>
  <x:conditionalFormatting sqref="L6:L32">
    <x:cfRule type="cellIs" dxfId="29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0bd08178c44a94"/>
  </x:tableParts>
</x:worksheet>
</file>