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tables/table29.xml" ContentType="application/vnd.openxmlformats-officedocument.spreadsheetml.table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  <Override PartName="/xl/worksheets/sheet30.xml" ContentType="application/vnd.openxmlformats-officedocument.spreadsheetml.worksheet+xml"/>
  <Override PartName="/xl/tables/table31.xml" ContentType="application/vnd.openxmlformats-officedocument.spreadsheetml.table+xml"/>
  <Override PartName="/xl/worksheets/sheet31.xml" ContentType="application/vnd.openxmlformats-officedocument.spreadsheetml.worksheet+xml"/>
  <Override PartName="/xl/tables/table32.xml" ContentType="application/vnd.openxmlformats-officedocument.spreadsheetml.table+xml"/>
  <Override PartName="/xl/worksheets/sheet32.xml" ContentType="application/vnd.openxmlformats-officedocument.spreadsheetml.worksheet+xml"/>
  <Override PartName="/xl/tables/table33.xml" ContentType="application/vnd.openxmlformats-officedocument.spreadsheetml.table+xml"/>
  <Override PartName="/xl/worksheets/sheet33.xml" ContentType="application/vnd.openxmlformats-officedocument.spreadsheetml.worksheet+xml"/>
  <Override PartName="/xl/tables/table34.xml" ContentType="application/vnd.openxmlformats-officedocument.spreadsheetml.table+xml"/>
  <Override PartName="/xl/worksheets/sheet34.xml" ContentType="application/vnd.openxmlformats-officedocument.spreadsheetml.worksheet+xml"/>
  <Override PartName="/xl/tables/table3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43d01b265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9ca8bf1e59184a77"/>
    <x:sheet xmlns:r="http://schemas.openxmlformats.org/officeDocument/2006/relationships" name="夜間の時間割" sheetId="2" r:id="R5a449bd19a5b4f49"/>
    <x:sheet xmlns:r="http://schemas.openxmlformats.org/officeDocument/2006/relationships" name="日経_D164_00" sheetId="3" r:id="R35a93c9f456840b2"/>
    <x:sheet xmlns:r="http://schemas.openxmlformats.org/officeDocument/2006/relationships" name="日経_D164_01" sheetId="4" r:id="R199be633cf574157"/>
    <x:sheet xmlns:r="http://schemas.openxmlformats.org/officeDocument/2006/relationships" name="日経_D164_02" sheetId="5" r:id="R2d03d4d75b114a59"/>
    <x:sheet xmlns:r="http://schemas.openxmlformats.org/officeDocument/2006/relationships" name="日経_D164_03" sheetId="6" r:id="R9caedee47d054664"/>
    <x:sheet xmlns:r="http://schemas.openxmlformats.org/officeDocument/2006/relationships" name="日経_D164_04" sheetId="7" r:id="Rce6f08ed21694fed"/>
    <x:sheet xmlns:r="http://schemas.openxmlformats.org/officeDocument/2006/relationships" name="日経_D164_05" sheetId="8" r:id="Rd27317f2b50548df"/>
    <x:sheet xmlns:r="http://schemas.openxmlformats.org/officeDocument/2006/relationships" name="日経_D164_06" sheetId="9" r:id="R78e28f6f75084814"/>
    <x:sheet xmlns:r="http://schemas.openxmlformats.org/officeDocument/2006/relationships" name="日経_D164_07" sheetId="10" r:id="R34863d93e3a74efe"/>
    <x:sheet xmlns:r="http://schemas.openxmlformats.org/officeDocument/2006/relationships" name="日経_D164_08" sheetId="11" r:id="R6f1bc52f9c044d47"/>
    <x:sheet xmlns:r="http://schemas.openxmlformats.org/officeDocument/2006/relationships" name="日経_D164_09" sheetId="12" r:id="Rae241fbdacca4ab7"/>
    <x:sheet xmlns:r="http://schemas.openxmlformats.org/officeDocument/2006/relationships" name="日経_D164_10" sheetId="13" r:id="R8bf9080cdeb74bbe"/>
    <x:sheet xmlns:r="http://schemas.openxmlformats.org/officeDocument/2006/relationships" name="日経_D164_11" sheetId="14" r:id="R34130bfc31f34342"/>
    <x:sheet xmlns:r="http://schemas.openxmlformats.org/officeDocument/2006/relationships" name="日経_P164_00" sheetId="15" r:id="R2dede26cb4b54493"/>
    <x:sheet xmlns:r="http://schemas.openxmlformats.org/officeDocument/2006/relationships" name="日経_P164_01" sheetId="16" r:id="Ree208e0e7642424f"/>
    <x:sheet xmlns:r="http://schemas.openxmlformats.org/officeDocument/2006/relationships" name="日経_P164_02" sheetId="17" r:id="R19dcb4e4832042e6"/>
    <x:sheet xmlns:r="http://schemas.openxmlformats.org/officeDocument/2006/relationships" name="日経_P164_03" sheetId="18" r:id="Rf4f763f0475b4134"/>
    <x:sheet xmlns:r="http://schemas.openxmlformats.org/officeDocument/2006/relationships" name="日経_U164_00" sheetId="19" r:id="R09163d7146554603"/>
    <x:sheet xmlns:r="http://schemas.openxmlformats.org/officeDocument/2006/relationships" name="日経_U164_01" sheetId="20" r:id="Rba245eeef2564c50"/>
    <x:sheet xmlns:r="http://schemas.openxmlformats.org/officeDocument/2006/relationships" name="日経_U164_02" sheetId="21" r:id="Ra0beb77cb02646e2"/>
    <x:sheet xmlns:r="http://schemas.openxmlformats.org/officeDocument/2006/relationships" name="日経_U164_03" sheetId="22" r:id="R95ff72485a014ed6"/>
    <x:sheet xmlns:r="http://schemas.openxmlformats.org/officeDocument/2006/relationships" name="日経_D164_12" sheetId="23" r:id="R8b608fb51417432c"/>
    <x:sheet xmlns:r="http://schemas.openxmlformats.org/officeDocument/2006/relationships" name="日経_D164_13" sheetId="24" r:id="R329d175d7b6c4805"/>
    <x:sheet xmlns:r="http://schemas.openxmlformats.org/officeDocument/2006/relationships" name="日経_D164_14" sheetId="25" r:id="R6ca59c9ff59b458d"/>
    <x:sheet xmlns:r="http://schemas.openxmlformats.org/officeDocument/2006/relationships" name="日経_D164_15" sheetId="26" r:id="Rc2849e44ac7a4222"/>
    <x:sheet xmlns:r="http://schemas.openxmlformats.org/officeDocument/2006/relationships" name="日経_P164_04" sheetId="27" r:id="Ra4223ffd71c04de6"/>
    <x:sheet xmlns:r="http://schemas.openxmlformats.org/officeDocument/2006/relationships" name="日経_P164_05" sheetId="28" r:id="R332fcdab65a94930"/>
    <x:sheet xmlns:r="http://schemas.openxmlformats.org/officeDocument/2006/relationships" name="日経_P164_06" sheetId="29" r:id="Rfbea1899f50843ed"/>
    <x:sheet xmlns:r="http://schemas.openxmlformats.org/officeDocument/2006/relationships" name="日経_P164_07" sheetId="30" r:id="Rc3c95f36f1d94344"/>
    <x:sheet xmlns:r="http://schemas.openxmlformats.org/officeDocument/2006/relationships" name="日経_U164_04" sheetId="31" r:id="R5a7d357228114d32"/>
    <x:sheet xmlns:r="http://schemas.openxmlformats.org/officeDocument/2006/relationships" name="日経_U164_05" sheetId="32" r:id="Re3df9f8aa487439a"/>
    <x:sheet xmlns:r="http://schemas.openxmlformats.org/officeDocument/2006/relationships" name="日経_U164_06" sheetId="33" r:id="Rb85602b54fb24b7e"/>
    <x:sheet xmlns:r="http://schemas.openxmlformats.org/officeDocument/2006/relationships" name="日経_U164_07" sheetId="34" r:id="R2a6acbe0883b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&quot;—&quot;"/>
    <x:numFmt numFmtId="201" formatCode="#,##0"/>
  </x:numFmts>
  <x:fonts count="6">
    <x:font>
      <x:sz val="11"/>
      <x:name val="Carlito"/>
    </x:font>
    <x:font>
      <x:sz val="10"/>
      <x:color rgb="FF20384D"/>
      <x:name val="Yu Gothic"/>
    </x:font>
    <x:font>
      <x:b/>
      <x:sz val="14"/>
      <x:color rgb="FF20384D"/>
      <x:name val="Yu Gothic"/>
    </x:font>
    <x:font>
      <x:i/>
      <x:sz val="10"/>
      <x:color rgb="FF536B80"/>
      <x:name val="Yu Gothic"/>
    </x:font>
    <x:font>
      <x:b/>
      <x:sz val="10"/>
      <x:color rgb="FF20384D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6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88129e0064d41" /><Relationship Type="http://schemas.openxmlformats.org/officeDocument/2006/relationships/theme" Target="/xl/theme/theme1.xml" Id="Rcf47665079334e78" /><Relationship Type="http://schemas.openxmlformats.org/officeDocument/2006/relationships/sharedStrings" Target="/xl/sharedStrings.xml" Id="R2f45ad11e50542b5" /><Relationship Type="http://schemas.openxmlformats.org/officeDocument/2006/relationships/worksheet" Target="/xl/worksheets/sheet1.xml" Id="R9ca8bf1e59184a77" /><Relationship Type="http://schemas.openxmlformats.org/officeDocument/2006/relationships/worksheet" Target="/xl/worksheets/sheet2.xml" Id="R5a449bd19a5b4f49" /><Relationship Type="http://schemas.openxmlformats.org/officeDocument/2006/relationships/worksheet" Target="/xl/worksheets/sheet3.xml" Id="R35a93c9f456840b2" /><Relationship Type="http://schemas.openxmlformats.org/officeDocument/2006/relationships/worksheet" Target="/xl/worksheets/sheet4.xml" Id="R199be633cf574157" /><Relationship Type="http://schemas.openxmlformats.org/officeDocument/2006/relationships/worksheet" Target="/xl/worksheets/sheet5.xml" Id="R2d03d4d75b114a59" /><Relationship Type="http://schemas.openxmlformats.org/officeDocument/2006/relationships/worksheet" Target="/xl/worksheets/sheet6.xml" Id="R9caedee47d054664" /><Relationship Type="http://schemas.openxmlformats.org/officeDocument/2006/relationships/worksheet" Target="/xl/worksheets/sheet7.xml" Id="Rce6f08ed21694fed" /><Relationship Type="http://schemas.openxmlformats.org/officeDocument/2006/relationships/worksheet" Target="/xl/worksheets/sheet8.xml" Id="Rd27317f2b50548df" /><Relationship Type="http://schemas.openxmlformats.org/officeDocument/2006/relationships/worksheet" Target="/xl/worksheets/sheet9.xml" Id="R78e28f6f75084814" /><Relationship Type="http://schemas.openxmlformats.org/officeDocument/2006/relationships/worksheet" Target="/xl/worksheets/sheet10.xml" Id="R34863d93e3a74efe" /><Relationship Type="http://schemas.openxmlformats.org/officeDocument/2006/relationships/worksheet" Target="/xl/worksheets/sheet11.xml" Id="R6f1bc52f9c044d47" /><Relationship Type="http://schemas.openxmlformats.org/officeDocument/2006/relationships/worksheet" Target="/xl/worksheets/sheet12.xml" Id="Rae241fbdacca4ab7" /><Relationship Type="http://schemas.openxmlformats.org/officeDocument/2006/relationships/worksheet" Target="/xl/worksheets/sheet13.xml" Id="R8bf9080cdeb74bbe" /><Relationship Type="http://schemas.openxmlformats.org/officeDocument/2006/relationships/worksheet" Target="/xl/worksheets/sheet14.xml" Id="R34130bfc31f34342" /><Relationship Type="http://schemas.openxmlformats.org/officeDocument/2006/relationships/worksheet" Target="/xl/worksheets/sheet15.xml" Id="R2dede26cb4b54493" /><Relationship Type="http://schemas.openxmlformats.org/officeDocument/2006/relationships/worksheet" Target="/xl/worksheets/sheet16.xml" Id="Ree208e0e7642424f" /><Relationship Type="http://schemas.openxmlformats.org/officeDocument/2006/relationships/worksheet" Target="/xl/worksheets/sheet17.xml" Id="R19dcb4e4832042e6" /><Relationship Type="http://schemas.openxmlformats.org/officeDocument/2006/relationships/worksheet" Target="/xl/worksheets/sheet18.xml" Id="Rf4f763f0475b4134" /><Relationship Type="http://schemas.openxmlformats.org/officeDocument/2006/relationships/worksheet" Target="/xl/worksheets/sheet19.xml" Id="R09163d7146554603" /><Relationship Type="http://schemas.openxmlformats.org/officeDocument/2006/relationships/worksheet" Target="/xl/worksheets/sheet20.xml" Id="Rba245eeef2564c50" /><Relationship Type="http://schemas.openxmlformats.org/officeDocument/2006/relationships/worksheet" Target="/xl/worksheets/sheet21.xml" Id="Ra0beb77cb02646e2" /><Relationship Type="http://schemas.openxmlformats.org/officeDocument/2006/relationships/worksheet" Target="/xl/worksheets/sheet22.xml" Id="R95ff72485a014ed6" /><Relationship Type="http://schemas.openxmlformats.org/officeDocument/2006/relationships/worksheet" Target="/xl/worksheets/sheet23.xml" Id="R8b608fb51417432c" /><Relationship Type="http://schemas.openxmlformats.org/officeDocument/2006/relationships/worksheet" Target="/xl/worksheets/sheet24.xml" Id="R329d175d7b6c4805" /><Relationship Type="http://schemas.openxmlformats.org/officeDocument/2006/relationships/worksheet" Target="/xl/worksheets/sheet25.xml" Id="R6ca59c9ff59b458d" /><Relationship Type="http://schemas.openxmlformats.org/officeDocument/2006/relationships/worksheet" Target="/xl/worksheets/sheet26.xml" Id="Rc2849e44ac7a4222" /><Relationship Type="http://schemas.openxmlformats.org/officeDocument/2006/relationships/worksheet" Target="/xl/worksheets/sheet27.xml" Id="Ra4223ffd71c04de6" /><Relationship Type="http://schemas.openxmlformats.org/officeDocument/2006/relationships/worksheet" Target="/xl/worksheets/sheet28.xml" Id="R332fcdab65a94930" /><Relationship Type="http://schemas.openxmlformats.org/officeDocument/2006/relationships/worksheet" Target="/xl/worksheets/sheet29.xml" Id="Rfbea1899f50843ed" /><Relationship Type="http://schemas.openxmlformats.org/officeDocument/2006/relationships/worksheet" Target="/xl/worksheets/sheet30.xml" Id="Rc3c95f36f1d94344" /><Relationship Type="http://schemas.openxmlformats.org/officeDocument/2006/relationships/worksheet" Target="/xl/worksheets/sheet31.xml" Id="R5a7d357228114d32" /><Relationship Type="http://schemas.openxmlformats.org/officeDocument/2006/relationships/worksheet" Target="/xl/worksheets/sheet32.xml" Id="Re3df9f8aa487439a" /><Relationship Type="http://schemas.openxmlformats.org/officeDocument/2006/relationships/worksheet" Target="/xl/worksheets/sheet33.xml" Id="Rb85602b54fb24b7e" /><Relationship Type="http://schemas.openxmlformats.org/officeDocument/2006/relationships/worksheet" Target="/xl/worksheets/sheet34.xml" Id="R2a6acbe0883b452e" /></Relationships>
</file>

<file path=xl/tables/table1.xml><?xml version="1.0" encoding="utf-8"?>
<x:table xmlns:x="http://schemas.openxmlformats.org/spreadsheetml/2006/main" id="33" name="R164_comparison" displayName="R164_comparison" ref="A5:O37" headerRowCount="1" totalsRowCount="0" totalsRowShown="0">
  <x:autoFilter ref="A5:O37"/>
  <x:tableColumns count="15">
    <x:tableColumn id="1" name="手法ID"/>
    <x:tableColumn id="2" name="時間帯"/>
    <x:tableColumn id="3" name="前半の固定"/>
    <x:tableColumn id="4" name="利益（円）"/>
    <x:tableColumn id="5" name="損失（円）"/>
    <x:tableColumn id="6" name="収支（円）"/>
    <x:tableColumn id="7" name="1場平均（円）"/>
    <x:tableColumn id="8" name="赤字場数"/>
    <x:tableColumn id="9" name="無取引場数"/>
    <x:tableColumn id="10" name="平均赤字（円）"/>
    <x:tableColumn id="11" name="最大赤字（円）"/>
    <x:tableColumn id="12" name="場内最悪収支（円）"/>
    <x:tableColumn id="13" name="前40場内収支（円）"/>
    <x:tableColumn id="14" name="確認14場内収支（円）"/>
    <x:tableColumn id="15" name="大勝ち3場除外収支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4" name="R164_schedule_1" displayName="R164_schedule_1" ref="A5:K32" headerRowCount="1" totalsRowCount="0" totalsRowShown="0">
  <x:autoFilter ref="A5:K32"/>
  <x:tableColumns count="11">
    <x:tableColumn id="1" name="セッション"/>
    <x:tableColumn id="2" name="米国前の手法ID"/>
    <x:tableColumn id="3" name="米国後の手法ID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5" name="R164_schedule_2" displayName="R164_schedule_2" ref="A37:K64" headerRowCount="1" totalsRowCount="0" totalsRowShown="0">
  <x:autoFilter ref="A37:K64"/>
  <x:tableColumns count="11">
    <x:tableColumn id="1" name="セッション"/>
    <x:tableColumn id="2" name="米国前の手法ID"/>
    <x:tableColumn id="3" name="米国後の手法ID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164_NK225_D164_00" displayName="R164_NK225_D164_00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164_NK225_D164_01" displayName="R164_NK225_D164_01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164_NK225_D164_02" displayName="R164_NK225_D164_02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R164_NK225_D164_03" displayName="R164_NK225_D164_03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R164_NK225_D164_04" displayName="R164_NK225_D164_04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R164_NK225_D164_05" displayName="R164_NK225_D164_05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R164_NK225_D164_06" displayName="R164_NK225_D164_06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R164_NK225_D164_07" displayName="R164_NK225_D164_07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R164_NK225_D164_08" displayName="R164_NK225_D164_08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R164_NK225_D164_09" displayName="R164_NK225_D164_09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R164_NK225_D164_10" displayName="R164_NK225_D164_10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2" name="R164_NK225_D164_11" displayName="R164_NK225_D164_11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R164_NK225_P164_00" displayName="R164_NK225_P164_00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R164_NK225_P164_01" displayName="R164_NK225_P164_01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R164_NK225_P164_02" displayName="R164_NK225_P164_02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6" name="R164_NK225_P164_03" displayName="R164_NK225_P164_03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7" name="R164_NK225_U164_00" displayName="R164_NK225_U164_00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8" name="R164_NK225_U164_01" displayName="R164_NK225_U164_01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9" name="R164_NK225_U164_02" displayName="R164_NK225_U164_02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0" name="R164_NK225_U164_03" displayName="R164_NK225_U164_03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1" name="R164_NK225_D164_12" displayName="R164_NK225_D164_12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2" name="R164_NK225_D164_13" displayName="R164_NK225_D164_13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3" name="R164_NK225_D164_14" displayName="R164_NK225_D164_14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4" name="R164_NK225_D164_15" displayName="R164_NK225_D164_15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5" name="R164_NK225_P164_04" displayName="R164_NK225_P164_04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6" name="R164_NK225_P164_05" displayName="R164_NK225_P164_05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7" name="R164_NK225_P164_06" displayName="R164_NK225_P164_06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8" name="R164_NK225_P164_07" displayName="R164_NK225_P164_07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29" name="R164_NK225_U164_04" displayName="R164_NK225_U164_04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0" name="R164_NK225_U164_05" displayName="R164_NK225_U164_05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1" name="R164_NK225_U164_06" displayName="R164_NK225_U164_06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2" name="R164_NK225_U164_07" displayName="R164_NK225_U164_07" ref="A5:K32" headerRowCount="1" totalsRowCount="0" totalsRowShown="0">
  <x:autoFilter ref="A5:K32"/>
  <x:tableColumns count="11">
    <x:tableColumn id="1" name="セッション"/>
    <x:tableColumn id="2" name="資料区分"/>
    <x:tableColumn id="3" name="場方向"/>
    <x:tableColumn id="4" name="利益（円）"/>
    <x:tableColumn id="5" name="損失（円）"/>
    <x:tableColumn id="6" name="収支（円）"/>
    <x:tableColumn id="7" name="累計（円）"/>
    <x:tableColumn id="8" name="場内最悪収支（円）"/>
    <x:tableColumn id="9" name="最大下落額（円）"/>
    <x:tableColumn id="10" name="新規回数"/>
    <x:tableColumn id="11" name="無取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7fa99a19d4a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a3618cbec74fb6" /><Relationship Type="http://schemas.openxmlformats.org/officeDocument/2006/relationships/table" Target="/xl/tables/table3.xml" Id="R1f3b4f7dcc6f46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8d774ff9d9a42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6948a6c509c42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2bd18eea06646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2956d9d07d444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82283d270704f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a6de4ac353945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ce7c06b46e641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fa37bfda43a44a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d126dd1f4c9242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c2b7f43bc07147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481c3e1d199441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5acdc4ed830d47e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beae6cfbbc03468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2a260c6e75ad47d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d2418b4e8865495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98d70add67eb45d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e57b90ceec16473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76d6f9622176472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80ce367cc3f940d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1854169366ff472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4.xml" Id="R5465bb9f64ad4da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5.xml" Id="R76bfaa851e774c2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6.xml" Id="R478b1576dc6c434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7.xml" Id="R4898fd1d0ae0468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8.xml" Id="Rfd6cbf7f556649c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9.xml" Id="R20170ce02b34461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30.xml" Id="Rb76f78c8624542a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1.xml" Id="Rdec71777b0d54c6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2.xml" Id="R5492adde021d463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3.xml" Id="Reaccacdef3924d5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4.xml" Id="Rc7ca9bbba21d48fd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5.xml" Id="R0b5224018dbd48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1" hidden="0" customWidth="1"/>
    <x:col min="9" max="9" width="11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3" t="str">
        <x:v>J02改修と夜間独立手法　32手法の比較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全場は各27場。前40場内で候補を固定し、旧後13場＋追加夜1場で確認しています。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第二巡は全54場を確認後の既知資料による追加開発。損失は正額、場内最悪は確定＋含み。前半の固定は採用推奨ではありません。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3" customHeight="1">
      <x:c r="A5" s="14" t="str">
        <x:v>手法ID</x:v>
      </x:c>
      <x:c r="B5" s="14" t="str">
        <x:v>時間帯</x:v>
      </x:c>
      <x:c r="C5" s="14" t="str">
        <x:v>前半の固定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1場平均（円）</x:v>
      </x:c>
      <x:c r="H5" s="14" t="str">
        <x:v>赤字場数</x:v>
      </x:c>
      <x:c r="I5" s="14" t="str">
        <x:v>無取引場数</x:v>
      </x:c>
      <x:c r="J5" s="14" t="str">
        <x:v>平均赤字（円）</x:v>
      </x:c>
      <x:c r="K5" s="14" t="str">
        <x:v>最大赤字（円）</x:v>
      </x:c>
      <x:c r="L5" s="14" t="str">
        <x:v>場内最悪収支（円）</x:v>
      </x:c>
      <x:c r="M5" s="14" t="str">
        <x:v>前40場内収支（円）</x:v>
      </x:c>
      <x:c r="N5" s="14" t="str">
        <x:v>確認14場内収支（円）</x:v>
      </x:c>
      <x:c r="O5" s="14" t="str">
        <x:v>大勝ち3場除外収支（円）</x:v>
      </x:c>
    </x:row>
    <x:row r="6" ht="25" customHeight="1">
      <x:c r="A6" s="2" t="str">
        <x:v>NK225_D164_00</x:v>
      </x:c>
      <x:c r="B6" s="2" t="str">
        <x:v>日中</x:v>
      </x:c>
      <x:c r="C6" s="2" t="str"/>
      <x:c r="D6" s="6" t="n">
        <x:f>'日経_D164_00'!D33</x:f>
        <x:v>3773400</x:v>
      </x:c>
      <x:c r="E6" s="6" t="n">
        <x:f>'日経_D164_00'!E33</x:f>
        <x:v>2101800</x:v>
      </x:c>
      <x:c r="F6" s="6" t="n">
        <x:f>D6-E6</x:f>
        <x:v>1671600</x:v>
      </x:c>
      <x:c r="G6" s="6" t="n">
        <x:f>F6/27</x:f>
        <x:v>61911.11111111111</x:v>
      </x:c>
      <x:c r="H6" s="7" t="n">
        <x:v>10</x:v>
      </x:c>
      <x:c r="I6" s="7" t="n">
        <x:v>0</x:v>
      </x:c>
      <x:c r="J6" s="6" t="n">
        <x:v>73770</x:v>
      </x:c>
      <x:c r="K6" s="6" t="n">
        <x:v>130600</x:v>
      </x:c>
      <x:c r="L6" s="6" t="n">
        <x:v>-189200</x:v>
      </x:c>
      <x:c r="M6" s="6" t="n">
        <x:f>SUM('日経_D164_00'!F6,'日経_D164_00'!F7,'日経_D164_00'!F8,'日経_D164_00'!F9,'日経_D164_00'!F10,'日経_D164_00'!F11,'日経_D164_00'!F12,'日経_D164_00'!F13,'日経_D164_00'!F14,'日経_D164_00'!F15,'日経_D164_00'!F16,'日経_D164_00'!F17,'日経_D164_00'!F18,'日経_D164_00'!F19,'日経_D164_00'!F20,'日経_D164_00'!F21,'日経_D164_00'!F22,'日経_D164_00'!F23,'日経_D164_00'!F24,'日経_D164_00'!F25)</x:f>
        <x:v>416100</x:v>
      </x:c>
      <x:c r="N6" s="6" t="n">
        <x:f>SUM('日経_D164_00'!F26,'日経_D164_00'!F27,'日経_D164_00'!F28,'日経_D164_00'!F29,'日経_D164_00'!F30,'日経_D164_00'!F31,'日経_D164_00'!F32)</x:f>
        <x:v>1255500</x:v>
      </x:c>
      <x:c r="O6" s="6" t="n">
        <x:v>497800</x:v>
      </x:c>
    </x:row>
    <x:row r="7" ht="25" customHeight="1">
      <x:c r="A7" s="2" t="str">
        <x:v>NK225_D164_01</x:v>
      </x:c>
      <x:c r="B7" s="2" t="str">
        <x:v>日中</x:v>
      </x:c>
      <x:c r="C7" s="2" t="str"/>
      <x:c r="D7" s="6" t="n">
        <x:f>'日経_D164_01'!D33</x:f>
        <x:v>3681600</x:v>
      </x:c>
      <x:c r="E7" s="6" t="n">
        <x:f>'日経_D164_01'!E33</x:f>
        <x:v>1989600</x:v>
      </x:c>
      <x:c r="F7" s="6" t="n">
        <x:f>D7-E7</x:f>
        <x:v>1692000</x:v>
      </x:c>
      <x:c r="G7" s="6" t="n">
        <x:f>F7/27</x:f>
        <x:v>62666.666666666664</x:v>
      </x:c>
      <x:c r="H7" s="7" t="n">
        <x:v>10</x:v>
      </x:c>
      <x:c r="I7" s="7" t="n">
        <x:v>0</x:v>
      </x:c>
      <x:c r="J7" s="6" t="n">
        <x:v>71840</x:v>
      </x:c>
      <x:c r="K7" s="6" t="n">
        <x:v>130600</x:v>
      </x:c>
      <x:c r="L7" s="6" t="n">
        <x:v>-189200</x:v>
      </x:c>
      <x:c r="M7" s="6" t="n">
        <x:f>SUM('日経_D164_01'!F6,'日経_D164_01'!F7,'日経_D164_01'!F8,'日経_D164_01'!F9,'日経_D164_01'!F10,'日経_D164_01'!F11,'日経_D164_01'!F12,'日経_D164_01'!F13,'日経_D164_01'!F14,'日経_D164_01'!F15,'日経_D164_01'!F16,'日経_D164_01'!F17,'日経_D164_01'!F18,'日経_D164_01'!F19,'日経_D164_01'!F20,'日経_D164_01'!F21,'日経_D164_01'!F22,'日経_D164_01'!F23,'日経_D164_01'!F24,'日経_D164_01'!F25)</x:f>
        <x:v>475800</x:v>
      </x:c>
      <x:c r="N7" s="6" t="n">
        <x:f>SUM('日経_D164_01'!F26,'日経_D164_01'!F27,'日経_D164_01'!F28,'日経_D164_01'!F29,'日経_D164_01'!F30,'日経_D164_01'!F31,'日経_D164_01'!F32)</x:f>
        <x:v>1216200</x:v>
      </x:c>
      <x:c r="O7" s="6" t="n">
        <x:v>510500</x:v>
      </x:c>
    </x:row>
    <x:row r="8" ht="25" customHeight="1">
      <x:c r="A8" s="2" t="str">
        <x:v>NK225_D164_02</x:v>
      </x:c>
      <x:c r="B8" s="2" t="str">
        <x:v>日中</x:v>
      </x:c>
      <x:c r="C8" s="2" t="str"/>
      <x:c r="D8" s="6" t="n">
        <x:f>'日経_D164_02'!D33</x:f>
        <x:v>2996000</x:v>
      </x:c>
      <x:c r="E8" s="6" t="n">
        <x:f>'日経_D164_02'!E33</x:f>
        <x:v>1972000</x:v>
      </x:c>
      <x:c r="F8" s="6" t="n">
        <x:f>D8-E8</x:f>
        <x:v>1024000</x:v>
      </x:c>
      <x:c r="G8" s="6" t="n">
        <x:f>F8/27</x:f>
        <x:v>37925.92592592593</x:v>
      </x:c>
      <x:c r="H8" s="7" t="n">
        <x:v>10</x:v>
      </x:c>
      <x:c r="I8" s="7" t="n">
        <x:v>0</x:v>
      </x:c>
      <x:c r="J8" s="6" t="n">
        <x:v>69200</x:v>
      </x:c>
      <x:c r="K8" s="6" t="n">
        <x:v>105500</x:v>
      </x:c>
      <x:c r="L8" s="6" t="n">
        <x:v>-160300</x:v>
      </x:c>
      <x:c r="M8" s="6" t="n">
        <x:f>SUM('日経_D164_02'!F6,'日経_D164_02'!F7,'日経_D164_02'!F8,'日経_D164_02'!F9,'日経_D164_02'!F10,'日経_D164_02'!F11,'日経_D164_02'!F12,'日経_D164_02'!F13,'日経_D164_02'!F14,'日経_D164_02'!F15,'日経_D164_02'!F16,'日経_D164_02'!F17,'日経_D164_02'!F18,'日経_D164_02'!F19,'日経_D164_02'!F20,'日経_D164_02'!F21,'日経_D164_02'!F22,'日経_D164_02'!F23,'日経_D164_02'!F24,'日経_D164_02'!F25)</x:f>
        <x:v>225500</x:v>
      </x:c>
      <x:c r="N8" s="6" t="n">
        <x:f>SUM('日経_D164_02'!F26,'日経_D164_02'!F27,'日経_D164_02'!F28,'日経_D164_02'!F29,'日経_D164_02'!F30,'日経_D164_02'!F31,'日経_D164_02'!F32)</x:f>
        <x:v>798500</x:v>
      </x:c>
      <x:c r="O8" s="6" t="n">
        <x:v>149800</x:v>
      </x:c>
    </x:row>
    <x:row r="9" ht="25" customHeight="1">
      <x:c r="A9" s="2" t="str">
        <x:v>NK225_D164_03</x:v>
      </x:c>
      <x:c r="B9" s="2" t="str">
        <x:v>日中</x:v>
      </x:c>
      <x:c r="C9" s="2" t="str"/>
      <x:c r="D9" s="6" t="n">
        <x:f>'日経_D164_03'!D33</x:f>
        <x:v>1999900</x:v>
      </x:c>
      <x:c r="E9" s="6" t="n">
        <x:f>'日経_D164_03'!E33</x:f>
        <x:v>1838100</x:v>
      </x:c>
      <x:c r="F9" s="6" t="n">
        <x:f>D9-E9</x:f>
        <x:v>161800</x:v>
      </x:c>
      <x:c r="G9" s="6" t="n">
        <x:f>F9/27</x:f>
        <x:v>5992.592592592592</x:v>
      </x:c>
      <x:c r="H9" s="7" t="n">
        <x:v>14</x:v>
      </x:c>
      <x:c r="I9" s="7" t="n">
        <x:v>0</x:v>
      </x:c>
      <x:c r="J9" s="6" t="n">
        <x:v>52392.857142857145</x:v>
      </x:c>
      <x:c r="K9" s="6" t="n">
        <x:v>123400</x:v>
      </x:c>
      <x:c r="L9" s="6" t="n">
        <x:v>-160300</x:v>
      </x:c>
      <x:c r="M9" s="6" t="n">
        <x:f>SUM('日経_D164_03'!F6,'日経_D164_03'!F7,'日経_D164_03'!F8,'日経_D164_03'!F9,'日経_D164_03'!F10,'日経_D164_03'!F11,'日経_D164_03'!F12,'日経_D164_03'!F13,'日経_D164_03'!F14,'日経_D164_03'!F15,'日経_D164_03'!F16,'日経_D164_03'!F17,'日経_D164_03'!F18,'日経_D164_03'!F19,'日経_D164_03'!F20,'日経_D164_03'!F21,'日経_D164_03'!F22,'日経_D164_03'!F23,'日経_D164_03'!F24,'日経_D164_03'!F25)</x:f>
        <x:v>-56400</x:v>
      </x:c>
      <x:c r="N9" s="6" t="n">
        <x:f>SUM('日経_D164_03'!F26,'日経_D164_03'!F27,'日経_D164_03'!F28,'日経_D164_03'!F29,'日経_D164_03'!F30,'日経_D164_03'!F31,'日経_D164_03'!F32)</x:f>
        <x:v>218200</x:v>
      </x:c>
      <x:c r="O9" s="6" t="n">
        <x:v>-342400</x:v>
      </x:c>
    </x:row>
    <x:row r="10" ht="25" customHeight="1">
      <x:c r="A10" s="2" t="str">
        <x:v>NK225_D164_04</x:v>
      </x:c>
      <x:c r="B10" s="2" t="str">
        <x:v>日中</x:v>
      </x:c>
      <x:c r="C10" s="2" t="str"/>
      <x:c r="D10" s="6" t="n">
        <x:f>'日経_D164_04'!D33</x:f>
        <x:v>197900</x:v>
      </x:c>
      <x:c r="E10" s="6" t="n">
        <x:f>'日経_D164_04'!E33</x:f>
        <x:v>562300</x:v>
      </x:c>
      <x:c r="F10" s="6" t="n">
        <x:f>D10-E10</x:f>
        <x:v>-364400</x:v>
      </x:c>
      <x:c r="G10" s="6" t="n">
        <x:f>F10/27</x:f>
        <x:v>-13496.296296296296</x:v>
      </x:c>
      <x:c r="H10" s="7" t="n">
        <x:v>14</x:v>
      </x:c>
      <x:c r="I10" s="7" t="n">
        <x:v>0</x:v>
      </x:c>
      <x:c r="J10" s="6" t="n">
        <x:v>33300</x:v>
      </x:c>
      <x:c r="K10" s="6" t="n">
        <x:v>160500</x:v>
      </x:c>
      <x:c r="L10" s="6" t="n">
        <x:v>-174000</x:v>
      </x:c>
      <x:c r="M10" s="6" t="n">
        <x:f>SUM('日経_D164_04'!F6,'日経_D164_04'!F7,'日経_D164_04'!F8,'日経_D164_04'!F9,'日経_D164_04'!F10,'日経_D164_04'!F11,'日経_D164_04'!F12,'日経_D164_04'!F13,'日経_D164_04'!F14,'日経_D164_04'!F15,'日経_D164_04'!F16,'日経_D164_04'!F17,'日経_D164_04'!F18,'日経_D164_04'!F19,'日経_D164_04'!F20,'日経_D164_04'!F21,'日経_D164_04'!F22,'日経_D164_04'!F23,'日経_D164_04'!F24,'日経_D164_04'!F25)</x:f>
        <x:v>-389900</x:v>
      </x:c>
      <x:c r="N10" s="6" t="n">
        <x:f>SUM('日経_D164_04'!F26,'日経_D164_04'!F27,'日経_D164_04'!F28,'日経_D164_04'!F29,'日経_D164_04'!F30,'日経_D164_04'!F31,'日経_D164_04'!F32)</x:f>
        <x:v>25500</x:v>
      </x:c>
      <x:c r="O10" s="6" t="n">
        <x:v>-411000</x:v>
      </x:c>
    </x:row>
    <x:row r="11" ht="25" customHeight="1">
      <x:c r="A11" s="2" t="str">
        <x:v>NK225_D164_05</x:v>
      </x:c>
      <x:c r="B11" s="2" t="str">
        <x:v>日中</x:v>
      </x:c>
      <x:c r="C11" s="2" t="str"/>
      <x:c r="D11" s="6" t="n">
        <x:f>'日経_D164_05'!D33</x:f>
        <x:v>1772900</x:v>
      </x:c>
      <x:c r="E11" s="6" t="n">
        <x:f>'日経_D164_05'!E33</x:f>
        <x:v>4768600</x:v>
      </x:c>
      <x:c r="F11" s="6" t="n">
        <x:f>D11-E11</x:f>
        <x:v>-2995700</x:v>
      </x:c>
      <x:c r="G11" s="6" t="n">
        <x:f>F11/27</x:f>
        <x:v>-110951.85185185185</x:v>
      </x:c>
      <x:c r="H11" s="7" t="n">
        <x:v>22</x:v>
      </x:c>
      <x:c r="I11" s="7" t="n">
        <x:v>0</x:v>
      </x:c>
      <x:c r="J11" s="6" t="n">
        <x:v>144836.36363636365</x:v>
      </x:c>
      <x:c r="K11" s="6" t="n">
        <x:v>375400</x:v>
      </x:c>
      <x:c r="L11" s="6" t="n">
        <x:v>-494600</x:v>
      </x:c>
      <x:c r="M11" s="6" t="n">
        <x:f>SUM('日経_D164_05'!F6,'日経_D164_05'!F7,'日経_D164_05'!F8,'日経_D164_05'!F9,'日経_D164_05'!F10,'日経_D164_05'!F11,'日経_D164_05'!F12,'日経_D164_05'!F13,'日経_D164_05'!F14,'日経_D164_05'!F15,'日経_D164_05'!F16,'日経_D164_05'!F17,'日経_D164_05'!F18,'日経_D164_05'!F19,'日経_D164_05'!F20,'日経_D164_05'!F21,'日経_D164_05'!F22,'日経_D164_05'!F23,'日経_D164_05'!F24,'日経_D164_05'!F25)</x:f>
        <x:v>-2069200</x:v>
      </x:c>
      <x:c r="N11" s="6" t="n">
        <x:f>SUM('日経_D164_05'!F26,'日経_D164_05'!F27,'日経_D164_05'!F28,'日経_D164_05'!F29,'日経_D164_05'!F30,'日経_D164_05'!F31,'日経_D164_05'!F32)</x:f>
        <x:v>-926500</x:v>
      </x:c>
      <x:c r="O11" s="6" t="n">
        <x:v>-3175900</x:v>
      </x:c>
    </x:row>
    <x:row r="12" ht="25" customHeight="1">
      <x:c r="A12" s="2" t="str">
        <x:v>NK225_D164_06</x:v>
      </x:c>
      <x:c r="B12" s="2" t="str">
        <x:v>日中</x:v>
      </x:c>
      <x:c r="C12" s="2" t="str"/>
      <x:c r="D12" s="6" t="n">
        <x:f>'日経_D164_06'!D33</x:f>
        <x:v>568500</x:v>
      </x:c>
      <x:c r="E12" s="6" t="n">
        <x:f>'日経_D164_06'!E33</x:f>
        <x:v>3699000</x:v>
      </x:c>
      <x:c r="F12" s="6" t="n">
        <x:f>D12-E12</x:f>
        <x:v>-3130500</x:v>
      </x:c>
      <x:c r="G12" s="6" t="n">
        <x:f>F12/27</x:f>
        <x:v>-115944.44444444444</x:v>
      </x:c>
      <x:c r="H12" s="7" t="n">
        <x:v>26</x:v>
      </x:c>
      <x:c r="I12" s="7" t="n">
        <x:v>0</x:v>
      </x:c>
      <x:c r="J12" s="6" t="n">
        <x:v>120692.30769230769</x:v>
      </x:c>
      <x:c r="K12" s="6" t="n">
        <x:v>356500</x:v>
      </x:c>
      <x:c r="L12" s="6" t="n">
        <x:v>-356500</x:v>
      </x:c>
      <x:c r="M12" s="6" t="n">
        <x:f>SUM('日経_D164_06'!F6,'日経_D164_06'!F7,'日経_D164_06'!F8,'日経_D164_06'!F9,'日経_D164_06'!F10,'日経_D164_06'!F11,'日経_D164_06'!F12,'日経_D164_06'!F13,'日経_D164_06'!F14,'日経_D164_06'!F15,'日経_D164_06'!F16,'日経_D164_06'!F17,'日経_D164_06'!F18,'日経_D164_06'!F19,'日経_D164_06'!F20,'日経_D164_06'!F21,'日経_D164_06'!F22,'日経_D164_06'!F23,'日経_D164_06'!F24,'日経_D164_06'!F25)</x:f>
        <x:v>-2044800</x:v>
      </x:c>
      <x:c r="N12" s="6" t="n">
        <x:f>SUM('日経_D164_06'!F26,'日経_D164_06'!F27,'日経_D164_06'!F28,'日経_D164_06'!F29,'日経_D164_06'!F30,'日経_D164_06'!F31,'日経_D164_06'!F32)</x:f>
        <x:v>-1085700</x:v>
      </x:c>
      <x:c r="O12" s="6" t="n">
        <x:v>-3125200</x:v>
      </x:c>
    </x:row>
    <x:row r="13" ht="25" customHeight="1">
      <x:c r="A13" s="2" t="str">
        <x:v>NK225_D164_07</x:v>
      </x:c>
      <x:c r="B13" s="2" t="str">
        <x:v>日中</x:v>
      </x:c>
      <x:c r="C13" s="2" t="str"/>
      <x:c r="D13" s="6" t="n">
        <x:f>'日経_D164_07'!D33</x:f>
        <x:v>4033900</x:v>
      </x:c>
      <x:c r="E13" s="6" t="n">
        <x:f>'日経_D164_07'!E33</x:f>
        <x:v>2423100</x:v>
      </x:c>
      <x:c r="F13" s="6" t="n">
        <x:f>D13-E13</x:f>
        <x:v>1610800</x:v>
      </x:c>
      <x:c r="G13" s="6" t="n">
        <x:f>F13/27</x:f>
        <x:v>59659.25925925926</x:v>
      </x:c>
      <x:c r="H13" s="7" t="n">
        <x:v>12</x:v>
      </x:c>
      <x:c r="I13" s="7" t="n">
        <x:v>0</x:v>
      </x:c>
      <x:c r="J13" s="6" t="n">
        <x:v>62450</x:v>
      </x:c>
      <x:c r="K13" s="6" t="n">
        <x:v>223800</x:v>
      </x:c>
      <x:c r="L13" s="6" t="n">
        <x:v>-261600</x:v>
      </x:c>
      <x:c r="M13" s="6" t="n">
        <x:f>SUM('日経_D164_07'!F6,'日経_D164_07'!F7,'日経_D164_07'!F8,'日経_D164_07'!F9,'日経_D164_07'!F10,'日経_D164_07'!F11,'日経_D164_07'!F12,'日経_D164_07'!F13,'日経_D164_07'!F14,'日経_D164_07'!F15,'日経_D164_07'!F16,'日経_D164_07'!F17,'日経_D164_07'!F18,'日経_D164_07'!F19,'日経_D164_07'!F20,'日経_D164_07'!F21,'日経_D164_07'!F22,'日経_D164_07'!F23,'日経_D164_07'!F24,'日経_D164_07'!F25)</x:f>
        <x:v>350500</x:v>
      </x:c>
      <x:c r="N13" s="6" t="n">
        <x:f>SUM('日経_D164_07'!F26,'日経_D164_07'!F27,'日経_D164_07'!F28,'日経_D164_07'!F29,'日経_D164_07'!F30,'日経_D164_07'!F31,'日経_D164_07'!F32)</x:f>
        <x:v>1260300</x:v>
      </x:c>
      <x:c r="O13" s="6" t="n">
        <x:v>425000</x:v>
      </x:c>
    </x:row>
    <x:row r="14" ht="25" customHeight="1">
      <x:c r="A14" s="2" t="str">
        <x:v>NK225_D164_08</x:v>
      </x:c>
      <x:c r="B14" s="2" t="str">
        <x:v>日中</x:v>
      </x:c>
      <x:c r="C14" s="2" t="str"/>
      <x:c r="D14" s="6" t="n">
        <x:f>'日経_D164_08'!D33</x:f>
        <x:v>3609000</x:v>
      </x:c>
      <x:c r="E14" s="6" t="n">
        <x:f>'日経_D164_08'!E33</x:f>
        <x:v>2050200</x:v>
      </x:c>
      <x:c r="F14" s="6" t="n">
        <x:f>D14-E14</x:f>
        <x:v>1558800</x:v>
      </x:c>
      <x:c r="G14" s="6" t="n">
        <x:f>F14/27</x:f>
        <x:v>57733.333333333336</x:v>
      </x:c>
      <x:c r="H14" s="7" t="n">
        <x:v>10</x:v>
      </x:c>
      <x:c r="I14" s="7" t="n">
        <x:v>0</x:v>
      </x:c>
      <x:c r="J14" s="6" t="n">
        <x:v>70680</x:v>
      </x:c>
      <x:c r="K14" s="6" t="n">
        <x:v>130600</x:v>
      </x:c>
      <x:c r="L14" s="6" t="n">
        <x:v>-189200</x:v>
      </x:c>
      <x:c r="M14" s="6" t="n">
        <x:f>SUM('日経_D164_08'!F6,'日経_D164_08'!F7,'日経_D164_08'!F8,'日経_D164_08'!F9,'日経_D164_08'!F10,'日経_D164_08'!F11,'日経_D164_08'!F12,'日経_D164_08'!F13,'日経_D164_08'!F14,'日経_D164_08'!F15,'日経_D164_08'!F16,'日経_D164_08'!F17,'日経_D164_08'!F18,'日経_D164_08'!F19,'日経_D164_08'!F20,'日経_D164_08'!F21,'日経_D164_08'!F22,'日経_D164_08'!F23,'日経_D164_08'!F24,'日経_D164_08'!F25)</x:f>
        <x:v>401400</x:v>
      </x:c>
      <x:c r="N14" s="6" t="n">
        <x:f>SUM('日経_D164_08'!F26,'日経_D164_08'!F27,'日経_D164_08'!F28,'日経_D164_08'!F29,'日経_D164_08'!F30,'日経_D164_08'!F31,'日経_D164_08'!F32)</x:f>
        <x:v>1157400</x:v>
      </x:c>
      <x:c r="O14" s="6" t="n">
        <x:v>385000</x:v>
      </x:c>
    </x:row>
    <x:row r="15" ht="25" customHeight="1">
      <x:c r="A15" s="2" t="str">
        <x:v>NK225_D164_09</x:v>
      </x:c>
      <x:c r="B15" s="2" t="str">
        <x:v>日中</x:v>
      </x:c>
      <x:c r="C15" s="2" t="str">
        <x:v>第1巡</x:v>
      </x:c>
      <x:c r="D15" s="6" t="n">
        <x:f>'日経_D164_09'!D33</x:f>
        <x:v>3539400</x:v>
      </x:c>
      <x:c r="E15" s="6" t="n">
        <x:f>'日経_D164_09'!E33</x:f>
        <x:v>2031900</x:v>
      </x:c>
      <x:c r="F15" s="6" t="n">
        <x:f>D15-E15</x:f>
        <x:v>1507500</x:v>
      </x:c>
      <x:c r="G15" s="6" t="n">
        <x:f>F15/27</x:f>
        <x:v>55833.333333333336</x:v>
      </x:c>
      <x:c r="H15" s="7" t="n">
        <x:v>10</x:v>
      </x:c>
      <x:c r="I15" s="7" t="n">
        <x:v>0</x:v>
      </x:c>
      <x:c r="J15" s="6" t="n">
        <x:v>67160</x:v>
      </x:c>
      <x:c r="K15" s="6" t="n">
        <x:v>129300</x:v>
      </x:c>
      <x:c r="L15" s="6" t="n">
        <x:v>-175600</x:v>
      </x:c>
      <x:c r="M15" s="6" t="n">
        <x:f>SUM('日経_D164_09'!F6,'日経_D164_09'!F7,'日経_D164_09'!F8,'日経_D164_09'!F9,'日経_D164_09'!F10,'日経_D164_09'!F11,'日経_D164_09'!F12,'日経_D164_09'!F13,'日経_D164_09'!F14,'日経_D164_09'!F15,'日経_D164_09'!F16,'日経_D164_09'!F17,'日経_D164_09'!F18,'日経_D164_09'!F19,'日経_D164_09'!F20,'日経_D164_09'!F21,'日経_D164_09'!F22,'日経_D164_09'!F23,'日経_D164_09'!F24,'日経_D164_09'!F25)</x:f>
        <x:v>406500</x:v>
      </x:c>
      <x:c r="N15" s="6" t="n">
        <x:f>SUM('日経_D164_09'!F26,'日経_D164_09'!F27,'日経_D164_09'!F28,'日経_D164_09'!F29,'日経_D164_09'!F30,'日経_D164_09'!F31,'日経_D164_09'!F32)</x:f>
        <x:v>1101000</x:v>
      </x:c>
      <x:c r="O15" s="6" t="n">
        <x:v>359900</x:v>
      </x:c>
    </x:row>
    <x:row r="16" ht="25" customHeight="1">
      <x:c r="A16" s="2" t="str">
        <x:v>NK225_D164_10</x:v>
      </x:c>
      <x:c r="B16" s="2" t="str">
        <x:v>日中</x:v>
      </x:c>
      <x:c r="C16" s="2" t="str"/>
      <x:c r="D16" s="6" t="n">
        <x:f>'日経_D164_10'!D33</x:f>
        <x:v>3028100</x:v>
      </x:c>
      <x:c r="E16" s="6" t="n">
        <x:f>'日経_D164_10'!E33</x:f>
        <x:v>3868100</x:v>
      </x:c>
      <x:c r="F16" s="6" t="n">
        <x:f>D16-E16</x:f>
        <x:v>-840000</x:v>
      </x:c>
      <x:c r="G16" s="6" t="n">
        <x:f>F16/27</x:f>
        <x:v>-31111.11111111111</x:v>
      </x:c>
      <x:c r="H16" s="7" t="n">
        <x:v>13</x:v>
      </x:c>
      <x:c r="I16" s="7" t="n">
        <x:v>0</x:v>
      </x:c>
      <x:c r="J16" s="6" t="n">
        <x:v>117330.76923076923</x:v>
      </x:c>
      <x:c r="K16" s="6" t="n">
        <x:v>344200</x:v>
      </x:c>
      <x:c r="L16" s="6" t="n">
        <x:v>-388600</x:v>
      </x:c>
      <x:c r="M16" s="6" t="n">
        <x:f>SUM('日経_D164_10'!F6,'日経_D164_10'!F7,'日経_D164_10'!F8,'日経_D164_10'!F9,'日経_D164_10'!F10,'日経_D164_10'!F11,'日経_D164_10'!F12,'日経_D164_10'!F13,'日経_D164_10'!F14,'日経_D164_10'!F15,'日経_D164_10'!F16,'日経_D164_10'!F17,'日経_D164_10'!F18,'日経_D164_10'!F19,'日経_D164_10'!F20,'日経_D164_10'!F21,'日経_D164_10'!F22,'日経_D164_10'!F23,'日経_D164_10'!F24,'日経_D164_10'!F25)</x:f>
        <x:v>-782400</x:v>
      </x:c>
      <x:c r="N16" s="6" t="n">
        <x:f>SUM('日経_D164_10'!F26,'日経_D164_10'!F27,'日経_D164_10'!F28,'日経_D164_10'!F29,'日経_D164_10'!F30,'日経_D164_10'!F31,'日経_D164_10'!F32)</x:f>
        <x:v>-57600</x:v>
      </x:c>
      <x:c r="O16" s="6" t="n">
        <x:v>-1264900</x:v>
      </x:c>
    </x:row>
    <x:row r="17" ht="25" customHeight="1">
      <x:c r="A17" s="2" t="str">
        <x:v>NK225_D164_11</x:v>
      </x:c>
      <x:c r="B17" s="2" t="str">
        <x:v>日中</x:v>
      </x:c>
      <x:c r="C17" s="2" t="str"/>
      <x:c r="D17" s="6" t="n">
        <x:f>'日経_D164_11'!D33</x:f>
        <x:v>1709700</x:v>
      </x:c>
      <x:c r="E17" s="6" t="n">
        <x:f>'日経_D164_11'!E33</x:f>
        <x:v>4902200</x:v>
      </x:c>
      <x:c r="F17" s="6" t="n">
        <x:f>D17-E17</x:f>
        <x:v>-3192500</x:v>
      </x:c>
      <x:c r="G17" s="6" t="n">
        <x:f>F17/27</x:f>
        <x:v>-118240.74074074074</x:v>
      </x:c>
      <x:c r="H17" s="7" t="n">
        <x:v>22</x:v>
      </x:c>
      <x:c r="I17" s="7" t="n">
        <x:v>0</x:v>
      </x:c>
      <x:c r="J17" s="6" t="n">
        <x:v>154268.18181818182</x:v>
      </x:c>
      <x:c r="K17" s="6" t="n">
        <x:v>463400</x:v>
      </x:c>
      <x:c r="L17" s="6" t="n">
        <x:v>-499400</x:v>
      </x:c>
      <x:c r="M17" s="6" t="n">
        <x:f>SUM('日経_D164_11'!F6,'日経_D164_11'!F7,'日経_D164_11'!F8,'日経_D164_11'!F9,'日経_D164_11'!F10,'日経_D164_11'!F11,'日経_D164_11'!F12,'日経_D164_11'!F13,'日経_D164_11'!F14,'日経_D164_11'!F15,'日経_D164_11'!F16,'日経_D164_11'!F17,'日経_D164_11'!F18,'日経_D164_11'!F19,'日経_D164_11'!F20,'日経_D164_11'!F21,'日経_D164_11'!F22,'日経_D164_11'!F23,'日経_D164_11'!F24,'日経_D164_11'!F25)</x:f>
        <x:v>-2273100</x:v>
      </x:c>
      <x:c r="N17" s="6" t="n">
        <x:f>SUM('日経_D164_11'!F26,'日経_D164_11'!F27,'日経_D164_11'!F28,'日経_D164_11'!F29,'日経_D164_11'!F30,'日経_D164_11'!F31,'日経_D164_11'!F32)</x:f>
        <x:v>-919400</x:v>
      </x:c>
      <x:c r="O17" s="6" t="n">
        <x:v>-3383400</x:v>
      </x:c>
    </x:row>
    <x:row r="18" ht="25" customHeight="1">
      <x:c r="A18" s="2" t="str">
        <x:v>NK225_P164_00</x:v>
      </x:c>
      <x:c r="B18" s="2" t="str">
        <x:v>米国前</x:v>
      </x:c>
      <x:c r="C18" s="2" t="str">
        <x:v>第1巡</x:v>
      </x:c>
      <x:c r="D18" s="6" t="n">
        <x:f>'日経_P164_00'!D33</x:f>
        <x:v>461000</x:v>
      </x:c>
      <x:c r="E18" s="6" t="n">
        <x:f>'日経_P164_00'!E33</x:f>
        <x:v>77000</x:v>
      </x:c>
      <x:c r="F18" s="6" t="n">
        <x:f>D18-E18</x:f>
        <x:v>384000</x:v>
      </x:c>
      <x:c r="G18" s="6" t="n">
        <x:f>F18/27</x:f>
        <x:v>14222.222222222223</x:v>
      </x:c>
      <x:c r="H18" s="7" t="n">
        <x:v>3</x:v>
      </x:c>
      <x:c r="I18" s="7" t="n">
        <x:v>9</x:v>
      </x:c>
      <x:c r="J18" s="6" t="n">
        <x:v>9333.333333333334</x:v>
      </x:c>
      <x:c r="K18" s="6" t="n">
        <x:v>20000</x:v>
      </x:c>
      <x:c r="L18" s="6" t="n">
        <x:v>-120000</x:v>
      </x:c>
      <x:c r="M18" s="6" t="n">
        <x:f>SUM('日経_P164_00'!F6,'日経_P164_00'!F7,'日経_P164_00'!F8,'日経_P164_00'!F9,'日経_P164_00'!F10,'日経_P164_00'!F11,'日経_P164_00'!F12,'日経_P164_00'!F13,'日経_P164_00'!F14,'日経_P164_00'!F15,'日経_P164_00'!F16,'日経_P164_00'!F17,'日経_P164_00'!F18,'日経_P164_00'!F19,'日経_P164_00'!F20,'日経_P164_00'!F21,'日経_P164_00'!F22,'日経_P164_00'!F23,'日経_P164_00'!F24,'日経_P164_00'!F25)</x:f>
        <x:v>253000</x:v>
      </x:c>
      <x:c r="N18" s="6" t="n">
        <x:f>SUM('日経_P164_00'!F26,'日経_P164_00'!F27,'日経_P164_00'!F28,'日経_P164_00'!F29,'日経_P164_00'!F30,'日経_P164_00'!F31,'日経_P164_00'!F32)</x:f>
        <x:v>131000</x:v>
      </x:c>
      <x:c r="O18" s="6" t="n">
        <x:v>194000</x:v>
      </x:c>
    </x:row>
    <x:row r="19" ht="25" customHeight="1">
      <x:c r="A19" s="2" t="str">
        <x:v>NK225_P164_01</x:v>
      </x:c>
      <x:c r="B19" s="2" t="str">
        <x:v>米国前</x:v>
      </x:c>
      <x:c r="C19" s="2" t="str"/>
      <x:c r="D19" s="6" t="n">
        <x:f>'日経_P164_01'!D33</x:f>
        <x:v>1773700</x:v>
      </x:c>
      <x:c r="E19" s="6" t="n">
        <x:f>'日経_P164_01'!E33</x:f>
        <x:v>4452800</x:v>
      </x:c>
      <x:c r="F19" s="6" t="n">
        <x:f>D19-E19</x:f>
        <x:v>-2679100</x:v>
      </x:c>
      <x:c r="G19" s="6" t="n">
        <x:f>F19/27</x:f>
        <x:v>-99225.92592592593</x:v>
      </x:c>
      <x:c r="H19" s="7" t="n">
        <x:v>23</x:v>
      </x:c>
      <x:c r="I19" s="7" t="n">
        <x:v>2</x:v>
      </x:c>
      <x:c r="J19" s="6" t="n">
        <x:v>119517.39130434782</x:v>
      </x:c>
      <x:c r="K19" s="6" t="n">
        <x:v>309700</x:v>
      </x:c>
      <x:c r="L19" s="6" t="n">
        <x:v>-327900</x:v>
      </x:c>
      <x:c r="M19" s="6" t="n">
        <x:f>SUM('日経_P164_01'!F6,'日経_P164_01'!F7,'日経_P164_01'!F8,'日経_P164_01'!F9,'日経_P164_01'!F10,'日経_P164_01'!F11,'日経_P164_01'!F12,'日経_P164_01'!F13,'日経_P164_01'!F14,'日経_P164_01'!F15,'日経_P164_01'!F16,'日経_P164_01'!F17,'日経_P164_01'!F18,'日経_P164_01'!F19,'日経_P164_01'!F20,'日経_P164_01'!F21,'日経_P164_01'!F22,'日経_P164_01'!F23,'日経_P164_01'!F24,'日経_P164_01'!F25)</x:f>
        <x:v>-1805700</x:v>
      </x:c>
      <x:c r="N19" s="6" t="n">
        <x:f>SUM('日経_P164_01'!F26,'日経_P164_01'!F27,'日経_P164_01'!F28,'日経_P164_01'!F29,'日経_P164_01'!F30,'日経_P164_01'!F31,'日経_P164_01'!F32)</x:f>
        <x:v>-873400</x:v>
      </x:c>
      <x:c r="O19" s="6" t="n">
        <x:v>-2748900</x:v>
      </x:c>
    </x:row>
    <x:row r="20" ht="25" customHeight="1">
      <x:c r="A20" s="2" t="str">
        <x:v>NK225_P164_02</x:v>
      </x:c>
      <x:c r="B20" s="2" t="str">
        <x:v>米国前</x:v>
      </x:c>
      <x:c r="C20" s="2" t="str"/>
      <x:c r="D20" s="6" t="n">
        <x:f>'日経_P164_02'!D33</x:f>
        <x:v>641400</x:v>
      </x:c>
      <x:c r="E20" s="6" t="n">
        <x:f>'日経_P164_02'!E33</x:f>
        <x:v>3007000</x:v>
      </x:c>
      <x:c r="F20" s="6" t="n">
        <x:f>D20-E20</x:f>
        <x:v>-2365600</x:v>
      </x:c>
      <x:c r="G20" s="6" t="n">
        <x:f>F20/27</x:f>
        <x:v>-87614.81481481482</x:v>
      </x:c>
      <x:c r="H20" s="7" t="n">
        <x:v>24</x:v>
      </x:c>
      <x:c r="I20" s="7" t="n">
        <x:v>2</x:v>
      </x:c>
      <x:c r="J20" s="6" t="n">
        <x:v>98566.66666666667</x:v>
      </x:c>
      <x:c r="K20" s="6" t="n">
        <x:v>344200</x:v>
      </x:c>
      <x:c r="L20" s="6" t="n">
        <x:v>-358200</x:v>
      </x:c>
      <x:c r="M20" s="6" t="n">
        <x:f>SUM('日経_P164_02'!F6,'日経_P164_02'!F7,'日経_P164_02'!F8,'日経_P164_02'!F9,'日経_P164_02'!F10,'日経_P164_02'!F11,'日経_P164_02'!F12,'日経_P164_02'!F13,'日経_P164_02'!F14,'日経_P164_02'!F15,'日経_P164_02'!F16,'日経_P164_02'!F17,'日経_P164_02'!F18,'日経_P164_02'!F19,'日経_P164_02'!F20,'日経_P164_02'!F21,'日経_P164_02'!F22,'日経_P164_02'!F23,'日経_P164_02'!F24,'日経_P164_02'!F25)</x:f>
        <x:v>-1821000</x:v>
      </x:c>
      <x:c r="N20" s="6" t="n">
        <x:f>SUM('日経_P164_02'!F26,'日経_P164_02'!F27,'日経_P164_02'!F28,'日経_P164_02'!F29,'日経_P164_02'!F30,'日経_P164_02'!F31,'日経_P164_02'!F32)</x:f>
        <x:v>-544600</x:v>
      </x:c>
      <x:c r="O20" s="6" t="n">
        <x:v>-2365600</x:v>
      </x:c>
    </x:row>
    <x:row r="21" ht="25" customHeight="1">
      <x:c r="A21" s="2" t="str">
        <x:v>NK225_P164_03</x:v>
      </x:c>
      <x:c r="B21" s="2" t="str">
        <x:v>米国前</x:v>
      </x:c>
      <x:c r="C21" s="2" t="str"/>
      <x:c r="D21" s="6" t="n">
        <x:f>'日経_P164_03'!D33</x:f>
        <x:v>641400</x:v>
      </x:c>
      <x:c r="E21" s="6" t="n">
        <x:f>'日経_P164_03'!E33</x:f>
        <x:v>3007000</x:v>
      </x:c>
      <x:c r="F21" s="6" t="n">
        <x:f>D21-E21</x:f>
        <x:v>-2365600</x:v>
      </x:c>
      <x:c r="G21" s="6" t="n">
        <x:f>F21/27</x:f>
        <x:v>-87614.81481481482</x:v>
      </x:c>
      <x:c r="H21" s="7" t="n">
        <x:v>24</x:v>
      </x:c>
      <x:c r="I21" s="7" t="n">
        <x:v>2</x:v>
      </x:c>
      <x:c r="J21" s="6" t="n">
        <x:v>98566.66666666667</x:v>
      </x:c>
      <x:c r="K21" s="6" t="n">
        <x:v>344200</x:v>
      </x:c>
      <x:c r="L21" s="6" t="n">
        <x:v>-358200</x:v>
      </x:c>
      <x:c r="M21" s="6" t="n">
        <x:f>SUM('日経_P164_03'!F6,'日経_P164_03'!F7,'日経_P164_03'!F8,'日経_P164_03'!F9,'日経_P164_03'!F10,'日経_P164_03'!F11,'日経_P164_03'!F12,'日経_P164_03'!F13,'日経_P164_03'!F14,'日経_P164_03'!F15,'日経_P164_03'!F16,'日経_P164_03'!F17,'日経_P164_03'!F18,'日経_P164_03'!F19,'日経_P164_03'!F20,'日経_P164_03'!F21,'日経_P164_03'!F22,'日経_P164_03'!F23,'日経_P164_03'!F24,'日経_P164_03'!F25)</x:f>
        <x:v>-1821000</x:v>
      </x:c>
      <x:c r="N21" s="6" t="n">
        <x:f>SUM('日経_P164_03'!F26,'日経_P164_03'!F27,'日経_P164_03'!F28,'日経_P164_03'!F29,'日経_P164_03'!F30,'日経_P164_03'!F31,'日経_P164_03'!F32)</x:f>
        <x:v>-544600</x:v>
      </x:c>
      <x:c r="O21" s="6" t="n">
        <x:v>-2365600</x:v>
      </x:c>
    </x:row>
    <x:row r="22" ht="25" customHeight="1">
      <x:c r="A22" s="2" t="str">
        <x:v>NK225_U164_00</x:v>
      </x:c>
      <x:c r="B22" s="2" t="str">
        <x:v>米国後</x:v>
      </x:c>
      <x:c r="C22" s="2" t="str">
        <x:v>第1・2巡</x:v>
      </x:c>
      <x:c r="D22" s="6" t="n">
        <x:f>'日経_U164_00'!D33</x:f>
        <x:v>2304000</x:v>
      </x:c>
      <x:c r="E22" s="6" t="n">
        <x:f>'日経_U164_00'!E33</x:f>
        <x:v>1204000</x:v>
      </x:c>
      <x:c r="F22" s="6" t="n">
        <x:f>D22-E22</x:f>
        <x:v>1100000</x:v>
      </x:c>
      <x:c r="G22" s="6" t="n">
        <x:f>F22/27</x:f>
        <x:v>40740.74074074074</x:v>
      </x:c>
      <x:c r="H22" s="7" t="n">
        <x:v>9</x:v>
      </x:c>
      <x:c r="I22" s="7" t="n">
        <x:v>0</x:v>
      </x:c>
      <x:c r="J22" s="6" t="n">
        <x:v>30888.88888888889</x:v>
      </x:c>
      <x:c r="K22" s="6" t="n">
        <x:v>53000</x:v>
      </x:c>
      <x:c r="L22" s="6" t="n">
        <x:v>-85000</x:v>
      </x:c>
      <x:c r="M22" s="6" t="n">
        <x:f>SUM('日経_U164_00'!F6,'日経_U164_00'!F7,'日経_U164_00'!F8,'日経_U164_00'!F9,'日経_U164_00'!F10,'日経_U164_00'!F11,'日経_U164_00'!F12,'日経_U164_00'!F13,'日経_U164_00'!F14,'日経_U164_00'!F15,'日経_U164_00'!F16,'日経_U164_00'!F17,'日経_U164_00'!F18,'日経_U164_00'!F19,'日経_U164_00'!F20,'日経_U164_00'!F21,'日経_U164_00'!F22,'日経_U164_00'!F23,'日経_U164_00'!F24,'日経_U164_00'!F25)</x:f>
        <x:v>938000</x:v>
      </x:c>
      <x:c r="N22" s="6" t="n">
        <x:f>SUM('日経_U164_00'!F26,'日経_U164_00'!F27,'日経_U164_00'!F28,'日経_U164_00'!F29,'日経_U164_00'!F30,'日経_U164_00'!F31,'日経_U164_00'!F32)</x:f>
        <x:v>162000</x:v>
      </x:c>
      <x:c r="O22" s="6" t="n">
        <x:v>382000</x:v>
      </x:c>
    </x:row>
    <x:row r="23" ht="25" customHeight="1">
      <x:c r="A23" s="2" t="str">
        <x:v>NK225_U164_01</x:v>
      </x:c>
      <x:c r="B23" s="2" t="str">
        <x:v>米国後</x:v>
      </x:c>
      <x:c r="C23" s="2" t="str"/>
      <x:c r="D23" s="6" t="n">
        <x:f>'日経_U164_01'!D33</x:f>
        <x:v>0</x:v>
      </x:c>
      <x:c r="E23" s="6" t="n">
        <x:f>'日経_U164_01'!E33</x:f>
        <x:v>0</x:v>
      </x:c>
      <x:c r="F23" s="6" t="n">
        <x:f>D23-E23</x:f>
        <x:v>0</x:v>
      </x:c>
      <x:c r="G23" s="6" t="n">
        <x:f>F23/27</x:f>
        <x:v>0</x:v>
      </x:c>
      <x:c r="H23" s="7" t="n">
        <x:v>0</x:v>
      </x:c>
      <x:c r="I23" s="7" t="n">
        <x:v>27</x:v>
      </x:c>
      <x:c r="J23" s="6" t="n">
        <x:v>0</x:v>
      </x:c>
      <x:c r="K23" s="6" t="n">
        <x:v>0</x:v>
      </x:c>
      <x:c r="L23" s="6" t="n">
        <x:v>0</x:v>
      </x:c>
      <x:c r="M23" s="6" t="n">
        <x:f>SUM('日経_U164_01'!F6,'日経_U164_01'!F7,'日経_U164_01'!F8,'日経_U164_01'!F9,'日経_U164_01'!F10,'日経_U164_01'!F11,'日経_U164_01'!F12,'日経_U164_01'!F13,'日経_U164_01'!F14,'日経_U164_01'!F15,'日経_U164_01'!F16,'日経_U164_01'!F17,'日経_U164_01'!F18,'日経_U164_01'!F19,'日経_U164_01'!F20,'日経_U164_01'!F21,'日経_U164_01'!F22,'日経_U164_01'!F23,'日経_U164_01'!F24,'日経_U164_01'!F25)</x:f>
        <x:v>0</x:v>
      </x:c>
      <x:c r="N23" s="6" t="n">
        <x:f>SUM('日経_U164_01'!F26,'日経_U164_01'!F27,'日経_U164_01'!F28,'日経_U164_01'!F29,'日経_U164_01'!F30,'日経_U164_01'!F31,'日経_U164_01'!F32)</x:f>
        <x:v>0</x:v>
      </x:c>
      <x:c r="O23" s="6" t="n">
        <x:v>0</x:v>
      </x:c>
    </x:row>
    <x:row r="24" ht="25" customHeight="1">
      <x:c r="A24" s="2" t="str">
        <x:v>NK225_U164_02</x:v>
      </x:c>
      <x:c r="B24" s="2" t="str">
        <x:v>米国後</x:v>
      </x:c>
      <x:c r="C24" s="2" t="str"/>
      <x:c r="D24" s="6" t="n">
        <x:f>'日経_U164_02'!D33</x:f>
        <x:v>0</x:v>
      </x:c>
      <x:c r="E24" s="6" t="n">
        <x:f>'日経_U164_02'!E33</x:f>
        <x:v>0</x:v>
      </x:c>
      <x:c r="F24" s="6" t="n">
        <x:f>D24-E24</x:f>
        <x:v>0</x:v>
      </x:c>
      <x:c r="G24" s="6" t="n">
        <x:f>F24/27</x:f>
        <x:v>0</x:v>
      </x:c>
      <x:c r="H24" s="7" t="n">
        <x:v>0</x:v>
      </x:c>
      <x:c r="I24" s="7" t="n">
        <x:v>27</x:v>
      </x:c>
      <x:c r="J24" s="6" t="n">
        <x:v>0</x:v>
      </x:c>
      <x:c r="K24" s="6" t="n">
        <x:v>0</x:v>
      </x:c>
      <x:c r="L24" s="6" t="n">
        <x:v>0</x:v>
      </x:c>
      <x:c r="M24" s="6" t="n">
        <x:f>SUM('日経_U164_02'!F6,'日経_U164_02'!F7,'日経_U164_02'!F8,'日経_U164_02'!F9,'日経_U164_02'!F10,'日経_U164_02'!F11,'日経_U164_02'!F12,'日経_U164_02'!F13,'日経_U164_02'!F14,'日経_U164_02'!F15,'日経_U164_02'!F16,'日経_U164_02'!F17,'日経_U164_02'!F18,'日経_U164_02'!F19,'日経_U164_02'!F20,'日経_U164_02'!F21,'日経_U164_02'!F22,'日経_U164_02'!F23,'日経_U164_02'!F24,'日経_U164_02'!F25)</x:f>
        <x:v>0</x:v>
      </x:c>
      <x:c r="N24" s="6" t="n">
        <x:f>SUM('日経_U164_02'!F26,'日経_U164_02'!F27,'日経_U164_02'!F28,'日経_U164_02'!F29,'日経_U164_02'!F30,'日経_U164_02'!F31,'日経_U164_02'!F32)</x:f>
        <x:v>0</x:v>
      </x:c>
      <x:c r="O24" s="6" t="n">
        <x:v>0</x:v>
      </x:c>
    </x:row>
    <x:row r="25" ht="25" customHeight="1">
      <x:c r="A25" s="2" t="str">
        <x:v>NK225_U164_03</x:v>
      </x:c>
      <x:c r="B25" s="2" t="str">
        <x:v>米国後</x:v>
      </x:c>
      <x:c r="C25" s="2" t="str"/>
      <x:c r="D25" s="6" t="n">
        <x:f>'日経_U164_03'!D33</x:f>
        <x:v>0</x:v>
      </x:c>
      <x:c r="E25" s="6" t="n">
        <x:f>'日経_U164_03'!E33</x:f>
        <x:v>0</x:v>
      </x:c>
      <x:c r="F25" s="6" t="n">
        <x:f>D25-E25</x:f>
        <x:v>0</x:v>
      </x:c>
      <x:c r="G25" s="6" t="n">
        <x:f>F25/27</x:f>
        <x:v>0</x:v>
      </x:c>
      <x:c r="H25" s="7" t="n">
        <x:v>0</x:v>
      </x:c>
      <x:c r="I25" s="7" t="n">
        <x:v>27</x:v>
      </x:c>
      <x:c r="J25" s="6" t="n">
        <x:v>0</x:v>
      </x:c>
      <x:c r="K25" s="6" t="n">
        <x:v>0</x:v>
      </x:c>
      <x:c r="L25" s="6" t="n">
        <x:v>0</x:v>
      </x:c>
      <x:c r="M25" s="6" t="n">
        <x:f>SUM('日経_U164_03'!F6,'日経_U164_03'!F7,'日経_U164_03'!F8,'日経_U164_03'!F9,'日経_U164_03'!F10,'日経_U164_03'!F11,'日経_U164_03'!F12,'日経_U164_03'!F13,'日経_U164_03'!F14,'日経_U164_03'!F15,'日経_U164_03'!F16,'日経_U164_03'!F17,'日経_U164_03'!F18,'日経_U164_03'!F19,'日経_U164_03'!F20,'日経_U164_03'!F21,'日経_U164_03'!F22,'日経_U164_03'!F23,'日経_U164_03'!F24,'日経_U164_03'!F25)</x:f>
        <x:v>0</x:v>
      </x:c>
      <x:c r="N25" s="6" t="n">
        <x:f>SUM('日経_U164_03'!F26,'日経_U164_03'!F27,'日経_U164_03'!F28,'日経_U164_03'!F29,'日経_U164_03'!F30,'日経_U164_03'!F31,'日経_U164_03'!F32)</x:f>
        <x:v>0</x:v>
      </x:c>
      <x:c r="O25" s="6" t="n">
        <x:v>0</x:v>
      </x:c>
    </x:row>
    <x:row r="26" ht="25" customHeight="1">
      <x:c r="A26" s="2" t="str">
        <x:v>NK225_D164_12</x:v>
      </x:c>
      <x:c r="B26" s="2" t="str">
        <x:v>日中</x:v>
      </x:c>
      <x:c r="C26" s="2" t="str"/>
      <x:c r="D26" s="6" t="n">
        <x:f>'日経_D164_12'!D33</x:f>
        <x:v>3474100</x:v>
      </x:c>
      <x:c r="E26" s="6" t="n">
        <x:f>'日経_D164_12'!E33</x:f>
        <x:v>1982200</x:v>
      </x:c>
      <x:c r="F26" s="6" t="n">
        <x:f>D26-E26</x:f>
        <x:v>1491900</x:v>
      </x:c>
      <x:c r="G26" s="6" t="n">
        <x:f>F26/27</x:f>
        <x:v>55255.555555555555</x:v>
      </x:c>
      <x:c r="H26" s="7" t="n">
        <x:v>10</x:v>
      </x:c>
      <x:c r="I26" s="7" t="n">
        <x:v>0</x:v>
      </x:c>
      <x:c r="J26" s="6" t="n">
        <x:v>67530</x:v>
      </x:c>
      <x:c r="K26" s="6" t="n">
        <x:v>129300</x:v>
      </x:c>
      <x:c r="L26" s="6" t="n">
        <x:v>-175600</x:v>
      </x:c>
      <x:c r="M26" s="6" t="n">
        <x:f>SUM('日経_D164_12'!F6,'日経_D164_12'!F7,'日経_D164_12'!F8,'日経_D164_12'!F9,'日経_D164_12'!F10,'日経_D164_12'!F11,'日経_D164_12'!F12,'日経_D164_12'!F13,'日経_D164_12'!F14,'日経_D164_12'!F15,'日経_D164_12'!F16,'日経_D164_12'!F17,'日経_D164_12'!F18,'日経_D164_12'!F19,'日経_D164_12'!F20,'日経_D164_12'!F21,'日経_D164_12'!F22,'日経_D164_12'!F23,'日経_D164_12'!F24,'日経_D164_12'!F25)</x:f>
        <x:v>432200</x:v>
      </x:c>
      <x:c r="N26" s="6" t="n">
        <x:f>SUM('日経_D164_12'!F26,'日経_D164_12'!F27,'日経_D164_12'!F28,'日経_D164_12'!F29,'日経_D164_12'!F30,'日経_D164_12'!F31,'日経_D164_12'!F32)</x:f>
        <x:v>1059700</x:v>
      </x:c>
      <x:c r="O26" s="6" t="n">
        <x:v>343600</x:v>
      </x:c>
    </x:row>
    <x:row r="27" ht="25" customHeight="1">
      <x:c r="A27" s="2" t="str">
        <x:v>NK225_D164_13</x:v>
      </x:c>
      <x:c r="B27" s="2" t="str">
        <x:v>日中</x:v>
      </x:c>
      <x:c r="C27" s="2" t="str"/>
      <x:c r="D27" s="6" t="n">
        <x:f>'日経_D164_13'!D33</x:f>
        <x:v>3509800</x:v>
      </x:c>
      <x:c r="E27" s="6" t="n">
        <x:f>'日経_D164_13'!E33</x:f>
        <x:v>1990400</x:v>
      </x:c>
      <x:c r="F27" s="6" t="n">
        <x:f>D27-E27</x:f>
        <x:v>1519400</x:v>
      </x:c>
      <x:c r="G27" s="6" t="n">
        <x:f>F27/27</x:f>
        <x:v>56274.07407407407</x:v>
      </x:c>
      <x:c r="H27" s="7" t="n">
        <x:v>10</x:v>
      </x:c>
      <x:c r="I27" s="7" t="n">
        <x:v>0</x:v>
      </x:c>
      <x:c r="J27" s="6" t="n">
        <x:v>70210</x:v>
      </x:c>
      <x:c r="K27" s="6" t="n">
        <x:v>133800</x:v>
      </x:c>
      <x:c r="L27" s="6" t="n">
        <x:v>-191200</x:v>
      </x:c>
      <x:c r="M27" s="6" t="n">
        <x:f>SUM('日経_D164_13'!F6,'日経_D164_13'!F7,'日経_D164_13'!F8,'日経_D164_13'!F9,'日経_D164_13'!F10,'日経_D164_13'!F11,'日経_D164_13'!F12,'日経_D164_13'!F13,'日経_D164_13'!F14,'日経_D164_13'!F15,'日経_D164_13'!F16,'日経_D164_13'!F17,'日経_D164_13'!F18,'日経_D164_13'!F19,'日経_D164_13'!F20,'日経_D164_13'!F21,'日経_D164_13'!F22,'日経_D164_13'!F23,'日経_D164_13'!F24,'日経_D164_13'!F25)</x:f>
        <x:v>349400</x:v>
      </x:c>
      <x:c r="N27" s="6" t="n">
        <x:f>SUM('日経_D164_13'!F26,'日経_D164_13'!F27,'日経_D164_13'!F28,'日経_D164_13'!F29,'日経_D164_13'!F30,'日経_D164_13'!F31,'日経_D164_13'!F32)</x:f>
        <x:v>1170000</x:v>
      </x:c>
      <x:c r="O27" s="6" t="n">
        <x:v>416500</x:v>
      </x:c>
    </x:row>
    <x:row r="28" ht="25" customHeight="1">
      <x:c r="A28" s="2" t="str">
        <x:v>NK225_D164_14</x:v>
      </x:c>
      <x:c r="B28" s="2" t="str">
        <x:v>日中</x:v>
      </x:c>
      <x:c r="C28" s="2" t="str"/>
      <x:c r="D28" s="6" t="n">
        <x:f>'日経_D164_14'!D33</x:f>
        <x:v>3054600</x:v>
      </x:c>
      <x:c r="E28" s="6" t="n">
        <x:f>'日経_D164_14'!E33</x:f>
        <x:v>1882400</x:v>
      </x:c>
      <x:c r="F28" s="6" t="n">
        <x:f>D28-E28</x:f>
        <x:v>1172200</x:v>
      </x:c>
      <x:c r="G28" s="6" t="n">
        <x:f>F28/27</x:f>
        <x:v>43414.81481481482</x:v>
      </x:c>
      <x:c r="H28" s="7" t="n">
        <x:v>9</x:v>
      </x:c>
      <x:c r="I28" s="7" t="n">
        <x:v>0</x:v>
      </x:c>
      <x:c r="J28" s="6" t="n">
        <x:v>74044.44444444444</x:v>
      </x:c>
      <x:c r="K28" s="6" t="n">
        <x:v>132500</x:v>
      </x:c>
      <x:c r="L28" s="6" t="n">
        <x:v>-177600</x:v>
      </x:c>
      <x:c r="M28" s="6" t="n">
        <x:f>SUM('日経_D164_14'!F6,'日経_D164_14'!F7,'日経_D164_14'!F8,'日経_D164_14'!F9,'日経_D164_14'!F10,'日経_D164_14'!F11,'日経_D164_14'!F12,'日経_D164_14'!F13,'日経_D164_14'!F14,'日経_D164_14'!F15,'日経_D164_14'!F16,'日経_D164_14'!F17,'日経_D164_14'!F18,'日経_D164_14'!F19,'日経_D164_14'!F20,'日経_D164_14'!F21,'日経_D164_14'!F22,'日経_D164_14'!F23,'日経_D164_14'!F24,'日経_D164_14'!F25)</x:f>
        <x:v>351700</x:v>
      </x:c>
      <x:c r="N28" s="6" t="n">
        <x:f>SUM('日経_D164_14'!F26,'日経_D164_14'!F27,'日経_D164_14'!F28,'日経_D164_14'!F29,'日経_D164_14'!F30,'日経_D164_14'!F31,'日経_D164_14'!F32)</x:f>
        <x:v>820500</x:v>
      </x:c>
      <x:c r="O28" s="6" t="n">
        <x:v>99900</x:v>
      </x:c>
    </x:row>
    <x:row r="29" ht="25" customHeight="1">
      <x:c r="A29" s="2" t="str">
        <x:v>NK225_D164_15</x:v>
      </x:c>
      <x:c r="B29" s="2" t="str">
        <x:v>日中</x:v>
      </x:c>
      <x:c r="C29" s="2" t="str">
        <x:v>第2巡</x:v>
      </x:c>
      <x:c r="D29" s="6" t="n">
        <x:f>'日経_D164_15'!D33</x:f>
        <x:v>3067600</x:v>
      </x:c>
      <x:c r="E29" s="6" t="n">
        <x:f>'日経_D164_15'!E33</x:f>
        <x:v>1819100</x:v>
      </x:c>
      <x:c r="F29" s="6" t="n">
        <x:f>D29-E29</x:f>
        <x:v>1248500</x:v>
      </x:c>
      <x:c r="G29" s="6" t="n">
        <x:f>F29/27</x:f>
        <x:v>46240.74074074074</x:v>
      </x:c>
      <x:c r="H29" s="7" t="n">
        <x:v>9</x:v>
      </x:c>
      <x:c r="I29" s="7" t="n">
        <x:v>0</x:v>
      </x:c>
      <x:c r="J29" s="6" t="n">
        <x:v>68922.22222222222</x:v>
      </x:c>
      <x:c r="K29" s="6" t="n">
        <x:v>132500</x:v>
      </x:c>
      <x:c r="L29" s="6" t="n">
        <x:v>-177600</x:v>
      </x:c>
      <x:c r="M29" s="6" t="n">
        <x:f>SUM('日経_D164_15'!F6,'日経_D164_15'!F7,'日経_D164_15'!F8,'日経_D164_15'!F9,'日経_D164_15'!F10,'日経_D164_15'!F11,'日経_D164_15'!F12,'日経_D164_15'!F13,'日経_D164_15'!F14,'日経_D164_15'!F15,'日経_D164_15'!F16,'日経_D164_15'!F17,'日経_D164_15'!F18,'日経_D164_15'!F19,'日経_D164_15'!F20,'日経_D164_15'!F21,'日経_D164_15'!F22,'日経_D164_15'!F23,'日経_D164_15'!F24,'日経_D164_15'!F25)</x:f>
        <x:v>410500</x:v>
      </x:c>
      <x:c r="N29" s="6" t="n">
        <x:f>SUM('日経_D164_15'!F26,'日経_D164_15'!F27,'日経_D164_15'!F28,'日経_D164_15'!F29,'日経_D164_15'!F30,'日経_D164_15'!F31,'日経_D164_15'!F32)</x:f>
        <x:v>838000</x:v>
      </x:c>
      <x:c r="O29" s="6" t="n">
        <x:v>174200</x:v>
      </x:c>
    </x:row>
    <x:row r="30" ht="25" customHeight="1">
      <x:c r="A30" s="2" t="str">
        <x:v>NK225_P164_04</x:v>
      </x:c>
      <x:c r="B30" s="2" t="str">
        <x:v>米国前</x:v>
      </x:c>
      <x:c r="C30" s="2" t="str"/>
      <x:c r="D30" s="6" t="n">
        <x:f>'日経_P164_04'!D33</x:f>
        <x:v>44000</x:v>
      </x:c>
      <x:c r="E30" s="6" t="n">
        <x:f>'日経_P164_04'!E33</x:f>
        <x:v>62000</x:v>
      </x:c>
      <x:c r="F30" s="6" t="n">
        <x:f>D30-E30</x:f>
        <x:v>-18000</x:v>
      </x:c>
      <x:c r="G30" s="6" t="n">
        <x:f>F30/27</x:f>
        <x:v>-666.6666666666666</x:v>
      </x:c>
      <x:c r="H30" s="7" t="n">
        <x:v>2</x:v>
      </x:c>
      <x:c r="I30" s="7" t="n">
        <x:v>9</x:v>
      </x:c>
      <x:c r="J30" s="6" t="n">
        <x:v>28000</x:v>
      </x:c>
      <x:c r="K30" s="6" t="n">
        <x:v>31000</x:v>
      </x:c>
      <x:c r="L30" s="6" t="n">
        <x:v>-120000</x:v>
      </x:c>
      <x:c r="M30" s="6" t="n">
        <x:f>SUM('日経_P164_04'!F6,'日経_P164_04'!F7,'日経_P164_04'!F8,'日経_P164_04'!F9,'日経_P164_04'!F10,'日経_P164_04'!F11,'日経_P164_04'!F12,'日経_P164_04'!F13,'日経_P164_04'!F14,'日経_P164_04'!F15,'日経_P164_04'!F16,'日経_P164_04'!F17,'日経_P164_04'!F18,'日経_P164_04'!F19,'日経_P164_04'!F20,'日経_P164_04'!F21,'日経_P164_04'!F22,'日経_P164_04'!F23,'日経_P164_04'!F24,'日経_P164_04'!F25)</x:f>
        <x:v>9000</x:v>
      </x:c>
      <x:c r="N30" s="6" t="n">
        <x:f>SUM('日経_P164_04'!F26,'日経_P164_04'!F27,'日経_P164_04'!F28,'日経_P164_04'!F29,'日経_P164_04'!F30,'日経_P164_04'!F31,'日経_P164_04'!F32)</x:f>
        <x:v>-27000</x:v>
      </x:c>
      <x:c r="O30" s="6" t="n">
        <x:v>-46000</x:v>
      </x:c>
    </x:row>
    <x:row r="31" ht="25" customHeight="1">
      <x:c r="A31" s="2" t="str">
        <x:v>NK225_P164_05</x:v>
      </x:c>
      <x:c r="B31" s="2" t="str">
        <x:v>米国前</x:v>
      </x:c>
      <x:c r="C31" s="2" t="str"/>
      <x:c r="D31" s="6" t="n">
        <x:f>'日経_P164_05'!D33</x:f>
        <x:v>457000</x:v>
      </x:c>
      <x:c r="E31" s="6" t="n">
        <x:f>'日経_P164_05'!E33</x:f>
        <x:v>77000</x:v>
      </x:c>
      <x:c r="F31" s="6" t="n">
        <x:f>D31-E31</x:f>
        <x:v>380000</x:v>
      </x:c>
      <x:c r="G31" s="6" t="n">
        <x:f>F31/27</x:f>
        <x:v>14074.074074074075</x:v>
      </x:c>
      <x:c r="H31" s="7" t="n">
        <x:v>3</x:v>
      </x:c>
      <x:c r="I31" s="7" t="n">
        <x:v>9</x:v>
      </x:c>
      <x:c r="J31" s="6" t="n">
        <x:v>10666.666666666666</x:v>
      </x:c>
      <x:c r="K31" s="6" t="n">
        <x:v>20000</x:v>
      </x:c>
      <x:c r="L31" s="6" t="n">
        <x:v>-120000</x:v>
      </x:c>
      <x:c r="M31" s="6" t="n">
        <x:f>SUM('日経_P164_05'!F6,'日経_P164_05'!F7,'日経_P164_05'!F8,'日経_P164_05'!F9,'日経_P164_05'!F10,'日経_P164_05'!F11,'日経_P164_05'!F12,'日経_P164_05'!F13,'日経_P164_05'!F14,'日経_P164_05'!F15,'日経_P164_05'!F16,'日経_P164_05'!F17,'日経_P164_05'!F18,'日経_P164_05'!F19,'日経_P164_05'!F20,'日経_P164_05'!F21,'日経_P164_05'!F22,'日経_P164_05'!F23,'日経_P164_05'!F24,'日経_P164_05'!F25)</x:f>
        <x:v>253000</x:v>
      </x:c>
      <x:c r="N31" s="6" t="n">
        <x:f>SUM('日経_P164_05'!F26,'日経_P164_05'!F27,'日経_P164_05'!F28,'日経_P164_05'!F29,'日経_P164_05'!F30,'日経_P164_05'!F31,'日経_P164_05'!F32)</x:f>
        <x:v>127000</x:v>
      </x:c>
      <x:c r="O31" s="6" t="n">
        <x:v>190000</x:v>
      </x:c>
    </x:row>
    <x:row r="32" ht="25" customHeight="1">
      <x:c r="A32" s="2" t="str">
        <x:v>NK225_P164_06</x:v>
      </x:c>
      <x:c r="B32" s="2" t="str">
        <x:v>米国前</x:v>
      </x:c>
      <x:c r="C32" s="2" t="str">
        <x:v>第2巡</x:v>
      </x:c>
      <x:c r="D32" s="6" t="n">
        <x:f>'日経_P164_06'!D33</x:f>
        <x:v>427000</x:v>
      </x:c>
      <x:c r="E32" s="6" t="n">
        <x:f>'日経_P164_06'!E33</x:f>
        <x:v>35000</x:v>
      </x:c>
      <x:c r="F32" s="6" t="n">
        <x:f>D32-E32</x:f>
        <x:v>392000</x:v>
      </x:c>
      <x:c r="G32" s="6" t="n">
        <x:f>F32/27</x:f>
        <x:v>14518.518518518518</x:v>
      </x:c>
      <x:c r="H32" s="7" t="n">
        <x:v>1</x:v>
      </x:c>
      <x:c r="I32" s="7" t="n">
        <x:v>9</x:v>
      </x:c>
      <x:c r="J32" s="6" t="n">
        <x:v>20000</x:v>
      </x:c>
      <x:c r="K32" s="6" t="n">
        <x:v>20000</x:v>
      </x:c>
      <x:c r="L32" s="6" t="n">
        <x:v>-120000</x:v>
      </x:c>
      <x:c r="M32" s="6" t="n">
        <x:f>SUM('日経_P164_06'!F6,'日経_P164_06'!F7,'日経_P164_06'!F8,'日経_P164_06'!F9,'日経_P164_06'!F10,'日経_P164_06'!F11,'日経_P164_06'!F12,'日経_P164_06'!F13,'日経_P164_06'!F14,'日経_P164_06'!F15,'日経_P164_06'!F16,'日経_P164_06'!F17,'日経_P164_06'!F18,'日経_P164_06'!F19,'日経_P164_06'!F20,'日経_P164_06'!F21,'日経_P164_06'!F22,'日経_P164_06'!F23,'日経_P164_06'!F24,'日経_P164_06'!F25)</x:f>
        <x:v>240000</x:v>
      </x:c>
      <x:c r="N32" s="6" t="n">
        <x:f>SUM('日経_P164_06'!F26,'日経_P164_06'!F27,'日経_P164_06'!F28,'日経_P164_06'!F29,'日経_P164_06'!F30,'日経_P164_06'!F31,'日経_P164_06'!F32)</x:f>
        <x:v>152000</x:v>
      </x:c>
      <x:c r="O32" s="6" t="n">
        <x:v>225000</x:v>
      </x:c>
    </x:row>
    <x:row r="33" ht="25" customHeight="1">
      <x:c r="A33" s="2" t="str">
        <x:v>NK225_P164_07</x:v>
      </x:c>
      <x:c r="B33" s="2" t="str">
        <x:v>米国前</x:v>
      </x:c>
      <x:c r="C33" s="2" t="str"/>
      <x:c r="D33" s="6" t="n">
        <x:f>'日経_P164_07'!D33</x:f>
        <x:v>416000</x:v>
      </x:c>
      <x:c r="E33" s="6" t="n">
        <x:f>'日経_P164_07'!E33</x:f>
        <x:v>30000</x:v>
      </x:c>
      <x:c r="F33" s="6" t="n">
        <x:f>D33-E33</x:f>
        <x:v>386000</x:v>
      </x:c>
      <x:c r="G33" s="6" t="n">
        <x:f>F33/27</x:f>
        <x:v>14296.296296296296</x:v>
      </x:c>
      <x:c r="H33" s="7" t="n">
        <x:v>1</x:v>
      </x:c>
      <x:c r="I33" s="7" t="n">
        <x:v>9</x:v>
      </x:c>
      <x:c r="J33" s="6" t="n">
        <x:v>20000</x:v>
      </x:c>
      <x:c r="K33" s="6" t="n">
        <x:v>20000</x:v>
      </x:c>
      <x:c r="L33" s="6" t="n">
        <x:v>-120000</x:v>
      </x:c>
      <x:c r="M33" s="6" t="n">
        <x:f>SUM('日経_P164_07'!F6,'日経_P164_07'!F7,'日経_P164_07'!F8,'日経_P164_07'!F9,'日経_P164_07'!F10,'日経_P164_07'!F11,'日経_P164_07'!F12,'日経_P164_07'!F13,'日経_P164_07'!F14,'日経_P164_07'!F15,'日経_P164_07'!F16,'日経_P164_07'!F17,'日経_P164_07'!F18,'日経_P164_07'!F19,'日経_P164_07'!F20,'日経_P164_07'!F21,'日経_P164_07'!F22,'日経_P164_07'!F23,'日経_P164_07'!F24,'日経_P164_07'!F25)</x:f>
        <x:v>240000</x:v>
      </x:c>
      <x:c r="N33" s="6" t="n">
        <x:f>SUM('日経_P164_07'!F26,'日経_P164_07'!F27,'日経_P164_07'!F28,'日経_P164_07'!F29,'日経_P164_07'!F30,'日経_P164_07'!F31,'日経_P164_07'!F32)</x:f>
        <x:v>146000</x:v>
      </x:c>
      <x:c r="O33" s="6" t="n">
        <x:v>219000</x:v>
      </x:c>
    </x:row>
    <x:row r="34" ht="25" customHeight="1">
      <x:c r="A34" s="2" t="str">
        <x:v>NK225_U164_04</x:v>
      </x:c>
      <x:c r="B34" s="2" t="str">
        <x:v>米国後</x:v>
      </x:c>
      <x:c r="C34" s="2" t="str"/>
      <x:c r="D34" s="6" t="n">
        <x:f>'日経_U164_04'!D33</x:f>
        <x:v>101000</x:v>
      </x:c>
      <x:c r="E34" s="6" t="n">
        <x:f>'日経_U164_04'!E33</x:f>
        <x:v>309000</x:v>
      </x:c>
      <x:c r="F34" s="6" t="n">
        <x:f>D34-E34</x:f>
        <x:v>-208000</x:v>
      </x:c>
      <x:c r="G34" s="6" t="n">
        <x:f>F34/27</x:f>
        <x:v>-7703.7037037037035</x:v>
      </x:c>
      <x:c r="H34" s="7" t="n">
        <x:v>11</x:v>
      </x:c>
      <x:c r="I34" s="7" t="n">
        <x:v>0</x:v>
      </x:c>
      <x:c r="J34" s="6" t="n">
        <x:v>22363.636363636364</x:v>
      </x:c>
      <x:c r="K34" s="6" t="n">
        <x:v>45000</x:v>
      </x:c>
      <x:c r="L34" s="6" t="n">
        <x:v>-69000</x:v>
      </x:c>
      <x:c r="M34" s="6" t="n">
        <x:f>SUM('日経_U164_04'!F6,'日経_U164_04'!F7,'日経_U164_04'!F8,'日経_U164_04'!F9,'日経_U164_04'!F10,'日経_U164_04'!F11,'日経_U164_04'!F12,'日経_U164_04'!F13,'日経_U164_04'!F14,'日経_U164_04'!F15,'日経_U164_04'!F16,'日経_U164_04'!F17,'日経_U164_04'!F18,'日経_U164_04'!F19,'日経_U164_04'!F20,'日経_U164_04'!F21,'日経_U164_04'!F22,'日経_U164_04'!F23,'日経_U164_04'!F24,'日経_U164_04'!F25)</x:f>
        <x:v>-169000</x:v>
      </x:c>
      <x:c r="N34" s="6" t="n">
        <x:f>SUM('日経_U164_04'!F26,'日経_U164_04'!F27,'日経_U164_04'!F28,'日経_U164_04'!F29,'日経_U164_04'!F30,'日経_U164_04'!F31,'日経_U164_04'!F32)</x:f>
        <x:v>-39000</x:v>
      </x:c>
      <x:c r="O34" s="6" t="n">
        <x:v>-231000</x:v>
      </x:c>
    </x:row>
    <x:row r="35" ht="25" customHeight="1">
      <x:c r="A35" s="2" t="str">
        <x:v>NK225_U164_05</x:v>
      </x:c>
      <x:c r="B35" s="2" t="str">
        <x:v>米国後</x:v>
      </x:c>
      <x:c r="C35" s="2" t="str"/>
      <x:c r="D35" s="6" t="n">
        <x:f>'日経_U164_05'!D33</x:f>
        <x:v>2253000</x:v>
      </x:c>
      <x:c r="E35" s="6" t="n">
        <x:f>'日経_U164_05'!E33</x:f>
        <x:v>1175000</x:v>
      </x:c>
      <x:c r="F35" s="6" t="n">
        <x:f>D35-E35</x:f>
        <x:v>1078000</x:v>
      </x:c>
      <x:c r="G35" s="6" t="n">
        <x:f>F35/27</x:f>
        <x:v>39925.92592592593</x:v>
      </x:c>
      <x:c r="H35" s="7" t="n">
        <x:v>10</x:v>
      </x:c>
      <x:c r="I35" s="7" t="n">
        <x:v>0</x:v>
      </x:c>
      <x:c r="J35" s="6" t="n">
        <x:v>28200</x:v>
      </x:c>
      <x:c r="K35" s="6" t="n">
        <x:v>53000</x:v>
      </x:c>
      <x:c r="L35" s="6" t="n">
        <x:v>-100000</x:v>
      </x:c>
      <x:c r="M35" s="6" t="n">
        <x:f>SUM('日経_U164_05'!F6,'日経_U164_05'!F7,'日経_U164_05'!F8,'日経_U164_05'!F9,'日経_U164_05'!F10,'日経_U164_05'!F11,'日経_U164_05'!F12,'日経_U164_05'!F13,'日経_U164_05'!F14,'日経_U164_05'!F15,'日経_U164_05'!F16,'日経_U164_05'!F17,'日経_U164_05'!F18,'日経_U164_05'!F19,'日経_U164_05'!F20,'日経_U164_05'!F21,'日経_U164_05'!F22,'日経_U164_05'!F23,'日経_U164_05'!F24,'日経_U164_05'!F25)</x:f>
        <x:v>914000</x:v>
      </x:c>
      <x:c r="N35" s="6" t="n">
        <x:f>SUM('日経_U164_05'!F26,'日経_U164_05'!F27,'日経_U164_05'!F28,'日経_U164_05'!F29,'日経_U164_05'!F30,'日経_U164_05'!F31,'日経_U164_05'!F32)</x:f>
        <x:v>164000</x:v>
      </x:c>
      <x:c r="O35" s="6" t="n">
        <x:v>360000</x:v>
      </x:c>
    </x:row>
    <x:row r="36" ht="25" customHeight="1">
      <x:c r="A36" s="2" t="str">
        <x:v>NK225_U164_06</x:v>
      </x:c>
      <x:c r="B36" s="2" t="str">
        <x:v>米国後</x:v>
      </x:c>
      <x:c r="C36" s="2" t="str"/>
      <x:c r="D36" s="6" t="n">
        <x:f>'日経_U164_06'!D33</x:f>
        <x:v>1165000</x:v>
      </x:c>
      <x:c r="E36" s="6" t="n">
        <x:f>'日経_U164_06'!E33</x:f>
        <x:v>579000</x:v>
      </x:c>
      <x:c r="F36" s="6" t="n">
        <x:f>D36-E36</x:f>
        <x:v>586000</x:v>
      </x:c>
      <x:c r="G36" s="6" t="n">
        <x:f>F36/27</x:f>
        <x:v>21703.703703703704</x:v>
      </x:c>
      <x:c r="H36" s="7" t="n">
        <x:v>11</x:v>
      </x:c>
      <x:c r="I36" s="7" t="n">
        <x:v>0</x:v>
      </x:c>
      <x:c r="J36" s="6" t="n">
        <x:v>29727.272727272728</x:v>
      </x:c>
      <x:c r="K36" s="6" t="n">
        <x:v>53000</x:v>
      </x:c>
      <x:c r="L36" s="6" t="n">
        <x:v>-53000</x:v>
      </x:c>
      <x:c r="M36" s="6" t="n">
        <x:f>SUM('日経_U164_06'!F6,'日経_U164_06'!F7,'日経_U164_06'!F8,'日経_U164_06'!F9,'日経_U164_06'!F10,'日経_U164_06'!F11,'日経_U164_06'!F12,'日経_U164_06'!F13,'日経_U164_06'!F14,'日経_U164_06'!F15,'日経_U164_06'!F16,'日経_U164_06'!F17,'日経_U164_06'!F18,'日経_U164_06'!F19,'日経_U164_06'!F20,'日経_U164_06'!F21,'日経_U164_06'!F22,'日経_U164_06'!F23,'日経_U164_06'!F24,'日経_U164_06'!F25)</x:f>
        <x:v>508000</x:v>
      </x:c>
      <x:c r="N36" s="6" t="n">
        <x:f>SUM('日経_U164_06'!F26,'日経_U164_06'!F27,'日経_U164_06'!F28,'日経_U164_06'!F29,'日経_U164_06'!F30,'日経_U164_06'!F31,'日経_U164_06'!F32)</x:f>
        <x:v>78000</x:v>
      </x:c>
      <x:c r="O36" s="6" t="n">
        <x:v>100000</x:v>
      </x:c>
    </x:row>
    <x:row r="37" ht="25" customHeight="1">
      <x:c r="A37" s="2" t="str">
        <x:v>NK225_U164_07</x:v>
      </x:c>
      <x:c r="B37" s="2" t="str">
        <x:v>米国後</x:v>
      </x:c>
      <x:c r="C37" s="2" t="str"/>
      <x:c r="D37" s="6" t="n">
        <x:f>'日経_U164_07'!D33</x:f>
        <x:v>1155000</x:v>
      </x:c>
      <x:c r="E37" s="6" t="n">
        <x:f>'日経_U164_07'!E33</x:f>
        <x:v>551000</x:v>
      </x:c>
      <x:c r="F37" s="6" t="n">
        <x:f>D37-E37</x:f>
        <x:v>604000</x:v>
      </x:c>
      <x:c r="G37" s="6" t="n">
        <x:f>F37/27</x:f>
        <x:v>22370.37037037037</x:v>
      </x:c>
      <x:c r="H37" s="7" t="n">
        <x:v>12</x:v>
      </x:c>
      <x:c r="I37" s="7" t="n">
        <x:v>0</x:v>
      </x:c>
      <x:c r="J37" s="6" t="n">
        <x:v>25083.333333333332</x:v>
      </x:c>
      <x:c r="K37" s="6" t="n">
        <x:v>55000</x:v>
      </x:c>
      <x:c r="L37" s="6" t="n">
        <x:v>-55000</x:v>
      </x:c>
      <x:c r="M37" s="6" t="n">
        <x:f>SUM('日経_U164_07'!F6,'日経_U164_07'!F7,'日経_U164_07'!F8,'日経_U164_07'!F9,'日経_U164_07'!F10,'日経_U164_07'!F11,'日経_U164_07'!F12,'日経_U164_07'!F13,'日経_U164_07'!F14,'日経_U164_07'!F15,'日経_U164_07'!F16,'日経_U164_07'!F17,'日経_U164_07'!F18,'日経_U164_07'!F19,'日経_U164_07'!F20,'日経_U164_07'!F21,'日経_U164_07'!F22,'日経_U164_07'!F23,'日経_U164_07'!F24,'日経_U164_07'!F25)</x:f>
        <x:v>508000</x:v>
      </x:c>
      <x:c r="N37" s="6" t="n">
        <x:f>SUM('日経_U164_07'!F26,'日経_U164_07'!F27,'日経_U164_07'!F28,'日経_U164_07'!F29,'日経_U164_07'!F30,'日経_U164_07'!F31,'日経_U164_07'!F32)</x:f>
        <x:v>96000</x:v>
      </x:c>
      <x:c r="O37" s="6" t="n">
        <x:v>128000</x:v>
      </x:c>
    </x:row>
  </x:sheetData>
  <x:conditionalFormatting sqref="F6:G37">
    <x:cfRule type="cellIs" dxfId="32" priority="1" operator="lessThan">
      <x:formula>0</x:formula>
    </x:cfRule>
  </x:conditionalFormatting>
  <x:conditionalFormatting sqref="L6:O37">
    <x:cfRule type="cellIs" dxfId="3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97fa99a19d4ad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夜間の時間割　前半と後半の合算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保存会計の連結です。米国開始前後15分は静観。新しい手法IDは付けていません。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基準の時間割 / 第一巡前40で固定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米国前の手法ID</x:v>
      </x:c>
      <x:c r="C5" s="14" t="str">
        <x:v>米国後の手法ID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NK225_P164_00</x:v>
      </x:c>
      <x:c r="C6" s="2" t="str">
        <x:v>NK225_U164_00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7" t="n">
        <x:v>1</x:v>
      </x:c>
      <x:c r="K6" s="7" t="n">
        <x:f>IF(J6=0,1,0)</x:f>
        <x:v>0</x:v>
      </x:c>
    </x:row>
    <x:row r="7" ht="25" customHeight="1">
      <x:c r="A7" s="2" t="str">
        <x:v>2026-09-22_Night</x:v>
      </x:c>
      <x:c r="B7" s="2" t="str">
        <x:v>NK225_P164_00</x:v>
      </x:c>
      <x:c r="C7" s="2" t="str">
        <x:v>NK225_U164_00</x:v>
      </x:c>
      <x:c r="D7" s="6" t="n">
        <x:v>47000</x:v>
      </x:c>
      <x:c r="E7" s="6" t="n">
        <x:v>8000</x:v>
      </x:c>
      <x:c r="F7" s="6" t="n">
        <x:f>D7-E7</x:f>
        <x:v>39000</x:v>
      </x:c>
      <x:c r="G7" s="6" t="n">
        <x:f>G6+F7</x:f>
        <x:v>-6000</x:v>
      </x:c>
      <x:c r="H7" s="6" t="n">
        <x:v>-45000</x:v>
      </x:c>
      <x:c r="I7" s="6" t="n">
        <x:v>55000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NK225_P164_00</x:v>
      </x:c>
      <x:c r="C8" s="2" t="str">
        <x:v>NK225_U164_00</x:v>
      </x:c>
      <x:c r="D8" s="6" t="n">
        <x:v>5000</x:v>
      </x:c>
      <x:c r="E8" s="6" t="n">
        <x:v>41000</x:v>
      </x:c>
      <x:c r="F8" s="6" t="n">
        <x:f>D8-E8</x:f>
        <x:v>-36000</x:v>
      </x:c>
      <x:c r="G8" s="6" t="n">
        <x:f>G7+F8</x:f>
        <x:v>-42000</x:v>
      </x:c>
      <x:c r="H8" s="6" t="n">
        <x:v>-44000</x:v>
      </x:c>
      <x:c r="I8" s="6" t="n">
        <x:v>44000</x:v>
      </x:c>
      <x:c r="J8" s="7" t="n">
        <x:v>3</x:v>
      </x:c>
      <x:c r="K8" s="7" t="n">
        <x:f>IF(J8=0,1,0)</x:f>
        <x:v>0</x:v>
      </x:c>
    </x:row>
    <x:row r="9" ht="25" customHeight="1">
      <x:c r="A9" s="2" t="str">
        <x:v>2026-09-24_Night</x:v>
      </x:c>
      <x:c r="B9" s="2" t="str">
        <x:v>NK225_P164_00</x:v>
      </x:c>
      <x:c r="C9" s="2" t="str">
        <x:v>NK225_U164_00</x:v>
      </x:c>
      <x:c r="D9" s="6" t="n">
        <x:v>50000</x:v>
      </x:c>
      <x:c r="E9" s="6" t="n">
        <x:v>0</x:v>
      </x:c>
      <x:c r="F9" s="6" t="n">
        <x:f>D9-E9</x:f>
        <x:v>50000</x:v>
      </x:c>
      <x:c r="G9" s="6" t="n">
        <x:f>G8+F9</x:f>
        <x:v>8000</x:v>
      </x:c>
      <x:c r="H9" s="6" t="n">
        <x:v>-85000</x:v>
      </x:c>
      <x:c r="I9" s="6" t="n">
        <x:v>90000</x:v>
      </x:c>
      <x:c r="J9" s="7" t="n">
        <x:v>4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NK225_P164_00</x:v>
      </x:c>
      <x:c r="C10" s="2" t="str">
        <x:v>NK225_U164_00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9000</x:v>
      </x:c>
      <x:c r="H10" s="6" t="n">
        <x:v>-16000</x:v>
      </x:c>
      <x:c r="I10" s="6" t="n">
        <x:v>24000</x:v>
      </x:c>
      <x:c r="J10" s="7" t="n">
        <x:v>2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NK225_P164_00</x:v>
      </x:c>
      <x:c r="C11" s="2" t="str">
        <x:v>NK225_U164_00</x:v>
      </x:c>
      <x:c r="D11" s="6" t="n">
        <x:v>14000</x:v>
      </x:c>
      <x:c r="E11" s="6" t="n">
        <x:v>39000</x:v>
      </x:c>
      <x:c r="F11" s="6" t="n">
        <x:f>D11-E11</x:f>
        <x:v>-25000</x:v>
      </x:c>
      <x:c r="G11" s="6" t="n">
        <x:f>G10+F11</x:f>
        <x:v>-16000</x:v>
      </x:c>
      <x:c r="H11" s="6" t="n">
        <x:v>-36000</x:v>
      </x:c>
      <x:c r="I11" s="6" t="n">
        <x:v>43000</x:v>
      </x:c>
      <x:c r="J11" s="7" t="n">
        <x:v>5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NK225_P164_00</x:v>
      </x:c>
      <x:c r="C12" s="2" t="str">
        <x:v>NK225_U164_00</x:v>
      </x:c>
      <x:c r="D12" s="6" t="n">
        <x:v>90000</x:v>
      </x:c>
      <x:c r="E12" s="6" t="n">
        <x:v>25000</x:v>
      </x:c>
      <x:c r="F12" s="6" t="n">
        <x:f>D12-E12</x:f>
        <x:v>65000</x:v>
      </x:c>
      <x:c r="G12" s="6" t="n">
        <x:f>G11+F12</x:f>
        <x:v>49000</x:v>
      </x:c>
      <x:c r="H12" s="6" t="n">
        <x:v>-30000</x:v>
      </x:c>
      <x:c r="I12" s="6" t="n">
        <x:v>70000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NK225_P164_00</x:v>
      </x:c>
      <x:c r="C13" s="2" t="str">
        <x:v>NK225_U164_00</x:v>
      </x:c>
      <x:c r="D13" s="6" t="n">
        <x:v>109000</x:v>
      </x:c>
      <x:c r="E13" s="6" t="n">
        <x:v>6000</x:v>
      </x:c>
      <x:c r="F13" s="6" t="n">
        <x:f>D13-E13</x:f>
        <x:v>103000</x:v>
      </x:c>
      <x:c r="G13" s="6" t="n">
        <x:f>G12+F13</x:f>
        <x:v>152000</x:v>
      </x:c>
      <x:c r="H13" s="6" t="n">
        <x:v>-75000</x:v>
      </x:c>
      <x:c r="I13" s="6" t="n">
        <x:v>95000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NK225_P164_00</x:v>
      </x:c>
      <x:c r="C14" s="2" t="str">
        <x:v>NK225_U164_00</x:v>
      </x:c>
      <x:c r="D14" s="6" t="n">
        <x:v>263000</x:v>
      </x:c>
      <x:c r="E14" s="6" t="n">
        <x:v>92000</x:v>
      </x:c>
      <x:c r="F14" s="6" t="n">
        <x:f>D14-E14</x:f>
        <x:v>171000</x:v>
      </x:c>
      <x:c r="G14" s="6" t="n">
        <x:f>G13+F14</x:f>
        <x:v>323000</x:v>
      </x:c>
      <x:c r="H14" s="6" t="n">
        <x:v>-25000</x:v>
      </x:c>
      <x:c r="I14" s="6" t="n">
        <x:v>145000</x:v>
      </x:c>
      <x:c r="J14" s="7" t="n">
        <x:v>16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NK225_P164_00</x:v>
      </x:c>
      <x:c r="C15" s="2" t="str">
        <x:v>NK225_U164_00</x:v>
      </x:c>
      <x:c r="D15" s="6" t="n">
        <x:v>313000</x:v>
      </x:c>
      <x:c r="E15" s="6" t="n">
        <x:v>57000</x:v>
      </x:c>
      <x:c r="F15" s="6" t="n">
        <x:f>D15-E15</x:f>
        <x:v>256000</x:v>
      </x:c>
      <x:c r="G15" s="6" t="n">
        <x:f>G14+F15</x:f>
        <x:v>579000</x:v>
      </x:c>
      <x:c r="H15" s="6" t="n">
        <x:v>-34000</x:v>
      </x:c>
      <x:c r="I15" s="6" t="n">
        <x:v>162000</x:v>
      </x:c>
      <x:c r="J15" s="7" t="n">
        <x:v>15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NK225_P164_00</x:v>
      </x:c>
      <x:c r="C16" s="2" t="str">
        <x:v>NK225_U164_00</x:v>
      </x:c>
      <x:c r="D16" s="6" t="n">
        <x:v>113000</x:v>
      </x:c>
      <x:c r="E16" s="6" t="n">
        <x:v>64000</x:v>
      </x:c>
      <x:c r="F16" s="6" t="n">
        <x:f>D16-E16</x:f>
        <x:v>49000</x:v>
      </x:c>
      <x:c r="G16" s="6" t="n">
        <x:f>G15+F16</x:f>
        <x:v>628000</x:v>
      </x:c>
      <x:c r="H16" s="6" t="n">
        <x:v>-23000</x:v>
      </x:c>
      <x:c r="I16" s="6" t="n">
        <x:v>128000</x:v>
      </x:c>
      <x:c r="J16" s="7" t="n">
        <x:v>8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NK225_P164_00</x:v>
      </x:c>
      <x:c r="C17" s="2" t="str">
        <x:v>NK225_U164_00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618000</x:v>
      </x:c>
      <x:c r="H17" s="6" t="n">
        <x:v>-56000</x:v>
      </x:c>
      <x:c r="I17" s="6" t="n">
        <x:v>56000</x:v>
      </x:c>
      <x:c r="J17" s="7" t="n">
        <x:v>4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NK225_P164_00</x:v>
      </x:c>
      <x:c r="C18" s="2" t="str">
        <x:v>NK225_U164_00</x:v>
      </x:c>
      <x:c r="D18" s="6" t="n">
        <x:v>23000</x:v>
      </x:c>
      <x:c r="E18" s="6" t="n">
        <x:v>47000</x:v>
      </x:c>
      <x:c r="F18" s="6" t="n">
        <x:f>D18-E18</x:f>
        <x:v>-24000</x:v>
      </x:c>
      <x:c r="G18" s="6" t="n">
        <x:f>G17+F18</x:f>
        <x:v>594000</x:v>
      </x:c>
      <x:c r="H18" s="6" t="n">
        <x:v>-30000</x:v>
      </x:c>
      <x:c r="I18" s="6" t="n">
        <x:v>50000</x:v>
      </x:c>
      <x:c r="J18" s="7" t="n">
        <x:v>5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NK225_P164_00</x:v>
      </x:c>
      <x:c r="C19" s="2" t="str">
        <x:v>NK225_U164_00</x:v>
      </x:c>
      <x:c r="D19" s="6" t="n">
        <x:v>350000</x:v>
      </x:c>
      <x:c r="E19" s="6" t="n">
        <x:v>36000</x:v>
      </x:c>
      <x:c r="F19" s="6" t="n">
        <x:f>D19-E19</x:f>
        <x:v>314000</x:v>
      </x:c>
      <x:c r="G19" s="6" t="n">
        <x:f>G18+F19</x:f>
        <x:v>908000</x:v>
      </x:c>
      <x:c r="H19" s="6" t="n">
        <x:v>-34000</x:v>
      </x:c>
      <x:c r="I19" s="6" t="n">
        <x:v>102000</x:v>
      </x:c>
      <x:c r="J19" s="7" t="n">
        <x:v>17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NK225_P164_00</x:v>
      </x:c>
      <x:c r="C20" s="2" t="str">
        <x:v>NK225_U164_00</x:v>
      </x:c>
      <x:c r="D20" s="6" t="n">
        <x:v>56000</x:v>
      </x:c>
      <x:c r="E20" s="6" t="n">
        <x:v>2000</x:v>
      </x:c>
      <x:c r="F20" s="6" t="n">
        <x:f>D20-E20</x:f>
        <x:v>54000</x:v>
      </x:c>
      <x:c r="G20" s="6" t="n">
        <x:f>G19+F20</x:f>
        <x:v>962000</x:v>
      </x:c>
      <x:c r="H20" s="6" t="n">
        <x:v>-10000</x:v>
      </x:c>
      <x:c r="I20" s="6" t="n">
        <x:v>60000</x:v>
      </x:c>
      <x:c r="J20" s="7" t="n">
        <x:v>3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NK225_P164_00</x:v>
      </x:c>
      <x:c r="C21" s="2" t="str">
        <x:v>NK225_U164_00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1044000</x:v>
      </x:c>
      <x:c r="H21" s="6" t="n">
        <x:v>-10000</x:v>
      </x:c>
      <x:c r="I21" s="6" t="n">
        <x:v>33000</x:v>
      </x:c>
      <x:c r="J21" s="7" t="n">
        <x:v>1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NK225_P164_00</x:v>
      </x:c>
      <x:c r="C22" s="2" t="str">
        <x:v>NK225_U164_00</x:v>
      </x:c>
      <x:c r="D22" s="6" t="n">
        <x:v>15000</x:v>
      </x:c>
      <x:c r="E22" s="6" t="n">
        <x:v>53000</x:v>
      </x:c>
      <x:c r="F22" s="6" t="n">
        <x:f>D22-E22</x:f>
        <x:v>-38000</x:v>
      </x:c>
      <x:c r="G22" s="6" t="n">
        <x:f>G21+F22</x:f>
        <x:v>1006000</x:v>
      </x:c>
      <x:c r="H22" s="6" t="n">
        <x:v>-38000</x:v>
      </x:c>
      <x:c r="I22" s="6" t="n">
        <x:v>58000</x:v>
      </x:c>
      <x:c r="J22" s="7" t="n">
        <x:v>3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NK225_P164_00</x:v>
      </x:c>
      <x:c r="C23" s="2" t="str">
        <x:v>NK225_U164_00</x:v>
      </x:c>
      <x:c r="D23" s="6" t="n">
        <x:v>212000</x:v>
      </x:c>
      <x:c r="E23" s="6" t="n">
        <x:v>61000</x:v>
      </x:c>
      <x:c r="F23" s="6" t="n">
        <x:f>D23-E23</x:f>
        <x:v>151000</x:v>
      </x:c>
      <x:c r="G23" s="6" t="n">
        <x:f>G22+F23</x:f>
        <x:v>1157000</x:v>
      </x:c>
      <x:c r="H23" s="6" t="n">
        <x:v>-45000</x:v>
      </x:c>
      <x:c r="I23" s="6" t="n">
        <x:v>65000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NK225_P164_00</x:v>
      </x:c>
      <x:c r="C24" s="2" t="str">
        <x:v>NK225_U164_00</x:v>
      </x:c>
      <x:c r="D24" s="6" t="n">
        <x:v>86000</x:v>
      </x:c>
      <x:c r="E24" s="6" t="n">
        <x:v>64000</x:v>
      </x:c>
      <x:c r="F24" s="6" t="n">
        <x:f>D24-E24</x:f>
        <x:v>22000</x:v>
      </x:c>
      <x:c r="G24" s="6" t="n">
        <x:f>G23+F24</x:f>
        <x:v>1179000</x:v>
      </x:c>
      <x:c r="H24" s="6" t="n">
        <x:v>-48000</x:v>
      </x:c>
      <x:c r="I24" s="6" t="n">
        <x:v>90000</x:v>
      </x:c>
      <x:c r="J24" s="7" t="n">
        <x:v>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NK225_P164_00</x:v>
      </x:c>
      <x:c r="C25" s="2" t="str">
        <x:v>NK225_U164_00</x:v>
      </x:c>
      <x:c r="D25" s="6" t="n">
        <x:v>177000</x:v>
      </x:c>
      <x:c r="E25" s="6" t="n">
        <x:v>165000</x:v>
      </x:c>
      <x:c r="F25" s="6" t="n">
        <x:f>D25-E25</x:f>
        <x:v>12000</x:v>
      </x:c>
      <x:c r="G25" s="6" t="n">
        <x:f>G24+F25</x:f>
        <x:v>1191000</x:v>
      </x:c>
      <x:c r="H25" s="6" t="n">
        <x:v>-105000</x:v>
      </x:c>
      <x:c r="I25" s="6" t="n">
        <x:v>121000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NK225_P164_00</x:v>
      </x:c>
      <x:c r="C26" s="2" t="str">
        <x:v>NK225_U164_00</x:v>
      </x:c>
      <x:c r="D26" s="6" t="n">
        <x:v>132000</x:v>
      </x:c>
      <x:c r="E26" s="6" t="n">
        <x:v>105000</x:v>
      </x:c>
      <x:c r="F26" s="6" t="n">
        <x:f>D26-E26</x:f>
        <x:v>27000</x:v>
      </x:c>
      <x:c r="G26" s="6" t="n">
        <x:f>G25+F26</x:f>
        <x:v>1218000</x:v>
      </x:c>
      <x:c r="H26" s="6" t="n">
        <x:v>-40000</x:v>
      </x:c>
      <x:c r="I26" s="6" t="n">
        <x:v>97000</x:v>
      </x:c>
      <x:c r="J26" s="7" t="n">
        <x:v>14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NK225_P164_00</x:v>
      </x:c>
      <x:c r="C27" s="2" t="str">
        <x:v>NK225_U164_00</x:v>
      </x:c>
      <x:c r="D27" s="6" t="n">
        <x:v>156000</x:v>
      </x:c>
      <x:c r="E27" s="6" t="n">
        <x:v>33000</x:v>
      </x:c>
      <x:c r="F27" s="6" t="n">
        <x:f>D27-E27</x:f>
        <x:v>123000</x:v>
      </x:c>
      <x:c r="G27" s="6" t="n">
        <x:f>G26+F27</x:f>
        <x:v>1341000</x:v>
      </x:c>
      <x:c r="H27" s="6" t="n">
        <x:v>-10000</x:v>
      </x:c>
      <x:c r="I27" s="6" t="n">
        <x:v>53000</x:v>
      </x:c>
      <x:c r="J27" s="7" t="n">
        <x:v>11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NK225_P164_00</x:v>
      </x:c>
      <x:c r="C28" s="2" t="str">
        <x:v>NK225_U164_00</x:v>
      </x:c>
      <x:c r="D28" s="6" t="n">
        <x:v>80000</x:v>
      </x:c>
      <x:c r="E28" s="6" t="n">
        <x:v>89000</x:v>
      </x:c>
      <x:c r="F28" s="6" t="n">
        <x:f>D28-E28</x:f>
        <x:v>-9000</x:v>
      </x:c>
      <x:c r="G28" s="6" t="n">
        <x:f>G27+F28</x:f>
        <x:v>1332000</x:v>
      </x:c>
      <x:c r="H28" s="6" t="n">
        <x:v>-35000</x:v>
      </x:c>
      <x:c r="I28" s="6" t="n">
        <x:v>131000</x:v>
      </x:c>
      <x:c r="J28" s="7" t="n">
        <x:v>6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NK225_P164_00</x:v>
      </x:c>
      <x:c r="C29" s="2" t="str">
        <x:v>NK225_U164_00</x:v>
      </x:c>
      <x:c r="D29" s="6" t="n">
        <x:v>156000</x:v>
      </x:c>
      <x:c r="E29" s="6" t="n">
        <x:v>0</x:v>
      </x:c>
      <x:c r="F29" s="6" t="n">
        <x:f>D29-E29</x:f>
        <x:v>156000</x:v>
      </x:c>
      <x:c r="G29" s="6" t="n">
        <x:f>G28+F29</x:f>
        <x:v>1488000</x:v>
      </x:c>
      <x:c r="H29" s="6" t="n">
        <x:v>-2000</x:v>
      </x:c>
      <x:c r="I29" s="6" t="n">
        <x:v>64000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NK225_P164_00</x:v>
      </x:c>
      <x:c r="C30" s="2" t="str">
        <x:v>NK225_U164_00</x:v>
      </x:c>
      <x:c r="D30" s="6" t="n">
        <x:v>75000</x:v>
      </x:c>
      <x:c r="E30" s="6" t="n">
        <x:v>66000</x:v>
      </x:c>
      <x:c r="F30" s="6" t="n">
        <x:f>D30-E30</x:f>
        <x:v>9000</x:v>
      </x:c>
      <x:c r="G30" s="6" t="n">
        <x:f>G29+F30</x:f>
        <x:v>1497000</x:v>
      </x:c>
      <x:c r="H30" s="6" t="n">
        <x:v>-36000</x:v>
      </x:c>
      <x:c r="I30" s="6" t="n">
        <x:v>89000</x:v>
      </x:c>
      <x:c r="J30" s="7" t="n">
        <x:v>11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NK225_P164_00</x:v>
      </x:c>
      <x:c r="C31" s="2" t="str">
        <x:v>NK225_U164_00</x:v>
      </x:c>
      <x:c r="D31" s="6" t="n">
        <x:v>88000</x:v>
      </x:c>
      <x:c r="E31" s="6" t="n">
        <x:v>124000</x:v>
      </x:c>
      <x:c r="F31" s="6" t="n">
        <x:f>D31-E31</x:f>
        <x:v>-36000</x:v>
      </x:c>
      <x:c r="G31" s="6" t="n">
        <x:f>G30+F31</x:f>
        <x:v>1461000</x:v>
      </x:c>
      <x:c r="H31" s="6" t="n">
        <x:v>-37000</x:v>
      </x:c>
      <x:c r="I31" s="6" t="n">
        <x:v>121000</x:v>
      </x:c>
      <x:c r="J31" s="7" t="n">
        <x:v>12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NK225_P164_00</x:v>
      </x:c>
      <x:c r="C32" s="2" t="str">
        <x:v>NK225_U164_00</x:v>
      </x:c>
      <x:c r="D32" s="6" t="n">
        <x:v>23000</x:v>
      </x:c>
      <x:c r="E32" s="6" t="n">
        <x:v>0</x:v>
      </x:c>
      <x:c r="F32" s="6" t="n">
        <x:f>D32-E32</x:f>
        <x:v>23000</x:v>
      </x:c>
      <x:c r="G32" s="6" t="n">
        <x:f>G31+F32</x:f>
        <x:v>1484000</x:v>
      </x:c>
      <x:c r="H32" s="6" t="n">
        <x:v>-120000</x:v>
      </x:c>
      <x:c r="I32" s="6" t="n">
        <x:v>120000</x:v>
      </x:c>
      <x:c r="J32" s="7" t="n">
        <x:v>3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2765000</x:v>
      </x:c>
      <x:c r="E33" s="9" t="n">
        <x:f>SUM(E6:E32)</x:f>
        <x:v>1281000</x:v>
      </x:c>
      <x:c r="F33" s="9" t="n">
        <x:f>D33-E33</x:f>
        <x:v>1484000</x:v>
      </x:c>
      <x:c r="G33" s="9" t="n">
        <x:f>G32</x:f>
        <x:v>1484000</x:v>
      </x:c>
      <x:c r="H33" s="9" t="n">
        <x:f>MIN(H6:H32)</x:f>
        <x:v>-120000</x:v>
      </x:c>
      <x:c r="I33" s="9" t="n">
        <x:f>MAX(I6:I32)</x:f>
        <x:v>162000</x:v>
      </x:c>
      <x:c r="J33" s="10" t="n">
        <x:f>SUM(J6:J32)</x:f>
        <x:v>187</x:v>
      </x:c>
      <x:c r="K33" s="10" t="n">
        <x:f>SUM(K6:K32)</x:f>
        <x:v>0</x:v>
      </x:c>
    </x:row>
    <x:row r="34" ht="25" customHeight="1">
      <x:c r="A34" s="2"/>
      <x:c r="B34" s="2"/>
      <x:c r="C34" s="2"/>
      <x:c r="D34" s="6"/>
      <x:c r="E34" s="6"/>
      <x:c r="F34" s="6"/>
      <x:c r="G34" s="6"/>
      <x:c r="H34" s="6"/>
      <x:c r="I34" s="6"/>
      <x:c r="J34" s="6"/>
      <x:c r="K34" s="6"/>
    </x:row>
    <x:row r="35" ht="25" customHeight="1">
      <x:c r="A35" s="2"/>
      <x:c r="B35" s="2"/>
      <x:c r="C35" s="2"/>
      <x:c r="D35" s="6"/>
      <x:c r="E35" s="6"/>
      <x:c r="F35" s="6"/>
      <x:c r="G35" s="6"/>
      <x:c r="H35" s="6"/>
      <x:c r="I35" s="6"/>
      <x:c r="J35" s="6"/>
      <x:c r="K35" s="6"/>
    </x:row>
    <x:row r="36" ht="25" customHeight="1">
      <x:c r="A36" s="2" t="str">
        <x:v>第二巡前40で固定</x:v>
      </x:c>
      <x:c r="B36" s="2"/>
      <x:c r="C36" s="2"/>
      <x:c r="D36" s="6"/>
      <x:c r="E36" s="6"/>
      <x:c r="F36" s="6"/>
      <x:c r="G36" s="6"/>
      <x:c r="H36" s="6"/>
      <x:c r="I36" s="6"/>
      <x:c r="J36" s="6"/>
      <x:c r="K36" s="6"/>
    </x:row>
    <x:row r="37" ht="43" customHeight="1">
      <x:c r="A37" s="14" t="str">
        <x:v>セッション</x:v>
      </x:c>
      <x:c r="B37" s="14" t="str">
        <x:v>米国前の手法ID</x:v>
      </x:c>
      <x:c r="C37" s="14" t="str">
        <x:v>米国後の手法ID</x:v>
      </x:c>
      <x:c r="D37" s="18" t="str">
        <x:v>利益（円）</x:v>
      </x:c>
      <x:c r="E37" s="18" t="str">
        <x:v>損失（円）</x:v>
      </x:c>
      <x:c r="F37" s="18" t="str">
        <x:v>収支（円）</x:v>
      </x:c>
      <x:c r="G37" s="18" t="str">
        <x:v>累計（円）</x:v>
      </x:c>
      <x:c r="H37" s="18" t="str">
        <x:v>場内最悪収支（円）</x:v>
      </x:c>
      <x:c r="I37" s="18" t="str">
        <x:v>最大下落額（円）</x:v>
      </x:c>
      <x:c r="J37" s="18" t="str">
        <x:v>新規回数</x:v>
      </x:c>
      <x:c r="K37" s="18" t="str">
        <x:v>無取引</x:v>
      </x:c>
    </x:row>
    <x:row r="38" ht="25" customHeight="1">
      <x:c r="A38" s="2" t="str">
        <x:v>2026-09-21_Night</x:v>
      </x:c>
      <x:c r="B38" s="2" t="str">
        <x:v>NK225_P164_06</x:v>
      </x:c>
      <x:c r="C38" s="2" t="str">
        <x:v>NK225_U164_00</x:v>
      </x:c>
      <x:c r="D38" s="6" t="n">
        <x:v>0</x:v>
      </x:c>
      <x:c r="E38" s="6" t="n">
        <x:v>45000</x:v>
      </x:c>
      <x:c r="F38" s="6" t="n">
        <x:f>D38-E38</x:f>
        <x:v>-45000</x:v>
      </x:c>
      <x:c r="G38" s="6" t="n">
        <x:f>F38</x:f>
        <x:v>-45000</x:v>
      </x:c>
      <x:c r="H38" s="6" t="n">
        <x:v>-45000</x:v>
      </x:c>
      <x:c r="I38" s="6" t="n">
        <x:v>65000</x:v>
      </x:c>
      <x:c r="J38" s="7" t="n">
        <x:v>1</x:v>
      </x:c>
      <x:c r="K38" s="7" t="n">
        <x:f>IF(J38=0,1,0)</x:f>
        <x:v>0</x:v>
      </x:c>
    </x:row>
    <x:row r="39" ht="25" customHeight="1">
      <x:c r="A39" s="2" t="str">
        <x:v>2026-09-22_Night</x:v>
      </x:c>
      <x:c r="B39" s="2" t="str">
        <x:v>NK225_P164_06</x:v>
      </x:c>
      <x:c r="C39" s="2" t="str">
        <x:v>NK225_U164_00</x:v>
      </x:c>
      <x:c r="D39" s="6" t="n">
        <x:v>47000</x:v>
      </x:c>
      <x:c r="E39" s="6" t="n">
        <x:v>8000</x:v>
      </x:c>
      <x:c r="F39" s="6" t="n">
        <x:f>D39-E39</x:f>
        <x:v>39000</x:v>
      </x:c>
      <x:c r="G39" s="6" t="n">
        <x:f>G38+F39</x:f>
        <x:v>-6000</x:v>
      </x:c>
      <x:c r="H39" s="6" t="n">
        <x:v>-45000</x:v>
      </x:c>
      <x:c r="I39" s="6" t="n">
        <x:v>55000</x:v>
      </x:c>
      <x:c r="J39" s="7" t="n">
        <x:v>2</x:v>
      </x:c>
      <x:c r="K39" s="7" t="n">
        <x:f>IF(J39=0,1,0)</x:f>
        <x:v>0</x:v>
      </x:c>
    </x:row>
    <x:row r="40" ht="25" customHeight="1">
      <x:c r="A40" s="2" t="str">
        <x:v>2026-09-23_Night</x:v>
      </x:c>
      <x:c r="B40" s="2" t="str">
        <x:v>NK225_P164_06</x:v>
      </x:c>
      <x:c r="C40" s="2" t="str">
        <x:v>NK225_U164_00</x:v>
      </x:c>
      <x:c r="D40" s="6" t="n">
        <x:v>5000</x:v>
      </x:c>
      <x:c r="E40" s="6" t="n">
        <x:v>41000</x:v>
      </x:c>
      <x:c r="F40" s="6" t="n">
        <x:f>D40-E40</x:f>
        <x:v>-36000</x:v>
      </x:c>
      <x:c r="G40" s="6" t="n">
        <x:f>G39+F40</x:f>
        <x:v>-42000</x:v>
      </x:c>
      <x:c r="H40" s="6" t="n">
        <x:v>-44000</x:v>
      </x:c>
      <x:c r="I40" s="6" t="n">
        <x:v>44000</x:v>
      </x:c>
      <x:c r="J40" s="7" t="n">
        <x:v>3</x:v>
      </x:c>
      <x:c r="K40" s="7" t="n">
        <x:f>IF(J40=0,1,0)</x:f>
        <x:v>0</x:v>
      </x:c>
    </x:row>
    <x:row r="41" ht="25" customHeight="1">
      <x:c r="A41" s="2" t="str">
        <x:v>2026-09-24_Night</x:v>
      </x:c>
      <x:c r="B41" s="2" t="str">
        <x:v>NK225_P164_06</x:v>
      </x:c>
      <x:c r="C41" s="2" t="str">
        <x:v>NK225_U164_00</x:v>
      </x:c>
      <x:c r="D41" s="6" t="n">
        <x:v>50000</x:v>
      </x:c>
      <x:c r="E41" s="6" t="n">
        <x:v>0</x:v>
      </x:c>
      <x:c r="F41" s="6" t="n">
        <x:f>D41-E41</x:f>
        <x:v>50000</x:v>
      </x:c>
      <x:c r="G41" s="6" t="n">
        <x:f>G40+F41</x:f>
        <x:v>8000</x:v>
      </x:c>
      <x:c r="H41" s="6" t="n">
        <x:v>-85000</x:v>
      </x:c>
      <x:c r="I41" s="6" t="n">
        <x:v>90000</x:v>
      </x:c>
      <x:c r="J41" s="7" t="n">
        <x:v>4</x:v>
      </x:c>
      <x:c r="K41" s="7" t="n">
        <x:f>IF(J41=0,1,0)</x:f>
        <x:v>0</x:v>
      </x:c>
    </x:row>
    <x:row r="42" ht="25" customHeight="1">
      <x:c r="A42" s="2" t="str">
        <x:v>2026-09-25_Night</x:v>
      </x:c>
      <x:c r="B42" s="2" t="str">
        <x:v>NK225_P164_06</x:v>
      </x:c>
      <x:c r="C42" s="2" t="str">
        <x:v>NK225_U164_00</x:v>
      </x:c>
      <x:c r="D42" s="6" t="n">
        <x:v>17000</x:v>
      </x:c>
      <x:c r="E42" s="6" t="n">
        <x:v>16000</x:v>
      </x:c>
      <x:c r="F42" s="6" t="n">
        <x:f>D42-E42</x:f>
        <x:v>1000</x:v>
      </x:c>
      <x:c r="G42" s="6" t="n">
        <x:f>G41+F42</x:f>
        <x:v>9000</x:v>
      </x:c>
      <x:c r="H42" s="6" t="n">
        <x:v>-16000</x:v>
      </x:c>
      <x:c r="I42" s="6" t="n">
        <x:v>24000</x:v>
      </x:c>
      <x:c r="J42" s="7" t="n">
        <x:v>2</x:v>
      </x:c>
      <x:c r="K42" s="7" t="n">
        <x:f>IF(J42=0,1,0)</x:f>
        <x:v>0</x:v>
      </x:c>
    </x:row>
    <x:row r="43" ht="25" customHeight="1">
      <x:c r="A43" s="2" t="str">
        <x:v>2026-09-28_Night</x:v>
      </x:c>
      <x:c r="B43" s="2" t="str">
        <x:v>NK225_P164_06</x:v>
      </x:c>
      <x:c r="C43" s="2" t="str">
        <x:v>NK225_U164_00</x:v>
      </x:c>
      <x:c r="D43" s="6" t="n">
        <x:v>10000</x:v>
      </x:c>
      <x:c r="E43" s="6" t="n">
        <x:v>39000</x:v>
      </x:c>
      <x:c r="F43" s="6" t="n">
        <x:f>D43-E43</x:f>
        <x:v>-29000</x:v>
      </x:c>
      <x:c r="G43" s="6" t="n">
        <x:f>G42+F43</x:f>
        <x:v>-20000</x:v>
      </x:c>
      <x:c r="H43" s="6" t="n">
        <x:v>-40000</x:v>
      </x:c>
      <x:c r="I43" s="6" t="n">
        <x:v>43000</x:v>
      </x:c>
      <x:c r="J43" s="7" t="n">
        <x:v>5</x:v>
      </x:c>
      <x:c r="K43" s="7" t="n">
        <x:f>IF(J43=0,1,0)</x:f>
        <x:v>0</x:v>
      </x:c>
    </x:row>
    <x:row r="44" ht="25" customHeight="1">
      <x:c r="A44" s="2" t="str">
        <x:v>2026-09-29_Night</x:v>
      </x:c>
      <x:c r="B44" s="2" t="str">
        <x:v>NK225_P164_06</x:v>
      </x:c>
      <x:c r="C44" s="2" t="str">
        <x:v>NK225_U164_00</x:v>
      </x:c>
      <x:c r="D44" s="6" t="n">
        <x:v>90000</x:v>
      </x:c>
      <x:c r="E44" s="6" t="n">
        <x:v>25000</x:v>
      </x:c>
      <x:c r="F44" s="6" t="n">
        <x:f>D44-E44</x:f>
        <x:v>65000</x:v>
      </x:c>
      <x:c r="G44" s="6" t="n">
        <x:f>G43+F44</x:f>
        <x:v>45000</x:v>
      </x:c>
      <x:c r="H44" s="6" t="n">
        <x:v>-30000</x:v>
      </x:c>
      <x:c r="I44" s="6" t="n">
        <x:v>70000</x:v>
      </x:c>
      <x:c r="J44" s="7" t="n">
        <x:v>6</x:v>
      </x:c>
      <x:c r="K44" s="7" t="n">
        <x:f>IF(J44=0,1,0)</x:f>
        <x:v>0</x:v>
      </x:c>
    </x:row>
    <x:row r="45" ht="25" customHeight="1">
      <x:c r="A45" s="2" t="str">
        <x:v>2026-09-30_Night</x:v>
      </x:c>
      <x:c r="B45" s="2" t="str">
        <x:v>NK225_P164_06</x:v>
      </x:c>
      <x:c r="C45" s="2" t="str">
        <x:v>NK225_U164_00</x:v>
      </x:c>
      <x:c r="D45" s="6" t="n">
        <x:v>109000</x:v>
      </x:c>
      <x:c r="E45" s="6" t="n">
        <x:v>6000</x:v>
      </x:c>
      <x:c r="F45" s="6" t="n">
        <x:f>D45-E45</x:f>
        <x:v>103000</x:v>
      </x:c>
      <x:c r="G45" s="6" t="n">
        <x:f>G44+F45</x:f>
        <x:v>148000</x:v>
      </x:c>
      <x:c r="H45" s="6" t="n">
        <x:v>-75000</x:v>
      </x:c>
      <x:c r="I45" s="6" t="n">
        <x:v>95000</x:v>
      </x:c>
      <x:c r="J45" s="7" t="n">
        <x:v>6</x:v>
      </x:c>
      <x:c r="K45" s="7" t="n">
        <x:f>IF(J45=0,1,0)</x:f>
        <x:v>0</x:v>
      </x:c>
    </x:row>
    <x:row r="46" ht="25" customHeight="1">
      <x:c r="A46" s="2" t="str">
        <x:v>2026-10-01_Night</x:v>
      </x:c>
      <x:c r="B46" s="2" t="str">
        <x:v>NK225_P164_06</x:v>
      </x:c>
      <x:c r="C46" s="2" t="str">
        <x:v>NK225_U164_00</x:v>
      </x:c>
      <x:c r="D46" s="6" t="n">
        <x:v>245000</x:v>
      </x:c>
      <x:c r="E46" s="6" t="n">
        <x:v>97000</x:v>
      </x:c>
      <x:c r="F46" s="6" t="n">
        <x:f>D46-E46</x:f>
        <x:v>148000</x:v>
      </x:c>
      <x:c r="G46" s="6" t="n">
        <x:f>G45+F46</x:f>
        <x:v>296000</x:v>
      </x:c>
      <x:c r="H46" s="6" t="n">
        <x:v>-30000</x:v>
      </x:c>
      <x:c r="I46" s="6" t="n">
        <x:v>145000</x:v>
      </x:c>
      <x:c r="J46" s="7" t="n">
        <x:v>16</x:v>
      </x:c>
      <x:c r="K46" s="7" t="n">
        <x:f>IF(J46=0,1,0)</x:f>
        <x:v>0</x:v>
      </x:c>
    </x:row>
    <x:row r="47" ht="25" customHeight="1">
      <x:c r="A47" s="2" t="str">
        <x:v>2026-10-02_Night</x:v>
      </x:c>
      <x:c r="B47" s="2" t="str">
        <x:v>NK225_P164_06</x:v>
      </x:c>
      <x:c r="C47" s="2" t="str">
        <x:v>NK225_U164_00</x:v>
      </x:c>
      <x:c r="D47" s="6" t="n">
        <x:v>313000</x:v>
      </x:c>
      <x:c r="E47" s="6" t="n">
        <x:v>57000</x:v>
      </x:c>
      <x:c r="F47" s="6" t="n">
        <x:f>D47-E47</x:f>
        <x:v>256000</x:v>
      </x:c>
      <x:c r="G47" s="6" t="n">
        <x:f>G46+F47</x:f>
        <x:v>552000</x:v>
      </x:c>
      <x:c r="H47" s="6" t="n">
        <x:v>-34000</x:v>
      </x:c>
      <x:c r="I47" s="6" t="n">
        <x:v>162000</x:v>
      </x:c>
      <x:c r="J47" s="7" t="n">
        <x:v>15</x:v>
      </x:c>
      <x:c r="K47" s="7" t="n">
        <x:f>IF(J47=0,1,0)</x:f>
        <x:v>0</x:v>
      </x:c>
    </x:row>
    <x:row r="48" ht="25" customHeight="1">
      <x:c r="A48" s="2" t="str">
        <x:v>2026-10-05_Night</x:v>
      </x:c>
      <x:c r="B48" s="2" t="str">
        <x:v>NK225_P164_06</x:v>
      </x:c>
      <x:c r="C48" s="2" t="str">
        <x:v>NK225_U164_00</x:v>
      </x:c>
      <x:c r="D48" s="6" t="n">
        <x:v>113000</x:v>
      </x:c>
      <x:c r="E48" s="6" t="n">
        <x:v>64000</x:v>
      </x:c>
      <x:c r="F48" s="6" t="n">
        <x:f>D48-E48</x:f>
        <x:v>49000</x:v>
      </x:c>
      <x:c r="G48" s="6" t="n">
        <x:f>G47+F48</x:f>
        <x:v>601000</x:v>
      </x:c>
      <x:c r="H48" s="6" t="n">
        <x:v>-23000</x:v>
      </x:c>
      <x:c r="I48" s="6" t="n">
        <x:v>128000</x:v>
      </x:c>
      <x:c r="J48" s="7" t="n">
        <x:v>8</x:v>
      </x:c>
      <x:c r="K48" s="7" t="n">
        <x:f>IF(J48=0,1,0)</x:f>
        <x:v>0</x:v>
      </x:c>
    </x:row>
    <x:row r="49" ht="25" customHeight="1">
      <x:c r="A49" s="2" t="str">
        <x:v>2026-10-06_Night</x:v>
      </x:c>
      <x:c r="B49" s="2" t="str">
        <x:v>NK225_P164_06</x:v>
      </x:c>
      <x:c r="C49" s="2" t="str">
        <x:v>NK225_U164_00</x:v>
      </x:c>
      <x:c r="D49" s="6" t="n">
        <x:v>33000</x:v>
      </x:c>
      <x:c r="E49" s="6" t="n">
        <x:v>43000</x:v>
      </x:c>
      <x:c r="F49" s="6" t="n">
        <x:f>D49-E49</x:f>
        <x:v>-10000</x:v>
      </x:c>
      <x:c r="G49" s="6" t="n">
        <x:f>G48+F49</x:f>
        <x:v>591000</x:v>
      </x:c>
      <x:c r="H49" s="6" t="n">
        <x:v>-56000</x:v>
      </x:c>
      <x:c r="I49" s="6" t="n">
        <x:v>56000</x:v>
      </x:c>
      <x:c r="J49" s="7" t="n">
        <x:v>4</x:v>
      </x:c>
      <x:c r="K49" s="7" t="n">
        <x:f>IF(J49=0,1,0)</x:f>
        <x:v>0</x:v>
      </x:c>
    </x:row>
    <x:row r="50" ht="25" customHeight="1">
      <x:c r="A50" s="2" t="str">
        <x:v>2026-10-07_Night</x:v>
      </x:c>
      <x:c r="B50" s="2" t="str">
        <x:v>NK225_P164_06</x:v>
      </x:c>
      <x:c r="C50" s="2" t="str">
        <x:v>NK225_U164_00</x:v>
      </x:c>
      <x:c r="D50" s="6" t="n">
        <x:v>20000</x:v>
      </x:c>
      <x:c r="E50" s="6" t="n">
        <x:v>27000</x:v>
      </x:c>
      <x:c r="F50" s="6" t="n">
        <x:f>D50-E50</x:f>
        <x:v>-7000</x:v>
      </x:c>
      <x:c r="G50" s="6" t="n">
        <x:f>G49+F50</x:f>
        <x:v>584000</x:v>
      </x:c>
      <x:c r="H50" s="6" t="n">
        <x:v>-30000</x:v>
      </x:c>
      <x:c r="I50" s="6" t="n">
        <x:v>31000</x:v>
      </x:c>
      <x:c r="J50" s="7" t="n">
        <x:v>5</x:v>
      </x:c>
      <x:c r="K50" s="7" t="n">
        <x:f>IF(J50=0,1,0)</x:f>
        <x:v>0</x:v>
      </x:c>
    </x:row>
    <x:row r="51" ht="25" customHeight="1">
      <x:c r="A51" s="2" t="str">
        <x:v>2026-10-08_Night</x:v>
      </x:c>
      <x:c r="B51" s="2" t="str">
        <x:v>NK225_P164_06</x:v>
      </x:c>
      <x:c r="C51" s="2" t="str">
        <x:v>NK225_U164_00</x:v>
      </x:c>
      <x:c r="D51" s="6" t="n">
        <x:v>347000</x:v>
      </x:c>
      <x:c r="E51" s="6" t="n">
        <x:v>36000</x:v>
      </x:c>
      <x:c r="F51" s="6" t="n">
        <x:f>D51-E51</x:f>
        <x:v>311000</x:v>
      </x:c>
      <x:c r="G51" s="6" t="n">
        <x:f>G50+F51</x:f>
        <x:v>895000</x:v>
      </x:c>
      <x:c r="H51" s="6" t="n">
        <x:v>-37000</x:v>
      </x:c>
      <x:c r="I51" s="6" t="n">
        <x:v>102000</x:v>
      </x:c>
      <x:c r="J51" s="7" t="n">
        <x:v>17</x:v>
      </x:c>
      <x:c r="K51" s="7" t="n">
        <x:f>IF(J51=0,1,0)</x:f>
        <x:v>0</x:v>
      </x:c>
    </x:row>
    <x:row r="52" ht="25" customHeight="1">
      <x:c r="A52" s="2" t="str">
        <x:v>2026-10-09_Night</x:v>
      </x:c>
      <x:c r="B52" s="2" t="str">
        <x:v>NK225_P164_06</x:v>
      </x:c>
      <x:c r="C52" s="2" t="str">
        <x:v>NK225_U164_00</x:v>
      </x:c>
      <x:c r="D52" s="6" t="n">
        <x:v>56000</x:v>
      </x:c>
      <x:c r="E52" s="6" t="n">
        <x:v>2000</x:v>
      </x:c>
      <x:c r="F52" s="6" t="n">
        <x:f>D52-E52</x:f>
        <x:v>54000</x:v>
      </x:c>
      <x:c r="G52" s="6" t="n">
        <x:f>G51+F52</x:f>
        <x:v>949000</x:v>
      </x:c>
      <x:c r="H52" s="6" t="n">
        <x:v>-10000</x:v>
      </x:c>
      <x:c r="I52" s="6" t="n">
        <x:v>60000</x:v>
      </x:c>
      <x:c r="J52" s="7" t="n">
        <x:v>3</x:v>
      </x:c>
      <x:c r="K52" s="7" t="n">
        <x:f>IF(J52=0,1,0)</x:f>
        <x:v>0</x:v>
      </x:c>
    </x:row>
    <x:row r="53" ht="25" customHeight="1">
      <x:c r="A53" s="2" t="str">
        <x:v>2026-10-12_Night</x:v>
      </x:c>
      <x:c r="B53" s="2" t="str">
        <x:v>NK225_P164_06</x:v>
      </x:c>
      <x:c r="C53" s="2" t="str">
        <x:v>NK225_U164_00</x:v>
      </x:c>
      <x:c r="D53" s="6" t="n">
        <x:v>82000</x:v>
      </x:c>
      <x:c r="E53" s="6" t="n">
        <x:v>0</x:v>
      </x:c>
      <x:c r="F53" s="6" t="n">
        <x:f>D53-E53</x:f>
        <x:v>82000</x:v>
      </x:c>
      <x:c r="G53" s="6" t="n">
        <x:f>G52+F53</x:f>
        <x:v>1031000</x:v>
      </x:c>
      <x:c r="H53" s="6" t="n">
        <x:v>-10000</x:v>
      </x:c>
      <x:c r="I53" s="6" t="n">
        <x:v>33000</x:v>
      </x:c>
      <x:c r="J53" s="7" t="n">
        <x:v>1</x:v>
      </x:c>
      <x:c r="K53" s="7" t="n">
        <x:f>IF(J53=0,1,0)</x:f>
        <x:v>0</x:v>
      </x:c>
    </x:row>
    <x:row r="54" ht="25" customHeight="1">
      <x:c r="A54" s="2" t="str">
        <x:v>2026-10-13_Night</x:v>
      </x:c>
      <x:c r="B54" s="2" t="str">
        <x:v>NK225_P164_06</x:v>
      </x:c>
      <x:c r="C54" s="2" t="str">
        <x:v>NK225_U164_00</x:v>
      </x:c>
      <x:c r="D54" s="6" t="n">
        <x:v>15000</x:v>
      </x:c>
      <x:c r="E54" s="6" t="n">
        <x:v>53000</x:v>
      </x:c>
      <x:c r="F54" s="6" t="n">
        <x:f>D54-E54</x:f>
        <x:v>-38000</x:v>
      </x:c>
      <x:c r="G54" s="6" t="n">
        <x:f>G53+F54</x:f>
        <x:v>993000</x:v>
      </x:c>
      <x:c r="H54" s="6" t="n">
        <x:v>-38000</x:v>
      </x:c>
      <x:c r="I54" s="6" t="n">
        <x:v>58000</x:v>
      </x:c>
      <x:c r="J54" s="7" t="n">
        <x:v>3</x:v>
      </x:c>
      <x:c r="K54" s="7" t="n">
        <x:f>IF(J54=0,1,0)</x:f>
        <x:v>0</x:v>
      </x:c>
    </x:row>
    <x:row r="55" ht="25" customHeight="1">
      <x:c r="A55" s="2" t="str">
        <x:v>2026-10-14_Night</x:v>
      </x:c>
      <x:c r="B55" s="2" t="str">
        <x:v>NK225_P164_06</x:v>
      </x:c>
      <x:c r="C55" s="2" t="str">
        <x:v>NK225_U164_00</x:v>
      </x:c>
      <x:c r="D55" s="6" t="n">
        <x:v>212000</x:v>
      </x:c>
      <x:c r="E55" s="6" t="n">
        <x:v>61000</x:v>
      </x:c>
      <x:c r="F55" s="6" t="n">
        <x:f>D55-E55</x:f>
        <x:v>151000</x:v>
      </x:c>
      <x:c r="G55" s="6" t="n">
        <x:f>G54+F55</x:f>
        <x:v>1144000</x:v>
      </x:c>
      <x:c r="H55" s="6" t="n">
        <x:v>-45000</x:v>
      </x:c>
      <x:c r="I55" s="6" t="n">
        <x:v>65000</x:v>
      </x:c>
      <x:c r="J55" s="7" t="n">
        <x:v>5</x:v>
      </x:c>
      <x:c r="K55" s="7" t="n">
        <x:f>IF(J55=0,1,0)</x:f>
        <x:v>0</x:v>
      </x:c>
    </x:row>
    <x:row r="56" ht="25" customHeight="1">
      <x:c r="A56" s="2" t="str">
        <x:v>2026-10-15_Night</x:v>
      </x:c>
      <x:c r="B56" s="2" t="str">
        <x:v>NK225_P164_06</x:v>
      </x:c>
      <x:c r="C56" s="2" t="str">
        <x:v>NK225_U164_00</x:v>
      </x:c>
      <x:c r="D56" s="6" t="n">
        <x:v>86000</x:v>
      </x:c>
      <x:c r="E56" s="6" t="n">
        <x:v>64000</x:v>
      </x:c>
      <x:c r="F56" s="6" t="n">
        <x:f>D56-E56</x:f>
        <x:v>22000</x:v>
      </x:c>
      <x:c r="G56" s="6" t="n">
        <x:f>G55+F56</x:f>
        <x:v>1166000</x:v>
      </x:c>
      <x:c r="H56" s="6" t="n">
        <x:v>-48000</x:v>
      </x:c>
      <x:c r="I56" s="6" t="n">
        <x:v>90000</x:v>
      </x:c>
      <x:c r="J56" s="7" t="n">
        <x:v>7</x:v>
      </x:c>
      <x:c r="K56" s="7" t="n">
        <x:f>IF(J56=0,1,0)</x:f>
        <x:v>0</x:v>
      </x:c>
    </x:row>
    <x:row r="57" ht="25" customHeight="1">
      <x:c r="A57" s="2" t="str">
        <x:v>2026-10-16_Night</x:v>
      </x:c>
      <x:c r="B57" s="2" t="str">
        <x:v>NK225_P164_06</x:v>
      </x:c>
      <x:c r="C57" s="2" t="str">
        <x:v>NK225_U164_00</x:v>
      </x:c>
      <x:c r="D57" s="6" t="n">
        <x:v>177000</x:v>
      </x:c>
      <x:c r="E57" s="6" t="n">
        <x:v>165000</x:v>
      </x:c>
      <x:c r="F57" s="6" t="n">
        <x:f>D57-E57</x:f>
        <x:v>12000</x:v>
      </x:c>
      <x:c r="G57" s="6" t="n">
        <x:f>G56+F57</x:f>
        <x:v>1178000</x:v>
      </x:c>
      <x:c r="H57" s="6" t="n">
        <x:v>-105000</x:v>
      </x:c>
      <x:c r="I57" s="6" t="n">
        <x:v>121000</x:v>
      </x:c>
      <x:c r="J57" s="7" t="n">
        <x:v>14</x:v>
      </x:c>
      <x:c r="K57" s="7" t="n">
        <x:f>IF(J57=0,1,0)</x:f>
        <x:v>0</x:v>
      </x:c>
    </x:row>
    <x:row r="58" ht="25" customHeight="1">
      <x:c r="A58" s="2" t="str">
        <x:v>2026-10-19_Night</x:v>
      </x:c>
      <x:c r="B58" s="2" t="str">
        <x:v>NK225_P164_06</x:v>
      </x:c>
      <x:c r="C58" s="2" t="str">
        <x:v>NK225_U164_00</x:v>
      </x:c>
      <x:c r="D58" s="6" t="n">
        <x:v>132000</x:v>
      </x:c>
      <x:c r="E58" s="6" t="n">
        <x:v>105000</x:v>
      </x:c>
      <x:c r="F58" s="6" t="n">
        <x:f>D58-E58</x:f>
        <x:v>27000</x:v>
      </x:c>
      <x:c r="G58" s="6" t="n">
        <x:f>G57+F58</x:f>
        <x:v>1205000</x:v>
      </x:c>
      <x:c r="H58" s="6" t="n">
        <x:v>-40000</x:v>
      </x:c>
      <x:c r="I58" s="6" t="n">
        <x:v>97000</x:v>
      </x:c>
      <x:c r="J58" s="7" t="n">
        <x:v>14</x:v>
      </x:c>
      <x:c r="K58" s="7" t="n">
        <x:f>IF(J58=0,1,0)</x:f>
        <x:v>0</x:v>
      </x:c>
    </x:row>
    <x:row r="59" ht="25" customHeight="1">
      <x:c r="A59" s="2" t="str">
        <x:v>2026-10-20_Night</x:v>
      </x:c>
      <x:c r="B59" s="2" t="str">
        <x:v>NK225_P164_06</x:v>
      </x:c>
      <x:c r="C59" s="2" t="str">
        <x:v>NK225_U164_00</x:v>
      </x:c>
      <x:c r="D59" s="6" t="n">
        <x:v>156000</x:v>
      </x:c>
      <x:c r="E59" s="6" t="n">
        <x:v>33000</x:v>
      </x:c>
      <x:c r="F59" s="6" t="n">
        <x:f>D59-E59</x:f>
        <x:v>123000</x:v>
      </x:c>
      <x:c r="G59" s="6" t="n">
        <x:f>G58+F59</x:f>
        <x:v>1328000</x:v>
      </x:c>
      <x:c r="H59" s="6" t="n">
        <x:v>-10000</x:v>
      </x:c>
      <x:c r="I59" s="6" t="n">
        <x:v>53000</x:v>
      </x:c>
      <x:c r="J59" s="7" t="n">
        <x:v>11</x:v>
      </x:c>
      <x:c r="K59" s="7" t="n">
        <x:f>IF(J59=0,1,0)</x:f>
        <x:v>0</x:v>
      </x:c>
    </x:row>
    <x:row r="60" ht="25" customHeight="1">
      <x:c r="A60" s="2" t="str">
        <x:v>2026-10-21_Night</x:v>
      </x:c>
      <x:c r="B60" s="2" t="str">
        <x:v>NK225_P164_06</x:v>
      </x:c>
      <x:c r="C60" s="2" t="str">
        <x:v>NK225_U164_00</x:v>
      </x:c>
      <x:c r="D60" s="6" t="n">
        <x:v>80000</x:v>
      </x:c>
      <x:c r="E60" s="6" t="n">
        <x:v>89000</x:v>
      </x:c>
      <x:c r="F60" s="6" t="n">
        <x:f>D60-E60</x:f>
        <x:v>-9000</x:v>
      </x:c>
      <x:c r="G60" s="6" t="n">
        <x:f>G59+F60</x:f>
        <x:v>1319000</x:v>
      </x:c>
      <x:c r="H60" s="6" t="n">
        <x:v>-35000</x:v>
      </x:c>
      <x:c r="I60" s="6" t="n">
        <x:v>131000</x:v>
      </x:c>
      <x:c r="J60" s="7" t="n">
        <x:v>6</x:v>
      </x:c>
      <x:c r="K60" s="7" t="n">
        <x:f>IF(J60=0,1,0)</x:f>
        <x:v>0</x:v>
      </x:c>
    </x:row>
    <x:row r="61" ht="25" customHeight="1">
      <x:c r="A61" s="2" t="str">
        <x:v>2026-10-22_Night</x:v>
      </x:c>
      <x:c r="B61" s="2" t="str">
        <x:v>NK225_P164_06</x:v>
      </x:c>
      <x:c r="C61" s="2" t="str">
        <x:v>NK225_U164_00</x:v>
      </x:c>
      <x:c r="D61" s="6" t="n">
        <x:v>156000</x:v>
      </x:c>
      <x:c r="E61" s="6" t="n">
        <x:v>0</x:v>
      </x:c>
      <x:c r="F61" s="6" t="n">
        <x:f>D61-E61</x:f>
        <x:v>156000</x:v>
      </x:c>
      <x:c r="G61" s="6" t="n">
        <x:f>G60+F61</x:f>
        <x:v>1475000</x:v>
      </x:c>
      <x:c r="H61" s="6" t="n">
        <x:v>-2000</x:v>
      </x:c>
      <x:c r="I61" s="6" t="n">
        <x:v>64000</x:v>
      </x:c>
      <x:c r="J61" s="7" t="n">
        <x:v>3</x:v>
      </x:c>
      <x:c r="K61" s="7" t="n">
        <x:f>IF(J61=0,1,0)</x:f>
        <x:v>0</x:v>
      </x:c>
    </x:row>
    <x:row r="62" ht="25" customHeight="1">
      <x:c r="A62" s="2" t="str">
        <x:v>2026-10-23_Night</x:v>
      </x:c>
      <x:c r="B62" s="2" t="str">
        <x:v>NK225_P164_06</x:v>
      </x:c>
      <x:c r="C62" s="2" t="str">
        <x:v>NK225_U164_00</x:v>
      </x:c>
      <x:c r="D62" s="6" t="n">
        <x:v>69000</x:v>
      </x:c>
      <x:c r="E62" s="6" t="n">
        <x:v>39000</x:v>
      </x:c>
      <x:c r="F62" s="6" t="n">
        <x:f>D62-E62</x:f>
        <x:v>30000</x:v>
      </x:c>
      <x:c r="G62" s="6" t="n">
        <x:f>G61+F62</x:f>
        <x:v>1505000</x:v>
      </x:c>
      <x:c r="H62" s="6" t="n">
        <x:v>-30000</x:v>
      </x:c>
      <x:c r="I62" s="6" t="n">
        <x:v>89000</x:v>
      </x:c>
      <x:c r="J62" s="7" t="n">
        <x:v>11</x:v>
      </x:c>
      <x:c r="K62" s="7" t="n">
        <x:f>IF(J62=0,1,0)</x:f>
        <x:v>0</x:v>
      </x:c>
    </x:row>
    <x:row r="63" ht="25" customHeight="1">
      <x:c r="A63" s="2" t="str">
        <x:v>2026-10-26_Night</x:v>
      </x:c>
      <x:c r="B63" s="2" t="str">
        <x:v>NK225_P164_06</x:v>
      </x:c>
      <x:c r="C63" s="2" t="str">
        <x:v>NK225_U164_00</x:v>
      </x:c>
      <x:c r="D63" s="6" t="n">
        <x:v>88000</x:v>
      </x:c>
      <x:c r="E63" s="6" t="n">
        <x:v>124000</x:v>
      </x:c>
      <x:c r="F63" s="6" t="n">
        <x:f>D63-E63</x:f>
        <x:v>-36000</x:v>
      </x:c>
      <x:c r="G63" s="6" t="n">
        <x:f>G62+F63</x:f>
        <x:v>1469000</x:v>
      </x:c>
      <x:c r="H63" s="6" t="n">
        <x:v>-37000</x:v>
      </x:c>
      <x:c r="I63" s="6" t="n">
        <x:v>121000</x:v>
      </x:c>
      <x:c r="J63" s="7" t="n">
        <x:v>12</x:v>
      </x:c>
      <x:c r="K63" s="7" t="n">
        <x:f>IF(J63=0,1,0)</x:f>
        <x:v>0</x:v>
      </x:c>
    </x:row>
    <x:row r="64" ht="25" customHeight="1">
      <x:c r="A64" s="2" t="str">
        <x:v>2026-10-27_Night</x:v>
      </x:c>
      <x:c r="B64" s="2" t="str">
        <x:v>NK225_P164_06</x:v>
      </x:c>
      <x:c r="C64" s="2" t="str">
        <x:v>NK225_U164_00</x:v>
      </x:c>
      <x:c r="D64" s="6" t="n">
        <x:v>23000</x:v>
      </x:c>
      <x:c r="E64" s="6" t="n">
        <x:v>0</x:v>
      </x:c>
      <x:c r="F64" s="6" t="n">
        <x:f>D64-E64</x:f>
        <x:v>23000</x:v>
      </x:c>
      <x:c r="G64" s="6" t="n">
        <x:f>G63+F64</x:f>
        <x:v>1492000</x:v>
      </x:c>
      <x:c r="H64" s="6" t="n">
        <x:v>-120000</x:v>
      </x:c>
      <x:c r="I64" s="6" t="n">
        <x:v>120000</x:v>
      </x:c>
      <x:c r="J64" s="7" t="n">
        <x:v>3</x:v>
      </x:c>
      <x:c r="K64" s="7" t="n">
        <x:f>IF(J64=0,1,0)</x:f>
        <x:v>0</x:v>
      </x:c>
    </x:row>
    <x:row r="65" ht="25" customHeight="1">
      <x:c r="A65" s="8" t="str">
        <x:v>累計／場内最悪値</x:v>
      </x:c>
      <x:c r="B65" s="8"/>
      <x:c r="C65" s="8"/>
      <x:c r="D65" s="9" t="n">
        <x:f>SUM(D38:D64)</x:f>
        <x:v>2731000</x:v>
      </x:c>
      <x:c r="E65" s="9" t="n">
        <x:f>SUM(E38:E64)</x:f>
        <x:v>1239000</x:v>
      </x:c>
      <x:c r="F65" s="9" t="n">
        <x:f>D65-E65</x:f>
        <x:v>1492000</x:v>
      </x:c>
      <x:c r="G65" s="9" t="n">
        <x:f>G64</x:f>
        <x:v>1492000</x:v>
      </x:c>
      <x:c r="H65" s="9" t="n">
        <x:f>MIN(H38:H64)</x:f>
        <x:v>-120000</x:v>
      </x:c>
      <x:c r="I65" s="9" t="n">
        <x:f>MAX(I38:I64)</x:f>
        <x:v>162000</x:v>
      </x:c>
      <x:c r="J65" s="10" t="n">
        <x:f>SUM(J38:J64)</x:f>
        <x:v>187</x:v>
      </x:c>
      <x:c r="K65" s="10" t="n">
        <x:f>SUM(K38:K64)</x:f>
        <x:v>0</x:v>
      </x:c>
    </x:row>
  </x:sheetData>
  <x:conditionalFormatting sqref="F6:H32">
    <x:cfRule type="cellIs" dxfId="34" priority="1" operator="lessThan">
      <x:formula>0</x:formula>
    </x:cfRule>
  </x:conditionalFormatting>
  <x:conditionalFormatting sqref="F38:H64">
    <x:cfRule type="cellIs" dxfId="35" priority="2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3fa3618cbec74fb6"/>
    <x:tablePart xmlns:r="http://schemas.openxmlformats.org/officeDocument/2006/relationships" r:id="R1f3b4f7dcc6f46f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NK225_D164_00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00157第二巡J02正本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234200</x:v>
      </x:c>
      <x:c r="E9" s="6" t="n">
        <x:v>12000</x:v>
      </x:c>
      <x:c r="F9" s="6" t="n">
        <x:f>D9-E9</x:f>
        <x:v>222200</x:v>
      </x:c>
      <x:c r="G9" s="6" t="n">
        <x:f>G8+F9</x:f>
        <x:v>225400</x:v>
      </x:c>
      <x:c r="H9" s="6" t="n">
        <x:v>-18200</x:v>
      </x:c>
      <x:c r="I9" s="6" t="n">
        <x:v>169300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366800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90100</x:v>
      </x:c>
      <x:c r="E11" s="6" t="n">
        <x:v>70200</x:v>
      </x:c>
      <x:c r="F11" s="6" t="n">
        <x:f>D11-E11</x:f>
        <x:v>19900</x:v>
      </x:c>
      <x:c r="G11" s="6" t="n">
        <x:f>G10+F11</x:f>
        <x:v>386700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109100</x:v>
      </x:c>
      <x:c r="E12" s="6" t="n">
        <x:v>209900</x:v>
      </x:c>
      <x:c r="F12" s="6" t="n">
        <x:f>D12-E12</x:f>
        <x:v>-100800</x:v>
      </x:c>
      <x:c r="G12" s="6" t="n">
        <x:f>G11+F12</x:f>
        <x:v>285900</x:v>
      </x:c>
      <x:c r="H12" s="6" t="n">
        <x:v>-189200</x:v>
      </x:c>
      <x:c r="I12" s="6" t="n">
        <x:v>207400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48500</x:v>
      </x:c>
      <x:c r="E13" s="6" t="n">
        <x:v>26400</x:v>
      </x:c>
      <x:c r="F13" s="6" t="n">
        <x:f>D13-E13</x:f>
        <x:v>22100</x:v>
      </x:c>
      <x:c r="G13" s="6" t="n">
        <x:f>G12+F13</x:f>
        <x:v>308000</x:v>
      </x:c>
      <x:c r="H13" s="6" t="n">
        <x:v>-16900</x:v>
      </x:c>
      <x:c r="I13" s="6" t="n">
        <x:v>26400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66000</x:v>
      </x:c>
      <x:c r="E14" s="6" t="n">
        <x:v>142700</x:v>
      </x:c>
      <x:c r="F14" s="6" t="n">
        <x:f>D14-E14</x:f>
        <x:v>-76700</x:v>
      </x:c>
      <x:c r="G14" s="6" t="n">
        <x:f>G13+F14</x:f>
        <x:v>231300</x:v>
      </x:c>
      <x:c r="H14" s="6" t="n">
        <x:v>-92700</x:v>
      </x:c>
      <x:c r="I14" s="6" t="n">
        <x:v>108900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33900</x:v>
      </x:c>
      <x:c r="E15" s="6" t="n">
        <x:v>56500</x:v>
      </x:c>
      <x:c r="F15" s="6" t="n">
        <x:f>D15-E15</x:f>
        <x:v>-22600</x:v>
      </x:c>
      <x:c r="G15" s="6" t="n">
        <x:f>G14+F15</x:f>
        <x:v>208700</x:v>
      </x:c>
      <x:c r="H15" s="6" t="n">
        <x:v>-40500</x:v>
      </x:c>
      <x:c r="I15" s="6" t="n">
        <x:v>87300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76200</x:v>
      </x:c>
      <x:c r="E16" s="6" t="n">
        <x:v>69900</x:v>
      </x:c>
      <x:c r="F16" s="6" t="n">
        <x:f>D16-E16</x:f>
        <x:v>6300</x:v>
      </x:c>
      <x:c r="G16" s="6" t="n">
        <x:f>G15+F16</x:f>
        <x:v>215000</x:v>
      </x:c>
      <x:c r="H16" s="6" t="n">
        <x:v>-19200</x:v>
      </x:c>
      <x:c r="I16" s="6" t="n">
        <x:v>78700</x:v>
      </x:c>
      <x:c r="J16" s="7" t="n">
        <x:v>12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175500</x:v>
      </x:c>
      <x:c r="F17" s="6" t="n">
        <x:f>D17-E17</x:f>
        <x:v>-130600</x:v>
      </x:c>
      <x:c r="G17" s="6" t="n">
        <x:f>G16+F17</x:f>
        <x:v>84400</x:v>
      </x:c>
      <x:c r="H17" s="6" t="n">
        <x:v>-130600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245800</x:v>
      </x:c>
      <x:c r="E18" s="6" t="n">
        <x:v>43300</x:v>
      </x:c>
      <x:c r="F18" s="6" t="n">
        <x:f>D18-E18</x:f>
        <x:v>202500</x:v>
      </x:c>
      <x:c r="G18" s="6" t="n">
        <x:f>G17+F18</x:f>
        <x:v>286900</x:v>
      </x:c>
      <x:c r="H18" s="6" t="n">
        <x:v>-12900</x:v>
      </x:c>
      <x:c r="I18" s="6" t="n">
        <x:v>86300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35400</x:v>
      </x:c>
      <x:c r="E19" s="6" t="n">
        <x:v>23000</x:v>
      </x:c>
      <x:c r="F19" s="6" t="n">
        <x:f>D19-E19</x:f>
        <x:v>12400</x:v>
      </x:c>
      <x:c r="G19" s="6" t="n">
        <x:f>G18+F19</x:f>
        <x:v>299300</x:v>
      </x:c>
      <x:c r="H19" s="6" t="n">
        <x:v>-27300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88500</x:v>
      </x:c>
      <x:c r="F20" s="6" t="n">
        <x:f>D20-E20</x:f>
        <x:v>13300</x:v>
      </x:c>
      <x:c r="G20" s="6" t="n">
        <x:f>G19+F20</x:f>
        <x:v>312600</x:v>
      </x:c>
      <x:c r="H20" s="6" t="n">
        <x:v>-101300</x:v>
      </x:c>
      <x:c r="I20" s="6" t="n">
        <x:v>198200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321800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185400</x:v>
      </x:c>
      <x:c r="E22" s="6" t="n">
        <x:v>245200</x:v>
      </x:c>
      <x:c r="F22" s="6" t="n">
        <x:f>D22-E22</x:f>
        <x:v>-59800</x:v>
      </x:c>
      <x:c r="G22" s="6" t="n">
        <x:f>G21+F22</x:f>
        <x:v>262000</x:v>
      </x:c>
      <x:c r="H22" s="6" t="n">
        <x:v>-115500</x:v>
      </x:c>
      <x:c r="I22" s="6" t="n">
        <x:v>222800</x:v>
      </x:c>
      <x:c r="J22" s="7" t="n">
        <x:v>15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41100</x:v>
      </x:c>
      <x:c r="E23" s="6" t="n">
        <x:v>102300</x:v>
      </x:c>
      <x:c r="F23" s="6" t="n">
        <x:f>D23-E23</x:f>
        <x:v>-61200</x:v>
      </x:c>
      <x:c r="G23" s="6" t="n">
        <x:f>G22+F23</x:f>
        <x:v>200800</x:v>
      </x:c>
      <x:c r="H23" s="6" t="n">
        <x:v>-101900</x:v>
      </x:c>
      <x:c r="I23" s="6" t="n">
        <x:v>141000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354900</x:v>
      </x:c>
      <x:c r="E24" s="6" t="n">
        <x:v>54800</x:v>
      </x:c>
      <x:c r="F24" s="6" t="n">
        <x:f>D24-E24</x:f>
        <x:v>300100</x:v>
      </x:c>
      <x:c r="G24" s="6" t="n">
        <x:f>G23+F24</x:f>
        <x:v>500900</x:v>
      </x:c>
      <x:c r="H24" s="6" t="n">
        <x:v>-31500</x:v>
      </x:c>
      <x:c r="I24" s="6" t="n">
        <x:v>161300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88300</x:v>
      </x:c>
      <x:c r="E25" s="6" t="n">
        <x:v>173100</x:v>
      </x:c>
      <x:c r="F25" s="6" t="n">
        <x:f>D25-E25</x:f>
        <x:v>-84800</x:v>
      </x:c>
      <x:c r="G25" s="6" t="n">
        <x:f>G24+F25</x:f>
        <x:v>416100</x:v>
      </x:c>
      <x:c r="H25" s="6" t="n">
        <x:v>-98200</x:v>
      </x:c>
      <x:c r="I25" s="6" t="n">
        <x:v>130200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564500</x:v>
      </x:c>
      <x:c r="E26" s="6" t="n">
        <x:v>0</x:v>
      </x:c>
      <x:c r="F26" s="6" t="n">
        <x:f>D26-E26</x:f>
        <x:v>564500</x:v>
      </x:c>
      <x:c r="G26" s="6" t="n">
        <x:f>G25+F26</x:f>
        <x:v>980600</x:v>
      </x:c>
      <x:c r="H26" s="6" t="n">
        <x:v>-20800</x:v>
      </x:c>
      <x:c r="I26" s="6" t="n">
        <x:v>259200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102400</x:v>
      </x:c>
      <x:c r="E27" s="6" t="n">
        <x:v>88400</x:v>
      </x:c>
      <x:c r="F27" s="6" t="n">
        <x:f>D27-E27</x:f>
        <x:v>14000</x:v>
      </x:c>
      <x:c r="G27" s="6" t="n">
        <x:f>G26+F27</x:f>
        <x:v>994600</x:v>
      </x:c>
      <x:c r="H27" s="6" t="n">
        <x:v>-12000</x:v>
      </x:c>
      <x:c r="I27" s="6" t="n">
        <x:v>136700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59600</x:v>
      </x:c>
      <x:c r="E28" s="6" t="n">
        <x:v>158400</x:v>
      </x:c>
      <x:c r="F28" s="6" t="n">
        <x:f>D28-E28</x:f>
        <x:v>-98800</x:v>
      </x:c>
      <x:c r="G28" s="6" t="n">
        <x:f>G27+F28</x:f>
        <x:v>895800</x:v>
      </x:c>
      <x:c r="H28" s="6" t="n">
        <x:v>-160300</x:v>
      </x:c>
      <x:c r="I28" s="6" t="n">
        <x:v>166800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263900</x:v>
      </x:c>
      <x:c r="E29" s="6" t="n">
        <x:v>4000</x:v>
      </x:c>
      <x:c r="F29" s="6" t="n">
        <x:f>D29-E29</x:f>
        <x:v>259900</x:v>
      </x:c>
      <x:c r="G29" s="6" t="n">
        <x:f>G28+F29</x:f>
        <x:v>1155700</x:v>
      </x:c>
      <x:c r="H29" s="6" t="n">
        <x:v>-17300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359100</x:v>
      </x:c>
      <x:c r="E30" s="6" t="n">
        <x:v>49900</x:v>
      </x:c>
      <x:c r="F30" s="6" t="n">
        <x:f>D30-E30</x:f>
        <x:v>309200</x:v>
      </x:c>
      <x:c r="G30" s="6" t="n">
        <x:f>G29+F30</x:f>
        <x:v>1464900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394700</x:v>
      </x:c>
      <x:c r="E31" s="6" t="n">
        <x:v>99600</x:v>
      </x:c>
      <x:c r="F31" s="6" t="n">
        <x:f>D31-E31</x:f>
        <x:v>295100</x:v>
      </x:c>
      <x:c r="G31" s="6" t="n">
        <x:f>G30+F31</x:f>
        <x:v>1760000</x:v>
      </x:c>
      <x:c r="H31" s="6" t="n">
        <x:v>-14000</x:v>
      </x:c>
      <x:c r="I31" s="6" t="n">
        <x:v>263800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92800</x:v>
      </x:c>
      <x:c r="E32" s="6" t="n">
        <x:v>181200</x:v>
      </x:c>
      <x:c r="F32" s="6" t="n">
        <x:f>D32-E32</x:f>
        <x:v>-88400</x:v>
      </x:c>
      <x:c r="G32" s="6" t="n">
        <x:f>G31+F32</x:f>
        <x:v>1671600</x:v>
      </x:c>
      <x:c r="H32" s="6" t="n">
        <x:v>-106100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3773400</x:v>
      </x:c>
      <x:c r="E33" s="9" t="n">
        <x:f>SUM(E6:E32)</x:f>
        <x:v>2101800</x:v>
      </x:c>
      <x:c r="F33" s="9" t="n">
        <x:f>D33-E33</x:f>
        <x:v>1671600</x:v>
      </x:c>
      <x:c r="G33" s="9" t="n">
        <x:f>G32</x:f>
        <x:v>1671600</x:v>
      </x:c>
      <x:c r="H33" s="9" t="n">
        <x:f>MIN(H6:H32)</x:f>
        <x:v>-189200</x:v>
      </x:c>
      <x:c r="I33" s="9" t="n">
        <x:f>MAX(I6:I32)</x:f>
        <x:v>263800</x:v>
      </x:c>
      <x:c r="J33" s="10" t="n">
        <x:f>SUM(J6:J32)</x:f>
        <x:v>219</x:v>
      </x:c>
      <x:c r="K33" s="10" t="n">
        <x:f>SUM(K6:K32)</x:f>
        <x:v>0</x:v>
      </x:c>
    </x:row>
  </x:sheetData>
  <x:conditionalFormatting sqref="F6:H3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d774ff9d9a421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NK225_D164_01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元の利益部分返済後だけ残玉を建値保護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207000</x:v>
      </x:c>
      <x:c r="E9" s="6" t="n">
        <x:v>12000</x:v>
      </x:c>
      <x:c r="F9" s="6" t="n">
        <x:f>D9-E9</x:f>
        <x:v>195000</x:v>
      </x:c>
      <x:c r="G9" s="6" t="n">
        <x:f>G8+F9</x:f>
        <x:v>198200</x:v>
      </x:c>
      <x:c r="H9" s="6" t="n">
        <x:v>-18200</x:v>
      </x:c>
      <x:c r="I9" s="6" t="n">
        <x:v>127100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339600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90600</x:v>
      </x:c>
      <x:c r="E11" s="6" t="n">
        <x:v>63700</x:v>
      </x:c>
      <x:c r="F11" s="6" t="n">
        <x:f>D11-E11</x:f>
        <x:v>26900</x:v>
      </x:c>
      <x:c r="G11" s="6" t="n">
        <x:f>G10+F11</x:f>
        <x:v>366500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109100</x:v>
      </x:c>
      <x:c r="E12" s="6" t="n">
        <x:v>209900</x:v>
      </x:c>
      <x:c r="F12" s="6" t="n">
        <x:f>D12-E12</x:f>
        <x:v>-100800</x:v>
      </x:c>
      <x:c r="G12" s="6" t="n">
        <x:f>G11+F12</x:f>
        <x:v>265700</x:v>
      </x:c>
      <x:c r="H12" s="6" t="n">
        <x:v>-189200</x:v>
      </x:c>
      <x:c r="I12" s="6" t="n">
        <x:v>207400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47700</x:v>
      </x:c>
      <x:c r="E13" s="6" t="n">
        <x:v>26400</x:v>
      </x:c>
      <x:c r="F13" s="6" t="n">
        <x:f>D13-E13</x:f>
        <x:v>21300</x:v>
      </x:c>
      <x:c r="G13" s="6" t="n">
        <x:f>G12+F13</x:f>
        <x:v>287000</x:v>
      </x:c>
      <x:c r="H13" s="6" t="n">
        <x:v>-16900</x:v>
      </x:c>
      <x:c r="I13" s="6" t="n">
        <x:v>26400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66000</x:v>
      </x:c>
      <x:c r="E14" s="6" t="n">
        <x:v>142700</x:v>
      </x:c>
      <x:c r="F14" s="6" t="n">
        <x:f>D14-E14</x:f>
        <x:v>-76700</x:v>
      </x:c>
      <x:c r="G14" s="6" t="n">
        <x:f>G13+F14</x:f>
        <x:v>210300</x:v>
      </x:c>
      <x:c r="H14" s="6" t="n">
        <x:v>-92700</x:v>
      </x:c>
      <x:c r="I14" s="6" t="n">
        <x:v>108900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31400</x:v>
      </x:c>
      <x:c r="E15" s="6" t="n">
        <x:v>43000</x:v>
      </x:c>
      <x:c r="F15" s="6" t="n">
        <x:f>D15-E15</x:f>
        <x:v>-11600</x:v>
      </x:c>
      <x:c r="G15" s="6" t="n">
        <x:f>G14+F15</x:f>
        <x:v>198700</x:v>
      </x:c>
      <x:c r="H15" s="6" t="n">
        <x:v>-40500</x:v>
      </x:c>
      <x:c r="I15" s="6" t="n">
        <x:v>87300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76200</x:v>
      </x:c>
      <x:c r="E16" s="6" t="n">
        <x:v>69900</x:v>
      </x:c>
      <x:c r="F16" s="6" t="n">
        <x:f>D16-E16</x:f>
        <x:v>6300</x:v>
      </x:c>
      <x:c r="G16" s="6" t="n">
        <x:f>G15+F16</x:f>
        <x:v>205000</x:v>
      </x:c>
      <x:c r="H16" s="6" t="n">
        <x:v>-19200</x:v>
      </x:c>
      <x:c r="I16" s="6" t="n">
        <x:v>78700</x:v>
      </x:c>
      <x:c r="J16" s="7" t="n">
        <x:v>12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175500</x:v>
      </x:c>
      <x:c r="F17" s="6" t="n">
        <x:f>D17-E17</x:f>
        <x:v>-130600</x:v>
      </x:c>
      <x:c r="G17" s="6" t="n">
        <x:f>G16+F17</x:f>
        <x:v>74400</x:v>
      </x:c>
      <x:c r="H17" s="6" t="n">
        <x:v>-130600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243300</x:v>
      </x:c>
      <x:c r="E18" s="6" t="n">
        <x:v>43300</x:v>
      </x:c>
      <x:c r="F18" s="6" t="n">
        <x:f>D18-E18</x:f>
        <x:v>200000</x:v>
      </x:c>
      <x:c r="G18" s="6" t="n">
        <x:f>G17+F18</x:f>
        <x:v>274400</x:v>
      </x:c>
      <x:c r="H18" s="6" t="n">
        <x:v>-12900</x:v>
      </x:c>
      <x:c r="I18" s="6" t="n">
        <x:v>86300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35400</x:v>
      </x:c>
      <x:c r="E19" s="6" t="n">
        <x:v>23000</x:v>
      </x:c>
      <x:c r="F19" s="6" t="n">
        <x:f>D19-E19</x:f>
        <x:v>12400</x:v>
      </x:c>
      <x:c r="G19" s="6" t="n">
        <x:f>G18+F19</x:f>
        <x:v>286800</x:v>
      </x:c>
      <x:c r="H19" s="6" t="n">
        <x:v>-27300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46400</x:v>
      </x:c>
      <x:c r="F20" s="6" t="n">
        <x:f>D20-E20</x:f>
        <x:v>55400</x:v>
      </x:c>
      <x:c r="G20" s="6" t="n">
        <x:f>G19+F20</x:f>
        <x:v>342200</x:v>
      </x:c>
      <x:c r="H20" s="6" t="n">
        <x:v>-101300</x:v>
      </x:c>
      <x:c r="I20" s="6" t="n">
        <x:v>156100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351400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167200</x:v>
      </x:c>
      <x:c r="E22" s="6" t="n">
        <x:v>246500</x:v>
      </x:c>
      <x:c r="F22" s="6" t="n">
        <x:f>D22-E22</x:f>
        <x:v>-79300</x:v>
      </x:c>
      <x:c r="G22" s="6" t="n">
        <x:f>G21+F22</x:f>
        <x:v>272100</x:v>
      </x:c>
      <x:c r="H22" s="6" t="n">
        <x:v>-115500</x:v>
      </x:c>
      <x:c r="I22" s="6" t="n">
        <x:v>222800</x:v>
      </x:c>
      <x:c r="J22" s="7" t="n">
        <x:v>15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41300</x:v>
      </x:c>
      <x:c r="E23" s="6" t="n">
        <x:v>99900</x:v>
      </x:c>
      <x:c r="F23" s="6" t="n">
        <x:f>D23-E23</x:f>
        <x:v>-58600</x:v>
      </x:c>
      <x:c r="G23" s="6" t="n">
        <x:f>G22+F23</x:f>
        <x:v>213500</x:v>
      </x:c>
      <x:c r="H23" s="6" t="n">
        <x:v>-101900</x:v>
      </x:c>
      <x:c r="I23" s="6" t="n">
        <x:v>141000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354900</x:v>
      </x:c>
      <x:c r="E24" s="6" t="n">
        <x:v>33000</x:v>
      </x:c>
      <x:c r="F24" s="6" t="n">
        <x:f>D24-E24</x:f>
        <x:v>321900</x:v>
      </x:c>
      <x:c r="G24" s="6" t="n">
        <x:f>G23+F24</x:f>
        <x:v>535400</x:v>
      </x:c>
      <x:c r="H24" s="6" t="n">
        <x:v>-31500</x:v>
      </x:c>
      <x:c r="I24" s="6" t="n">
        <x:v>139500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88300</x:v>
      </x:c>
      <x:c r="E25" s="6" t="n">
        <x:v>147900</x:v>
      </x:c>
      <x:c r="F25" s="6" t="n">
        <x:f>D25-E25</x:f>
        <x:v>-59600</x:v>
      </x:c>
      <x:c r="G25" s="6" t="n">
        <x:f>G24+F25</x:f>
        <x:v>475800</x:v>
      </x:c>
      <x:c r="H25" s="6" t="n">
        <x:v>-73600</x:v>
      </x:c>
      <x:c r="I25" s="6" t="n">
        <x:v>105600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564500</x:v>
      </x:c>
      <x:c r="E26" s="6" t="n">
        <x:v>0</x:v>
      </x:c>
      <x:c r="F26" s="6" t="n">
        <x:f>D26-E26</x:f>
        <x:v>564500</x:v>
      </x:c>
      <x:c r="G26" s="6" t="n">
        <x:f>G25+F26</x:f>
        <x:v>1040300</x:v>
      </x:c>
      <x:c r="H26" s="6" t="n">
        <x:v>-20800</x:v>
      </x:c>
      <x:c r="I26" s="6" t="n">
        <x:v>259200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102400</x:v>
      </x:c>
      <x:c r="E27" s="6" t="n">
        <x:v>86400</x:v>
      </x:c>
      <x:c r="F27" s="6" t="n">
        <x:f>D27-E27</x:f>
        <x:v>16000</x:v>
      </x:c>
      <x:c r="G27" s="6" t="n">
        <x:f>G26+F27</x:f>
        <x:v>1056300</x:v>
      </x:c>
      <x:c r="H27" s="6" t="n">
        <x:v>-12000</x:v>
      </x:c>
      <x:c r="I27" s="6" t="n">
        <x:v>134700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59600</x:v>
      </x:c>
      <x:c r="E28" s="6" t="n">
        <x:v>158400</x:v>
      </x:c>
      <x:c r="F28" s="6" t="n">
        <x:f>D28-E28</x:f>
        <x:v>-98800</x:v>
      </x:c>
      <x:c r="G28" s="6" t="n">
        <x:f>G27+F28</x:f>
        <x:v>957500</x:v>
      </x:c>
      <x:c r="H28" s="6" t="n">
        <x:v>-160300</x:v>
      </x:c>
      <x:c r="I28" s="6" t="n">
        <x:v>166800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263900</x:v>
      </x:c>
      <x:c r="E29" s="6" t="n">
        <x:v>4000</x:v>
      </x:c>
      <x:c r="F29" s="6" t="n">
        <x:f>D29-E29</x:f>
        <x:v>259900</x:v>
      </x:c>
      <x:c r="G29" s="6" t="n">
        <x:f>G28+F29</x:f>
        <x:v>1217400</x:v>
      </x:c>
      <x:c r="H29" s="6" t="n">
        <x:v>-17300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317800</x:v>
      </x:c>
      <x:c r="E30" s="6" t="n">
        <x:v>49900</x:v>
      </x:c>
      <x:c r="F30" s="6" t="n">
        <x:f>D30-E30</x:f>
        <x:v>267900</x:v>
      </x:c>
      <x:c r="G30" s="6" t="n">
        <x:f>G29+F30</x:f>
        <x:v>1485300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394700</x:v>
      </x:c>
      <x:c r="E31" s="6" t="n">
        <x:v>99600</x:v>
      </x:c>
      <x:c r="F31" s="6" t="n">
        <x:f>D31-E31</x:f>
        <x:v>295100</x:v>
      </x:c>
      <x:c r="G31" s="6" t="n">
        <x:f>G30+F31</x:f>
        <x:v>1780400</x:v>
      </x:c>
      <x:c r="H31" s="6" t="n">
        <x:v>-14000</x:v>
      </x:c>
      <x:c r="I31" s="6" t="n">
        <x:v>263800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92800</x:v>
      </x:c>
      <x:c r="E32" s="6" t="n">
        <x:v>181200</x:v>
      </x:c>
      <x:c r="F32" s="6" t="n">
        <x:f>D32-E32</x:f>
        <x:v>-88400</x:v>
      </x:c>
      <x:c r="G32" s="6" t="n">
        <x:f>G31+F32</x:f>
        <x:v>1692000</x:v>
      </x:c>
      <x:c r="H32" s="6" t="n">
        <x:v>-106100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3681600</x:v>
      </x:c>
      <x:c r="E33" s="9" t="n">
        <x:f>SUM(E6:E32)</x:f>
        <x:v>1989600</x:v>
      </x:c>
      <x:c r="F33" s="9" t="n">
        <x:f>D33-E33</x:f>
        <x:v>1692000</x:v>
      </x:c>
      <x:c r="G33" s="9" t="n">
        <x:f>G32</x:f>
        <x:v>1692000</x:v>
      </x:c>
      <x:c r="H33" s="9" t="n">
        <x:f>MIN(H6:H32)</x:f>
        <x:v>-189200</x:v>
      </x:c>
      <x:c r="I33" s="9" t="n">
        <x:f>MAX(I6:I32)</x:f>
        <x:v>263800</x:v>
      </x:c>
      <x:c r="J33" s="10" t="n">
        <x:f>SUM(J6:J32)</x:f>
        <x:v>219</x:v>
      </x:c>
      <x:c r="K33" s="10" t="n">
        <x:f>SUM(K6:K32)</x:f>
        <x:v>0</x:v>
      </x:c>
    </x:row>
  </x:sheetData>
  <x:conditionalFormatting sqref="F6:H32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948a6c509c425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NK225_D164_02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元玉が100円順行したら半量利確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9600</x:v>
      </x:c>
      <x:c r="E6" s="6" t="n">
        <x:v>0</x:v>
      </x:c>
      <x:c r="F6" s="6" t="n">
        <x:f>D6-E6</x:f>
        <x:v>9600</x:v>
      </x:c>
      <x:c r="G6" s="6" t="n">
        <x:f>F6</x:f>
        <x:v>9600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-4400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9500</x:v>
      </x:c>
      <x:c r="E8" s="6" t="n">
        <x:v>0</x:v>
      </x:c>
      <x:c r="F8" s="6" t="n">
        <x:f>D8-E8</x:f>
        <x:v>9500</x:v>
      </x:c>
      <x:c r="G8" s="6" t="n">
        <x:f>G7+F8</x:f>
        <x:v>5100</x:v>
      </x:c>
      <x:c r="H8" s="6" t="n">
        <x:v>-3000</x:v>
      </x:c>
      <x:c r="I8" s="6" t="n">
        <x:v>7000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191500</x:v>
      </x:c>
      <x:c r="E9" s="6" t="n">
        <x:v>12000</x:v>
      </x:c>
      <x:c r="F9" s="6" t="n">
        <x:f>D9-E9</x:f>
        <x:v>179500</x:v>
      </x:c>
      <x:c r="G9" s="6" t="n">
        <x:f>G8+F9</x:f>
        <x:v>184600</x:v>
      </x:c>
      <x:c r="H9" s="6" t="n">
        <x:v>-20300</x:v>
      </x:c>
      <x:c r="I9" s="6" t="n">
        <x:v>100100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127800</x:v>
      </x:c>
      <x:c r="E10" s="6" t="n">
        <x:v>8000</x:v>
      </x:c>
      <x:c r="F10" s="6" t="n">
        <x:f>D10-E10</x:f>
        <x:v>119800</x:v>
      </x:c>
      <x:c r="G10" s="6" t="n">
        <x:f>G9+F10</x:f>
        <x:v>304400</x:v>
      </x:c>
      <x:c r="H10" s="6" t="n">
        <x:v>-60300</x:v>
      </x:c>
      <x:c r="I10" s="6" t="n">
        <x:v>89100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73400</x:v>
      </x:c>
      <x:c r="E11" s="6" t="n">
        <x:v>70200</x:v>
      </x:c>
      <x:c r="F11" s="6" t="n">
        <x:f>D11-E11</x:f>
        <x:v>3200</x:v>
      </x:c>
      <x:c r="G11" s="6" t="n">
        <x:f>G10+F11</x:f>
        <x:v>307600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96900</x:v>
      </x:c>
      <x:c r="E12" s="6" t="n">
        <x:v>202400</x:v>
      </x:c>
      <x:c r="F12" s="6" t="n">
        <x:f>D12-E12</x:f>
        <x:v>-105500</x:v>
      </x:c>
      <x:c r="G12" s="6" t="n">
        <x:f>G11+F12</x:f>
        <x:v>202100</x:v>
      </x:c>
      <x:c r="H12" s="6" t="n">
        <x:v>-158700</x:v>
      </x:c>
      <x:c r="I12" s="6" t="n">
        <x:v>176900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37000</x:v>
      </x:c>
      <x:c r="E13" s="6" t="n">
        <x:v>26400</x:v>
      </x:c>
      <x:c r="F13" s="6" t="n">
        <x:f>D13-E13</x:f>
        <x:v>10600</x:v>
      </x:c>
      <x:c r="G13" s="6" t="n">
        <x:f>G12+F13</x:f>
        <x:v>212700</x:v>
      </x:c>
      <x:c r="H13" s="6" t="n">
        <x:v>-15900</x:v>
      </x:c>
      <x:c r="I13" s="6" t="n">
        <x:v>25400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47000</x:v>
      </x:c>
      <x:c r="E14" s="6" t="n">
        <x:v>142700</x:v>
      </x:c>
      <x:c r="F14" s="6" t="n">
        <x:f>D14-E14</x:f>
        <x:v>-95700</x:v>
      </x:c>
      <x:c r="G14" s="6" t="n">
        <x:f>G13+F14</x:f>
        <x:v>117000</x:v>
      </x:c>
      <x:c r="H14" s="6" t="n">
        <x:v>-97500</x:v>
      </x:c>
      <x:c r="I14" s="6" t="n">
        <x:v>113700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53700</x:v>
      </x:c>
      <x:c r="E15" s="6" t="n">
        <x:v>33500</x:v>
      </x:c>
      <x:c r="F15" s="6" t="n">
        <x:f>D15-E15</x:f>
        <x:v>20200</x:v>
      </x:c>
      <x:c r="G15" s="6" t="n">
        <x:f>G14+F15</x:f>
        <x:v>137200</x:v>
      </x:c>
      <x:c r="H15" s="6" t="n">
        <x:v>-11200</x:v>
      </x:c>
      <x:c r="I15" s="6" t="n">
        <x:v>50900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65900</x:v>
      </x:c>
      <x:c r="E16" s="6" t="n">
        <x:v>69900</x:v>
      </x:c>
      <x:c r="F16" s="6" t="n">
        <x:f>D16-E16</x:f>
        <x:v>-4000</x:v>
      </x:c>
      <x:c r="G16" s="6" t="n">
        <x:f>G15+F16</x:f>
        <x:v>133200</x:v>
      </x:c>
      <x:c r="H16" s="6" t="n">
        <x:v>-22500</x:v>
      </x:c>
      <x:c r="I16" s="6" t="n">
        <x:v>67300</x:v>
      </x:c>
      <x:c r="J16" s="7" t="n">
        <x:v>12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52800</x:v>
      </x:c>
      <x:c r="E17" s="6" t="n">
        <x:v>136900</x:v>
      </x:c>
      <x:c r="F17" s="6" t="n">
        <x:f>D17-E17</x:f>
        <x:v>-84100</x:v>
      </x:c>
      <x:c r="G17" s="6" t="n">
        <x:f>G16+F17</x:f>
        <x:v>49100</x:v>
      </x:c>
      <x:c r="H17" s="6" t="n">
        <x:v>-84100</x:v>
      </x:c>
      <x:c r="I17" s="6" t="n">
        <x:v>117800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129600</x:v>
      </x:c>
      <x:c r="E18" s="6" t="n">
        <x:v>43300</x:v>
      </x:c>
      <x:c r="F18" s="6" t="n">
        <x:f>D18-E18</x:f>
        <x:v>86300</x:v>
      </x:c>
      <x:c r="G18" s="6" t="n">
        <x:f>G17+F18</x:f>
        <x:v>135400</x:v>
      </x:c>
      <x:c r="H18" s="6" t="n">
        <x:v>-12900</x:v>
      </x:c>
      <x:c r="I18" s="6" t="n">
        <x:v>46100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30000</x:v>
      </x:c>
      <x:c r="E19" s="6" t="n">
        <x:v>23000</x:v>
      </x:c>
      <x:c r="F19" s="6" t="n">
        <x:f>D19-E19</x:f>
        <x:v>7000</x:v>
      </x:c>
      <x:c r="G19" s="6" t="n">
        <x:f>G18+F19</x:f>
        <x:v>142400</x:v>
      </x:c>
      <x:c r="H19" s="6" t="n">
        <x:v>-27300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137800</x:v>
      </x:c>
      <x:c r="E20" s="6" t="n">
        <x:v>66000</x:v>
      </x:c>
      <x:c r="F20" s="6" t="n">
        <x:f>D20-E20</x:f>
        <x:v>71800</x:v>
      </x:c>
      <x:c r="G20" s="6" t="n">
        <x:f>G19+F20</x:f>
        <x:v>214200</x:v>
      </x:c>
      <x:c r="H20" s="6" t="n">
        <x:v>-101700</x:v>
      </x:c>
      <x:c r="I20" s="6" t="n">
        <x:v>115400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13100</x:v>
      </x:c>
      <x:c r="E21" s="6" t="n">
        <x:v>5000</x:v>
      </x:c>
      <x:c r="F21" s="6" t="n">
        <x:f>D21-E21</x:f>
        <x:v>8100</x:v>
      </x:c>
      <x:c r="G21" s="6" t="n">
        <x:f>G20+F21</x:f>
        <x:v>222300</x:v>
      </x:c>
      <x:c r="H21" s="6" t="n">
        <x:v>-5000</x:v>
      </x:c>
      <x:c r="I21" s="6" t="n">
        <x:v>10000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167800</x:v>
      </x:c>
      <x:c r="E22" s="6" t="n">
        <x:v>245200</x:v>
      </x:c>
      <x:c r="F22" s="6" t="n">
        <x:f>D22-E22</x:f>
        <x:v>-77400</x:v>
      </x:c>
      <x:c r="G22" s="6" t="n">
        <x:f>G21+F22</x:f>
        <x:v>144900</x:v>
      </x:c>
      <x:c r="H22" s="6" t="n">
        <x:v>-123400</x:v>
      </x:c>
      <x:c r="I22" s="6" t="n">
        <x:v>216000</x:v>
      </x:c>
      <x:c r="J22" s="7" t="n">
        <x:v>15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31500</x:v>
      </x:c>
      <x:c r="E23" s="6" t="n">
        <x:v>101100</x:v>
      </x:c>
      <x:c r="F23" s="6" t="n">
        <x:f>D23-E23</x:f>
        <x:v>-69600</x:v>
      </x:c>
      <x:c r="G23" s="6" t="n">
        <x:f>G22+F23</x:f>
        <x:v>75300</x:v>
      </x:c>
      <x:c r="H23" s="6" t="n">
        <x:v>-101900</x:v>
      </x:c>
      <x:c r="I23" s="6" t="n">
        <x:v>141000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261000</x:v>
      </x:c>
      <x:c r="E24" s="6" t="n">
        <x:v>42200</x:v>
      </x:c>
      <x:c r="F24" s="6" t="n">
        <x:f>D24-E24</x:f>
        <x:v>218800</x:v>
      </x:c>
      <x:c r="G24" s="6" t="n">
        <x:f>G23+F24</x:f>
        <x:v>294100</x:v>
      </x:c>
      <x:c r="H24" s="6" t="n">
        <x:v>-31500</x:v>
      </x:c>
      <x:c r="I24" s="6" t="n">
        <x:v>66600</x:v>
      </x:c>
      <x:c r="J24" s="7" t="n">
        <x:v>5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97300</x:v>
      </x:c>
      <x:c r="E25" s="6" t="n">
        <x:v>165900</x:v>
      </x:c>
      <x:c r="F25" s="6" t="n">
        <x:f>D25-E25</x:f>
        <x:v>-68600</x:v>
      </x:c>
      <x:c r="G25" s="6" t="n">
        <x:f>G24+F25</x:f>
        <x:v>225500</x:v>
      </x:c>
      <x:c r="H25" s="6" t="n">
        <x:v>-80800</x:v>
      </x:c>
      <x:c r="I25" s="6" t="n">
        <x:v>112800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373700</x:v>
      </x:c>
      <x:c r="E26" s="6" t="n">
        <x:v>0</x:v>
      </x:c>
      <x:c r="F26" s="6" t="n">
        <x:f>D26-E26</x:f>
        <x:v>373700</x:v>
      </x:c>
      <x:c r="G26" s="6" t="n">
        <x:f>G25+F26</x:f>
        <x:v>599200</x:v>
      </x:c>
      <x:c r="H26" s="6" t="n">
        <x:v>-20800</x:v>
      </x:c>
      <x:c r="I26" s="6" t="n">
        <x:v>131200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95400</x:v>
      </x:c>
      <x:c r="E27" s="6" t="n">
        <x:v>87600</x:v>
      </x:c>
      <x:c r="F27" s="6" t="n">
        <x:f>D27-E27</x:f>
        <x:v>7800</x:v>
      </x:c>
      <x:c r="G27" s="6" t="n">
        <x:f>G26+F27</x:f>
        <x:v>607000</x:v>
      </x:c>
      <x:c r="H27" s="6" t="n">
        <x:v>-12000</x:v>
      </x:c>
      <x:c r="I27" s="6" t="n">
        <x:v>99600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60000</x:v>
      </x:c>
      <x:c r="E28" s="6" t="n">
        <x:v>158400</x:v>
      </x:c>
      <x:c r="F28" s="6" t="n">
        <x:f>D28-E28</x:f>
        <x:v>-98400</x:v>
      </x:c>
      <x:c r="G28" s="6" t="n">
        <x:f>G27+F28</x:f>
        <x:v>508600</x:v>
      </x:c>
      <x:c r="H28" s="6" t="n">
        <x:v>-160300</x:v>
      </x:c>
      <x:c r="I28" s="6" t="n">
        <x:v>166800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163000</x:v>
      </x:c>
      <x:c r="E29" s="6" t="n">
        <x:v>2400</x:v>
      </x:c>
      <x:c r="F29" s="6" t="n">
        <x:f>D29-E29</x:f>
        <x:v>160600</x:v>
      </x:c>
      <x:c r="G29" s="6" t="n">
        <x:f>G28+F29</x:f>
        <x:v>669200</x:v>
      </x:c>
      <x:c r="H29" s="6" t="n">
        <x:v>-21300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324600</x:v>
      </x:c>
      <x:c r="E30" s="6" t="n">
        <x:v>42900</x:v>
      </x:c>
      <x:c r="F30" s="6" t="n">
        <x:f>D30-E30</x:f>
        <x:v>281700</x:v>
      </x:c>
      <x:c r="G30" s="6" t="n">
        <x:f>G29+F30</x:f>
        <x:v>950900</x:v>
      </x:c>
      <x:c r="H30" s="6" t="n">
        <x:v>-17100</x:v>
      </x:c>
      <x:c r="I30" s="6" t="n">
        <x:v>69600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247400</x:v>
      </x:c>
      <x:c r="E31" s="6" t="n">
        <x:v>99600</x:v>
      </x:c>
      <x:c r="F31" s="6" t="n">
        <x:f>D31-E31</x:f>
        <x:v>147800</x:v>
      </x:c>
      <x:c r="G31" s="6" t="n">
        <x:f>G30+F31</x:f>
        <x:v>1098700</x:v>
      </x:c>
      <x:c r="H31" s="6" t="n">
        <x:v>-14000</x:v>
      </x:c>
      <x:c r="I31" s="6" t="n">
        <x:v>168100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98700</x:v>
      </x:c>
      <x:c r="E32" s="6" t="n">
        <x:v>173400</x:v>
      </x:c>
      <x:c r="F32" s="6" t="n">
        <x:f>D32-E32</x:f>
        <x:v>-74700</x:v>
      </x:c>
      <x:c r="G32" s="6" t="n">
        <x:f>G31+F32</x:f>
        <x:v>1024000</x:v>
      </x:c>
      <x:c r="H32" s="6" t="n">
        <x:v>-103000</x:v>
      </x:c>
      <x:c r="I32" s="6" t="n">
        <x:v>142000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2996000</x:v>
      </x:c>
      <x:c r="E33" s="9" t="n">
        <x:f>SUM(E6:E32)</x:f>
        <x:v>1972000</x:v>
      </x:c>
      <x:c r="F33" s="9" t="n">
        <x:f>D33-E33</x:f>
        <x:v>1024000</x:v>
      </x:c>
      <x:c r="G33" s="9" t="n">
        <x:f>G32</x:f>
        <x:v>1024000</x:v>
      </x:c>
      <x:c r="H33" s="9" t="n">
        <x:f>MIN(H6:H32)</x:f>
        <x:v>-160300</x:v>
      </x:c>
      <x:c r="I33" s="9" t="n">
        <x:f>MAX(I6:I32)</x:f>
        <x:v>216000</x:v>
      </x:c>
      <x:c r="J33" s="10" t="n">
        <x:f>SUM(J6:J32)</x:f>
        <x:v>218</x:v>
      </x:c>
      <x:c r="K33" s="10" t="n">
        <x:f>SUM(K6:K32)</x:f>
        <x:v>0</x:v>
      </x:c>
    </x:row>
  </x:sheetData>
  <x:conditionalFormatting sqref="F6:H32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bd18eea066462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NK225_D164_03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100円半量利確と残り50円床・50円追尾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9900</x:v>
      </x:c>
      <x:c r="E6" s="6" t="n">
        <x:v>0</x:v>
      </x:c>
      <x:c r="F6" s="6" t="n">
        <x:f>D6-E6</x:f>
        <x:v>9900</x:v>
      </x:c>
      <x:c r="G6" s="6" t="n">
        <x:f>F6</x:f>
        <x:v>9900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-4100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7500</x:v>
      </x:c>
      <x:c r="E8" s="6" t="n">
        <x:v>0</x:v>
      </x:c>
      <x:c r="F8" s="6" t="n">
        <x:f>D8-E8</x:f>
        <x:v>7500</x:v>
      </x:c>
      <x:c r="G8" s="6" t="n">
        <x:f>G7+F8</x:f>
        <x:v>3400</x:v>
      </x:c>
      <x:c r="H8" s="6" t="n">
        <x:v>-3000</x:v>
      </x:c>
      <x:c r="I8" s="6" t="n">
        <x:v>7000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135500</x:v>
      </x:c>
      <x:c r="E9" s="6" t="n">
        <x:v>12000</x:v>
      </x:c>
      <x:c r="F9" s="6" t="n">
        <x:f>D9-E9</x:f>
        <x:v>123500</x:v>
      </x:c>
      <x:c r="G9" s="6" t="n">
        <x:f>G8+F9</x:f>
        <x:v>126900</x:v>
      </x:c>
      <x:c r="H9" s="6" t="n">
        <x:v>-23800</x:v>
      </x:c>
      <x:c r="I9" s="6" t="n">
        <x:v>93100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116400</x:v>
      </x:c>
      <x:c r="E10" s="6" t="n">
        <x:v>8000</x:v>
      </x:c>
      <x:c r="F10" s="6" t="n">
        <x:f>D10-E10</x:f>
        <x:v>108400</x:v>
      </x:c>
      <x:c r="G10" s="6" t="n">
        <x:f>G9+F10</x:f>
        <x:v>235300</x:v>
      </x:c>
      <x:c r="H10" s="6" t="n">
        <x:v>-58500</x:v>
      </x:c>
      <x:c r="I10" s="6" t="n">
        <x:v>87300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47100</x:v>
      </x:c>
      <x:c r="E11" s="6" t="n">
        <x:v>70200</x:v>
      </x:c>
      <x:c r="F11" s="6" t="n">
        <x:f>D11-E11</x:f>
        <x:v>-23100</x:v>
      </x:c>
      <x:c r="G11" s="6" t="n">
        <x:f>G10+F11</x:f>
        <x:v>212200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71500</x:v>
      </x:c>
      <x:c r="E12" s="6" t="n">
        <x:v>194900</x:v>
      </x:c>
      <x:c r="F12" s="6" t="n">
        <x:f>D12-E12</x:f>
        <x:v>-123400</x:v>
      </x:c>
      <x:c r="G12" s="6" t="n">
        <x:f>G11+F12</x:f>
        <x:v>88800</x:v>
      </x:c>
      <x:c r="H12" s="6" t="n">
        <x:v>-158700</x:v>
      </x:c>
      <x:c r="I12" s="6" t="n">
        <x:v>176900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25500</x:v>
      </x:c>
      <x:c r="E13" s="6" t="n">
        <x:v>26400</x:v>
      </x:c>
      <x:c r="F13" s="6" t="n">
        <x:f>D13-E13</x:f>
        <x:v>-900</x:v>
      </x:c>
      <x:c r="G13" s="6" t="n">
        <x:f>G12+F13</x:f>
        <x:v>87900</x:v>
      </x:c>
      <x:c r="H13" s="6" t="n">
        <x:v>-15900</x:v>
      </x:c>
      <x:c r="I13" s="6" t="n">
        <x:v>25400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29000</x:v>
      </x:c>
      <x:c r="E14" s="6" t="n">
        <x:v>142700</x:v>
      </x:c>
      <x:c r="F14" s="6" t="n">
        <x:f>D14-E14</x:f>
        <x:v>-113700</x:v>
      </x:c>
      <x:c r="G14" s="6" t="n">
        <x:f>G13+F14</x:f>
        <x:v>-25800</x:v>
      </x:c>
      <x:c r="H14" s="6" t="n">
        <x:v>-113700</x:v>
      </x:c>
      <x:c r="I14" s="6" t="n">
        <x:v>129900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65300</x:v>
      </x:c>
      <x:c r="E15" s="6" t="n">
        <x:v>12200</x:v>
      </x:c>
      <x:c r="F15" s="6" t="n">
        <x:f>D15-E15</x:f>
        <x:v>53100</x:v>
      </x:c>
      <x:c r="G15" s="6" t="n">
        <x:f>G14+F15</x:f>
        <x:v>27300</x:v>
      </x:c>
      <x:c r="H15" s="6" t="n">
        <x:v>-11200</x:v>
      </x:c>
      <x:c r="I15" s="6" t="n">
        <x:v>26800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59900</x:v>
      </x:c>
      <x:c r="E16" s="6" t="n">
        <x:v>69900</x:v>
      </x:c>
      <x:c r="F16" s="6" t="n">
        <x:f>D16-E16</x:f>
        <x:v>-10000</x:v>
      </x:c>
      <x:c r="G16" s="6" t="n">
        <x:f>G15+F16</x:f>
        <x:v>17300</x:v>
      </x:c>
      <x:c r="H16" s="6" t="n">
        <x:v>-26700</x:v>
      </x:c>
      <x:c r="I16" s="6" t="n">
        <x:v>54700</x:v>
      </x:c>
      <x:c r="J16" s="7" t="n">
        <x:v>12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58800</x:v>
      </x:c>
      <x:c r="E17" s="6" t="n">
        <x:v>98200</x:v>
      </x:c>
      <x:c r="F17" s="6" t="n">
        <x:f>D17-E17</x:f>
        <x:v>-39400</x:v>
      </x:c>
      <x:c r="G17" s="6" t="n">
        <x:f>G16+F17</x:f>
        <x:v>-22100</x:v>
      </x:c>
      <x:c r="H17" s="6" t="n">
        <x:v>-39400</x:v>
      </x:c>
      <x:c r="I17" s="6" t="n">
        <x:v>96300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66200</x:v>
      </x:c>
      <x:c r="E18" s="6" t="n">
        <x:v>43300</x:v>
      </x:c>
      <x:c r="F18" s="6" t="n">
        <x:f>D18-E18</x:f>
        <x:v>22900</x:v>
      </x:c>
      <x:c r="G18" s="6" t="n">
        <x:f>G17+F18</x:f>
        <x:v>800</x:v>
      </x:c>
      <x:c r="H18" s="6" t="n">
        <x:v>-12900</x:v>
      </x:c>
      <x:c r="I18" s="6" t="n">
        <x:v>53400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25100</x:v>
      </x:c>
      <x:c r="E19" s="6" t="n">
        <x:v>23000</x:v>
      </x:c>
      <x:c r="F19" s="6" t="n">
        <x:f>D19-E19</x:f>
        <x:v>2100</x:v>
      </x:c>
      <x:c r="G19" s="6" t="n">
        <x:f>G18+F19</x:f>
        <x:v>2900</x:v>
      </x:c>
      <x:c r="H19" s="6" t="n">
        <x:v>-27300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105300</x:v>
      </x:c>
      <x:c r="E20" s="6" t="n">
        <x:v>46400</x:v>
      </x:c>
      <x:c r="F20" s="6" t="n">
        <x:f>D20-E20</x:f>
        <x:v>58900</x:v>
      </x:c>
      <x:c r="G20" s="6" t="n">
        <x:f>G19+F20</x:f>
        <x:v>61800</x:v>
      </x:c>
      <x:c r="H20" s="6" t="n">
        <x:v>-102300</x:v>
      </x:c>
      <x:c r="I20" s="6" t="n">
        <x:v>113300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11000</x:v>
      </x:c>
      <x:c r="E21" s="6" t="n">
        <x:v>5000</x:v>
      </x:c>
      <x:c r="F21" s="6" t="n">
        <x:f>D21-E21</x:f>
        <x:v>6000</x:v>
      </x:c>
      <x:c r="G21" s="6" t="n">
        <x:f>G20+F21</x:f>
        <x:v>67800</x:v>
      </x:c>
      <x:c r="H21" s="6" t="n">
        <x:v>-5000</x:v>
      </x:c>
      <x:c r="I21" s="6" t="n">
        <x:v>10000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164000</x:v>
      </x:c>
      <x:c r="E22" s="6" t="n">
        <x:v>245200</x:v>
      </x:c>
      <x:c r="F22" s="6" t="n">
        <x:f>D22-E22</x:f>
        <x:v>-81200</x:v>
      </x:c>
      <x:c r="G22" s="6" t="n">
        <x:f>G21+F22</x:f>
        <x:v>-13400</x:v>
      </x:c>
      <x:c r="H22" s="6" t="n">
        <x:v>-127900</x:v>
      </x:c>
      <x:c r="I22" s="6" t="n">
        <x:v>220500</x:v>
      </x:c>
      <x:c r="J22" s="7" t="n">
        <x:v>15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25600</x:v>
      </x:c>
      <x:c r="E23" s="6" t="n">
        <x:v>99900</x:v>
      </x:c>
      <x:c r="F23" s="6" t="n">
        <x:f>D23-E23</x:f>
        <x:v>-74300</x:v>
      </x:c>
      <x:c r="G23" s="6" t="n">
        <x:f>G22+F23</x:f>
        <x:v>-87700</x:v>
      </x:c>
      <x:c r="H23" s="6" t="n">
        <x:v>-101900</x:v>
      </x:c>
      <x:c r="I23" s="6" t="n">
        <x:v>141000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113400</x:v>
      </x:c>
      <x:c r="E24" s="6" t="n">
        <x:v>33000</x:v>
      </x:c>
      <x:c r="F24" s="6" t="n">
        <x:f>D24-E24</x:f>
        <x:v>80400</x:v>
      </x:c>
      <x:c r="G24" s="6" t="n">
        <x:f>G23+F24</x:f>
        <x:v>-7300</x:v>
      </x:c>
      <x:c r="H24" s="6" t="n">
        <x:v>-31500</x:v>
      </x:c>
      <x:c r="I24" s="6" t="n">
        <x:v>58700</x:v>
      </x:c>
      <x:c r="J24" s="7" t="n">
        <x:v>5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98800</x:v>
      </x:c>
      <x:c r="E25" s="6" t="n">
        <x:v>147900</x:v>
      </x:c>
      <x:c r="F25" s="6" t="n">
        <x:f>D25-E25</x:f>
        <x:v>-49100</x:v>
      </x:c>
      <x:c r="G25" s="6" t="n">
        <x:f>G24+F25</x:f>
        <x:v>-56400</x:v>
      </x:c>
      <x:c r="H25" s="6" t="n">
        <x:v>-73600</x:v>
      </x:c>
      <x:c r="I25" s="6" t="n">
        <x:v>105600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171100</x:v>
      </x:c>
      <x:c r="E26" s="6" t="n">
        <x:v>0</x:v>
      </x:c>
      <x:c r="F26" s="6" t="n">
        <x:f>D26-E26</x:f>
        <x:v>171100</x:v>
      </x:c>
      <x:c r="G26" s="6" t="n">
        <x:f>G25+F26</x:f>
        <x:v>114700</x:v>
      </x:c>
      <x:c r="H26" s="6" t="n">
        <x:v>-20800</x:v>
      </x:c>
      <x:c r="I26" s="6" t="n">
        <x:v>47800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67800</x:v>
      </x:c>
      <x:c r="E27" s="6" t="n">
        <x:v>86400</x:v>
      </x:c>
      <x:c r="F27" s="6" t="n">
        <x:f>D27-E27</x:f>
        <x:v>-18600</x:v>
      </x:c>
      <x:c r="G27" s="6" t="n">
        <x:f>G26+F27</x:f>
        <x:v>96100</x:v>
      </x:c>
      <x:c r="H27" s="6" t="n">
        <x:v>-18600</x:v>
      </x:c>
      <x:c r="I27" s="6" t="n">
        <x:v>78900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50300</x:v>
      </x:c>
      <x:c r="E28" s="6" t="n">
        <x:v>158400</x:v>
      </x:c>
      <x:c r="F28" s="6" t="n">
        <x:f>D28-E28</x:f>
        <x:v>-108100</x:v>
      </x:c>
      <x:c r="G28" s="6" t="n">
        <x:f>G27+F28</x:f>
        <x:v>-12000</x:v>
      </x:c>
      <x:c r="H28" s="6" t="n">
        <x:v>-160300</x:v>
      </x:c>
      <x:c r="I28" s="6" t="n">
        <x:v>166800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41900</x:v>
      </x:c>
      <x:c r="E29" s="6" t="n">
        <x:v>0</x:v>
      </x:c>
      <x:c r="F29" s="6" t="n">
        <x:f>D29-E29</x:f>
        <x:v>41900</x:v>
      </x:c>
      <x:c r="G29" s="6" t="n">
        <x:f>G28+F29</x:f>
        <x:v>29900</x:v>
      </x:c>
      <x:c r="H29" s="6" t="n">
        <x:v>-24000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245500</x:v>
      </x:c>
      <x:c r="E30" s="6" t="n">
        <x:v>35900</x:v>
      </x:c>
      <x:c r="F30" s="6" t="n">
        <x:f>D30-E30</x:f>
        <x:v>209600</x:v>
      </x:c>
      <x:c r="G30" s="6" t="n">
        <x:f>G29+F30</x:f>
        <x:v>239500</x:v>
      </x:c>
      <x:c r="H30" s="6" t="n">
        <x:v>-17100</x:v>
      </x:c>
      <x:c r="I30" s="6" t="n">
        <x:v>63800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82700</x:v>
      </x:c>
      <x:c r="E31" s="6" t="n">
        <x:v>99600</x:v>
      </x:c>
      <x:c r="F31" s="6" t="n">
        <x:f>D31-E31</x:f>
        <x:v>-16900</x:v>
      </x:c>
      <x:c r="G31" s="6" t="n">
        <x:f>G30+F31</x:f>
        <x:v>222600</x:v>
      </x:c>
      <x:c r="H31" s="6" t="n">
        <x:v>-37700</x:v>
      </x:c>
      <x:c r="I31" s="6" t="n">
        <x:v>117000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104800</x:v>
      </x:c>
      <x:c r="E32" s="6" t="n">
        <x:v>165600</x:v>
      </x:c>
      <x:c r="F32" s="6" t="n">
        <x:f>D32-E32</x:f>
        <x:v>-60800</x:v>
      </x:c>
      <x:c r="G32" s="6" t="n">
        <x:f>G31+F32</x:f>
        <x:v>161800</x:v>
      </x:c>
      <x:c r="H32" s="6" t="n">
        <x:v>-102100</x:v>
      </x:c>
      <x:c r="I32" s="6" t="n">
        <x:v>141100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1999900</x:v>
      </x:c>
      <x:c r="E33" s="9" t="n">
        <x:f>SUM(E6:E32)</x:f>
        <x:v>1838100</x:v>
      </x:c>
      <x:c r="F33" s="9" t="n">
        <x:f>D33-E33</x:f>
        <x:v>161800</x:v>
      </x:c>
      <x:c r="G33" s="9" t="n">
        <x:f>G32</x:f>
        <x:v>161800</x:v>
      </x:c>
      <x:c r="H33" s="9" t="n">
        <x:f>MIN(H6:H32)</x:f>
        <x:v>-160300</x:v>
      </x:c>
      <x:c r="I33" s="9" t="n">
        <x:f>MAX(I6:I32)</x:f>
        <x:v>220500</x:v>
      </x:c>
      <x:c r="J33" s="10" t="n">
        <x:f>SUM(J6:J32)</x:f>
        <x:v>218</x:v>
      </x:c>
      <x:c r="K33" s="10" t="n">
        <x:f>SUM(K6:K32)</x:f>
        <x:v>0</x:v>
      </x:c>
    </x:row>
  </x:sheetData>
  <x:conditionalFormatting sqref="F6:H32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956d9d07d444c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NK225_D164_04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全玉10円順行で建値床・20円追尾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-2000</x:v>
      </x:c>
      <x:c r="I6" s="6" t="n">
        <x:v>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6000</x:v>
      </x:c>
      <x:c r="F7" s="6" t="n">
        <x:f>D7-E7</x:f>
        <x:v>-6000</x:v>
      </x:c>
      <x:c r="G7" s="6" t="n">
        <x:f>G6+F7</x:f>
        <x:v>-6000</x:v>
      </x:c>
      <x:c r="H7" s="6" t="n">
        <x:v>-6000</x:v>
      </x:c>
      <x:c r="I7" s="6" t="n">
        <x:v>7000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-6000</x:v>
      </x:c>
      <x:c r="H8" s="6" t="n">
        <x:v>-2000</x:v>
      </x:c>
      <x:c r="I8" s="6" t="n">
        <x:v>2000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15000</x:v>
      </x:c>
      <x:c r="E9" s="6" t="n">
        <x:v>0</x:v>
      </x:c>
      <x:c r="F9" s="6" t="n">
        <x:f>D9-E9</x:f>
        <x:v>15000</x:v>
      </x:c>
      <x:c r="G9" s="6" t="n">
        <x:f>G8+F9</x:f>
        <x:v>9000</x:v>
      </x:c>
      <x:c r="H9" s="6" t="n">
        <x:v>-16700</x:v>
      </x:c>
      <x:c r="I9" s="6" t="n">
        <x:v>27100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1000</x:v>
      </x:c>
      <x:c r="E10" s="6" t="n">
        <x:v>8000</x:v>
      </x:c>
      <x:c r="F10" s="6" t="n">
        <x:f>D10-E10</x:f>
        <x:v>-7000</x:v>
      </x:c>
      <x:c r="G10" s="6" t="n">
        <x:f>G9+F10</x:f>
        <x:v>2000</x:v>
      </x:c>
      <x:c r="H10" s="6" t="n">
        <x:v>-14600</x:v>
      </x:c>
      <x:c r="I10" s="6" t="n">
        <x:v>16600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6700</x:v>
      </x:c>
      <x:c r="E11" s="6" t="n">
        <x:v>20000</x:v>
      </x:c>
      <x:c r="F11" s="6" t="n">
        <x:f>D11-E11</x:f>
        <x:v>-13300</x:v>
      </x:c>
      <x:c r="G11" s="6" t="n">
        <x:f>G10+F11</x:f>
        <x:v>-11300</x:v>
      </x:c>
      <x:c r="H11" s="6" t="n">
        <x:v>-15300</x:v>
      </x:c>
      <x:c r="I11" s="6" t="n">
        <x:v>29400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5900</x:v>
      </x:c>
      <x:c r="E12" s="6" t="n">
        <x:v>166400</x:v>
      </x:c>
      <x:c r="F12" s="6" t="n">
        <x:f>D12-E12</x:f>
        <x:v>-160500</x:v>
      </x:c>
      <x:c r="G12" s="6" t="n">
        <x:f>G11+F12</x:f>
        <x:v>-171800</x:v>
      </x:c>
      <x:c r="H12" s="6" t="n">
        <x:v>-174000</x:v>
      </x:c>
      <x:c r="I12" s="6" t="n">
        <x:v>176600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500</x:v>
      </x:c>
      <x:c r="E13" s="6" t="n">
        <x:v>15400</x:v>
      </x:c>
      <x:c r="F13" s="6" t="n">
        <x:f>D13-E13</x:f>
        <x:v>-14900</x:v>
      </x:c>
      <x:c r="G13" s="6" t="n">
        <x:f>G12+F13</x:f>
        <x:v>-186700</x:v>
      </x:c>
      <x:c r="H13" s="6" t="n">
        <x:v>-21900</x:v>
      </x:c>
      <x:c r="I13" s="6" t="n">
        <x:v>23400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2300</x:v>
      </x:c>
      <x:c r="E14" s="6" t="n">
        <x:v>0</x:v>
      </x:c>
      <x:c r="F14" s="6" t="n">
        <x:f>D14-E14</x:f>
        <x:v>2300</x:v>
      </x:c>
      <x:c r="G14" s="6" t="n">
        <x:f>G13+F14</x:f>
        <x:v>-184400</x:v>
      </x:c>
      <x:c r="H14" s="6" t="n">
        <x:v>-25300</x:v>
      </x:c>
      <x:c r="I14" s="6" t="n">
        <x:v>41500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8300</x:v>
      </x:c>
      <x:c r="E15" s="6" t="n">
        <x:v>0</x:v>
      </x:c>
      <x:c r="F15" s="6" t="n">
        <x:f>D15-E15</x:f>
        <x:v>8300</x:v>
      </x:c>
      <x:c r="G15" s="6" t="n">
        <x:f>G14+F15</x:f>
        <x:v>-176100</x:v>
      </x:c>
      <x:c r="H15" s="6" t="n">
        <x:v>-11200</x:v>
      </x:c>
      <x:c r="I15" s="6" t="n">
        <x:v>11200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5200</x:v>
      </x:c>
      <x:c r="E16" s="6" t="n">
        <x:v>11000</x:v>
      </x:c>
      <x:c r="F16" s="6" t="n">
        <x:f>D16-E16</x:f>
        <x:v>-5800</x:v>
      </x:c>
      <x:c r="G16" s="6" t="n">
        <x:f>G15+F16</x:f>
        <x:v>-181900</x:v>
      </x:c>
      <x:c r="H16" s="6" t="n">
        <x:v>-17800</x:v>
      </x:c>
      <x:c r="I16" s="6" t="n">
        <x:v>17800</x:v>
      </x:c>
      <x:c r="J16" s="7" t="n">
        <x:v>12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6700</x:v>
      </x:c>
      <x:c r="E17" s="6" t="n">
        <x:v>18800</x:v>
      </x:c>
      <x:c r="F17" s="6" t="n">
        <x:f>D17-E17</x:f>
        <x:v>-12100</x:v>
      </x:c>
      <x:c r="G17" s="6" t="n">
        <x:f>G16+F17</x:f>
        <x:v>-194000</x:v>
      </x:c>
      <x:c r="H17" s="6" t="n">
        <x:v>-15100</x:v>
      </x:c>
      <x:c r="I17" s="6" t="n">
        <x:v>24400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1500</x:v>
      </x:c>
      <x:c r="E18" s="6" t="n">
        <x:v>37700</x:v>
      </x:c>
      <x:c r="F18" s="6" t="n">
        <x:f>D18-E18</x:f>
        <x:v>-36200</x:v>
      </x:c>
      <x:c r="G18" s="6" t="n">
        <x:f>G17+F18</x:f>
        <x:v>-230200</x:v>
      </x:c>
      <x:c r="H18" s="6" t="n">
        <x:v>-40500</x:v>
      </x:c>
      <x:c r="I18" s="6" t="n">
        <x:v>44800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0</x:v>
      </x:c>
      <x:c r="E19" s="6" t="n">
        <x:v>19000</x:v>
      </x:c>
      <x:c r="F19" s="6" t="n">
        <x:f>D19-E19</x:f>
        <x:v>-19000</x:v>
      </x:c>
      <x:c r="G19" s="6" t="n">
        <x:f>G18+F19</x:f>
        <x:v>-249200</x:v>
      </x:c>
      <x:c r="H19" s="6" t="n">
        <x:v>-22000</x:v>
      </x:c>
      <x:c r="I19" s="6" t="n">
        <x:v>24100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15100</x:v>
      </x:c>
      <x:c r="E20" s="6" t="n">
        <x:v>31400</x:v>
      </x:c>
      <x:c r="F20" s="6" t="n">
        <x:f>D20-E20</x:f>
        <x:v>-16300</x:v>
      </x:c>
      <x:c r="G20" s="6" t="n">
        <x:f>G19+F20</x:f>
        <x:v>-265500</x:v>
      </x:c>
      <x:c r="H20" s="6" t="n">
        <x:v>-100800</x:v>
      </x:c>
      <x:c r="I20" s="6" t="n">
        <x:v>111300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1000</x:v>
      </x:c>
      <x:c r="E21" s="6" t="n">
        <x:v>5000</x:v>
      </x:c>
      <x:c r="F21" s="6" t="n">
        <x:f>D21-E21</x:f>
        <x:v>-4000</x:v>
      </x:c>
      <x:c r="G21" s="6" t="n">
        <x:f>G20+F21</x:f>
        <x:v>-269500</x:v>
      </x:c>
      <x:c r="H21" s="6" t="n">
        <x:v>-4000</x:v>
      </x:c>
      <x:c r="I21" s="6" t="n">
        <x:v>7000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3600</x:v>
      </x:c>
      <x:c r="E22" s="6" t="n">
        <x:v>161600</x:v>
      </x:c>
      <x:c r="F22" s="6" t="n">
        <x:f>D22-E22</x:f>
        <x:v>-158000</x:v>
      </x:c>
      <x:c r="G22" s="6" t="n">
        <x:f>G21+F22</x:f>
        <x:v>-427500</x:v>
      </x:c>
      <x:c r="H22" s="6" t="n">
        <x:v>-158000</x:v>
      </x:c>
      <x:c r="I22" s="6" t="n">
        <x:v>165400</x:v>
      </x:c>
      <x:c r="J22" s="7" t="n">
        <x:v>15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11800</x:v>
      </x:c>
      <x:c r="E23" s="6" t="n">
        <x:v>0</x:v>
      </x:c>
      <x:c r="F23" s="6" t="n">
        <x:f>D23-E23</x:f>
        <x:v>11800</x:v>
      </x:c>
      <x:c r="G23" s="6" t="n">
        <x:f>G22+F23</x:f>
        <x:v>-415700</x:v>
      </x:c>
      <x:c r="H23" s="6" t="n">
        <x:v>-46000</x:v>
      </x:c>
      <x:c r="I23" s="6" t="n">
        <x:v>46000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16000</x:v>
      </x:c>
      <x:c r="E24" s="6" t="n">
        <x:v>0</x:v>
      </x:c>
      <x:c r="F24" s="6" t="n">
        <x:f>D24-E24</x:f>
        <x:v>16000</x:v>
      </x:c>
      <x:c r="G24" s="6" t="n">
        <x:f>G23+F24</x:f>
        <x:v>-399700</x:v>
      </x:c>
      <x:c r="H24" s="6" t="n">
        <x:v>-31500</x:v>
      </x:c>
      <x:c r="I24" s="6" t="n">
        <x:v>31500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18800</x:v>
      </x:c>
      <x:c r="E25" s="6" t="n">
        <x:v>9000</x:v>
      </x:c>
      <x:c r="F25" s="6" t="n">
        <x:f>D25-E25</x:f>
        <x:v>9800</x:v>
      </x:c>
      <x:c r="G25" s="6" t="n">
        <x:f>G24+F25</x:f>
        <x:v>-389900</x:v>
      </x:c>
      <x:c r="H25" s="6" t="n">
        <x:v>-12300</x:v>
      </x:c>
      <x:c r="I25" s="6" t="n">
        <x:v>31400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8800</x:v>
      </x:c>
      <x:c r="E26" s="6" t="n">
        <x:v>0</x:v>
      </x:c>
      <x:c r="F26" s="6" t="n">
        <x:f>D26-E26</x:f>
        <x:v>8800</x:v>
      </x:c>
      <x:c r="G26" s="6" t="n">
        <x:f>G25+F26</x:f>
        <x:v>-381100</x:v>
      </x:c>
      <x:c r="H26" s="6" t="n">
        <x:v>-18600</x:v>
      </x:c>
      <x:c r="I26" s="6" t="n">
        <x:v>28000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13400</x:v>
      </x:c>
      <x:c r="E27" s="6" t="n">
        <x:v>24600</x:v>
      </x:c>
      <x:c r="F27" s="6" t="n">
        <x:f>D27-E27</x:f>
        <x:v>-11200</x:v>
      </x:c>
      <x:c r="G27" s="6" t="n">
        <x:f>G26+F27</x:f>
        <x:v>-392300</x:v>
      </x:c>
      <x:c r="H27" s="6" t="n">
        <x:v>-12000</x:v>
      </x:c>
      <x:c r="I27" s="6" t="n">
        <x:v>27500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15100</x:v>
      </x:c>
      <x:c r="E28" s="6" t="n">
        <x:v>8500</x:v>
      </x:c>
      <x:c r="F28" s="6" t="n">
        <x:f>D28-E28</x:f>
        <x:v>6600</x:v>
      </x:c>
      <x:c r="G28" s="6" t="n">
        <x:f>G27+F28</x:f>
        <x:v>-385700</x:v>
      </x:c>
      <x:c r="H28" s="6" t="n">
        <x:v>-30900</x:v>
      </x:c>
      <x:c r="I28" s="6" t="n">
        <x:v>34900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6600</x:v>
      </x:c>
      <x:c r="E29" s="6" t="n">
        <x:v>0</x:v>
      </x:c>
      <x:c r="F29" s="6" t="n">
        <x:f>D29-E29</x:f>
        <x:v>6600</x:v>
      </x:c>
      <x:c r="G29" s="6" t="n">
        <x:f>G28+F29</x:f>
        <x:v>-379100</x:v>
      </x:c>
      <x:c r="H29" s="6" t="n">
        <x:v>-9900</x:v>
      </x:c>
      <x:c r="I29" s="6" t="n">
        <x:v>10900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15600</x:v>
      </x:c>
      <x:c r="E30" s="6" t="n">
        <x:v>0</x:v>
      </x:c>
      <x:c r="F30" s="6" t="n">
        <x:f>D30-E30</x:f>
        <x:v>15600</x:v>
      </x:c>
      <x:c r="G30" s="6" t="n">
        <x:f>G29+F30</x:f>
        <x:v>-363500</x:v>
      </x:c>
      <x:c r="H30" s="6" t="n">
        <x:v>-41700</x:v>
      </x:c>
      <x:c r="I30" s="6" t="n">
        <x:v>58800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1000</x:v>
      </x:c>
      <x:c r="E31" s="6" t="n">
        <x:v>0</x:v>
      </x:c>
      <x:c r="F31" s="6" t="n">
        <x:f>D31-E31</x:f>
        <x:v>1000</x:v>
      </x:c>
      <x:c r="G31" s="6" t="n">
        <x:f>G30+F31</x:f>
        <x:v>-362500</x:v>
      </x:c>
      <x:c r="H31" s="6" t="n">
        <x:v>-71400</x:v>
      </x:c>
      <x:c r="I31" s="6" t="n">
        <x:v>94200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18000</x:v>
      </x:c>
      <x:c r="E32" s="6" t="n">
        <x:v>19900</x:v>
      </x:c>
      <x:c r="F32" s="6" t="n">
        <x:f>D32-E32</x:f>
        <x:v>-1900</x:v>
      </x:c>
      <x:c r="G32" s="6" t="n">
        <x:f>G31+F32</x:f>
        <x:v>-364400</x:v>
      </x:c>
      <x:c r="H32" s="6" t="n">
        <x:v>-15600</x:v>
      </x:c>
      <x:c r="I32" s="6" t="n">
        <x:v>29900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197900</x:v>
      </x:c>
      <x:c r="E33" s="9" t="n">
        <x:f>SUM(E6:E32)</x:f>
        <x:v>562300</x:v>
      </x:c>
      <x:c r="F33" s="9" t="n">
        <x:f>D33-E33</x:f>
        <x:v>-364400</x:v>
      </x:c>
      <x:c r="G33" s="9" t="n">
        <x:f>G32</x:f>
        <x:v>-364400</x:v>
      </x:c>
      <x:c r="H33" s="9" t="n">
        <x:f>MIN(H6:H32)</x:f>
        <x:v>-174000</x:v>
      </x:c>
      <x:c r="I33" s="9" t="n">
        <x:f>MAX(I6:I32)</x:f>
        <x:v>176600</x:v>
      </x:c>
      <x:c r="J33" s="10" t="n">
        <x:f>SUM(J6:J32)</x:f>
        <x:v>219</x:v>
      </x:c>
      <x:c r="K33" s="10" t="n">
        <x:f>SUM(K6:K32)</x:f>
        <x:v>0</x:v>
      </x:c>
    </x:row>
  </x:sheetData>
  <x:conditionalFormatting sqref="F6:H32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2283d270704fd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NK225_D164_05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早い保護と新しい波への再参加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12500</x:v>
      </x:c>
      <x:c r="E6" s="6" t="n">
        <x:v>5800</x:v>
      </x:c>
      <x:c r="F6" s="6" t="n">
        <x:f>D6-E6</x:f>
        <x:v>6700</x:v>
      </x:c>
      <x:c r="G6" s="6" t="n">
        <x:f>F6</x:f>
        <x:v>6700</x:v>
      </x:c>
      <x:c r="H6" s="6" t="n">
        <x:v>-7400</x:v>
      </x:c>
      <x:c r="I6" s="6" t="n">
        <x:v>10400</x:v>
      </x:c>
      <x:c r="J6" s="7" t="n">
        <x:v>10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6000</x:v>
      </x:c>
      <x:c r="F7" s="6" t="n">
        <x:f>D7-E7</x:f>
        <x:v>-6000</x:v>
      </x:c>
      <x:c r="G7" s="6" t="n">
        <x:f>G6+F7</x:f>
        <x:v>700</x:v>
      </x:c>
      <x:c r="H7" s="6" t="n">
        <x:v>-6000</x:v>
      </x:c>
      <x:c r="I7" s="6" t="n">
        <x:v>7000</x:v>
      </x:c>
      <x:c r="J7" s="7" t="n">
        <x:v>3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6200</x:v>
      </x:c>
      <x:c r="E8" s="6" t="n">
        <x:v>2400</x:v>
      </x:c>
      <x:c r="F8" s="6" t="n">
        <x:f>D8-E8</x:f>
        <x:v>3800</x:v>
      </x:c>
      <x:c r="G8" s="6" t="n">
        <x:f>G7+F8</x:f>
        <x:v>4500</x:v>
      </x:c>
      <x:c r="H8" s="6" t="n">
        <x:v>-7000</x:v>
      </x:c>
      <x:c r="I8" s="6" t="n">
        <x:v>9000</x:v>
      </x:c>
      <x:c r="J8" s="7" t="n">
        <x:v>9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74100</x:v>
      </x:c>
      <x:c r="E9" s="6" t="n">
        <x:v>155600</x:v>
      </x:c>
      <x:c r="F9" s="6" t="n">
        <x:f>D9-E9</x:f>
        <x:v>-81500</x:v>
      </x:c>
      <x:c r="G9" s="6" t="n">
        <x:f>G8+F9</x:f>
        <x:v>-77000</x:v>
      </x:c>
      <x:c r="H9" s="6" t="n">
        <x:v>-129400</x:v>
      </x:c>
      <x:c r="I9" s="6" t="n">
        <x:v>194600</x:v>
      </x:c>
      <x:c r="J9" s="7" t="n">
        <x:v>103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104600</x:v>
      </x:c>
      <x:c r="E10" s="6" t="n">
        <x:v>97600</x:v>
      </x:c>
      <x:c r="F10" s="6" t="n">
        <x:f>D10-E10</x:f>
        <x:v>7000</x:v>
      </x:c>
      <x:c r="G10" s="6" t="n">
        <x:f>G9+F10</x:f>
        <x:v>-70000</x:v>
      </x:c>
      <x:c r="H10" s="6" t="n">
        <x:v>-97700</x:v>
      </x:c>
      <x:c r="I10" s="6" t="n">
        <x:v>200100</x:v>
      </x:c>
      <x:c r="J10" s="7" t="n">
        <x:v>47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62500</x:v>
      </x:c>
      <x:c r="E11" s="6" t="n">
        <x:v>111100</x:v>
      </x:c>
      <x:c r="F11" s="6" t="n">
        <x:f>D11-E11</x:f>
        <x:v>-48600</x:v>
      </x:c>
      <x:c r="G11" s="6" t="n">
        <x:f>G10+F11</x:f>
        <x:v>-118600</x:v>
      </x:c>
      <x:c r="H11" s="6" t="n">
        <x:v>-98500</x:v>
      </x:c>
      <x:c r="I11" s="6" t="n">
        <x:v>156800</x:v>
      </x:c>
      <x:c r="J11" s="7" t="n">
        <x:v>54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60400</x:v>
      </x:c>
      <x:c r="E12" s="6" t="n">
        <x:v>435800</x:v>
      </x:c>
      <x:c r="F12" s="6" t="n">
        <x:f>D12-E12</x:f>
        <x:v>-375400</x:v>
      </x:c>
      <x:c r="G12" s="6" t="n">
        <x:f>G11+F12</x:f>
        <x:v>-494000</x:v>
      </x:c>
      <x:c r="H12" s="6" t="n">
        <x:v>-494600</x:v>
      </x:c>
      <x:c r="I12" s="6" t="n">
        <x:v>506400</x:v>
      </x:c>
      <x:c r="J12" s="7" t="n">
        <x:v>66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35300</x:v>
      </x:c>
      <x:c r="E13" s="6" t="n">
        <x:v>80700</x:v>
      </x:c>
      <x:c r="F13" s="6" t="n">
        <x:f>D13-E13</x:f>
        <x:v>-45400</x:v>
      </x:c>
      <x:c r="G13" s="6" t="n">
        <x:f>G12+F13</x:f>
        <x:v>-539400</x:v>
      </x:c>
      <x:c r="H13" s="6" t="n">
        <x:v>-72300</x:v>
      </x:c>
      <x:c r="I13" s="6" t="n">
        <x:v>86600</x:v>
      </x:c>
      <x:c r="J13" s="7" t="n">
        <x:v>36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33900</x:v>
      </x:c>
      <x:c r="E14" s="6" t="n">
        <x:v>118100</x:v>
      </x:c>
      <x:c r="F14" s="6" t="n">
        <x:f>D14-E14</x:f>
        <x:v>-84200</x:v>
      </x:c>
      <x:c r="G14" s="6" t="n">
        <x:f>G13+F14</x:f>
        <x:v>-623600</x:v>
      </x:c>
      <x:c r="H14" s="6" t="n">
        <x:v>-229300</x:v>
      </x:c>
      <x:c r="I14" s="6" t="n">
        <x:v>245500</x:v>
      </x:c>
      <x:c r="J14" s="7" t="n">
        <x:v>57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32700</x:v>
      </x:c>
      <x:c r="E15" s="6" t="n">
        <x:v>48300</x:v>
      </x:c>
      <x:c r="F15" s="6" t="n">
        <x:f>D15-E15</x:f>
        <x:v>-15600</x:v>
      </x:c>
      <x:c r="G15" s="6" t="n">
        <x:f>G14+F15</x:f>
        <x:v>-639200</x:v>
      </x:c>
      <x:c r="H15" s="6" t="n">
        <x:v>-108700</x:v>
      </x:c>
      <x:c r="I15" s="6" t="n">
        <x:v>143300</x:v>
      </x:c>
      <x:c r="J15" s="7" t="n">
        <x:v>54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32800</x:v>
      </x:c>
      <x:c r="E16" s="6" t="n">
        <x:v>280400</x:v>
      </x:c>
      <x:c r="F16" s="6" t="n">
        <x:f>D16-E16</x:f>
        <x:v>-247600</x:v>
      </x:c>
      <x:c r="G16" s="6" t="n">
        <x:f>G15+F16</x:f>
        <x:v>-886800</x:v>
      </x:c>
      <x:c r="H16" s="6" t="n">
        <x:v>-258800</x:v>
      </x:c>
      <x:c r="I16" s="6" t="n">
        <x:v>268200</x:v>
      </x:c>
      <x:c r="J16" s="7" t="n">
        <x:v>51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17700</x:v>
      </x:c>
      <x:c r="E17" s="6" t="n">
        <x:v>255700</x:v>
      </x:c>
      <x:c r="F17" s="6" t="n">
        <x:f>D17-E17</x:f>
        <x:v>-238000</x:v>
      </x:c>
      <x:c r="G17" s="6" t="n">
        <x:f>G16+F17</x:f>
        <x:v>-1124800</x:v>
      </x:c>
      <x:c r="H17" s="6" t="n">
        <x:v>-238000</x:v>
      </x:c>
      <x:c r="I17" s="6" t="n">
        <x:v>245600</x:v>
      </x:c>
      <x:c r="J17" s="7" t="n">
        <x:v>71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46500</x:v>
      </x:c>
      <x:c r="E18" s="6" t="n">
        <x:v>101600</x:v>
      </x:c>
      <x:c r="F18" s="6" t="n">
        <x:f>D18-E18</x:f>
        <x:v>-55100</x:v>
      </x:c>
      <x:c r="G18" s="6" t="n">
        <x:f>G17+F18</x:f>
        <x:v>-1179900</x:v>
      </x:c>
      <x:c r="H18" s="6" t="n">
        <x:v>-80500</x:v>
      </x:c>
      <x:c r="I18" s="6" t="n">
        <x:v>88800</x:v>
      </x:c>
      <x:c r="J18" s="7" t="n">
        <x:v>45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9000</x:v>
      </x:c>
      <x:c r="E19" s="6" t="n">
        <x:v>133000</x:v>
      </x:c>
      <x:c r="F19" s="6" t="n">
        <x:f>D19-E19</x:f>
        <x:v>-124000</x:v>
      </x:c>
      <x:c r="G19" s="6" t="n">
        <x:f>G18+F19</x:f>
        <x:v>-1303900</x:v>
      </x:c>
      <x:c r="H19" s="6" t="n">
        <x:v>-141000</x:v>
      </x:c>
      <x:c r="I19" s="6" t="n">
        <x:v>148200</x:v>
      </x:c>
      <x:c r="J19" s="7" t="n">
        <x:v>25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52100</x:v>
      </x:c>
      <x:c r="E20" s="6" t="n">
        <x:v>69400</x:v>
      </x:c>
      <x:c r="F20" s="6" t="n">
        <x:f>D20-E20</x:f>
        <x:v>-17300</x:v>
      </x:c>
      <x:c r="G20" s="6" t="n">
        <x:f>G19+F20</x:f>
        <x:v>-1321200</x:v>
      </x:c>
      <x:c r="H20" s="6" t="n">
        <x:v>-116900</x:v>
      </x:c>
      <x:c r="I20" s="6" t="n">
        <x:v>128800</x:v>
      </x:c>
      <x:c r="J20" s="7" t="n">
        <x:v>66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3000</x:v>
      </x:c>
      <x:c r="E21" s="6" t="n">
        <x:v>35300</x:v>
      </x:c>
      <x:c r="F21" s="6" t="n">
        <x:f>D21-E21</x:f>
        <x:v>-32300</x:v>
      </x:c>
      <x:c r="G21" s="6" t="n">
        <x:f>G20+F21</x:f>
        <x:v>-1353500</x:v>
      </x:c>
      <x:c r="H21" s="6" t="n">
        <x:v>-32300</x:v>
      </x:c>
      <x:c r="I21" s="6" t="n">
        <x:v>33300</x:v>
      </x:c>
      <x:c r="J21" s="7" t="n">
        <x:v>9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80500</x:v>
      </x:c>
      <x:c r="E22" s="6" t="n">
        <x:v>377700</x:v>
      </x:c>
      <x:c r="F22" s="6" t="n">
        <x:f>D22-E22</x:f>
        <x:v>-297200</x:v>
      </x:c>
      <x:c r="G22" s="6" t="n">
        <x:f>G21+F22</x:f>
        <x:v>-1650700</x:v>
      </x:c>
      <x:c r="H22" s="6" t="n">
        <x:v>-321900</x:v>
      </x:c>
      <x:c r="I22" s="6" t="n">
        <x:v>329300</x:v>
      </x:c>
      <x:c r="J22" s="7" t="n">
        <x:v>77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67700</x:v>
      </x:c>
      <x:c r="E23" s="6" t="n">
        <x:v>107500</x:v>
      </x:c>
      <x:c r="F23" s="6" t="n">
        <x:f>D23-E23</x:f>
        <x:v>-39800</x:v>
      </x:c>
      <x:c r="G23" s="6" t="n">
        <x:f>G22+F23</x:f>
        <x:v>-1690500</x:v>
      </x:c>
      <x:c r="H23" s="6" t="n">
        <x:v>-62600</x:v>
      </x:c>
      <x:c r="I23" s="6" t="n">
        <x:v>101800</x:v>
      </x:c>
      <x:c r="J23" s="7" t="n">
        <x:v>34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130300</x:v>
      </x:c>
      <x:c r="E24" s="6" t="n">
        <x:v>249000</x:v>
      </x:c>
      <x:c r="F24" s="6" t="n">
        <x:f>D24-E24</x:f>
        <x:v>-118700</x:v>
      </x:c>
      <x:c r="G24" s="6" t="n">
        <x:f>G23+F24</x:f>
        <x:v>-1809200</x:v>
      </x:c>
      <x:c r="H24" s="6" t="n">
        <x:v>-182100</x:v>
      </x:c>
      <x:c r="I24" s="6" t="n">
        <x:v>252700</x:v>
      </x:c>
      <x:c r="J24" s="7" t="n">
        <x:v>62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68600</x:v>
      </x:c>
      <x:c r="E25" s="6" t="n">
        <x:v>328600</x:v>
      </x:c>
      <x:c r="F25" s="6" t="n">
        <x:f>D25-E25</x:f>
        <x:v>-260000</x:v>
      </x:c>
      <x:c r="G25" s="6" t="n">
        <x:f>G24+F25</x:f>
        <x:v>-2069200</x:v>
      </x:c>
      <x:c r="H25" s="6" t="n">
        <x:v>-260000</x:v>
      </x:c>
      <x:c r="I25" s="6" t="n">
        <x:v>277400</x:v>
      </x:c>
      <x:c r="J25" s="7" t="n">
        <x:v>74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173700</x:v>
      </x:c>
      <x:c r="E26" s="6" t="n">
        <x:v>92200</x:v>
      </x:c>
      <x:c r="F26" s="6" t="n">
        <x:f>D26-E26</x:f>
        <x:v>81500</x:v>
      </x:c>
      <x:c r="G26" s="6" t="n">
        <x:f>G25+F26</x:f>
        <x:v>-1987700</x:v>
      </x:c>
      <x:c r="H26" s="6" t="n">
        <x:v>-205000</x:v>
      </x:c>
      <x:c r="I26" s="6" t="n">
        <x:v>349200</x:v>
      </x:c>
      <x:c r="J26" s="7" t="n">
        <x:v>78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61800</x:v>
      </x:c>
      <x:c r="E27" s="6" t="n">
        <x:v>389800</x:v>
      </x:c>
      <x:c r="F27" s="6" t="n">
        <x:f>D27-E27</x:f>
        <x:v>-328000</x:v>
      </x:c>
      <x:c r="G27" s="6" t="n">
        <x:f>G26+F27</x:f>
        <x:v>-2315700</x:v>
      </x:c>
      <x:c r="H27" s="6" t="n">
        <x:v>-328000</x:v>
      </x:c>
      <x:c r="I27" s="6" t="n">
        <x:v>341600</x:v>
      </x:c>
      <x:c r="J27" s="7" t="n">
        <x:v>89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35500</x:v>
      </x:c>
      <x:c r="E28" s="6" t="n">
        <x:v>279000</x:v>
      </x:c>
      <x:c r="F28" s="6" t="n">
        <x:f>D28-E28</x:f>
        <x:v>-243500</x:v>
      </x:c>
      <x:c r="G28" s="6" t="n">
        <x:f>G27+F28</x:f>
        <x:v>-2559200</x:v>
      </x:c>
      <x:c r="H28" s="6" t="n">
        <x:v>-246700</x:v>
      </x:c>
      <x:c r="I28" s="6" t="n">
        <x:v>250700</x:v>
      </x:c>
      <x:c r="J28" s="7" t="n">
        <x:v>50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152500</x:v>
      </x:c>
      <x:c r="E29" s="6" t="n">
        <x:v>60800</x:v>
      </x:c>
      <x:c r="F29" s="6" t="n">
        <x:f>D29-E29</x:f>
        <x:v>91700</x:v>
      </x:c>
      <x:c r="G29" s="6" t="n">
        <x:f>G28+F29</x:f>
        <x:v>-2467500</x:v>
      </x:c>
      <x:c r="H29" s="6" t="n">
        <x:v>-47700</x:v>
      </x:c>
      <x:c r="I29" s="6" t="n">
        <x:v>90500</x:v>
      </x:c>
      <x:c r="J29" s="7" t="n">
        <x:v>94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202200</x:v>
      </x:c>
      <x:c r="E30" s="6" t="n">
        <x:v>307200</x:v>
      </x:c>
      <x:c r="F30" s="6" t="n">
        <x:f>D30-E30</x:f>
        <x:v>-105000</x:v>
      </x:c>
      <x:c r="G30" s="6" t="n">
        <x:f>G29+F30</x:f>
        <x:v>-2572500</x:v>
      </x:c>
      <x:c r="H30" s="6" t="n">
        <x:v>-209000</x:v>
      </x:c>
      <x:c r="I30" s="6" t="n">
        <x:v>237100</x:v>
      </x:c>
      <x:c r="J30" s="7" t="n">
        <x:v>178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133000</x:v>
      </x:c>
      <x:c r="E31" s="6" t="n">
        <x:v>186500</x:v>
      </x:c>
      <x:c r="F31" s="6" t="n">
        <x:f>D31-E31</x:f>
        <x:v>-53500</x:v>
      </x:c>
      <x:c r="G31" s="6" t="n">
        <x:f>G30+F31</x:f>
        <x:v>-2626000</x:v>
      </x:c>
      <x:c r="H31" s="6" t="n">
        <x:v>-292200</x:v>
      </x:c>
      <x:c r="I31" s="6" t="n">
        <x:v>385500</x:v>
      </x:c>
      <x:c r="J31" s="7" t="n">
        <x:v>79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83800</x:v>
      </x:c>
      <x:c r="E32" s="6" t="n">
        <x:v>453500</x:v>
      </x:c>
      <x:c r="F32" s="6" t="n">
        <x:f>D32-E32</x:f>
        <x:v>-369700</x:v>
      </x:c>
      <x:c r="G32" s="6" t="n">
        <x:f>G31+F32</x:f>
        <x:v>-2995700</x:v>
      </x:c>
      <x:c r="H32" s="6" t="n">
        <x:v>-402800</x:v>
      </x:c>
      <x:c r="I32" s="6" t="n">
        <x:v>404800</x:v>
      </x:c>
      <x:c r="J32" s="7" t="n">
        <x:v>99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1772900</x:v>
      </x:c>
      <x:c r="E33" s="9" t="n">
        <x:f>SUM(E6:E32)</x:f>
        <x:v>4768600</x:v>
      </x:c>
      <x:c r="F33" s="9" t="n">
        <x:f>D33-E33</x:f>
        <x:v>-2995700</x:v>
      </x:c>
      <x:c r="G33" s="9" t="n">
        <x:f>G32</x:f>
        <x:v>-2995700</x:v>
      </x:c>
      <x:c r="H33" s="9" t="n">
        <x:f>MIN(H6:H32)</x:f>
        <x:v>-494600</x:v>
      </x:c>
      <x:c r="I33" s="9" t="n">
        <x:f>MAX(I6:I32)</x:f>
        <x:v>506400</x:v>
      </x:c>
      <x:c r="J33" s="10" t="n">
        <x:f>SUM(J6:J32)</x:f>
        <x:v>1620</x:v>
      </x:c>
      <x:c r="K33" s="10" t="n">
        <x:f>SUM(K6:K32)</x:f>
        <x:v>0</x:v>
      </x:c>
    </x:row>
  </x:sheetData>
  <x:conditionalFormatting sqref="F6:H32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6de4ac3539455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NK225_D164_06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再参加玉だけ50円逆行退出を追加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12500</x:v>
      </x:c>
      <x:c r="E6" s="6" t="n">
        <x:v>5000</x:v>
      </x:c>
      <x:c r="F6" s="6" t="n">
        <x:f>D6-E6</x:f>
        <x:v>7500</x:v>
      </x:c>
      <x:c r="G6" s="6" t="n">
        <x:f>F6</x:f>
        <x:v>7500</x:v>
      </x:c>
      <x:c r="H6" s="6" t="n">
        <x:v>-7400</x:v>
      </x:c>
      <x:c r="I6" s="6" t="n">
        <x:v>10400</x:v>
      </x:c>
      <x:c r="J6" s="7" t="n">
        <x:v>10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11000</x:v>
      </x:c>
      <x:c r="F7" s="6" t="n">
        <x:f>D7-E7</x:f>
        <x:v>-11000</x:v>
      </x:c>
      <x:c r="G7" s="6" t="n">
        <x:f>G6+F7</x:f>
        <x:v>-3500</x:v>
      </x:c>
      <x:c r="H7" s="6" t="n">
        <x:v>-11000</x:v>
      </x:c>
      <x:c r="I7" s="6" t="n">
        <x:v>12000</x:v>
      </x:c>
      <x:c r="J7" s="7" t="n">
        <x:v>3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0</x:v>
      </x:c>
      <x:c r="E8" s="6" t="n">
        <x:v>5000</x:v>
      </x:c>
      <x:c r="F8" s="6" t="n">
        <x:f>D8-E8</x:f>
        <x:v>-5000</x:v>
      </x:c>
      <x:c r="G8" s="6" t="n">
        <x:f>G7+F8</x:f>
        <x:v>-8500</x:v>
      </x:c>
      <x:c r="H8" s="6" t="n">
        <x:v>-5000</x:v>
      </x:c>
      <x:c r="I8" s="6" t="n">
        <x:v>7000</x:v>
      </x:c>
      <x:c r="J8" s="7" t="n">
        <x:v>2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18500</x:v>
      </x:c>
      <x:c r="E9" s="6" t="n">
        <x:v>158600</x:v>
      </x:c>
      <x:c r="F9" s="6" t="n">
        <x:f>D9-E9</x:f>
        <x:v>-140100</x:v>
      </x:c>
      <x:c r="G9" s="6" t="n">
        <x:f>G8+F9</x:f>
        <x:v>-148600</x:v>
      </x:c>
      <x:c r="H9" s="6" t="n">
        <x:v>-144600</x:v>
      </x:c>
      <x:c r="I9" s="6" t="n">
        <x:v>152000</x:v>
      </x:c>
      <x:c r="J9" s="7" t="n">
        <x:v>34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20800</x:v>
      </x:c>
      <x:c r="E10" s="6" t="n">
        <x:v>96500</x:v>
      </x:c>
      <x:c r="F10" s="6" t="n">
        <x:f>D10-E10</x:f>
        <x:v>-75700</x:v>
      </x:c>
      <x:c r="G10" s="6" t="n">
        <x:f>G9+F10</x:f>
        <x:v>-224300</x:v>
      </x:c>
      <x:c r="H10" s="6" t="n">
        <x:v>-75700</x:v>
      </x:c>
      <x:c r="I10" s="6" t="n">
        <x:v>109400</x:v>
      </x:c>
      <x:c r="J10" s="7" t="n">
        <x:v>13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9500</x:v>
      </x:c>
      <x:c r="E11" s="6" t="n">
        <x:v>90500</x:v>
      </x:c>
      <x:c r="F11" s="6" t="n">
        <x:f>D11-E11</x:f>
        <x:v>-81000</x:v>
      </x:c>
      <x:c r="G11" s="6" t="n">
        <x:f>G10+F11</x:f>
        <x:v>-305300</x:v>
      </x:c>
      <x:c r="H11" s="6" t="n">
        <x:v>-81000</x:v>
      </x:c>
      <x:c r="I11" s="6" t="n">
        <x:v>95100</x:v>
      </x:c>
      <x:c r="J11" s="7" t="n">
        <x:v>17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10400</x:v>
      </x:c>
      <x:c r="E12" s="6" t="n">
        <x:v>366900</x:v>
      </x:c>
      <x:c r="F12" s="6" t="n">
        <x:f>D12-E12</x:f>
        <x:v>-356500</x:v>
      </x:c>
      <x:c r="G12" s="6" t="n">
        <x:f>G11+F12</x:f>
        <x:v>-661800</x:v>
      </x:c>
      <x:c r="H12" s="6" t="n">
        <x:v>-356500</x:v>
      </x:c>
      <x:c r="I12" s="6" t="n">
        <x:v>359100</x:v>
      </x:c>
      <x:c r="J12" s="7" t="n">
        <x:v>38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2500</x:v>
      </x:c>
      <x:c r="E13" s="6" t="n">
        <x:v>81300</x:v>
      </x:c>
      <x:c r="F13" s="6" t="n">
        <x:f>D13-E13</x:f>
        <x:v>-78800</x:v>
      </x:c>
      <x:c r="G13" s="6" t="n">
        <x:f>G12+F13</x:f>
        <x:v>-740600</x:v>
      </x:c>
      <x:c r="H13" s="6" t="n">
        <x:v>-78800</x:v>
      </x:c>
      <x:c r="I13" s="6" t="n">
        <x:v>82800</x:v>
      </x:c>
      <x:c r="J13" s="7" t="n">
        <x:v>18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9300</x:v>
      </x:c>
      <x:c r="E14" s="6" t="n">
        <x:v>49500</x:v>
      </x:c>
      <x:c r="F14" s="6" t="n">
        <x:f>D14-E14</x:f>
        <x:v>-40200</x:v>
      </x:c>
      <x:c r="G14" s="6" t="n">
        <x:f>G13+F14</x:f>
        <x:v>-780800</x:v>
      </x:c>
      <x:c r="H14" s="6" t="n">
        <x:v>-57800</x:v>
      </x:c>
      <x:c r="I14" s="6" t="n">
        <x:v>74000</x:v>
      </x:c>
      <x:c r="J14" s="7" t="n">
        <x:v>12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8900</x:v>
      </x:c>
      <x:c r="E15" s="6" t="n">
        <x:v>183500</x:v>
      </x:c>
      <x:c r="F15" s="6" t="n">
        <x:f>D15-E15</x:f>
        <x:v>-174600</x:v>
      </x:c>
      <x:c r="G15" s="6" t="n">
        <x:f>G14+F15</x:f>
        <x:v>-955400</x:v>
      </x:c>
      <x:c r="H15" s="6" t="n">
        <x:v>-174600</x:v>
      </x:c>
      <x:c r="I15" s="6" t="n">
        <x:v>179400</x:v>
      </x:c>
      <x:c r="J15" s="7" t="n">
        <x:v>23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16200</x:v>
      </x:c>
      <x:c r="E16" s="6" t="n">
        <x:v>154000</x:v>
      </x:c>
      <x:c r="F16" s="6" t="n">
        <x:f>D16-E16</x:f>
        <x:v>-137800</x:v>
      </x:c>
      <x:c r="G16" s="6" t="n">
        <x:f>G15+F16</x:f>
        <x:v>-1093200</x:v>
      </x:c>
      <x:c r="H16" s="6" t="n">
        <x:v>-138400</x:v>
      </x:c>
      <x:c r="I16" s="6" t="n">
        <x:v>147800</x:v>
      </x:c>
      <x:c r="J16" s="7" t="n">
        <x:v>38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14400</x:v>
      </x:c>
      <x:c r="E17" s="6" t="n">
        <x:v>107800</x:v>
      </x:c>
      <x:c r="F17" s="6" t="n">
        <x:f>D17-E17</x:f>
        <x:v>-93400</x:v>
      </x:c>
      <x:c r="G17" s="6" t="n">
        <x:f>G16+F17</x:f>
        <x:v>-1186600</x:v>
      </x:c>
      <x:c r="H17" s="6" t="n">
        <x:v>-93400</x:v>
      </x:c>
      <x:c r="I17" s="6" t="n">
        <x:v>101000</x:v>
      </x:c>
      <x:c r="J17" s="7" t="n">
        <x:v>43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9900</x:v>
      </x:c>
      <x:c r="E18" s="6" t="n">
        <x:v>74600</x:v>
      </x:c>
      <x:c r="F18" s="6" t="n">
        <x:f>D18-E18</x:f>
        <x:v>-64700</x:v>
      </x:c>
      <x:c r="G18" s="6" t="n">
        <x:f>G17+F18</x:f>
        <x:v>-1251300</x:v>
      </x:c>
      <x:c r="H18" s="6" t="n">
        <x:v>-90100</x:v>
      </x:c>
      <x:c r="I18" s="6" t="n">
        <x:v>94400</x:v>
      </x:c>
      <x:c r="J18" s="7" t="n">
        <x:v>23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3400</x:v>
      </x:c>
      <x:c r="E19" s="6" t="n">
        <x:v>125100</x:v>
      </x:c>
      <x:c r="F19" s="6" t="n">
        <x:f>D19-E19</x:f>
        <x:v>-121700</x:v>
      </x:c>
      <x:c r="G19" s="6" t="n">
        <x:f>G18+F19</x:f>
        <x:v>-1373000</x:v>
      </x:c>
      <x:c r="H19" s="6" t="n">
        <x:v>-121700</x:v>
      </x:c>
      <x:c r="I19" s="6" t="n">
        <x:v>123800</x:v>
      </x:c>
      <x:c r="J19" s="7" t="n">
        <x:v>21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28300</x:v>
      </x:c>
      <x:c r="E20" s="6" t="n">
        <x:v>131700</x:v>
      </x:c>
      <x:c r="F20" s="6" t="n">
        <x:f>D20-E20</x:f>
        <x:v>-103400</x:v>
      </x:c>
      <x:c r="G20" s="6" t="n">
        <x:f>G19+F20</x:f>
        <x:v>-1476400</x:v>
      </x:c>
      <x:c r="H20" s="6" t="n">
        <x:v>-123700</x:v>
      </x:c>
      <x:c r="I20" s="6" t="n">
        <x:v>134200</x:v>
      </x:c>
      <x:c r="J20" s="7" t="n">
        <x:v>33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2000</x:v>
      </x:c>
      <x:c r="E21" s="6" t="n">
        <x:v>16000</x:v>
      </x:c>
      <x:c r="F21" s="6" t="n">
        <x:f>D21-E21</x:f>
        <x:v>-14000</x:v>
      </x:c>
      <x:c r="G21" s="6" t="n">
        <x:f>G20+F21</x:f>
        <x:v>-1490400</x:v>
      </x:c>
      <x:c r="H21" s="6" t="n">
        <x:v>-14000</x:v>
      </x:c>
      <x:c r="I21" s="6" t="n">
        <x:v>15000</x:v>
      </x:c>
      <x:c r="J21" s="7" t="n">
        <x:v>6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24300</x:v>
      </x:c>
      <x:c r="E22" s="6" t="n">
        <x:v>303800</x:v>
      </x:c>
      <x:c r="F22" s="6" t="n">
        <x:f>D22-E22</x:f>
        <x:v>-279500</x:v>
      </x:c>
      <x:c r="G22" s="6" t="n">
        <x:f>G21+F22</x:f>
        <x:v>-1769900</x:v>
      </x:c>
      <x:c r="H22" s="6" t="n">
        <x:v>-279500</x:v>
      </x:c>
      <x:c r="I22" s="6" t="n">
        <x:v>286900</x:v>
      </x:c>
      <x:c r="J22" s="7" t="n">
        <x:v>34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53700</x:v>
      </x:c>
      <x:c r="E23" s="6" t="n">
        <x:v>79200</x:v>
      </x:c>
      <x:c r="F23" s="6" t="n">
        <x:f>D23-E23</x:f>
        <x:v>-25500</x:v>
      </x:c>
      <x:c r="G23" s="6" t="n">
        <x:f>G22+F23</x:f>
        <x:v>-1795400</x:v>
      </x:c>
      <x:c r="H23" s="6" t="n">
        <x:v>-46000</x:v>
      </x:c>
      <x:c r="I23" s="6" t="n">
        <x:v>53500</x:v>
      </x:c>
      <x:c r="J23" s="7" t="n">
        <x:v>28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70800</x:v>
      </x:c>
      <x:c r="E24" s="6" t="n">
        <x:v>125000</x:v>
      </x:c>
      <x:c r="F24" s="6" t="n">
        <x:f>D24-E24</x:f>
        <x:v>-54200</x:v>
      </x:c>
      <x:c r="G24" s="6" t="n">
        <x:f>G23+F24</x:f>
        <x:v>-1849600</x:v>
      </x:c>
      <x:c r="H24" s="6" t="n">
        <x:v>-54200</x:v>
      </x:c>
      <x:c r="I24" s="6" t="n">
        <x:v>96200</x:v>
      </x:c>
      <x:c r="J24" s="7" t="n">
        <x:v>21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37900</x:v>
      </x:c>
      <x:c r="E25" s="6" t="n">
        <x:v>233100</x:v>
      </x:c>
      <x:c r="F25" s="6" t="n">
        <x:f>D25-E25</x:f>
        <x:v>-195200</x:v>
      </x:c>
      <x:c r="G25" s="6" t="n">
        <x:f>G24+F25</x:f>
        <x:v>-2044800</x:v>
      </x:c>
      <x:c r="H25" s="6" t="n">
        <x:v>-200800</x:v>
      </x:c>
      <x:c r="I25" s="6" t="n">
        <x:v>218200</x:v>
      </x:c>
      <x:c r="J25" s="7" t="n">
        <x:v>55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8800</x:v>
      </x:c>
      <x:c r="E26" s="6" t="n">
        <x:v>100600</x:v>
      </x:c>
      <x:c r="F26" s="6" t="n">
        <x:f>D26-E26</x:f>
        <x:v>-91800</x:v>
      </x:c>
      <x:c r="G26" s="6" t="n">
        <x:f>G25+F26</x:f>
        <x:v>-2136600</x:v>
      </x:c>
      <x:c r="H26" s="6" t="n">
        <x:v>-99000</x:v>
      </x:c>
      <x:c r="I26" s="6" t="n">
        <x:v>115200</x:v>
      </x:c>
      <x:c r="J26" s="7" t="n">
        <x:v>16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15900</x:v>
      </x:c>
      <x:c r="E27" s="6" t="n">
        <x:v>262900</x:v>
      </x:c>
      <x:c r="F27" s="6" t="n">
        <x:f>D27-E27</x:f>
        <x:v>-247000</x:v>
      </x:c>
      <x:c r="G27" s="6" t="n">
        <x:f>G26+F27</x:f>
        <x:v>-2383600</x:v>
      </x:c>
      <x:c r="H27" s="6" t="n">
        <x:v>-247000</x:v>
      </x:c>
      <x:c r="I27" s="6" t="n">
        <x:v>254900</x:v>
      </x:c>
      <x:c r="J27" s="7" t="n">
        <x:v>30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24500</x:v>
      </x:c>
      <x:c r="E28" s="6" t="n">
        <x:v>177000</x:v>
      </x:c>
      <x:c r="F28" s="6" t="n">
        <x:f>D28-E28</x:f>
        <x:v>-152500</x:v>
      </x:c>
      <x:c r="G28" s="6" t="n">
        <x:f>G27+F28</x:f>
        <x:v>-2536100</x:v>
      </x:c>
      <x:c r="H28" s="6" t="n">
        <x:v>-160700</x:v>
      </x:c>
      <x:c r="I28" s="6" t="n">
        <x:v>164700</x:v>
      </x:c>
      <x:c r="J28" s="7" t="n">
        <x:v>37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40000</x:v>
      </x:c>
      <x:c r="E29" s="6" t="n">
        <x:v>47800</x:v>
      </x:c>
      <x:c r="F29" s="6" t="n">
        <x:f>D29-E29</x:f>
        <x:v>-7800</x:v>
      </x:c>
      <x:c r="G29" s="6" t="n">
        <x:f>G28+F29</x:f>
        <x:v>-2543900</x:v>
      </x:c>
      <x:c r="H29" s="6" t="n">
        <x:v>-42000</x:v>
      </x:c>
      <x:c r="I29" s="6" t="n">
        <x:v>65200</x:v>
      </x:c>
      <x:c r="J29" s="7" t="n">
        <x:v>18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33800</x:v>
      </x:c>
      <x:c r="E30" s="6" t="n">
        <x:v>351700</x:v>
      </x:c>
      <x:c r="F30" s="6" t="n">
        <x:f>D30-E30</x:f>
        <x:v>-317900</x:v>
      </x:c>
      <x:c r="G30" s="6" t="n">
        <x:f>G29+F30</x:f>
        <x:v>-2861800</x:v>
      </x:c>
      <x:c r="H30" s="6" t="n">
        <x:v>-317900</x:v>
      </x:c>
      <x:c r="I30" s="6" t="n">
        <x:v>335000</x:v>
      </x:c>
      <x:c r="J30" s="7" t="n">
        <x:v>52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25500</x:v>
      </x:c>
      <x:c r="E31" s="6" t="n">
        <x:v>120500</x:v>
      </x:c>
      <x:c r="F31" s="6" t="n">
        <x:f>D31-E31</x:f>
        <x:v>-95000</x:v>
      </x:c>
      <x:c r="G31" s="6" t="n">
        <x:f>G30+F31</x:f>
        <x:v>-2956800</x:v>
      </x:c>
      <x:c r="H31" s="6" t="n">
        <x:v>-126900</x:v>
      </x:c>
      <x:c r="I31" s="6" t="n">
        <x:v>137700</x:v>
      </x:c>
      <x:c r="J31" s="7" t="n">
        <x:v>25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66700</x:v>
      </x:c>
      <x:c r="E32" s="6" t="n">
        <x:v>240400</x:v>
      </x:c>
      <x:c r="F32" s="6" t="n">
        <x:f>D32-E32</x:f>
        <x:v>-173700</x:v>
      </x:c>
      <x:c r="G32" s="6" t="n">
        <x:f>G31+F32</x:f>
        <x:v>-3130500</x:v>
      </x:c>
      <x:c r="H32" s="6" t="n">
        <x:v>-173700</x:v>
      </x:c>
      <x:c r="I32" s="6" t="n">
        <x:v>192900</x:v>
      </x:c>
      <x:c r="J32" s="7" t="n">
        <x:v>54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568500</x:v>
      </x:c>
      <x:c r="E33" s="9" t="n">
        <x:f>SUM(E6:E32)</x:f>
        <x:v>3699000</x:v>
      </x:c>
      <x:c r="F33" s="9" t="n">
        <x:f>D33-E33</x:f>
        <x:v>-3130500</x:v>
      </x:c>
      <x:c r="G33" s="9" t="n">
        <x:f>G32</x:f>
        <x:v>-3130500</x:v>
      </x:c>
      <x:c r="H33" s="9" t="n">
        <x:f>MIN(H6:H32)</x:f>
        <x:v>-356500</x:v>
      </x:c>
      <x:c r="I33" s="9" t="n">
        <x:f>MAX(I6:I32)</x:f>
        <x:v>359100</x:v>
      </x:c>
      <x:c r="J33" s="10" t="n">
        <x:f>SUM(J6:J32)</x:f>
        <x:v>704</x:v>
      </x:c>
      <x:c r="K33" s="10" t="n">
        <x:f>SUM(K6:K32)</x:f>
        <x:v>0</x:v>
      </x:c>
    </x:row>
  </x:sheetData>
  <x:conditionalFormatting sqref="F6:H32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e7c06b46e641d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NK225_D164_07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初回失速時だけ最大30秒再加速待ち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220200</x:v>
      </x:c>
      <x:c r="E9" s="6" t="n">
        <x:v>12000</x:v>
      </x:c>
      <x:c r="F9" s="6" t="n">
        <x:f>D9-E9</x:f>
        <x:v>208200</x:v>
      </x:c>
      <x:c r="G9" s="6" t="n">
        <x:f>G8+F9</x:f>
        <x:v>211400</x:v>
      </x:c>
      <x:c r="H9" s="6" t="n">
        <x:v>-25400</x:v>
      </x:c>
      <x:c r="I9" s="6" t="n">
        <x:v>169300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352800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90100</x:v>
      </x:c>
      <x:c r="E11" s="6" t="n">
        <x:v>70200</x:v>
      </x:c>
      <x:c r="F11" s="6" t="n">
        <x:f>D11-E11</x:f>
        <x:v>19900</x:v>
      </x:c>
      <x:c r="G11" s="6" t="n">
        <x:f>G10+F11</x:f>
        <x:v>372700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188900</x:v>
      </x:c>
      <x:c r="E12" s="6" t="n">
        <x:v>202900</x:v>
      </x:c>
      <x:c r="F12" s="6" t="n">
        <x:f>D12-E12</x:f>
        <x:v>-14000</x:v>
      </x:c>
      <x:c r="G12" s="6" t="n">
        <x:f>G11+F12</x:f>
        <x:v>358700</x:v>
      </x:c>
      <x:c r="H12" s="6" t="n">
        <x:v>-193000</x:v>
      </x:c>
      <x:c r="I12" s="6" t="n">
        <x:v>225900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54100</x:v>
      </x:c>
      <x:c r="E13" s="6" t="n">
        <x:v>11000</x:v>
      </x:c>
      <x:c r="F13" s="6" t="n">
        <x:f>D13-E13</x:f>
        <x:v>43100</x:v>
      </x:c>
      <x:c r="G13" s="6" t="n">
        <x:f>G12+F13</x:f>
        <x:v>401800</x:v>
      </x:c>
      <x:c r="H13" s="6" t="n">
        <x:v>-5000</x:v>
      </x:c>
      <x:c r="I13" s="6" t="n">
        <x:v>29000</x:v>
      </x:c>
      <x:c r="J13" s="7" t="n">
        <x:v>5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78900</x:v>
      </x:c>
      <x:c r="E14" s="6" t="n">
        <x:v>140800</x:v>
      </x:c>
      <x:c r="F14" s="6" t="n">
        <x:f>D14-E14</x:f>
        <x:v>-61900</x:v>
      </x:c>
      <x:c r="G14" s="6" t="n">
        <x:f>G13+F14</x:f>
        <x:v>339900</x:v>
      </x:c>
      <x:c r="H14" s="6" t="n">
        <x:v>-102900</x:v>
      </x:c>
      <x:c r="I14" s="6" t="n">
        <x:v>119100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36300</x:v>
      </x:c>
      <x:c r="E15" s="6" t="n">
        <x:v>56500</x:v>
      </x:c>
      <x:c r="F15" s="6" t="n">
        <x:f>D15-E15</x:f>
        <x:v>-20200</x:v>
      </x:c>
      <x:c r="G15" s="6" t="n">
        <x:f>G14+F15</x:f>
        <x:v>319700</x:v>
      </x:c>
      <x:c r="H15" s="6" t="n">
        <x:v>-38100</x:v>
      </x:c>
      <x:c r="I15" s="6" t="n">
        <x:v>87300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73500</x:v>
      </x:c>
      <x:c r="E16" s="6" t="n">
        <x:v>74500</x:v>
      </x:c>
      <x:c r="F16" s="6" t="n">
        <x:f>D16-E16</x:f>
        <x:v>-1000</x:v>
      </x:c>
      <x:c r="G16" s="6" t="n">
        <x:f>G15+F16</x:f>
        <x:v>318700</x:v>
      </x:c>
      <x:c r="H16" s="6" t="n">
        <x:v>-26500</x:v>
      </x:c>
      <x:c r="I16" s="6" t="n">
        <x:v>94000</x:v>
      </x:c>
      <x:c r="J16" s="7" t="n">
        <x:v>11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268700</x:v>
      </x:c>
      <x:c r="F17" s="6" t="n">
        <x:f>D17-E17</x:f>
        <x:v>-223800</x:v>
      </x:c>
      <x:c r="G17" s="6" t="n">
        <x:f>G16+F17</x:f>
        <x:v>94900</x:v>
      </x:c>
      <x:c r="H17" s="6" t="n">
        <x:v>-223800</x:v>
      </x:c>
      <x:c r="I17" s="6" t="n">
        <x:v>318300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154200</x:v>
      </x:c>
      <x:c r="E18" s="6" t="n">
        <x:v>65400</x:v>
      </x:c>
      <x:c r="F18" s="6" t="n">
        <x:f>D18-E18</x:f>
        <x:v>88800</x:v>
      </x:c>
      <x:c r="G18" s="6" t="n">
        <x:f>G17+F18</x:f>
        <x:v>183700</x:v>
      </x:c>
      <x:c r="H18" s="6" t="n">
        <x:v>-10400</x:v>
      </x:c>
      <x:c r="I18" s="6" t="n">
        <x:v>78000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40800</x:v>
      </x:c>
      <x:c r="E19" s="6" t="n">
        <x:v>23000</x:v>
      </x:c>
      <x:c r="F19" s="6" t="n">
        <x:f>D19-E19</x:f>
        <x:v>17800</x:v>
      </x:c>
      <x:c r="G19" s="6" t="n">
        <x:f>G18+F19</x:f>
        <x:v>201500</x:v>
      </x:c>
      <x:c r="H19" s="6" t="n">
        <x:v>-67500</x:v>
      </x:c>
      <x:c r="I19" s="6" t="n">
        <x:v>67500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112100</x:v>
      </x:c>
      <x:c r="F20" s="6" t="n">
        <x:f>D20-E20</x:f>
        <x:v>-10300</x:v>
      </x:c>
      <x:c r="G20" s="6" t="n">
        <x:f>G19+F20</x:f>
        <x:v>191200</x:v>
      </x:c>
      <x:c r="H20" s="6" t="n">
        <x:v>-101300</x:v>
      </x:c>
      <x:c r="I20" s="6" t="n">
        <x:v>213400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200400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230100</x:v>
      </x:c>
      <x:c r="E22" s="6" t="n">
        <x:v>389800</x:v>
      </x:c>
      <x:c r="F22" s="6" t="n">
        <x:f>D22-E22</x:f>
        <x:v>-159700</x:v>
      </x:c>
      <x:c r="G22" s="6" t="n">
        <x:f>G21+F22</x:f>
        <x:v>40700</x:v>
      </x:c>
      <x:c r="H22" s="6" t="n">
        <x:v>-261600</x:v>
      </x:c>
      <x:c r="I22" s="6" t="n">
        <x:v>381800</x:v>
      </x:c>
      <x:c r="J22" s="7" t="n">
        <x:v>14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99100</x:v>
      </x:c>
      <x:c r="E23" s="6" t="n">
        <x:v>57800</x:v>
      </x:c>
      <x:c r="F23" s="6" t="n">
        <x:f>D23-E23</x:f>
        <x:v>41300</x:v>
      </x:c>
      <x:c r="G23" s="6" t="n">
        <x:f>G22+F23</x:f>
        <x:v>82000</x:v>
      </x:c>
      <x:c r="H23" s="6" t="n">
        <x:v>-57400</x:v>
      </x:c>
      <x:c r="I23" s="6" t="n">
        <x:v>83000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349300</x:v>
      </x:c>
      <x:c r="E24" s="6" t="n">
        <x:v>50000</x:v>
      </x:c>
      <x:c r="F24" s="6" t="n">
        <x:f>D24-E24</x:f>
        <x:v>299300</x:v>
      </x:c>
      <x:c r="G24" s="6" t="n">
        <x:f>G23+F24</x:f>
        <x:v>381300</x:v>
      </x:c>
      <x:c r="H24" s="6" t="n">
        <x:v>-31500</x:v>
      </x:c>
      <x:c r="I24" s="6" t="n">
        <x:v>144500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148900</x:v>
      </x:c>
      <x:c r="E25" s="6" t="n">
        <x:v>179700</x:v>
      </x:c>
      <x:c r="F25" s="6" t="n">
        <x:f>D25-E25</x:f>
        <x:v>-30800</x:v>
      </x:c>
      <x:c r="G25" s="6" t="n">
        <x:f>G24+F25</x:f>
        <x:v>350500</x:v>
      </x:c>
      <x:c r="H25" s="6" t="n">
        <x:v>-106900</x:v>
      </x:c>
      <x:c r="I25" s="6" t="n">
        <x:v>138900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431900</x:v>
      </x:c>
      <x:c r="E26" s="6" t="n">
        <x:v>0</x:v>
      </x:c>
      <x:c r="F26" s="6" t="n">
        <x:f>D26-E26</x:f>
        <x:v>431900</x:v>
      </x:c>
      <x:c r="G26" s="6" t="n">
        <x:f>G25+F26</x:f>
        <x:v>782400</x:v>
      </x:c>
      <x:c r="H26" s="6" t="n">
        <x:v>-33500</x:v>
      </x:c>
      <x:c r="I26" s="6" t="n">
        <x:v>212700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132600</x:v>
      </x:c>
      <x:c r="E27" s="6" t="n">
        <x:v>168100</x:v>
      </x:c>
      <x:c r="F27" s="6" t="n">
        <x:f>D27-E27</x:f>
        <x:v>-35500</x:v>
      </x:c>
      <x:c r="G27" s="6" t="n">
        <x:f>G26+F27</x:f>
        <x:v>746900</x:v>
      </x:c>
      <x:c r="H27" s="6" t="n">
        <x:v>-35600</x:v>
      </x:c>
      <x:c r="I27" s="6" t="n">
        <x:v>261200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49500</x:v>
      </x:c>
      <x:c r="E28" s="6" t="n">
        <x:v>140300</x:v>
      </x:c>
      <x:c r="F28" s="6" t="n">
        <x:f>D28-E28</x:f>
        <x:v>-90800</x:v>
      </x:c>
      <x:c r="G28" s="6" t="n">
        <x:f>G27+F28</x:f>
        <x:v>656100</x:v>
      </x:c>
      <x:c r="H28" s="6" t="n">
        <x:v>-142200</x:v>
      </x:c>
      <x:c r="I28" s="6" t="n">
        <x:v>148700</x:v>
      </x:c>
      <x:c r="J28" s="7" t="n">
        <x:v>12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367400</x:v>
      </x:c>
      <x:c r="E29" s="6" t="n">
        <x:v>4000</x:v>
      </x:c>
      <x:c r="F29" s="6" t="n">
        <x:f>D29-E29</x:f>
        <x:v>363400</x:v>
      </x:c>
      <x:c r="G29" s="6" t="n">
        <x:f>G28+F29</x:f>
        <x:v>1019500</x:v>
      </x:c>
      <x:c r="H29" s="6" t="n">
        <x:v>-38600</x:v>
      </x:c>
      <x:c r="I29" s="6" t="n">
        <x:v>86400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371500</x:v>
      </x:c>
      <x:c r="E30" s="6" t="n">
        <x:v>83300</x:v>
      </x:c>
      <x:c r="F30" s="6" t="n">
        <x:f>D30-E30</x:f>
        <x:v>288200</x:v>
      </x:c>
      <x:c r="G30" s="6" t="n">
        <x:f>G29+F30</x:f>
        <x:v>1307700</x:v>
      </x:c>
      <x:c r="H30" s="6" t="n">
        <x:v>-74400</x:v>
      </x:c>
      <x:c r="I30" s="6" t="n">
        <x:v>148800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495300</x:v>
      </x:c>
      <x:c r="E31" s="6" t="n">
        <x:v>104800</x:v>
      </x:c>
      <x:c r="F31" s="6" t="n">
        <x:f>D31-E31</x:f>
        <x:v>390500</x:v>
      </x:c>
      <x:c r="G31" s="6" t="n">
        <x:f>G30+F31</x:f>
        <x:v>1698200</x:v>
      </x:c>
      <x:c r="H31" s="6" t="n">
        <x:v>-31900</x:v>
      </x:c>
      <x:c r="I31" s="6" t="n">
        <x:v>325400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93800</x:v>
      </x:c>
      <x:c r="E32" s="6" t="n">
        <x:v>181200</x:v>
      </x:c>
      <x:c r="F32" s="6" t="n">
        <x:f>D32-E32</x:f>
        <x:v>-87400</x:v>
      </x:c>
      <x:c r="G32" s="6" t="n">
        <x:f>G31+F32</x:f>
        <x:v>1610800</x:v>
      </x:c>
      <x:c r="H32" s="6" t="n">
        <x:v>-105100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4033900</x:v>
      </x:c>
      <x:c r="E33" s="9" t="n">
        <x:f>SUM(E6:E32)</x:f>
        <x:v>2423100</x:v>
      </x:c>
      <x:c r="F33" s="9" t="n">
        <x:f>D33-E33</x:f>
        <x:v>1610800</x:v>
      </x:c>
      <x:c r="G33" s="9" t="n">
        <x:f>G32</x:f>
        <x:v>1610800</x:v>
      </x:c>
      <x:c r="H33" s="9" t="n">
        <x:f>MIN(H6:H32)</x:f>
        <x:v>-261600</x:v>
      </x:c>
      <x:c r="I33" s="9" t="n">
        <x:f>MAX(I6:I32)</x:f>
        <x:v>381800</x:v>
      </x:c>
      <x:c r="J33" s="10" t="n">
        <x:f>SUM(J6:J32)</x:f>
        <x:v>214</x:v>
      </x:c>
      <x:c r="K33" s="10" t="n">
        <x:f>SUM(K6:K32)</x:f>
        <x:v>0</x:v>
      </x:c>
    </x:row>
  </x:sheetData>
  <x:conditionalFormatting sqref="F6:H32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37bfda43a44a6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NK225_D164_08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元追加だけ5秒15秒の同方向を確認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193400</x:v>
      </x:c>
      <x:c r="E9" s="6" t="n">
        <x:v>12000</x:v>
      </x:c>
      <x:c r="F9" s="6" t="n">
        <x:f>D9-E9</x:f>
        <x:v>181400</x:v>
      </x:c>
      <x:c r="G9" s="6" t="n">
        <x:f>G8+F9</x:f>
        <x:v>184600</x:v>
      </x:c>
      <x:c r="H9" s="6" t="n">
        <x:v>-18200</x:v>
      </x:c>
      <x:c r="I9" s="6" t="n">
        <x:v>127100</x:v>
      </x:c>
      <x:c r="J9" s="7" t="n">
        <x:v>7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326000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90100</x:v>
      </x:c>
      <x:c r="E11" s="6" t="n">
        <x:v>70200</x:v>
      </x:c>
      <x:c r="F11" s="6" t="n">
        <x:f>D11-E11</x:f>
        <x:v>19900</x:v>
      </x:c>
      <x:c r="G11" s="6" t="n">
        <x:f>G10+F11</x:f>
        <x:v>345900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109100</x:v>
      </x:c>
      <x:c r="E12" s="6" t="n">
        <x:v>209900</x:v>
      </x:c>
      <x:c r="F12" s="6" t="n">
        <x:f>D12-E12</x:f>
        <x:v>-100800</x:v>
      </x:c>
      <x:c r="G12" s="6" t="n">
        <x:f>G11+F12</x:f>
        <x:v>245100</x:v>
      </x:c>
      <x:c r="H12" s="6" t="n">
        <x:v>-189200</x:v>
      </x:c>
      <x:c r="I12" s="6" t="n">
        <x:v>207400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48500</x:v>
      </x:c>
      <x:c r="E13" s="6" t="n">
        <x:v>26400</x:v>
      </x:c>
      <x:c r="F13" s="6" t="n">
        <x:f>D13-E13</x:f>
        <x:v>22100</x:v>
      </x:c>
      <x:c r="G13" s="6" t="n">
        <x:f>G12+F13</x:f>
        <x:v>267200</x:v>
      </x:c>
      <x:c r="H13" s="6" t="n">
        <x:v>-16900</x:v>
      </x:c>
      <x:c r="I13" s="6" t="n">
        <x:v>26400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66000</x:v>
      </x:c>
      <x:c r="E14" s="6" t="n">
        <x:v>142700</x:v>
      </x:c>
      <x:c r="F14" s="6" t="n">
        <x:f>D14-E14</x:f>
        <x:v>-76700</x:v>
      </x:c>
      <x:c r="G14" s="6" t="n">
        <x:f>G13+F14</x:f>
        <x:v>190500</x:v>
      </x:c>
      <x:c r="H14" s="6" t="n">
        <x:v>-92700</x:v>
      </x:c>
      <x:c r="I14" s="6" t="n">
        <x:v>108900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24900</x:v>
      </x:c>
      <x:c r="E15" s="6" t="n">
        <x:v>49800</x:v>
      </x:c>
      <x:c r="F15" s="6" t="n">
        <x:f>D15-E15</x:f>
        <x:v>-24900</x:v>
      </x:c>
      <x:c r="G15" s="6" t="n">
        <x:f>G14+F15</x:f>
        <x:v>165600</x:v>
      </x:c>
      <x:c r="H15" s="6" t="n">
        <x:v>-42400</x:v>
      </x:c>
      <x:c r="I15" s="6" t="n">
        <x:v>89200</x:v>
      </x:c>
      <x:c r="J15" s="7" t="n">
        <x:v>7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73200</x:v>
      </x:c>
      <x:c r="E16" s="6" t="n">
        <x:v>69900</x:v>
      </x:c>
      <x:c r="F16" s="6" t="n">
        <x:f>D16-E16</x:f>
        <x:v>3300</x:v>
      </x:c>
      <x:c r="G16" s="6" t="n">
        <x:f>G15+F16</x:f>
        <x:v>168900</x:v>
      </x:c>
      <x:c r="H16" s="6" t="n">
        <x:v>-17000</x:v>
      </x:c>
      <x:c r="I16" s="6" t="n">
        <x:v>72200</x:v>
      </x:c>
      <x:c r="J16" s="7" t="n">
        <x:v>10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175500</x:v>
      </x:c>
      <x:c r="F17" s="6" t="n">
        <x:f>D17-E17</x:f>
        <x:v>-130600</x:v>
      </x:c>
      <x:c r="G17" s="6" t="n">
        <x:f>G16+F17</x:f>
        <x:v>38300</x:v>
      </x:c>
      <x:c r="H17" s="6" t="n">
        <x:v>-130600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245800</x:v>
      </x:c>
      <x:c r="E18" s="6" t="n">
        <x:v>43300</x:v>
      </x:c>
      <x:c r="F18" s="6" t="n">
        <x:f>D18-E18</x:f>
        <x:v>202500</x:v>
      </x:c>
      <x:c r="G18" s="6" t="n">
        <x:f>G17+F18</x:f>
        <x:v>240800</x:v>
      </x:c>
      <x:c r="H18" s="6" t="n">
        <x:v>-12900</x:v>
      </x:c>
      <x:c r="I18" s="6" t="n">
        <x:v>86300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35400</x:v>
      </x:c>
      <x:c r="E19" s="6" t="n">
        <x:v>23000</x:v>
      </x:c>
      <x:c r="F19" s="6" t="n">
        <x:f>D19-E19</x:f>
        <x:v>12400</x:v>
      </x:c>
      <x:c r="G19" s="6" t="n">
        <x:f>G18+F19</x:f>
        <x:v>253200</x:v>
      </x:c>
      <x:c r="H19" s="6" t="n">
        <x:v>-27300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88500</x:v>
      </x:c>
      <x:c r="F20" s="6" t="n">
        <x:f>D20-E20</x:f>
        <x:v>13300</x:v>
      </x:c>
      <x:c r="G20" s="6" t="n">
        <x:f>G19+F20</x:f>
        <x:v>266500</x:v>
      </x:c>
      <x:c r="H20" s="6" t="n">
        <x:v>-101300</x:v>
      </x:c>
      <x:c r="I20" s="6" t="n">
        <x:v>198200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275700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180200</x:v>
      </x:c>
      <x:c r="E22" s="6" t="n">
        <x:v>223000</x:v>
      </x:c>
      <x:c r="F22" s="6" t="n">
        <x:f>D22-E22</x:f>
        <x:v>-42800</x:v>
      </x:c>
      <x:c r="G22" s="6" t="n">
        <x:f>G21+F22</x:f>
        <x:v>232900</x:v>
      </x:c>
      <x:c r="H22" s="6" t="n">
        <x:v>-93300</x:v>
      </x:c>
      <x:c r="I22" s="6" t="n">
        <x:v>196900</x:v>
      </x:c>
      <x:c r="J22" s="7" t="n">
        <x:v>13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41100</x:v>
      </x:c>
      <x:c r="E23" s="6" t="n">
        <x:v>102300</x:v>
      </x:c>
      <x:c r="F23" s="6" t="n">
        <x:f>D23-E23</x:f>
        <x:v>-61200</x:v>
      </x:c>
      <x:c r="G23" s="6" t="n">
        <x:f>G22+F23</x:f>
        <x:v>171700</x:v>
      </x:c>
      <x:c r="H23" s="6" t="n">
        <x:v>-101900</x:v>
      </x:c>
      <x:c r="I23" s="6" t="n">
        <x:v>141000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354900</x:v>
      </x:c>
      <x:c r="E24" s="6" t="n">
        <x:v>54800</x:v>
      </x:c>
      <x:c r="F24" s="6" t="n">
        <x:f>D24-E24</x:f>
        <x:v>300100</x:v>
      </x:c>
      <x:c r="G24" s="6" t="n">
        <x:f>G23+F24</x:f>
        <x:v>471800</x:v>
      </x:c>
      <x:c r="H24" s="6" t="n">
        <x:v>-31500</x:v>
      </x:c>
      <x:c r="I24" s="6" t="n">
        <x:v>161300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88300</x:v>
      </x:c>
      <x:c r="E25" s="6" t="n">
        <x:v>158700</x:v>
      </x:c>
      <x:c r="F25" s="6" t="n">
        <x:f>D25-E25</x:f>
        <x:v>-70400</x:v>
      </x:c>
      <x:c r="G25" s="6" t="n">
        <x:f>G24+F25</x:f>
        <x:v>401400</x:v>
      </x:c>
      <x:c r="H25" s="6" t="n">
        <x:v>-83800</x:v>
      </x:c>
      <x:c r="I25" s="6" t="n">
        <x:v>115800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564500</x:v>
      </x:c>
      <x:c r="E26" s="6" t="n">
        <x:v>0</x:v>
      </x:c>
      <x:c r="F26" s="6" t="n">
        <x:f>D26-E26</x:f>
        <x:v>564500</x:v>
      </x:c>
      <x:c r="G26" s="6" t="n">
        <x:f>G25+F26</x:f>
        <x:v>965900</x:v>
      </x:c>
      <x:c r="H26" s="6" t="n">
        <x:v>-20800</x:v>
      </x:c>
      <x:c r="I26" s="6" t="n">
        <x:v>259200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102400</x:v>
      </x:c>
      <x:c r="E27" s="6" t="n">
        <x:v>85900</x:v>
      </x:c>
      <x:c r="F27" s="6" t="n">
        <x:f>D27-E27</x:f>
        <x:v>16500</x:v>
      </x:c>
      <x:c r="G27" s="6" t="n">
        <x:f>G26+F27</x:f>
        <x:v>982400</x:v>
      </x:c>
      <x:c r="H27" s="6" t="n">
        <x:v>-12000</x:v>
      </x:c>
      <x:c r="I27" s="6" t="n">
        <x:v>136700</x:v>
      </x:c>
      <x:c r="J27" s="7" t="n">
        <x:v>12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59600</x:v>
      </x:c>
      <x:c r="E28" s="6" t="n">
        <x:v>156600</x:v>
      </x:c>
      <x:c r="F28" s="6" t="n">
        <x:f>D28-E28</x:f>
        <x:v>-97000</x:v>
      </x:c>
      <x:c r="G28" s="6" t="n">
        <x:f>G27+F28</x:f>
        <x:v>885400</x:v>
      </x:c>
      <x:c r="H28" s="6" t="n">
        <x:v>-160300</x:v>
      </x:c>
      <x:c r="I28" s="6" t="n">
        <x:v>166800</x:v>
      </x:c>
      <x:c r="J28" s="7" t="n">
        <x:v>12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263900</x:v>
      </x:c>
      <x:c r="E29" s="6" t="n">
        <x:v>0</x:v>
      </x:c>
      <x:c r="F29" s="6" t="n">
        <x:f>D29-E29</x:f>
        <x:v>263900</x:v>
      </x:c>
      <x:c r="G29" s="6" t="n">
        <x:f>G28+F29</x:f>
        <x:v>1149300</x:v>
      </x:c>
      <x:c r="H29" s="6" t="n">
        <x:v>-13300</x:v>
      </x:c>
      <x:c r="I29" s="6" t="n">
        <x:v>59400</x:v>
      </x:c>
      <x:c r="J29" s="7" t="n">
        <x:v>2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359100</x:v>
      </x:c>
      <x:c r="E30" s="6" t="n">
        <x:v>49900</x:v>
      </x:c>
      <x:c r="F30" s="6" t="n">
        <x:f>D30-E30</x:f>
        <x:v>309200</x:v>
      </x:c>
      <x:c r="G30" s="6" t="n">
        <x:f>G29+F30</x:f>
        <x:v>1458500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288300</x:v>
      </x:c>
      <x:c r="E31" s="6" t="n">
        <x:v>99600</x:v>
      </x:c>
      <x:c r="F31" s="6" t="n">
        <x:f>D31-E31</x:f>
        <x:v>188700</x:v>
      </x:c>
      <x:c r="G31" s="6" t="n">
        <x:f>G30+F31</x:f>
        <x:v>1647200</x:v>
      </x:c>
      <x:c r="H31" s="6" t="n">
        <x:v>-14000</x:v>
      </x:c>
      <x:c r="I31" s="6" t="n">
        <x:v>211500</x:v>
      </x:c>
      <x:c r="J31" s="7" t="n">
        <x:v>6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92800</x:v>
      </x:c>
      <x:c r="E32" s="6" t="n">
        <x:v>181200</x:v>
      </x:c>
      <x:c r="F32" s="6" t="n">
        <x:f>D32-E32</x:f>
        <x:v>-88400</x:v>
      </x:c>
      <x:c r="G32" s="6" t="n">
        <x:f>G31+F32</x:f>
        <x:v>1558800</x:v>
      </x:c>
      <x:c r="H32" s="6" t="n">
        <x:v>-106100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3609000</x:v>
      </x:c>
      <x:c r="E33" s="9" t="n">
        <x:f>SUM(E6:E32)</x:f>
        <x:v>2050200</x:v>
      </x:c>
      <x:c r="F33" s="9" t="n">
        <x:f>D33-E33</x:f>
        <x:v>1558800</x:v>
      </x:c>
      <x:c r="G33" s="9" t="n">
        <x:f>G32</x:f>
        <x:v>1558800</x:v>
      </x:c>
      <x:c r="H33" s="9" t="n">
        <x:f>MIN(H6:H32)</x:f>
        <x:v>-189200</x:v>
      </x:c>
      <x:c r="I33" s="9" t="n">
        <x:f>MAX(I6:I32)</x:f>
        <x:v>259200</x:v>
      </x:c>
      <x:c r="J33" s="10" t="n">
        <x:f>SUM(J6:J32)</x:f>
        <x:v>207</x:v>
      </x:c>
      <x:c r="K33" s="10" t="n">
        <x:f>SUM(K6:K32)</x:f>
        <x:v>0</x:v>
      </x:c>
    </x:row>
  </x:sheetData>
  <x:conditionalFormatting sqref="F6:H32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26dd1f4c9242b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NK225_D164_09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元追加玉だけ50円逆行退出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169900</x:v>
      </x:c>
      <x:c r="E9" s="6" t="n">
        <x:v>42500</x:v>
      </x:c>
      <x:c r="F9" s="6" t="n">
        <x:f>D9-E9</x:f>
        <x:v>127400</x:v>
      </x:c>
      <x:c r="G9" s="6" t="n">
        <x:f>G8+F9</x:f>
        <x:v>130600</x:v>
      </x:c>
      <x:c r="H9" s="6" t="n">
        <x:v>-27000</x:v>
      </x:c>
      <x:c r="I9" s="6" t="n">
        <x:v>164500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272000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90100</x:v>
      </x:c>
      <x:c r="E11" s="6" t="n">
        <x:v>59000</x:v>
      </x:c>
      <x:c r="F11" s="6" t="n">
        <x:f>D11-E11</x:f>
        <x:v>31100</x:v>
      </x:c>
      <x:c r="G11" s="6" t="n">
        <x:f>G10+F11</x:f>
        <x:v>303100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109100</x:v>
      </x:c>
      <x:c r="E12" s="6" t="n">
        <x:v>191800</x:v>
      </x:c>
      <x:c r="F12" s="6" t="n">
        <x:f>D12-E12</x:f>
        <x:v>-82700</x:v>
      </x:c>
      <x:c r="G12" s="6" t="n">
        <x:f>G11+F12</x:f>
        <x:v>220400</x:v>
      </x:c>
      <x:c r="H12" s="6" t="n">
        <x:v>-175600</x:v>
      </x:c>
      <x:c r="I12" s="6" t="n">
        <x:v>193800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48500</x:v>
      </x:c>
      <x:c r="E13" s="6" t="n">
        <x:v>27900</x:v>
      </x:c>
      <x:c r="F13" s="6" t="n">
        <x:f>D13-E13</x:f>
        <x:v>20600</x:v>
      </x:c>
      <x:c r="G13" s="6" t="n">
        <x:f>G12+F13</x:f>
        <x:v>241000</x:v>
      </x:c>
      <x:c r="H13" s="6" t="n">
        <x:v>-18400</x:v>
      </x:c>
      <x:c r="I13" s="6" t="n">
        <x:v>24900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66000</x:v>
      </x:c>
      <x:c r="E14" s="6" t="n">
        <x:v>142700</x:v>
      </x:c>
      <x:c r="F14" s="6" t="n">
        <x:f>D14-E14</x:f>
        <x:v>-76700</x:v>
      </x:c>
      <x:c r="G14" s="6" t="n">
        <x:f>G13+F14</x:f>
        <x:v>164300</x:v>
      </x:c>
      <x:c r="H14" s="6" t="n">
        <x:v>-92700</x:v>
      </x:c>
      <x:c r="I14" s="6" t="n">
        <x:v>108900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12800</x:v>
      </x:c>
      <x:c r="E15" s="6" t="n">
        <x:v>53100</x:v>
      </x:c>
      <x:c r="F15" s="6" t="n">
        <x:f>D15-E15</x:f>
        <x:v>-40300</x:v>
      </x:c>
      <x:c r="G15" s="6" t="n">
        <x:f>G14+F15</x:f>
        <x:v>124000</x:v>
      </x:c>
      <x:c r="H15" s="6" t="n">
        <x:v>-43800</x:v>
      </x:c>
      <x:c r="I15" s="6" t="n">
        <x:v>90600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73200</x:v>
      </x:c>
      <x:c r="E16" s="6" t="n">
        <x:v>69400</x:v>
      </x:c>
      <x:c r="F16" s="6" t="n">
        <x:f>D16-E16</x:f>
        <x:v>3800</x:v>
      </x:c>
      <x:c r="G16" s="6" t="n">
        <x:f>G15+F16</x:f>
        <x:v>127800</x:v>
      </x:c>
      <x:c r="H16" s="6" t="n">
        <x:v>-17000</x:v>
      </x:c>
      <x:c r="I16" s="6" t="n">
        <x:v>71700</x:v>
      </x:c>
      <x:c r="J16" s="7" t="n">
        <x:v>12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174200</x:v>
      </x:c>
      <x:c r="F17" s="6" t="n">
        <x:f>D17-E17</x:f>
        <x:v>-129300</x:v>
      </x:c>
      <x:c r="G17" s="6" t="n">
        <x:f>G16+F17</x:f>
        <x:v>-1500</x:v>
      </x:c>
      <x:c r="H17" s="6" t="n">
        <x:v>-129300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235300</x:v>
      </x:c>
      <x:c r="E18" s="6" t="n">
        <x:v>53800</x:v>
      </x:c>
      <x:c r="F18" s="6" t="n">
        <x:f>D18-E18</x:f>
        <x:v>181500</x:v>
      </x:c>
      <x:c r="G18" s="6" t="n">
        <x:f>G17+F18</x:f>
        <x:v>180000</x:v>
      </x:c>
      <x:c r="H18" s="6" t="n">
        <x:v>-12900</x:v>
      </x:c>
      <x:c r="I18" s="6" t="n">
        <x:v>86300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35400</x:v>
      </x:c>
      <x:c r="E19" s="6" t="n">
        <x:v>23000</x:v>
      </x:c>
      <x:c r="F19" s="6" t="n">
        <x:f>D19-E19</x:f>
        <x:v>12400</x:v>
      </x:c>
      <x:c r="G19" s="6" t="n">
        <x:f>G18+F19</x:f>
        <x:v>192400</x:v>
      </x:c>
      <x:c r="H19" s="6" t="n">
        <x:v>-27300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62500</x:v>
      </x:c>
      <x:c r="F20" s="6" t="n">
        <x:f>D20-E20</x:f>
        <x:v>39300</x:v>
      </x:c>
      <x:c r="G20" s="6" t="n">
        <x:f>G19+F20</x:f>
        <x:v>231700</x:v>
      </x:c>
      <x:c r="H20" s="6" t="n">
        <x:v>-102300</x:v>
      </x:c>
      <x:c r="I20" s="6" t="n">
        <x:v>174200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240900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185400</x:v>
      </x:c>
      <x:c r="E22" s="6" t="n">
        <x:v>241500</x:v>
      </x:c>
      <x:c r="F22" s="6" t="n">
        <x:f>D22-E22</x:f>
        <x:v>-56100</x:v>
      </x:c>
      <x:c r="G22" s="6" t="n">
        <x:f>G21+F22</x:f>
        <x:v>184800</x:v>
      </x:c>
      <x:c r="H22" s="6" t="n">
        <x:v>-111800</x:v>
      </x:c>
      <x:c r="I22" s="6" t="n">
        <x:v>219100</x:v>
      </x:c>
      <x:c r="J22" s="7" t="n">
        <x:v>15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41100</x:v>
      </x:c>
      <x:c r="E23" s="6" t="n">
        <x:v>70100</x:v>
      </x:c>
      <x:c r="F23" s="6" t="n">
        <x:f>D23-E23</x:f>
        <x:v>-29000</x:v>
      </x:c>
      <x:c r="G23" s="6" t="n">
        <x:f>G22+F23</x:f>
        <x:v>155800</x:v>
      </x:c>
      <x:c r="H23" s="6" t="n">
        <x:v>-69700</x:v>
      </x:c>
      <x:c r="I23" s="6" t="n">
        <x:v>108800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354900</x:v>
      </x:c>
      <x:c r="E24" s="6" t="n">
        <x:v>45800</x:v>
      </x:c>
      <x:c r="F24" s="6" t="n">
        <x:f>D24-E24</x:f>
        <x:v>309100</x:v>
      </x:c>
      <x:c r="G24" s="6" t="n">
        <x:f>G23+F24</x:f>
        <x:v>464900</x:v>
      </x:c>
      <x:c r="H24" s="6" t="n">
        <x:v>-31500</x:v>
      </x:c>
      <x:c r="I24" s="6" t="n">
        <x:v>152300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88300</x:v>
      </x:c>
      <x:c r="E25" s="6" t="n">
        <x:v>146700</x:v>
      </x:c>
      <x:c r="F25" s="6" t="n">
        <x:f>D25-E25</x:f>
        <x:v>-58400</x:v>
      </x:c>
      <x:c r="G25" s="6" t="n">
        <x:f>G24+F25</x:f>
        <x:v>406500</x:v>
      </x:c>
      <x:c r="H25" s="6" t="n">
        <x:v>-73600</x:v>
      </x:c>
      <x:c r="I25" s="6" t="n">
        <x:v>105600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564500</x:v>
      </x:c>
      <x:c r="E26" s="6" t="n">
        <x:v>0</x:v>
      </x:c>
      <x:c r="F26" s="6" t="n">
        <x:f>D26-E26</x:f>
        <x:v>564500</x:v>
      </x:c>
      <x:c r="G26" s="6" t="n">
        <x:f>G25+F26</x:f>
        <x:v>971000</x:v>
      </x:c>
      <x:c r="H26" s="6" t="n">
        <x:v>-20800</x:v>
      </x:c>
      <x:c r="I26" s="6" t="n">
        <x:v>259200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96400</x:v>
      </x:c>
      <x:c r="E27" s="6" t="n">
        <x:v>88900</x:v>
      </x:c>
      <x:c r="F27" s="6" t="n">
        <x:f>D27-E27</x:f>
        <x:v>7500</x:v>
      </x:c>
      <x:c r="G27" s="6" t="n">
        <x:f>G26+F27</x:f>
        <x:v>978500</x:v>
      </x:c>
      <x:c r="H27" s="6" t="n">
        <x:v>-12000</x:v>
      </x:c>
      <x:c r="I27" s="6" t="n">
        <x:v>136700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58100</x:v>
      </x:c>
      <x:c r="E28" s="6" t="n">
        <x:v>159900</x:v>
      </x:c>
      <x:c r="F28" s="6" t="n">
        <x:f>D28-E28</x:f>
        <x:v>-101800</x:v>
      </x:c>
      <x:c r="G28" s="6" t="n">
        <x:f>G27+F28</x:f>
        <x:v>876700</x:v>
      </x:c>
      <x:c r="H28" s="6" t="n">
        <x:v>-159300</x:v>
      </x:c>
      <x:c r="I28" s="6" t="n">
        <x:v>165800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263900</x:v>
      </x:c>
      <x:c r="E29" s="6" t="n">
        <x:v>2000</x:v>
      </x:c>
      <x:c r="F29" s="6" t="n">
        <x:f>D29-E29</x:f>
        <x:v>261900</x:v>
      </x:c>
      <x:c r="G29" s="6" t="n">
        <x:f>G28+F29</x:f>
        <x:v>1138600</x:v>
      </x:c>
      <x:c r="H29" s="6" t="n">
        <x:v>-15300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339900</x:v>
      </x:c>
      <x:c r="E30" s="6" t="n">
        <x:v>65900</x:v>
      </x:c>
      <x:c r="F30" s="6" t="n">
        <x:f>D30-E30</x:f>
        <x:v>274000</x:v>
      </x:c>
      <x:c r="G30" s="6" t="n">
        <x:f>G29+F30</x:f>
        <x:v>1412600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288300</x:v>
      </x:c>
      <x:c r="E31" s="6" t="n">
        <x:v>110100</x:v>
      </x:c>
      <x:c r="F31" s="6" t="n">
        <x:f>D31-E31</x:f>
        <x:v>178200</x:v>
      </x:c>
      <x:c r="G31" s="6" t="n">
        <x:f>G30+F31</x:f>
        <x:v>1590800</x:v>
      </x:c>
      <x:c r="H31" s="6" t="n">
        <x:v>-14000</x:v>
      </x:c>
      <x:c r="I31" s="6" t="n">
        <x:v>222700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90800</x:v>
      </x:c>
      <x:c r="E32" s="6" t="n">
        <x:v>174100</x:v>
      </x:c>
      <x:c r="F32" s="6" t="n">
        <x:f>D32-E32</x:f>
        <x:v>-83300</x:v>
      </x:c>
      <x:c r="G32" s="6" t="n">
        <x:f>G31+F32</x:f>
        <x:v>1507500</x:v>
      </x:c>
      <x:c r="H32" s="6" t="n">
        <x:v>-106100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3539400</x:v>
      </x:c>
      <x:c r="E33" s="9" t="n">
        <x:f>SUM(E6:E32)</x:f>
        <x:v>2031900</x:v>
      </x:c>
      <x:c r="F33" s="9" t="n">
        <x:f>D33-E33</x:f>
        <x:v>1507500</x:v>
      </x:c>
      <x:c r="G33" s="9" t="n">
        <x:f>G32</x:f>
        <x:v>1507500</x:v>
      </x:c>
      <x:c r="H33" s="9" t="n">
        <x:f>MIN(H6:H32)</x:f>
        <x:v>-175600</x:v>
      </x:c>
      <x:c r="I33" s="9" t="n">
        <x:f>MAX(I6:I32)</x:f>
        <x:v>259200</x:v>
      </x:c>
      <x:c r="J33" s="10" t="n">
        <x:f>SUM(J6:J32)</x:f>
        <x:v>219</x:v>
      </x:c>
      <x:c r="K33" s="10" t="n">
        <x:f>SUM(K6:K32)</x:f>
        <x:v>0</x:v>
      </x:c>
    </x:row>
  </x:sheetData>
  <x:conditionalFormatting sqref="F6:H32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b7f43bc07147d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NK225_D164_10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元玉100円保護・残玉保護・入口再確認と再参加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9900</x:v>
      </x:c>
      <x:c r="E6" s="6" t="n">
        <x:v>0</x:v>
      </x:c>
      <x:c r="F6" s="6" t="n">
        <x:f>D6-E6</x:f>
        <x:v>9900</x:v>
      </x:c>
      <x:c r="G6" s="6" t="n">
        <x:f>F6</x:f>
        <x:v>9900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-4100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9700</x:v>
      </x:c>
      <x:c r="E8" s="6" t="n">
        <x:v>2400</x:v>
      </x:c>
      <x:c r="F8" s="6" t="n">
        <x:f>D8-E8</x:f>
        <x:v>7300</x:v>
      </x:c>
      <x:c r="G8" s="6" t="n">
        <x:f>G7+F8</x:f>
        <x:v>3200</x:v>
      </x:c>
      <x:c r="H8" s="6" t="n">
        <x:v>-3000</x:v>
      </x:c>
      <x:c r="I8" s="6" t="n">
        <x:v>7700</x:v>
      </x:c>
      <x:c r="J8" s="7" t="n">
        <x:v>6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116200</x:v>
      </x:c>
      <x:c r="E9" s="6" t="n">
        <x:v>156600</x:v>
      </x:c>
      <x:c r="F9" s="6" t="n">
        <x:f>D9-E9</x:f>
        <x:v>-40400</x:v>
      </x:c>
      <x:c r="G9" s="6" t="n">
        <x:f>G8+F9</x:f>
        <x:v>-37200</x:v>
      </x:c>
      <x:c r="H9" s="6" t="n">
        <x:v>-64500</x:v>
      </x:c>
      <x:c r="I9" s="6" t="n">
        <x:v>111200</x:v>
      </x:c>
      <x:c r="J9" s="7" t="n">
        <x:v>89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152500</x:v>
      </x:c>
      <x:c r="E10" s="6" t="n">
        <x:v>62800</x:v>
      </x:c>
      <x:c r="F10" s="6" t="n">
        <x:f>D10-E10</x:f>
        <x:v>89700</x:v>
      </x:c>
      <x:c r="G10" s="6" t="n">
        <x:f>G9+F10</x:f>
        <x:v>52500</x:v>
      </x:c>
      <x:c r="H10" s="6" t="n">
        <x:v>-77500</x:v>
      </x:c>
      <x:c r="I10" s="6" t="n">
        <x:v>108200</x:v>
      </x:c>
      <x:c r="J10" s="7" t="n">
        <x:v>41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65400</x:v>
      </x:c>
      <x:c r="E11" s="6" t="n">
        <x:v>83200</x:v>
      </x:c>
      <x:c r="F11" s="6" t="n">
        <x:f>D11-E11</x:f>
        <x:v>-17800</x:v>
      </x:c>
      <x:c r="G11" s="6" t="n">
        <x:f>G10+F11</x:f>
        <x:v>34700</x:v>
      </x:c>
      <x:c r="H11" s="6" t="n">
        <x:v>-107300</x:v>
      </x:c>
      <x:c r="I11" s="6" t="n">
        <x:v>158700</x:v>
      </x:c>
      <x:c r="J11" s="7" t="n">
        <x:v>33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147000</x:v>
      </x:c>
      <x:c r="E12" s="6" t="n">
        <x:v>357800</x:v>
      </x:c>
      <x:c r="F12" s="6" t="n">
        <x:f>D12-E12</x:f>
        <x:v>-210800</x:v>
      </x:c>
      <x:c r="G12" s="6" t="n">
        <x:f>G11+F12</x:f>
        <x:v>-176100</x:v>
      </x:c>
      <x:c r="H12" s="6" t="n">
        <x:v>-388600</x:v>
      </x:c>
      <x:c r="I12" s="6" t="n">
        <x:v>421500</x:v>
      </x:c>
      <x:c r="J12" s="7" t="n">
        <x:v>35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62500</x:v>
      </x:c>
      <x:c r="E13" s="6" t="n">
        <x:v>29000</x:v>
      </x:c>
      <x:c r="F13" s="6" t="n">
        <x:f>D13-E13</x:f>
        <x:v>33500</x:v>
      </x:c>
      <x:c r="G13" s="6" t="n">
        <x:f>G12+F13</x:f>
        <x:v>-142600</x:v>
      </x:c>
      <x:c r="H13" s="6" t="n">
        <x:v>-14600</x:v>
      </x:c>
      <x:c r="I13" s="6" t="n">
        <x:v>31500</x:v>
      </x:c>
      <x:c r="J13" s="7" t="n">
        <x:v>23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37800</x:v>
      </x:c>
      <x:c r="E14" s="6" t="n">
        <x:v>145500</x:v>
      </x:c>
      <x:c r="F14" s="6" t="n">
        <x:f>D14-E14</x:f>
        <x:v>-107700</x:v>
      </x:c>
      <x:c r="G14" s="6" t="n">
        <x:f>G13+F14</x:f>
        <x:v>-250300</x:v>
      </x:c>
      <x:c r="H14" s="6" t="n">
        <x:v>-213300</x:v>
      </x:c>
      <x:c r="I14" s="6" t="n">
        <x:v>229500</x:v>
      </x:c>
      <x:c r="J14" s="7" t="n">
        <x:v>48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76300</x:v>
      </x:c>
      <x:c r="E15" s="6" t="n">
        <x:v>50700</x:v>
      </x:c>
      <x:c r="F15" s="6" t="n">
        <x:f>D15-E15</x:f>
        <x:v>25600</x:v>
      </x:c>
      <x:c r="G15" s="6" t="n">
        <x:f>G14+F15</x:f>
        <x:v>-224700</x:v>
      </x:c>
      <x:c r="H15" s="6" t="n">
        <x:v>-10200</x:v>
      </x:c>
      <x:c r="I15" s="6" t="n">
        <x:v>49500</x:v>
      </x:c>
      <x:c r="J15" s="7" t="n">
        <x:v>34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54500</x:v>
      </x:c>
      <x:c r="E16" s="6" t="n">
        <x:v>122500</x:v>
      </x:c>
      <x:c r="F16" s="6" t="n">
        <x:f>D16-E16</x:f>
        <x:v>-68000</x:v>
      </x:c>
      <x:c r="G16" s="6" t="n">
        <x:f>G15+F16</x:f>
        <x:v>-292700</x:v>
      </x:c>
      <x:c r="H16" s="6" t="n">
        <x:v>-79200</x:v>
      </x:c>
      <x:c r="I16" s="6" t="n">
        <x:v>132900</x:v>
      </x:c>
      <x:c r="J16" s="7" t="n">
        <x:v>27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93000</x:v>
      </x:c>
      <x:c r="E17" s="6" t="n">
        <x:v>437200</x:v>
      </x:c>
      <x:c r="F17" s="6" t="n">
        <x:f>D17-E17</x:f>
        <x:v>-344200</x:v>
      </x:c>
      <x:c r="G17" s="6" t="n">
        <x:f>G16+F17</x:f>
        <x:v>-636900</x:v>
      </x:c>
      <x:c r="H17" s="6" t="n">
        <x:v>-344200</x:v>
      </x:c>
      <x:c r="I17" s="6" t="n">
        <x:v>413600</x:v>
      </x:c>
      <x:c r="J17" s="7" t="n">
        <x:v>54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82800</x:v>
      </x:c>
      <x:c r="E18" s="6" t="n">
        <x:v>103900</x:v>
      </x:c>
      <x:c r="F18" s="6" t="n">
        <x:f>D18-E18</x:f>
        <x:v>-21100</x:v>
      </x:c>
      <x:c r="G18" s="6" t="n">
        <x:f>G17+F18</x:f>
        <x:v>-658000</x:v>
      </x:c>
      <x:c r="H18" s="6" t="n">
        <x:v>-77700</x:v>
      </x:c>
      <x:c r="I18" s="6" t="n">
        <x:v>116700</x:v>
      </x:c>
      <x:c r="J18" s="7" t="n">
        <x:v>29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31700</x:v>
      </x:c>
      <x:c r="E19" s="6" t="n">
        <x:v>51200</x:v>
      </x:c>
      <x:c r="F19" s="6" t="n">
        <x:f>D19-E19</x:f>
        <x:v>-19500</x:v>
      </x:c>
      <x:c r="G19" s="6" t="n">
        <x:f>G18+F19</x:f>
        <x:v>-677500</x:v>
      </x:c>
      <x:c r="H19" s="6" t="n">
        <x:v>-67500</x:v>
      </x:c>
      <x:c r="I19" s="6" t="n">
        <x:v>71000</x:v>
      </x:c>
      <x:c r="J19" s="7" t="n">
        <x:v>16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122100</x:v>
      </x:c>
      <x:c r="E20" s="6" t="n">
        <x:v>100000</x:v>
      </x:c>
      <x:c r="F20" s="6" t="n">
        <x:f>D20-E20</x:f>
        <x:v>22100</x:v>
      </x:c>
      <x:c r="G20" s="6" t="n">
        <x:f>G19+F20</x:f>
        <x:v>-655400</x:v>
      </x:c>
      <x:c r="H20" s="6" t="n">
        <x:v>-119400</x:v>
      </x:c>
      <x:c r="I20" s="6" t="n">
        <x:v>129900</x:v>
      </x:c>
      <x:c r="J20" s="7" t="n">
        <x:v>50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12600</x:v>
      </x:c>
      <x:c r="E21" s="6" t="n">
        <x:v>8200</x:v>
      </x:c>
      <x:c r="F21" s="6" t="n">
        <x:f>D21-E21</x:f>
        <x:v>4400</x:v>
      </x:c>
      <x:c r="G21" s="6" t="n">
        <x:f>G20+F21</x:f>
        <x:v>-651000</x:v>
      </x:c>
      <x:c r="H21" s="6" t="n">
        <x:v>-5000</x:v>
      </x:c>
      <x:c r="I21" s="6" t="n">
        <x:v>11000</x:v>
      </x:c>
      <x:c r="J21" s="7" t="n">
        <x:v>10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197300</x:v>
      </x:c>
      <x:c r="E22" s="6" t="n">
        <x:v>420400</x:v>
      </x:c>
      <x:c r="F22" s="6" t="n">
        <x:f>D22-E22</x:f>
        <x:v>-223100</x:v>
      </x:c>
      <x:c r="G22" s="6" t="n">
        <x:f>G21+F22</x:f>
        <x:v>-874100</x:v>
      </x:c>
      <x:c r="H22" s="6" t="n">
        <x:v>-261700</x:v>
      </x:c>
      <x:c r="I22" s="6" t="n">
        <x:v>364300</x:v>
      </x:c>
      <x:c r="J22" s="7" t="n">
        <x:v>51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90500</x:v>
      </x:c>
      <x:c r="E23" s="6" t="n">
        <x:v>59600</x:v>
      </x:c>
      <x:c r="F23" s="6" t="n">
        <x:f>D23-E23</x:f>
        <x:v>30900</x:v>
      </x:c>
      <x:c r="G23" s="6" t="n">
        <x:f>G22+F23</x:f>
        <x:v>-843200</x:v>
      </x:c>
      <x:c r="H23" s="6" t="n">
        <x:v>-42000</x:v>
      </x:c>
      <x:c r="I23" s="6" t="n">
        <x:v>67600</x:v>
      </x:c>
      <x:c r="J23" s="7" t="n">
        <x:v>19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157300</x:v>
      </x:c>
      <x:c r="E24" s="6" t="n">
        <x:v>97200</x:v>
      </x:c>
      <x:c r="F24" s="6" t="n">
        <x:f>D24-E24</x:f>
        <x:v>60100</x:v>
      </x:c>
      <x:c r="G24" s="6" t="n">
        <x:f>G23+F24</x:f>
        <x:v>-783100</x:v>
      </x:c>
      <x:c r="H24" s="6" t="n">
        <x:v>-31500</x:v>
      </x:c>
      <x:c r="I24" s="6" t="n">
        <x:v>95200</x:v>
      </x:c>
      <x:c r="J24" s="7" t="n">
        <x:v>49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183000</x:v>
      </x:c>
      <x:c r="E25" s="6" t="n">
        <x:v>182300</x:v>
      </x:c>
      <x:c r="F25" s="6" t="n">
        <x:f>D25-E25</x:f>
        <x:v>700</x:v>
      </x:c>
      <x:c r="G25" s="6" t="n">
        <x:f>G24+F25</x:f>
        <x:v>-782400</x:v>
      </x:c>
      <x:c r="H25" s="6" t="n">
        <x:v>-106900</x:v>
      </x:c>
      <x:c r="I25" s="6" t="n">
        <x:v>138900</x:v>
      </x:c>
      <x:c r="J25" s="7" t="n">
        <x:v>28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332300</x:v>
      </x:c>
      <x:c r="E26" s="6" t="n">
        <x:v>92200</x:v>
      </x:c>
      <x:c r="F26" s="6" t="n">
        <x:f>D26-E26</x:f>
        <x:v>240100</x:v>
      </x:c>
      <x:c r="G26" s="6" t="n">
        <x:f>G25+F26</x:f>
        <x:v>-542300</x:v>
      </x:c>
      <x:c r="H26" s="6" t="n">
        <x:v>-46400</x:v>
      </x:c>
      <x:c r="I26" s="6" t="n">
        <x:v>346000</x:v>
      </x:c>
      <x:c r="J26" s="7" t="n">
        <x:v>72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135800</x:v>
      </x:c>
      <x:c r="E27" s="6" t="n">
        <x:v>220000</x:v>
      </x:c>
      <x:c r="F27" s="6" t="n">
        <x:f>D27-E27</x:f>
        <x:v>-84200</x:v>
      </x:c>
      <x:c r="G27" s="6" t="n">
        <x:f>G26+F27</x:f>
        <x:v>-626500</x:v>
      </x:c>
      <x:c r="H27" s="6" t="n">
        <x:v>-84200</x:v>
      </x:c>
      <x:c r="I27" s="6" t="n">
        <x:v>186800</x:v>
      </x:c>
      <x:c r="J27" s="7" t="n">
        <x:v>54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52200</x:v>
      </x:c>
      <x:c r="E28" s="6" t="n">
        <x:v>182300</x:v>
      </x:c>
      <x:c r="F28" s="6" t="n">
        <x:f>D28-E28</x:f>
        <x:v>-130100</x:v>
      </x:c>
      <x:c r="G28" s="6" t="n">
        <x:f>G27+F28</x:f>
        <x:v>-756600</x:v>
      </x:c>
      <x:c r="H28" s="6" t="n">
        <x:v>-141200</x:v>
      </x:c>
      <x:c r="I28" s="6" t="n">
        <x:v>147700</x:v>
      </x:c>
      <x:c r="J28" s="7" t="n">
        <x:v>17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155900</x:v>
      </x:c>
      <x:c r="E29" s="6" t="n">
        <x:v>60800</x:v>
      </x:c>
      <x:c r="F29" s="6" t="n">
        <x:f>D29-E29</x:f>
        <x:v>95100</x:v>
      </x:c>
      <x:c r="G29" s="6" t="n">
        <x:f>G28+F29</x:f>
        <x:v>-661500</x:v>
      </x:c>
      <x:c r="H29" s="6" t="n">
        <x:v>-52400</x:v>
      </x:c>
      <x:c r="I29" s="6" t="n">
        <x:v>86800</x:v>
      </x:c>
      <x:c r="J29" s="7" t="n">
        <x:v>85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360700</x:v>
      </x:c>
      <x:c r="E30" s="6" t="n">
        <x:v>327900</x:v>
      </x:c>
      <x:c r="F30" s="6" t="n">
        <x:f>D30-E30</x:f>
        <x:v>32800</x:v>
      </x:c>
      <x:c r="G30" s="6" t="n">
        <x:f>G29+F30</x:f>
        <x:v>-628700</x:v>
      </x:c>
      <x:c r="H30" s="6" t="n">
        <x:v>-144100</x:v>
      </x:c>
      <x:c r="I30" s="6" t="n">
        <x:v>220300</x:v>
      </x:c>
      <x:c r="J30" s="7" t="n">
        <x:v>149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141500</x:v>
      </x:c>
      <x:c r="E31" s="6" t="n">
        <x:v>108400</x:v>
      </x:c>
      <x:c r="F31" s="6" t="n">
        <x:f>D31-E31</x:f>
        <x:v>33100</x:v>
      </x:c>
      <x:c r="G31" s="6" t="n">
        <x:f>G30+F31</x:f>
        <x:v>-595600</x:v>
      </x:c>
      <x:c r="H31" s="6" t="n">
        <x:v>-138400</x:v>
      </x:c>
      <x:c r="I31" s="6" t="n">
        <x:v>272100</x:v>
      </x:c>
      <x:c r="J31" s="7" t="n">
        <x:v>50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147600</x:v>
      </x:c>
      <x:c r="E32" s="6" t="n">
        <x:v>392000</x:v>
      </x:c>
      <x:c r="F32" s="6" t="n">
        <x:f>D32-E32</x:f>
        <x:v>-244400</x:v>
      </x:c>
      <x:c r="G32" s="6" t="n">
        <x:f>G31+F32</x:f>
        <x:v>-840000</x:v>
      </x:c>
      <x:c r="H32" s="6" t="n">
        <x:v>-253600</x:v>
      </x:c>
      <x:c r="I32" s="6" t="n">
        <x:v>264100</x:v>
      </x:c>
      <x:c r="J32" s="7" t="n">
        <x:v>72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3028100</x:v>
      </x:c>
      <x:c r="E33" s="9" t="n">
        <x:f>SUM(E6:E32)</x:f>
        <x:v>3868100</x:v>
      </x:c>
      <x:c r="F33" s="9" t="n">
        <x:f>D33-E33</x:f>
        <x:v>-840000</x:v>
      </x:c>
      <x:c r="G33" s="9" t="n">
        <x:f>G32</x:f>
        <x:v>-840000</x:v>
      </x:c>
      <x:c r="H33" s="9" t="n">
        <x:f>MIN(H6:H32)</x:f>
        <x:v>-388600</x:v>
      </x:c>
      <x:c r="I33" s="9" t="n">
        <x:f>MAX(I6:I32)</x:f>
        <x:v>421500</x:v>
      </x:c>
      <x:c r="J33" s="10" t="n">
        <x:f>SUM(J6:J32)</x:f>
        <x:v>1145</x:v>
      </x:c>
      <x:c r="K33" s="10" t="n">
        <x:f>SUM(K6:K32)</x:f>
        <x:v>0</x:v>
      </x:c>
    </x:row>
  </x:sheetData>
  <x:conditionalFormatting sqref="F6:H32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1c3e1d1994413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NK225_D164_11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全玉早期保護・入口再確認と再参加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12500</x:v>
      </x:c>
      <x:c r="E6" s="6" t="n">
        <x:v>5800</x:v>
      </x:c>
      <x:c r="F6" s="6" t="n">
        <x:f>D6-E6</x:f>
        <x:v>6700</x:v>
      </x:c>
      <x:c r="G6" s="6" t="n">
        <x:f>F6</x:f>
        <x:v>6700</x:v>
      </x:c>
      <x:c r="H6" s="6" t="n">
        <x:v>-7400</x:v>
      </x:c>
      <x:c r="I6" s="6" t="n">
        <x:v>10400</x:v>
      </x:c>
      <x:c r="J6" s="7" t="n">
        <x:v>10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6000</x:v>
      </x:c>
      <x:c r="F7" s="6" t="n">
        <x:f>D7-E7</x:f>
        <x:v>-6000</x:v>
      </x:c>
      <x:c r="G7" s="6" t="n">
        <x:f>G6+F7</x:f>
        <x:v>700</x:v>
      </x:c>
      <x:c r="H7" s="6" t="n">
        <x:v>-6000</x:v>
      </x:c>
      <x:c r="I7" s="6" t="n">
        <x:v>7000</x:v>
      </x:c>
      <x:c r="J7" s="7" t="n">
        <x:v>3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6200</x:v>
      </x:c>
      <x:c r="E8" s="6" t="n">
        <x:v>2400</x:v>
      </x:c>
      <x:c r="F8" s="6" t="n">
        <x:f>D8-E8</x:f>
        <x:v>3800</x:v>
      </x:c>
      <x:c r="G8" s="6" t="n">
        <x:f>G7+F8</x:f>
        <x:v>4500</x:v>
      </x:c>
      <x:c r="H8" s="6" t="n">
        <x:v>-7000</x:v>
      </x:c>
      <x:c r="I8" s="6" t="n">
        <x:v>9000</x:v>
      </x:c>
      <x:c r="J8" s="7" t="n">
        <x:v>9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60900</x:v>
      </x:c>
      <x:c r="E9" s="6" t="n">
        <x:v>172100</x:v>
      </x:c>
      <x:c r="F9" s="6" t="n">
        <x:f>D9-E9</x:f>
        <x:v>-111200</x:v>
      </x:c>
      <x:c r="G9" s="6" t="n">
        <x:f>G8+F9</x:f>
        <x:v>-106700</x:v>
      </x:c>
      <x:c r="H9" s="6" t="n">
        <x:v>-139900</x:v>
      </x:c>
      <x:c r="I9" s="6" t="n">
        <x:v>194600</x:v>
      </x:c>
      <x:c r="J9" s="7" t="n">
        <x:v>103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104600</x:v>
      </x:c>
      <x:c r="E10" s="6" t="n">
        <x:v>97600</x:v>
      </x:c>
      <x:c r="F10" s="6" t="n">
        <x:f>D10-E10</x:f>
        <x:v>7000</x:v>
      </x:c>
      <x:c r="G10" s="6" t="n">
        <x:f>G9+F10</x:f>
        <x:v>-99700</x:v>
      </x:c>
      <x:c r="H10" s="6" t="n">
        <x:v>-97700</x:v>
      </x:c>
      <x:c r="I10" s="6" t="n">
        <x:v>200100</x:v>
      </x:c>
      <x:c r="J10" s="7" t="n">
        <x:v>47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62500</x:v>
      </x:c>
      <x:c r="E11" s="6" t="n">
        <x:v>111100</x:v>
      </x:c>
      <x:c r="F11" s="6" t="n">
        <x:f>D11-E11</x:f>
        <x:v>-48600</x:v>
      </x:c>
      <x:c r="G11" s="6" t="n">
        <x:f>G10+F11</x:f>
        <x:v>-148300</x:v>
      </x:c>
      <x:c r="H11" s="6" t="n">
        <x:v>-98500</x:v>
      </x:c>
      <x:c r="I11" s="6" t="n">
        <x:v>156800</x:v>
      </x:c>
      <x:c r="J11" s="7" t="n">
        <x:v>54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42500</x:v>
      </x:c>
      <x:c r="E12" s="6" t="n">
        <x:v>433100</x:v>
      </x:c>
      <x:c r="F12" s="6" t="n">
        <x:f>D12-E12</x:f>
        <x:v>-390600</x:v>
      </x:c>
      <x:c r="G12" s="6" t="n">
        <x:f>G11+F12</x:f>
        <x:v>-538900</x:v>
      </x:c>
      <x:c r="H12" s="6" t="n">
        <x:v>-499400</x:v>
      </x:c>
      <x:c r="I12" s="6" t="n">
        <x:v>511200</x:v>
      </x:c>
      <x:c r="J12" s="7" t="n">
        <x:v>61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39800</x:v>
      </x:c>
      <x:c r="E13" s="6" t="n">
        <x:v>42000</x:v>
      </x:c>
      <x:c r="F13" s="6" t="n">
        <x:f>D13-E13</x:f>
        <x:v>-2200</x:v>
      </x:c>
      <x:c r="G13" s="6" t="n">
        <x:f>G12+F13</x:f>
        <x:v>-541100</x:v>
      </x:c>
      <x:c r="H13" s="6" t="n">
        <x:v>-33200</x:v>
      </x:c>
      <x:c r="I13" s="6" t="n">
        <x:v>43500</x:v>
      </x:c>
      <x:c r="J13" s="7" t="n">
        <x:v>36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30300</x:v>
      </x:c>
      <x:c r="E14" s="6" t="n">
        <x:v>146900</x:v>
      </x:c>
      <x:c r="F14" s="6" t="n">
        <x:f>D14-E14</x:f>
        <x:v>-116600</x:v>
      </x:c>
      <x:c r="G14" s="6" t="n">
        <x:f>G13+F14</x:f>
        <x:v>-657700</x:v>
      </x:c>
      <x:c r="H14" s="6" t="n">
        <x:v>-259400</x:v>
      </x:c>
      <x:c r="I14" s="6" t="n">
        <x:v>275600</x:v>
      </x:c>
      <x:c r="J14" s="7" t="n">
        <x:v>56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24600</x:v>
      </x:c>
      <x:c r="E15" s="6" t="n">
        <x:v>54300</x:v>
      </x:c>
      <x:c r="F15" s="6" t="n">
        <x:f>D15-E15</x:f>
        <x:v>-29700</x:v>
      </x:c>
      <x:c r="G15" s="6" t="n">
        <x:f>G14+F15</x:f>
        <x:v>-687400</x:v>
      </x:c>
      <x:c r="H15" s="6" t="n">
        <x:v>-111300</x:v>
      </x:c>
      <x:c r="I15" s="6" t="n">
        <x:v>138300</x:v>
      </x:c>
      <x:c r="J15" s="7" t="n">
        <x:v>48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31600</x:v>
      </x:c>
      <x:c r="E16" s="6" t="n">
        <x:v>272400</x:v>
      </x:c>
      <x:c r="F16" s="6" t="n">
        <x:f>D16-E16</x:f>
        <x:v>-240800</x:v>
      </x:c>
      <x:c r="G16" s="6" t="n">
        <x:f>G15+F16</x:f>
        <x:v>-928200</x:v>
      </x:c>
      <x:c r="H16" s="6" t="n">
        <x:v>-252000</x:v>
      </x:c>
      <x:c r="I16" s="6" t="n">
        <x:v>269400</x:v>
      </x:c>
      <x:c r="J16" s="7" t="n">
        <x:v>48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24300</x:v>
      </x:c>
      <x:c r="E17" s="6" t="n">
        <x:v>254400</x:v>
      </x:c>
      <x:c r="F17" s="6" t="n">
        <x:f>D17-E17</x:f>
        <x:v>-230100</x:v>
      </x:c>
      <x:c r="G17" s="6" t="n">
        <x:f>G16+F17</x:f>
        <x:v>-1158300</x:v>
      </x:c>
      <x:c r="H17" s="6" t="n">
        <x:v>-230100</x:v>
      </x:c>
      <x:c r="I17" s="6" t="n">
        <x:v>240000</x:v>
      </x:c>
      <x:c r="J17" s="7" t="n">
        <x:v>69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46500</x:v>
      </x:c>
      <x:c r="E18" s="6" t="n">
        <x:v>123700</x:v>
      </x:c>
      <x:c r="F18" s="6" t="n">
        <x:f>D18-E18</x:f>
        <x:v>-77200</x:v>
      </x:c>
      <x:c r="G18" s="6" t="n">
        <x:f>G17+F18</x:f>
        <x:v>-1235500</x:v>
      </x:c>
      <x:c r="H18" s="6" t="n">
        <x:v>-102600</x:v>
      </x:c>
      <x:c r="I18" s="6" t="n">
        <x:v>111700</x:v>
      </x:c>
      <x:c r="J18" s="7" t="n">
        <x:v>45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9000</x:v>
      </x:c>
      <x:c r="E19" s="6" t="n">
        <x:v>133000</x:v>
      </x:c>
      <x:c r="F19" s="6" t="n">
        <x:f>D19-E19</x:f>
        <x:v>-124000</x:v>
      </x:c>
      <x:c r="G19" s="6" t="n">
        <x:f>G18+F19</x:f>
        <x:v>-1359500</x:v>
      </x:c>
      <x:c r="H19" s="6" t="n">
        <x:v>-141000</x:v>
      </x:c>
      <x:c r="I19" s="6" t="n">
        <x:v>150000</x:v>
      </x:c>
      <x:c r="J19" s="7" t="n">
        <x:v>23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52100</x:v>
      </x:c>
      <x:c r="E20" s="6" t="n">
        <x:v>95500</x:v>
      </x:c>
      <x:c r="F20" s="6" t="n">
        <x:f>D20-E20</x:f>
        <x:v>-43400</x:v>
      </x:c>
      <x:c r="G20" s="6" t="n">
        <x:f>G19+F20</x:f>
        <x:v>-1402900</x:v>
      </x:c>
      <x:c r="H20" s="6" t="n">
        <x:v>-119400</x:v>
      </x:c>
      <x:c r="I20" s="6" t="n">
        <x:v>129900</x:v>
      </x:c>
      <x:c r="J20" s="7" t="n">
        <x:v>66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3000</x:v>
      </x:c>
      <x:c r="E21" s="6" t="n">
        <x:v>35300</x:v>
      </x:c>
      <x:c r="F21" s="6" t="n">
        <x:f>D21-E21</x:f>
        <x:v>-32300</x:v>
      </x:c>
      <x:c r="G21" s="6" t="n">
        <x:f>G20+F21</x:f>
        <x:v>-1435200</x:v>
      </x:c>
      <x:c r="H21" s="6" t="n">
        <x:v>-32300</x:v>
      </x:c>
      <x:c r="I21" s="6" t="n">
        <x:v>33300</x:v>
      </x:c>
      <x:c r="J21" s="7" t="n">
        <x:v>9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82500</x:v>
      </x:c>
      <x:c r="E22" s="6" t="n">
        <x:v>545900</x:v>
      </x:c>
      <x:c r="F22" s="6" t="n">
        <x:f>D22-E22</x:f>
        <x:v>-463400</x:v>
      </x:c>
      <x:c r="G22" s="6" t="n">
        <x:f>G21+F22</x:f>
        <x:v>-1898600</x:v>
      </x:c>
      <x:c r="H22" s="6" t="n">
        <x:v>-490100</x:v>
      </x:c>
      <x:c r="I22" s="6" t="n">
        <x:v>507900</x:v>
      </x:c>
      <x:c r="J22" s="7" t="n">
        <x:v>70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78700</x:v>
      </x:c>
      <x:c r="E23" s="6" t="n">
        <x:v>107500</x:v>
      </x:c>
      <x:c r="F23" s="6" t="n">
        <x:f>D23-E23</x:f>
        <x:v>-28800</x:v>
      </x:c>
      <x:c r="G23" s="6" t="n">
        <x:f>G22+F23</x:f>
        <x:v>-1927400</x:v>
      </x:c>
      <x:c r="H23" s="6" t="n">
        <x:v>-51600</x:v>
      </x:c>
      <x:c r="I23" s="6" t="n">
        <x:v>101800</x:v>
      </x:c>
      <x:c r="J23" s="7" t="n">
        <x:v>36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129500</x:v>
      </x:c>
      <x:c r="E24" s="6" t="n">
        <x:v>249000</x:v>
      </x:c>
      <x:c r="F24" s="6" t="n">
        <x:f>D24-E24</x:f>
        <x:v>-119500</x:v>
      </x:c>
      <x:c r="G24" s="6" t="n">
        <x:f>G23+F24</x:f>
        <x:v>-2046900</x:v>
      </x:c>
      <x:c r="H24" s="6" t="n">
        <x:v>-182100</x:v>
      </x:c>
      <x:c r="I24" s="6" t="n">
        <x:v>252700</x:v>
      </x:c>
      <x:c r="J24" s="7" t="n">
        <x:v>62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72000</x:v>
      </x:c>
      <x:c r="E25" s="6" t="n">
        <x:v>298200</x:v>
      </x:c>
      <x:c r="F25" s="6" t="n">
        <x:f>D25-E25</x:f>
        <x:v>-226200</x:v>
      </x:c>
      <x:c r="G25" s="6" t="n">
        <x:f>G24+F25</x:f>
        <x:v>-2273100</x:v>
      </x:c>
      <x:c r="H25" s="6" t="n">
        <x:v>-226200</x:v>
      </x:c>
      <x:c r="I25" s="6" t="n">
        <x:v>247000</x:v>
      </x:c>
      <x:c r="J25" s="7" t="n">
        <x:v>56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186200</x:v>
      </x:c>
      <x:c r="E26" s="6" t="n">
        <x:v>92200</x:v>
      </x:c>
      <x:c r="F26" s="6" t="n">
        <x:f>D26-E26</x:f>
        <x:v>94000</x:v>
      </x:c>
      <x:c r="G26" s="6" t="n">
        <x:f>G25+F26</x:f>
        <x:v>-2179100</x:v>
      </x:c>
      <x:c r="H26" s="6" t="n">
        <x:v>-192500</x:v>
      </x:c>
      <x:c r="I26" s="6" t="n">
        <x:v>349200</x:v>
      </x:c>
      <x:c r="J26" s="7" t="n">
        <x:v>77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43500</x:v>
      </x:c>
      <x:c r="E27" s="6" t="n">
        <x:v>390300</x:v>
      </x:c>
      <x:c r="F27" s="6" t="n">
        <x:f>D27-E27</x:f>
        <x:v>-346800</x:v>
      </x:c>
      <x:c r="G27" s="6" t="n">
        <x:f>G26+F27</x:f>
        <x:v>-2525900</x:v>
      </x:c>
      <x:c r="H27" s="6" t="n">
        <x:v>-346800</x:v>
      </x:c>
      <x:c r="I27" s="6" t="n">
        <x:v>354700</x:v>
      </x:c>
      <x:c r="J27" s="7" t="n">
        <x:v>90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29600</x:v>
      </x:c>
      <x:c r="E28" s="6" t="n">
        <x:v>190900</x:v>
      </x:c>
      <x:c r="F28" s="6" t="n">
        <x:f>D28-E28</x:f>
        <x:v>-161300</x:v>
      </x:c>
      <x:c r="G28" s="6" t="n">
        <x:f>G27+F28</x:f>
        <x:v>-2687200</x:v>
      </x:c>
      <x:c r="H28" s="6" t="n">
        <x:v>-161300</x:v>
      </x:c>
      <x:c r="I28" s="6" t="n">
        <x:v>165300</x:v>
      </x:c>
      <x:c r="J28" s="7" t="n">
        <x:v>47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150700</x:v>
      </x:c>
      <x:c r="E29" s="6" t="n">
        <x:v>60800</x:v>
      </x:c>
      <x:c r="F29" s="6" t="n">
        <x:f>D29-E29</x:f>
        <x:v>89900</x:v>
      </x:c>
      <x:c r="G29" s="6" t="n">
        <x:f>G28+F29</x:f>
        <x:v>-2597300</x:v>
      </x:c>
      <x:c r="H29" s="6" t="n">
        <x:v>-47700</x:v>
      </x:c>
      <x:c r="I29" s="6" t="n">
        <x:v>90500</x:v>
      </x:c>
      <x:c r="J29" s="7" t="n">
        <x:v>93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208500</x:v>
      </x:c>
      <x:c r="E30" s="6" t="n">
        <x:v>323200</x:v>
      </x:c>
      <x:c r="F30" s="6" t="n">
        <x:f>D30-E30</x:f>
        <x:v>-114700</x:v>
      </x:c>
      <x:c r="G30" s="6" t="n">
        <x:f>G29+F30</x:f>
        <x:v>-2712000</x:v>
      </x:c>
      <x:c r="H30" s="6" t="n">
        <x:v>-209100</x:v>
      </x:c>
      <x:c r="I30" s="6" t="n">
        <x:v>238600</x:v>
      </x:c>
      <x:c r="J30" s="7" t="n">
        <x:v>176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99700</x:v>
      </x:c>
      <x:c r="E31" s="6" t="n">
        <x:v>191400</x:v>
      </x:c>
      <x:c r="F31" s="6" t="n">
        <x:f>D31-E31</x:f>
        <x:v>-91700</x:v>
      </x:c>
      <x:c r="G31" s="6" t="n">
        <x:f>G30+F31</x:f>
        <x:v>-2803700</x:v>
      </x:c>
      <x:c r="H31" s="6" t="n">
        <x:v>-263200</x:v>
      </x:c>
      <x:c r="I31" s="6" t="n">
        <x:v>354700</x:v>
      </x:c>
      <x:c r="J31" s="7" t="n">
        <x:v>62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78400</x:v>
      </x:c>
      <x:c r="E32" s="6" t="n">
        <x:v>467200</x:v>
      </x:c>
      <x:c r="F32" s="6" t="n">
        <x:f>D32-E32</x:f>
        <x:v>-388800</x:v>
      </x:c>
      <x:c r="G32" s="6" t="n">
        <x:f>G31+F32</x:f>
        <x:v>-3192500</x:v>
      </x:c>
      <x:c r="H32" s="6" t="n">
        <x:v>-416800</x:v>
      </x:c>
      <x:c r="I32" s="6" t="n">
        <x:v>421200</x:v>
      </x:c>
      <x:c r="J32" s="7" t="n">
        <x:v>103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1709700</x:v>
      </x:c>
      <x:c r="E33" s="9" t="n">
        <x:f>SUM(E6:E32)</x:f>
        <x:v>4902200</x:v>
      </x:c>
      <x:c r="F33" s="9" t="n">
        <x:f>D33-E33</x:f>
        <x:v>-3192500</x:v>
      </x:c>
      <x:c r="G33" s="9" t="n">
        <x:f>G32</x:f>
        <x:v>-3192500</x:v>
      </x:c>
      <x:c r="H33" s="9" t="n">
        <x:f>MIN(H6:H32)</x:f>
        <x:v>-499400</x:v>
      </x:c>
      <x:c r="I33" s="9" t="n">
        <x:f>MAX(I6:I32)</x:f>
        <x:v>511200</x:v>
      </x:c>
      <x:c r="J33" s="10" t="n">
        <x:f>SUM(J6:J32)</x:f>
        <x:v>1559</x:v>
      </x:c>
      <x:c r="K33" s="10" t="n">
        <x:f>SUM(K6:K32)</x:f>
        <x:v>0</x:v>
      </x:c>
    </x:row>
  </x:sheetData>
  <x:conditionalFormatting sqref="F6:H32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cdc4ed830d47ec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NK225_P164_00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旧P05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15000</x:v>
      </x:c>
      <x:c r="E7" s="6" t="n">
        <x:v>0</x:v>
      </x:c>
      <x:c r="F7" s="6" t="n">
        <x:f>D7-E7</x:f>
        <x:v>15000</x:v>
      </x:c>
      <x:c r="G7" s="6" t="n">
        <x:f>G6+F7</x:f>
        <x:v>15000</x:v>
      </x:c>
      <x:c r="H7" s="6" t="n">
        <x:v>-45000</x:v>
      </x:c>
      <x:c r="I7" s="6" t="n">
        <x:v>55000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15000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30000</x:v>
      </x:c>
      <x:c r="E9" s="6" t="n">
        <x:v>0</x:v>
      </x:c>
      <x:c r="F9" s="6" t="n">
        <x:f>D9-E9</x:f>
        <x:v>30000</x:v>
      </x:c>
      <x:c r="G9" s="6" t="n">
        <x:f>G8+F9</x:f>
        <x:v>45000</x:v>
      </x:c>
      <x:c r="H9" s="6" t="n">
        <x:v>-85000</x:v>
      </x:c>
      <x:c r="I9" s="6" t="n">
        <x:v>90000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45000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4000</x:v>
      </x:c>
      <x:c r="E11" s="6" t="n">
        <x:v>0</x:v>
      </x:c>
      <x:c r="F11" s="6" t="n">
        <x:f>D11-E11</x:f>
        <x:v>4000</x:v>
      </x:c>
      <x:c r="G11" s="6" t="n">
        <x:f>G10+F11</x:f>
        <x:v>49000</x:v>
      </x:c>
      <x:c r="H11" s="6" t="n">
        <x:v>-6000</x:v>
      </x:c>
      <x:c r="I11" s="6" t="n">
        <x:v>6000</x:v>
      </x:c>
      <x:c r="J11" s="7" t="n">
        <x:v>1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49000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60000</x:v>
      </x:c>
      <x:c r="E13" s="6" t="n">
        <x:v>0</x:v>
      </x:c>
      <x:c r="F13" s="6" t="n">
        <x:f>D13-E13</x:f>
        <x:v>60000</x:v>
      </x:c>
      <x:c r="G13" s="6" t="n">
        <x:f>G12+F13</x:f>
        <x:v>109000</x:v>
      </x:c>
      <x:c r="H13" s="6" t="n">
        <x:v>-75000</x:v>
      </x:c>
      <x:c r="I13" s="6" t="n">
        <x:v>95000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73000</x:v>
      </x:c>
      <x:c r="E14" s="6" t="n">
        <x:v>0</x:v>
      </x:c>
      <x:c r="F14" s="6" t="n">
        <x:f>D14-E14</x:f>
        <x:v>73000</x:v>
      </x:c>
      <x:c r="G14" s="6" t="n">
        <x:f>G13+F14</x:f>
        <x:v>182000</x:v>
      </x:c>
      <x:c r="H14" s="6" t="n">
        <x:v>-25000</x:v>
      </x:c>
      <x:c r="I14" s="6" t="n">
        <x:v>52000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182000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15000</x:v>
      </x:c>
      <x:c r="E16" s="6" t="n">
        <x:v>0</x:v>
      </x:c>
      <x:c r="F16" s="6" t="n">
        <x:f>D16-E16</x:f>
        <x:v>15000</x:v>
      </x:c>
      <x:c r="G16" s="6" t="n">
        <x:f>G15+F16</x:f>
        <x:v>197000</x:v>
      </x:c>
      <x:c r="H16" s="6" t="n">
        <x:v>-10000</x:v>
      </x:c>
      <x:c r="I16" s="6" t="n">
        <x:v>15000</x:v>
      </x:c>
      <x:c r="J16" s="7" t="n">
        <x:v>1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197000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23000</x:v>
      </x:c>
      <x:c r="E18" s="6" t="n">
        <x:v>25000</x:v>
      </x:c>
      <x:c r="F18" s="6" t="n">
        <x:f>D18-E18</x:f>
        <x:v>-2000</x:v>
      </x:c>
      <x:c r="G18" s="6" t="n">
        <x:f>G17+F18</x:f>
        <x:v>195000</x:v>
      </x:c>
      <x:c r="H18" s="6" t="n">
        <x:v>-30000</x:v>
      </x:c>
      <x:c r="I18" s="6" t="n">
        <x:v>30000</x:v>
      </x:c>
      <x:c r="J18" s="7" t="n">
        <x:v>3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8000</x:v>
      </x:c>
      <x:c r="E19" s="6" t="n">
        <x:v>0</x:v>
      </x:c>
      <x:c r="F19" s="6" t="n">
        <x:f>D19-E19</x:f>
        <x:v>8000</x:v>
      </x:c>
      <x:c r="G19" s="6" t="n">
        <x:f>G18+F19</x:f>
        <x:v>203000</x:v>
      </x:c>
      <x:c r="H19" s="6" t="n">
        <x:v>-5000</x:v>
      </x:c>
      <x:c r="I19" s="6" t="n">
        <x:v>5000</x:v>
      </x:c>
      <x:c r="J19" s="7" t="n">
        <x:v>2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40000</x:v>
      </x:c>
      <x:c r="E20" s="6" t="n">
        <x:v>0</x:v>
      </x:c>
      <x:c r="F20" s="6" t="n">
        <x:f>D20-E20</x:f>
        <x:v>40000</x:v>
      </x:c>
      <x:c r="G20" s="6" t="n">
        <x:f>G19+F20</x:f>
        <x:v>243000</x:v>
      </x:c>
      <x:c r="H20" s="6" t="n">
        <x:v>-10000</x:v>
      </x:c>
      <x:c r="I20" s="6" t="n">
        <x:v>20000</x:v>
      </x:c>
      <x:c r="J20" s="7" t="n">
        <x:v>2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243000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15000</x:v>
      </x:c>
      <x:c r="E22" s="6" t="n">
        <x:v>0</x:v>
      </x:c>
      <x:c r="F22" s="6" t="n">
        <x:f>D22-E22</x:f>
        <x:v>15000</x:v>
      </x:c>
      <x:c r="G22" s="6" t="n">
        <x:f>G21+F22</x:f>
        <x:v>258000</x:v>
      </x:c>
      <x:c r="H22" s="6" t="n">
        <x:v>-20000</x:v>
      </x:c>
      <x:c r="I22" s="6" t="n">
        <x:v>30000</x:v>
      </x:c>
      <x:c r="J22" s="7" t="n">
        <x:v>1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15000</x:v>
      </x:c>
      <x:c r="E23" s="6" t="n">
        <x:v>0</x:v>
      </x:c>
      <x:c r="F23" s="6" t="n">
        <x:f>D23-E23</x:f>
        <x:v>15000</x:v>
      </x:c>
      <x:c r="G23" s="6" t="n">
        <x:f>G22+F23</x:f>
        <x:v>273000</x:v>
      </x:c>
      <x:c r="H23" s="6" t="n">
        <x:v>-10000</x:v>
      </x:c>
      <x:c r="I23" s="6" t="n">
        <x:v>10000</x:v>
      </x:c>
      <x:c r="J23" s="7" t="n">
        <x:v>1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273000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20000</x:v>
      </x:c>
      <x:c r="F25" s="6" t="n">
        <x:f>D25-E25</x:f>
        <x:v>-20000</x:v>
      </x:c>
      <x:c r="G25" s="6" t="n">
        <x:f>G24+F25</x:f>
        <x:v>253000</x:v>
      </x:c>
      <x:c r="H25" s="6" t="n">
        <x:v>-45000</x:v>
      </x:c>
      <x:c r="I25" s="6" t="n">
        <x:v>55000</x:v>
      </x:c>
      <x:c r="J25" s="7" t="n">
        <x:v>1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35000</x:v>
      </x:c>
      <x:c r="E26" s="6" t="n">
        <x:v>0</x:v>
      </x:c>
      <x:c r="F26" s="6" t="n">
        <x:f>D26-E26</x:f>
        <x:v>35000</x:v>
      </x:c>
      <x:c r="G26" s="6" t="n">
        <x:f>G25+F26</x:f>
        <x:v>288000</x:v>
      </x:c>
      <x:c r="H26" s="6" t="n">
        <x:v>-40000</x:v>
      </x:c>
      <x:c r="I26" s="6" t="n">
        <x:v>60000</x:v>
      </x:c>
      <x:c r="J26" s="7" t="n">
        <x:v>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57000</x:v>
      </x:c>
      <x:c r="E27" s="6" t="n">
        <x:v>0</x:v>
      </x:c>
      <x:c r="F27" s="6" t="n">
        <x:f>D27-E27</x:f>
        <x:v>57000</x:v>
      </x:c>
      <x:c r="G27" s="6" t="n">
        <x:f>G26+F27</x:f>
        <x:v>345000</x:v>
      </x:c>
      <x:c r="H27" s="6" t="n">
        <x:v>-10000</x:v>
      </x:c>
      <x:c r="I27" s="6" t="n">
        <x:v>50000</x:v>
      </x:c>
      <x:c r="J27" s="7" t="n">
        <x:v>4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15000</x:v>
      </x:c>
      <x:c r="E28" s="6" t="n">
        <x:v>0</x:v>
      </x:c>
      <x:c r="F28" s="6" t="n">
        <x:f>D28-E28</x:f>
        <x:v>15000</x:v>
      </x:c>
      <x:c r="G28" s="6" t="n">
        <x:f>G27+F28</x:f>
        <x:v>360000</x:v>
      </x:c>
      <x:c r="H28" s="6" t="n">
        <x:v>-5000</x:v>
      </x:c>
      <x:c r="I28" s="6" t="n">
        <x:v>15000</x:v>
      </x:c>
      <x:c r="J28" s="7" t="n">
        <x:v>1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360000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26000</x:v>
      </x:c>
      <x:c r="E30" s="6" t="n">
        <x:v>32000</x:v>
      </x:c>
      <x:c r="F30" s="6" t="n">
        <x:f>D30-E30</x:f>
        <x:v>-6000</x:v>
      </x:c>
      <x:c r="G30" s="6" t="n">
        <x:f>G29+F30</x:f>
        <x:v>354000</x:v>
      </x:c>
      <x:c r="H30" s="6" t="n">
        <x:v>-30000</x:v>
      </x:c>
      <x:c r="I30" s="6" t="n">
        <x:v>45000</x:v>
      </x:c>
      <x:c r="J30" s="7" t="n">
        <x:v>5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15000</x:v>
      </x:c>
      <x:c r="E31" s="6" t="n">
        <x:v>0</x:v>
      </x:c>
      <x:c r="F31" s="6" t="n">
        <x:f>D31-E31</x:f>
        <x:v>15000</x:v>
      </x:c>
      <x:c r="G31" s="6" t="n">
        <x:f>G30+F31</x:f>
        <x:v>369000</x:v>
      </x:c>
      <x:c r="H31" s="6" t="n">
        <x:v>-15000</x:v>
      </x:c>
      <x:c r="I31" s="6" t="n">
        <x:v>25000</x:v>
      </x:c>
      <x:c r="J31" s="7" t="n">
        <x:v>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15000</x:v>
      </x:c>
      <x:c r="E32" s="6" t="n">
        <x:v>0</x:v>
      </x:c>
      <x:c r="F32" s="6" t="n">
        <x:f>D32-E32</x:f>
        <x:v>15000</x:v>
      </x:c>
      <x:c r="G32" s="6" t="n">
        <x:f>G31+F32</x:f>
        <x:v>384000</x:v>
      </x:c>
      <x:c r="H32" s="6" t="n">
        <x:v>-120000</x:v>
      </x:c>
      <x:c r="I32" s="6" t="n">
        <x:v>120000</x:v>
      </x:c>
      <x:c r="J32" s="7" t="n">
        <x:v>1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461000</x:v>
      </x:c>
      <x:c r="E33" s="9" t="n">
        <x:f>SUM(E6:E32)</x:f>
        <x:v>77000</x:v>
      </x:c>
      <x:c r="F33" s="9" t="n">
        <x:f>D33-E33</x:f>
        <x:v>384000</x:v>
      </x:c>
      <x:c r="G33" s="9" t="n">
        <x:f>G32</x:f>
        <x:v>384000</x:v>
      </x:c>
      <x:c r="H33" s="9" t="n">
        <x:f>MIN(H6:H32)</x:f>
        <x:v>-120000</x:v>
      </x:c>
      <x:c r="I33" s="9" t="n">
        <x:f>MAX(I6:I32)</x:f>
        <x:v>120000</x:v>
      </x:c>
      <x:c r="J33" s="10" t="n">
        <x:f>SUM(J6:J32)</x:f>
        <x:v>40</x:v>
      </x:c>
      <x:c r="K33" s="10" t="n">
        <x:f>SUM(K6:K32)</x:f>
        <x:v>9</x:v>
      </x:c>
    </x:row>
  </x:sheetData>
  <x:conditionalFormatting sqref="F6:H32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ae6cfbbc034680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NK225_P164_01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反転入口・R利益開始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33600</x:v>
      </x:c>
      <x:c r="E7" s="6" t="n">
        <x:v>192000</x:v>
      </x:c>
      <x:c r="F7" s="6" t="n">
        <x:f>D7-E7</x:f>
        <x:v>-158400</x:v>
      </x:c>
      <x:c r="G7" s="6" t="n">
        <x:f>G6+F7</x:f>
        <x:v>-158400</x:v>
      </x:c>
      <x:c r="H7" s="6" t="n">
        <x:v>-159300</x:v>
      </x:c>
      <x:c r="I7" s="6" t="n">
        <x:v>159300</x:v>
      </x:c>
      <x:c r="J7" s="7" t="n">
        <x:v>16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-158400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0</x:v>
      </x:c>
      <x:c r="E9" s="6" t="n">
        <x:v>161900</x:v>
      </x:c>
      <x:c r="F9" s="6" t="n">
        <x:f>D9-E9</x:f>
        <x:v>-161900</x:v>
      </x:c>
      <x:c r="G9" s="6" t="n">
        <x:f>G8+F9</x:f>
        <x:v>-320300</x:v>
      </x:c>
      <x:c r="H9" s="6" t="n">
        <x:v>-161900</x:v>
      </x:c>
      <x:c r="I9" s="6" t="n">
        <x:v>161900</x:v>
      </x:c>
      <x:c r="J9" s="7" t="n">
        <x:v>11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103800</x:v>
      </x:c>
      <x:c r="F10" s="6" t="n">
        <x:f>D10-E10</x:f>
        <x:v>-103800</x:v>
      </x:c>
      <x:c r="G10" s="6" t="n">
        <x:f>G9+F10</x:f>
        <x:v>-424100</x:v>
      </x:c>
      <x:c r="H10" s="6" t="n">
        <x:v>-103800</x:v>
      </x:c>
      <x:c r="I10" s="6" t="n">
        <x:v>103800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57000</x:v>
      </x:c>
      <x:c r="E11" s="6" t="n">
        <x:v>142400</x:v>
      </x:c>
      <x:c r="F11" s="6" t="n">
        <x:f>D11-E11</x:f>
        <x:v>-85400</x:v>
      </x:c>
      <x:c r="G11" s="6" t="n">
        <x:f>G10+F11</x:f>
        <x:v>-509500</x:v>
      </x:c>
      <x:c r="H11" s="6" t="n">
        <x:v>-85400</x:v>
      </x:c>
      <x:c r="I11" s="6" t="n">
        <x:v>111900</x:v>
      </x:c>
      <x:c r="J11" s="7" t="n">
        <x:v>14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21500</x:v>
      </x:c>
      <x:c r="E12" s="6" t="n">
        <x:v>68000</x:v>
      </x:c>
      <x:c r="F12" s="6" t="n">
        <x:f>D12-E12</x:f>
        <x:v>-46500</x:v>
      </x:c>
      <x:c r="G12" s="6" t="n">
        <x:f>G11+F12</x:f>
        <x:v>-556000</x:v>
      </x:c>
      <x:c r="H12" s="6" t="n">
        <x:v>-46500</x:v>
      </x:c>
      <x:c r="I12" s="6" t="n">
        <x:v>72000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223200</x:v>
      </x:c>
      <x:c r="E13" s="6" t="n">
        <x:v>227800</x:v>
      </x:c>
      <x:c r="F13" s="6" t="n">
        <x:f>D13-E13</x:f>
        <x:v>-4600</x:v>
      </x:c>
      <x:c r="G13" s="6" t="n">
        <x:f>G12+F13</x:f>
        <x:v>-560600</x:v>
      </x:c>
      <x:c r="H13" s="6" t="n">
        <x:v>-131600</x:v>
      </x:c>
      <x:c r="I13" s="6" t="n">
        <x:v>186400</x:v>
      </x:c>
      <x:c r="J13" s="7" t="n">
        <x:v>27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146200</x:v>
      </x:c>
      <x:c r="E14" s="6" t="n">
        <x:v>238900</x:v>
      </x:c>
      <x:c r="F14" s="6" t="n">
        <x:f>D14-E14</x:f>
        <x:v>-92700</x:v>
      </x:c>
      <x:c r="G14" s="6" t="n">
        <x:f>G13+F14</x:f>
        <x:v>-653300</x:v>
      </x:c>
      <x:c r="H14" s="6" t="n">
        <x:v>-169800</x:v>
      </x:c>
      <x:c r="I14" s="6" t="n">
        <x:v>223100</x:v>
      </x:c>
      <x:c r="J14" s="7" t="n">
        <x:v>34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110600</x:v>
      </x:c>
      <x:c r="E15" s="6" t="n">
        <x:v>375400</x:v>
      </x:c>
      <x:c r="F15" s="6" t="n">
        <x:f>D15-E15</x:f>
        <x:v>-264800</x:v>
      </x:c>
      <x:c r="G15" s="6" t="n">
        <x:f>G14+F15</x:f>
        <x:v>-918100</x:v>
      </x:c>
      <x:c r="H15" s="6" t="n">
        <x:v>-264800</x:v>
      </x:c>
      <x:c r="I15" s="6" t="n">
        <x:v>264800</x:v>
      </x:c>
      <x:c r="J15" s="7" t="n">
        <x:v>25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129400</x:v>
      </x:c>
      <x:c r="E16" s="6" t="n">
        <x:v>174200</x:v>
      </x:c>
      <x:c r="F16" s="6" t="n">
        <x:f>D16-E16</x:f>
        <x:v>-44800</x:v>
      </x:c>
      <x:c r="G16" s="6" t="n">
        <x:f>G15+F16</x:f>
        <x:v>-962900</x:v>
      </x:c>
      <x:c r="H16" s="6" t="n">
        <x:v>-93200</x:v>
      </x:c>
      <x:c r="I16" s="6" t="n">
        <x:v>120900</x:v>
      </x:c>
      <x:c r="J16" s="7" t="n">
        <x:v>15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44500</x:v>
      </x:c>
      <x:c r="E17" s="6" t="n">
        <x:v>91300</x:v>
      </x:c>
      <x:c r="F17" s="6" t="n">
        <x:f>D17-E17</x:f>
        <x:v>-46800</x:v>
      </x:c>
      <x:c r="G17" s="6" t="n">
        <x:f>G16+F17</x:f>
        <x:v>-1009700</x:v>
      </x:c>
      <x:c r="H17" s="6" t="n">
        <x:v>-98300</x:v>
      </x:c>
      <x:c r="I17" s="6" t="n">
        <x:v>105300</x:v>
      </x:c>
      <x:c r="J17" s="7" t="n">
        <x:v>7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21100</x:v>
      </x:c>
      <x:c r="E18" s="6" t="n">
        <x:v>135200</x:v>
      </x:c>
      <x:c r="F18" s="6" t="n">
        <x:f>D18-E18</x:f>
        <x:v>-114100</x:v>
      </x:c>
      <x:c r="G18" s="6" t="n">
        <x:f>G17+F18</x:f>
        <x:v>-1123800</x:v>
      </x:c>
      <x:c r="H18" s="6" t="n">
        <x:v>-114100</x:v>
      </x:c>
      <x:c r="I18" s="6" t="n">
        <x:v>156800</x:v>
      </x:c>
      <x:c r="J18" s="7" t="n">
        <x:v>10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5700</x:v>
      </x:c>
      <x:c r="E19" s="6" t="n">
        <x:v>195900</x:v>
      </x:c>
      <x:c r="F19" s="6" t="n">
        <x:f>D19-E19</x:f>
        <x:v>-190200</x:v>
      </x:c>
      <x:c r="G19" s="6" t="n">
        <x:f>G18+F19</x:f>
        <x:v>-1314000</x:v>
      </x:c>
      <x:c r="H19" s="6" t="n">
        <x:v>-190200</x:v>
      </x:c>
      <x:c r="I19" s="6" t="n">
        <x:v>190200</x:v>
      </x:c>
      <x:c r="J19" s="7" t="n">
        <x:v>13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0</x:v>
      </x:c>
      <x:c r="E20" s="6" t="n">
        <x:v>112900</x:v>
      </x:c>
      <x:c r="F20" s="6" t="n">
        <x:f>D20-E20</x:f>
        <x:v>-112900</x:v>
      </x:c>
      <x:c r="G20" s="6" t="n">
        <x:f>G19+F20</x:f>
        <x:v>-1426900</x:v>
      </x:c>
      <x:c r="H20" s="6" t="n">
        <x:v>-112900</x:v>
      </x:c>
      <x:c r="I20" s="6" t="n">
        <x:v>112900</x:v>
      </x:c>
      <x:c r="J20" s="7" t="n">
        <x:v>5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17200</x:v>
      </x:c>
      <x:c r="F21" s="6" t="n">
        <x:f>D21-E21</x:f>
        <x:v>-17200</x:v>
      </x:c>
      <x:c r="G21" s="6" t="n">
        <x:f>G20+F21</x:f>
        <x:v>-1444100</x:v>
      </x:c>
      <x:c r="H21" s="6" t="n">
        <x:v>-18600</x:v>
      </x:c>
      <x:c r="I21" s="6" t="n">
        <x:v>42000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7000</x:v>
      </x:c>
      <x:c r="E22" s="6" t="n">
        <x:v>56800</x:v>
      </x:c>
      <x:c r="F22" s="6" t="n">
        <x:f>D22-E22</x:f>
        <x:v>-49800</x:v>
      </x:c>
      <x:c r="G22" s="6" t="n">
        <x:f>G21+F22</x:f>
        <x:v>-1493900</x:v>
      </x:c>
      <x:c r="H22" s="6" t="n">
        <x:v>-49800</x:v>
      </x:c>
      <x:c r="I22" s="6" t="n">
        <x:v>77800</x:v>
      </x:c>
      <x:c r="J22" s="7" t="n">
        <x:v>4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93000</x:v>
      </x:c>
      <x:c r="E23" s="6" t="n">
        <x:v>42700</x:v>
      </x:c>
      <x:c r="F23" s="6" t="n">
        <x:f>D23-E23</x:f>
        <x:v>50300</x:v>
      </x:c>
      <x:c r="G23" s="6" t="n">
        <x:f>G22+F23</x:f>
        <x:v>-1443600</x:v>
      </x:c>
      <x:c r="H23" s="6" t="n">
        <x:v>-36300</x:v>
      </x:c>
      <x:c r="I23" s="6" t="n">
        <x:v>50600</x:v>
      </x:c>
      <x:c r="J23" s="7" t="n">
        <x:v>6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45000</x:v>
      </x:c>
      <x:c r="E24" s="6" t="n">
        <x:v>354700</x:v>
      </x:c>
      <x:c r="F24" s="6" t="n">
        <x:f>D24-E24</x:f>
        <x:v>-309700</x:v>
      </x:c>
      <x:c r="G24" s="6" t="n">
        <x:f>G23+F24</x:f>
        <x:v>-1753300</x:v>
      </x:c>
      <x:c r="H24" s="6" t="n">
        <x:v>-327900</x:v>
      </x:c>
      <x:c r="I24" s="6" t="n">
        <x:v>330100</x:v>
      </x:c>
      <x:c r="J24" s="7" t="n">
        <x:v>28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38500</x:v>
      </x:c>
      <x:c r="E25" s="6" t="n">
        <x:v>90900</x:v>
      </x:c>
      <x:c r="F25" s="6" t="n">
        <x:f>D25-E25</x:f>
        <x:v>-52400</x:v>
      </x:c>
      <x:c r="G25" s="6" t="n">
        <x:f>G24+F25</x:f>
        <x:v>-1805700</x:v>
      </x:c>
      <x:c r="H25" s="6" t="n">
        <x:v>-80300</x:v>
      </x:c>
      <x:c r="I25" s="6" t="n">
        <x:v>83800</x:v>
      </x:c>
      <x:c r="J25" s="7" t="n">
        <x:v>6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98400</x:v>
      </x:c>
      <x:c r="E26" s="6" t="n">
        <x:v>168900</x:v>
      </x:c>
      <x:c r="F26" s="6" t="n">
        <x:f>D26-E26</x:f>
        <x:v>-70500</x:v>
      </x:c>
      <x:c r="G26" s="6" t="n">
        <x:f>G25+F26</x:f>
        <x:v>-1876200</x:v>
      </x:c>
      <x:c r="H26" s="6" t="n">
        <x:v>-70500</x:v>
      </x:c>
      <x:c r="I26" s="6" t="n">
        <x:v>123100</x:v>
      </x:c>
      <x:c r="J26" s="7" t="n">
        <x:v>14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216600</x:v>
      </x:c>
      <x:c r="E27" s="6" t="n">
        <x:v>509900</x:v>
      </x:c>
      <x:c r="F27" s="6" t="n">
        <x:f>D27-E27</x:f>
        <x:v>-293300</x:v>
      </x:c>
      <x:c r="G27" s="6" t="n">
        <x:f>G26+F27</x:f>
        <x:v>-2169500</x:v>
      </x:c>
      <x:c r="H27" s="6" t="n">
        <x:v>-310400</x:v>
      </x:c>
      <x:c r="I27" s="6" t="n">
        <x:v>315500</x:v>
      </x:c>
      <x:c r="J27" s="7" t="n">
        <x:v>41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127900</x:v>
      </x:c>
      <x:c r="E28" s="6" t="n">
        <x:v>108400</x:v>
      </x:c>
      <x:c r="F28" s="6" t="n">
        <x:f>D28-E28</x:f>
        <x:v>19500</x:v>
      </x:c>
      <x:c r="G28" s="6" t="n">
        <x:f>G27+F28</x:f>
        <x:v>-2150000</x:v>
      </x:c>
      <x:c r="H28" s="6" t="n">
        <x:v>-59400</x:v>
      </x:c>
      <x:c r="I28" s="6" t="n">
        <x:v>84200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109200</x:v>
      </x:c>
      <x:c r="E29" s="6" t="n">
        <x:v>167900</x:v>
      </x:c>
      <x:c r="F29" s="6" t="n">
        <x:f>D29-E29</x:f>
        <x:v>-58700</x:v>
      </x:c>
      <x:c r="G29" s="6" t="n">
        <x:f>G28+F29</x:f>
        <x:v>-2208700</x:v>
      </x:c>
      <x:c r="H29" s="6" t="n">
        <x:v>-137100</x:v>
      </x:c>
      <x:c r="I29" s="6" t="n">
        <x:v>179900</x:v>
      </x:c>
      <x:c r="J29" s="7" t="n">
        <x:v>18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105800</x:v>
      </x:c>
      <x:c r="E30" s="6" t="n">
        <x:v>376900</x:v>
      </x:c>
      <x:c r="F30" s="6" t="n">
        <x:f>D30-E30</x:f>
        <x:v>-271100</x:v>
      </x:c>
      <x:c r="G30" s="6" t="n">
        <x:f>G29+F30</x:f>
        <x:v>-2479800</x:v>
      </x:c>
      <x:c r="H30" s="6" t="n">
        <x:v>-314500</x:v>
      </x:c>
      <x:c r="I30" s="6" t="n">
        <x:v>348100</x:v>
      </x:c>
      <x:c r="J30" s="7" t="n">
        <x:v>29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99300</x:v>
      </x:c>
      <x:c r="E31" s="6" t="n">
        <x:v>172500</x:v>
      </x:c>
      <x:c r="F31" s="6" t="n">
        <x:f>D31-E31</x:f>
        <x:v>-73200</x:v>
      </x:c>
      <x:c r="G31" s="6" t="n">
        <x:f>G30+F31</x:f>
        <x:v>-2553000</x:v>
      </x:c>
      <x:c r="H31" s="6" t="n">
        <x:v>-89200</x:v>
      </x:c>
      <x:c r="I31" s="6" t="n">
        <x:v>106600</x:v>
      </x:c>
      <x:c r="J31" s="7" t="n">
        <x:v>16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40200</x:v>
      </x:c>
      <x:c r="E32" s="6" t="n">
        <x:v>166300</x:v>
      </x:c>
      <x:c r="F32" s="6" t="n">
        <x:f>D32-E32</x:f>
        <x:v>-126100</x:v>
      </x:c>
      <x:c r="G32" s="6" t="n">
        <x:f>G31+F32</x:f>
        <x:v>-2679100</x:v>
      </x:c>
      <x:c r="H32" s="6" t="n">
        <x:v>-126100</x:v>
      </x:c>
      <x:c r="I32" s="6" t="n">
        <x:v>145600</x:v>
      </x:c>
      <x:c r="J32" s="7" t="n">
        <x:v>13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1773700</x:v>
      </x:c>
      <x:c r="E33" s="9" t="n">
        <x:f>SUM(E6:E32)</x:f>
        <x:v>4452800</x:v>
      </x:c>
      <x:c r="F33" s="9" t="n">
        <x:f>D33-E33</x:f>
        <x:v>-2679100</x:v>
      </x:c>
      <x:c r="G33" s="9" t="n">
        <x:f>G32</x:f>
        <x:v>-2679100</x:v>
      </x:c>
      <x:c r="H33" s="9" t="n">
        <x:f>MIN(H6:H32)</x:f>
        <x:v>-327900</x:v>
      </x:c>
      <x:c r="I33" s="9" t="n">
        <x:f>MAX(I6:I32)</x:f>
        <x:v>348100</x:v>
      </x:c>
      <x:c r="J33" s="10" t="n">
        <x:f>SUM(J6:J32)</x:f>
        <x:v>379</x:v>
      </x:c>
      <x:c r="K33" s="10" t="n">
        <x:f>SUM(K6:K32)</x:f>
        <x:v>2</x:v>
      </x:c>
    </x:row>
  </x:sheetData>
  <x:conditionalFormatting sqref="F6:H32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260c6e75ad47dc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NK225_P164_02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反転入口・正利益開始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800</x:v>
      </x:c>
      <x:c r="E7" s="6" t="n">
        <x:v>144300</x:v>
      </x:c>
      <x:c r="F7" s="6" t="n">
        <x:f>D7-E7</x:f>
        <x:v>-143500</x:v>
      </x:c>
      <x:c r="G7" s="6" t="n">
        <x:f>G6+F7</x:f>
        <x:v>-143500</x:v>
      </x:c>
      <x:c r="H7" s="6" t="n">
        <x:v>-144400</x:v>
      </x:c>
      <x:c r="I7" s="6" t="n">
        <x:v>144400</x:v>
      </x:c>
      <x:c r="J7" s="7" t="n">
        <x:v>15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-143500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5800</x:v>
      </x:c>
      <x:c r="E9" s="6" t="n">
        <x:v>124800</x:v>
      </x:c>
      <x:c r="F9" s="6" t="n">
        <x:f>D9-E9</x:f>
        <x:v>-119000</x:v>
      </x:c>
      <x:c r="G9" s="6" t="n">
        <x:f>G8+F9</x:f>
        <x:v>-262500</x:v>
      </x:c>
      <x:c r="H9" s="6" t="n">
        <x:v>-119000</x:v>
      </x:c>
      <x:c r="I9" s="6" t="n">
        <x:v>119000</x:v>
      </x:c>
      <x:c r="J9" s="7" t="n">
        <x:v>11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4100</x:v>
      </x:c>
      <x:c r="E10" s="6" t="n">
        <x:v>87400</x:v>
      </x:c>
      <x:c r="F10" s="6" t="n">
        <x:f>D10-E10</x:f>
        <x:v>-83300</x:v>
      </x:c>
      <x:c r="G10" s="6" t="n">
        <x:f>G9+F10</x:f>
        <x:v>-345800</x:v>
      </x:c>
      <x:c r="H10" s="6" t="n">
        <x:v>-83300</x:v>
      </x:c>
      <x:c r="I10" s="6" t="n">
        <x:v>83300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3500</x:v>
      </x:c>
      <x:c r="E11" s="6" t="n">
        <x:v>82100</x:v>
      </x:c>
      <x:c r="F11" s="6" t="n">
        <x:f>D11-E11</x:f>
        <x:v>-78600</x:v>
      </x:c>
      <x:c r="G11" s="6" t="n">
        <x:f>G10+F11</x:f>
        <x:v>-424400</x:v>
      </x:c>
      <x:c r="H11" s="6" t="n">
        <x:v>-87000</x:v>
      </x:c>
      <x:c r="I11" s="6" t="n">
        <x:v>87000</x:v>
      </x:c>
      <x:c r="J11" s="7" t="n">
        <x:v>13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16400</x:v>
      </x:c>
      <x:c r="E12" s="6" t="n">
        <x:v>38000</x:v>
      </x:c>
      <x:c r="F12" s="6" t="n">
        <x:f>D12-E12</x:f>
        <x:v>-21600</x:v>
      </x:c>
      <x:c r="G12" s="6" t="n">
        <x:f>G11+F12</x:f>
        <x:v>-446000</x:v>
      </x:c>
      <x:c r="H12" s="6" t="n">
        <x:v>-31100</x:v>
      </x:c>
      <x:c r="I12" s="6" t="n">
        <x:v>36200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78300</x:v>
      </x:c>
      <x:c r="E13" s="6" t="n">
        <x:v>110600</x:v>
      </x:c>
      <x:c r="F13" s="6" t="n">
        <x:f>D13-E13</x:f>
        <x:v>-32300</x:v>
      </x:c>
      <x:c r="G13" s="6" t="n">
        <x:f>G12+F13</x:f>
        <x:v>-478300</x:v>
      </x:c>
      <x:c r="H13" s="6" t="n">
        <x:v>-51500</x:v>
      </x:c>
      <x:c r="I13" s="6" t="n">
        <x:v>117300</x:v>
      </x:c>
      <x:c r="J13" s="7" t="n">
        <x:v>26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61500</x:v>
      </x:c>
      <x:c r="E14" s="6" t="n">
        <x:v>145400</x:v>
      </x:c>
      <x:c r="F14" s="6" t="n">
        <x:f>D14-E14</x:f>
        <x:v>-83900</x:v>
      </x:c>
      <x:c r="G14" s="6" t="n">
        <x:f>G13+F14</x:f>
        <x:v>-562200</x:v>
      </x:c>
      <x:c r="H14" s="6" t="n">
        <x:v>-97400</x:v>
      </x:c>
      <x:c r="I14" s="6" t="n">
        <x:v>138500</x:v>
      </x:c>
      <x:c r="J14" s="7" t="n">
        <x:v>30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11700</x:v>
      </x:c>
      <x:c r="E15" s="6" t="n">
        <x:v>322400</x:v>
      </x:c>
      <x:c r="F15" s="6" t="n">
        <x:f>D15-E15</x:f>
        <x:v>-310700</x:v>
      </x:c>
      <x:c r="G15" s="6" t="n">
        <x:f>G14+F15</x:f>
        <x:v>-872900</x:v>
      </x:c>
      <x:c r="H15" s="6" t="n">
        <x:v>-310700</x:v>
      </x:c>
      <x:c r="I15" s="6" t="n">
        <x:v>310700</x:v>
      </x:c>
      <x:c r="J15" s="7" t="n">
        <x:v>25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0</x:v>
      </x:c>
      <x:c r="E16" s="6" t="n">
        <x:v>144000</x:v>
      </x:c>
      <x:c r="F16" s="6" t="n">
        <x:f>D16-E16</x:f>
        <x:v>-144000</x:v>
      </x:c>
      <x:c r="G16" s="6" t="n">
        <x:f>G15+F16</x:f>
        <x:v>-1016900</x:v>
      </x:c>
      <x:c r="H16" s="6" t="n">
        <x:v>-149400</x:v>
      </x:c>
      <x:c r="I16" s="6" t="n">
        <x:v>149400</x:v>
      </x:c>
      <x:c r="J16" s="7" t="n">
        <x:v>15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12400</x:v>
      </x:c>
      <x:c r="E17" s="6" t="n">
        <x:v>32700</x:v>
      </x:c>
      <x:c r="F17" s="6" t="n">
        <x:f>D17-E17</x:f>
        <x:v>-20300</x:v>
      </x:c>
      <x:c r="G17" s="6" t="n">
        <x:f>G16+F17</x:f>
        <x:v>-1037200</x:v>
      </x:c>
      <x:c r="H17" s="6" t="n">
        <x:v>-38400</x:v>
      </x:c>
      <x:c r="I17" s="6" t="n">
        <x:v>55900</x:v>
      </x:c>
      <x:c r="J17" s="7" t="n">
        <x:v>7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18300</x:v>
      </x:c>
      <x:c r="E18" s="6" t="n">
        <x:v>104800</x:v>
      </x:c>
      <x:c r="F18" s="6" t="n">
        <x:f>D18-E18</x:f>
        <x:v>-86500</x:v>
      </x:c>
      <x:c r="G18" s="6" t="n">
        <x:f>G17+F18</x:f>
        <x:v>-1123700</x:v>
      </x:c>
      <x:c r="H18" s="6" t="n">
        <x:v>-86500</x:v>
      </x:c>
      <x:c r="I18" s="6" t="n">
        <x:v>129200</x:v>
      </x:c>
      <x:c r="J18" s="7" t="n">
        <x:v>10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13500</x:v>
      </x:c>
      <x:c r="E19" s="6" t="n">
        <x:v>144100</x:v>
      </x:c>
      <x:c r="F19" s="6" t="n">
        <x:f>D19-E19</x:f>
        <x:v>-130600</x:v>
      </x:c>
      <x:c r="G19" s="6" t="n">
        <x:f>G18+F19</x:f>
        <x:v>-1254300</x:v>
      </x:c>
      <x:c r="H19" s="6" t="n">
        <x:v>-150600</x:v>
      </x:c>
      <x:c r="I19" s="6" t="n">
        <x:v>150600</x:v>
      </x:c>
      <x:c r="J19" s="7" t="n">
        <x:v>12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6300</x:v>
      </x:c>
      <x:c r="E20" s="6" t="n">
        <x:v>94000</x:v>
      </x:c>
      <x:c r="F20" s="6" t="n">
        <x:f>D20-E20</x:f>
        <x:v>-87700</x:v>
      </x:c>
      <x:c r="G20" s="6" t="n">
        <x:f>G19+F20</x:f>
        <x:v>-1342000</x:v>
      </x:c>
      <x:c r="H20" s="6" t="n">
        <x:v>-87700</x:v>
      </x:c>
      <x:c r="I20" s="6" t="n">
        <x:v>87700</x:v>
      </x:c>
      <x:c r="J20" s="7" t="n">
        <x:v>5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-1342000</x:v>
      </x:c>
      <x:c r="H21" s="6" t="n">
        <x:v>-18600</x:v>
      </x:c>
      <x:c r="I21" s="6" t="n">
        <x:v>18600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7000</x:v>
      </x:c>
      <x:c r="E22" s="6" t="n">
        <x:v>56800</x:v>
      </x:c>
      <x:c r="F22" s="6" t="n">
        <x:f>D22-E22</x:f>
        <x:v>-49800</x:v>
      </x:c>
      <x:c r="G22" s="6" t="n">
        <x:f>G21+F22</x:f>
        <x:v>-1391800</x:v>
      </x:c>
      <x:c r="H22" s="6" t="n">
        <x:v>-49800</x:v>
      </x:c>
      <x:c r="I22" s="6" t="n">
        <x:v>56800</x:v>
      </x:c>
      <x:c r="J22" s="7" t="n">
        <x:v>4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5700</x:v>
      </x:c>
      <x:c r="E23" s="6" t="n">
        <x:v>50300</x:v>
      </x:c>
      <x:c r="F23" s="6" t="n">
        <x:f>D23-E23</x:f>
        <x:v>-44600</x:v>
      </x:c>
      <x:c r="G23" s="6" t="n">
        <x:f>G22+F23</x:f>
        <x:v>-1436400</x:v>
      </x:c>
      <x:c r="H23" s="6" t="n">
        <x:v>-67400</x:v>
      </x:c>
      <x:c r="I23" s="6" t="n">
        <x:v>67400</x:v>
      </x:c>
      <x:c r="J23" s="7" t="n">
        <x:v>7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4700</x:v>
      </x:c>
      <x:c r="E24" s="6" t="n">
        <x:v>348900</x:v>
      </x:c>
      <x:c r="F24" s="6" t="n">
        <x:f>D24-E24</x:f>
        <x:v>-344200</x:v>
      </x:c>
      <x:c r="G24" s="6" t="n">
        <x:f>G23+F24</x:f>
        <x:v>-1780600</x:v>
      </x:c>
      <x:c r="H24" s="6" t="n">
        <x:v>-358200</x:v>
      </x:c>
      <x:c r="I24" s="6" t="n">
        <x:v>360400</x:v>
      </x:c>
      <x:c r="J24" s="7" t="n">
        <x:v>27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8000</x:v>
      </x:c>
      <x:c r="E25" s="6" t="n">
        <x:v>48400</x:v>
      </x:c>
      <x:c r="F25" s="6" t="n">
        <x:f>D25-E25</x:f>
        <x:v>-40400</x:v>
      </x:c>
      <x:c r="G25" s="6" t="n">
        <x:f>G24+F25</x:f>
        <x:v>-1821000</x:v>
      </x:c>
      <x:c r="H25" s="6" t="n">
        <x:v>-50800</x:v>
      </x:c>
      <x:c r="I25" s="6" t="n">
        <x:v>54300</x:v>
      </x:c>
      <x:c r="J25" s="7" t="n">
        <x:v>6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68400</x:v>
      </x:c>
      <x:c r="E26" s="6" t="n">
        <x:v>89200</x:v>
      </x:c>
      <x:c r="F26" s="6" t="n">
        <x:f>D26-E26</x:f>
        <x:v>-20800</x:v>
      </x:c>
      <x:c r="G26" s="6" t="n">
        <x:f>G25+F26</x:f>
        <x:v>-1841800</x:v>
      </x:c>
      <x:c r="H26" s="6" t="n">
        <x:v>-63100</x:v>
      </x:c>
      <x:c r="I26" s="6" t="n">
        <x:v>75800</x:v>
      </x:c>
      <x:c r="J26" s="7" t="n">
        <x:v>14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166600</x:v>
      </x:c>
      <x:c r="E27" s="6" t="n">
        <x:v>294200</x:v>
      </x:c>
      <x:c r="F27" s="6" t="n">
        <x:f>D27-E27</x:f>
        <x:v>-127600</x:v>
      </x:c>
      <x:c r="G27" s="6" t="n">
        <x:f>G26+F27</x:f>
        <x:v>-1969400</x:v>
      </x:c>
      <x:c r="H27" s="6" t="n">
        <x:v>-151400</x:v>
      </x:c>
      <x:c r="I27" s="6" t="n">
        <x:v>156500</x:v>
      </x:c>
      <x:c r="J27" s="7" t="n">
        <x:v>40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69000</x:v>
      </x:c>
      <x:c r="E28" s="6" t="n">
        <x:v>86500</x:v>
      </x:c>
      <x:c r="F28" s="6" t="n">
        <x:f>D28-E28</x:f>
        <x:v>-17500</x:v>
      </x:c>
      <x:c r="G28" s="6" t="n">
        <x:f>G27+F28</x:f>
        <x:v>-1986900</x:v>
      </x:c>
      <x:c r="H28" s="6" t="n">
        <x:v>-71400</x:v>
      </x:c>
      <x:c r="I28" s="6" t="n">
        <x:v>71400</x:v>
      </x:c>
      <x:c r="J28" s="7" t="n">
        <x:v>14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15800</x:v>
      </x:c>
      <x:c r="E29" s="6" t="n">
        <x:v>57300</x:v>
      </x:c>
      <x:c r="F29" s="6" t="n">
        <x:f>D29-E29</x:f>
        <x:v>-41500</x:v>
      </x:c>
      <x:c r="G29" s="6" t="n">
        <x:f>G28+F29</x:f>
        <x:v>-2028400</x:v>
      </x:c>
      <x:c r="H29" s="6" t="n">
        <x:v>-71100</x:v>
      </x:c>
      <x:c r="I29" s="6" t="n">
        <x:v>91800</x:v>
      </x:c>
      <x:c r="J29" s="7" t="n">
        <x:v>16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29500</x:v>
      </x:c>
      <x:c r="E30" s="6" t="n">
        <x:v>227100</x:v>
      </x:c>
      <x:c r="F30" s="6" t="n">
        <x:f>D30-E30</x:f>
        <x:v>-197600</x:v>
      </x:c>
      <x:c r="G30" s="6" t="n">
        <x:f>G29+F30</x:f>
        <x:v>-2226000</x:v>
      </x:c>
      <x:c r="H30" s="6" t="n">
        <x:v>-218600</x:v>
      </x:c>
      <x:c r="I30" s="6" t="n">
        <x:v>235800</x:v>
      </x:c>
      <x:c r="J30" s="7" t="n">
        <x:v>24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7900</x:v>
      </x:c>
      <x:c r="E31" s="6" t="n">
        <x:v>88100</x:v>
      </x:c>
      <x:c r="F31" s="6" t="n">
        <x:f>D31-E31</x:f>
        <x:v>-80200</x:v>
      </x:c>
      <x:c r="G31" s="6" t="n">
        <x:f>G30+F31</x:f>
        <x:v>-2306200</x:v>
      </x:c>
      <x:c r="H31" s="6" t="n">
        <x:v>-87000</x:v>
      </x:c>
      <x:c r="I31" s="6" t="n">
        <x:v>104400</x:v>
      </x:c>
      <x:c r="J31" s="7" t="n">
        <x:v>14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26200</x:v>
      </x:c>
      <x:c r="E32" s="6" t="n">
        <x:v>85600</x:v>
      </x:c>
      <x:c r="F32" s="6" t="n">
        <x:f>D32-E32</x:f>
        <x:v>-59400</x:v>
      </x:c>
      <x:c r="G32" s="6" t="n">
        <x:f>G31+F32</x:f>
        <x:v>-2365600</x:v>
      </x:c>
      <x:c r="H32" s="6" t="n">
        <x:v>-72600</x:v>
      </x:c>
      <x:c r="I32" s="6" t="n">
        <x:v>88900</x:v>
      </x:c>
      <x:c r="J32" s="7" t="n">
        <x:v>13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641400</x:v>
      </x:c>
      <x:c r="E33" s="9" t="n">
        <x:f>SUM(E6:E32)</x:f>
        <x:v>3007000</x:v>
      </x:c>
      <x:c r="F33" s="9" t="n">
        <x:f>D33-E33</x:f>
        <x:v>-2365600</x:v>
      </x:c>
      <x:c r="G33" s="9" t="n">
        <x:f>G32</x:f>
        <x:v>-2365600</x:v>
      </x:c>
      <x:c r="H33" s="9" t="n">
        <x:f>MIN(H6:H32)</x:f>
        <x:v>-358200</x:v>
      </x:c>
      <x:c r="I33" s="9" t="n">
        <x:f>MAX(I6:I32)</x:f>
        <x:v>360400</x:v>
      </x:c>
      <x:c r="J33" s="10" t="n">
        <x:f>SUM(J6:J32)</x:f>
        <x:v>362</x:v>
      </x:c>
      <x:c r="K33" s="10" t="n">
        <x:f>SUM(K6:K32)</x:f>
        <x:v>2</x:v>
      </x:c>
    </x:row>
  </x:sheetData>
  <x:conditionalFormatting sqref="F6:H32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418b4e88654954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NK225_P164_03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反転入口・正利益開始・新波再参加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800</x:v>
      </x:c>
      <x:c r="E7" s="6" t="n">
        <x:v>144300</x:v>
      </x:c>
      <x:c r="F7" s="6" t="n">
        <x:f>D7-E7</x:f>
        <x:v>-143500</x:v>
      </x:c>
      <x:c r="G7" s="6" t="n">
        <x:f>G6+F7</x:f>
        <x:v>-143500</x:v>
      </x:c>
      <x:c r="H7" s="6" t="n">
        <x:v>-144400</x:v>
      </x:c>
      <x:c r="I7" s="6" t="n">
        <x:v>144400</x:v>
      </x:c>
      <x:c r="J7" s="7" t="n">
        <x:v>15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-143500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5800</x:v>
      </x:c>
      <x:c r="E9" s="6" t="n">
        <x:v>124800</x:v>
      </x:c>
      <x:c r="F9" s="6" t="n">
        <x:f>D9-E9</x:f>
        <x:v>-119000</x:v>
      </x:c>
      <x:c r="G9" s="6" t="n">
        <x:f>G8+F9</x:f>
        <x:v>-262500</x:v>
      </x:c>
      <x:c r="H9" s="6" t="n">
        <x:v>-119000</x:v>
      </x:c>
      <x:c r="I9" s="6" t="n">
        <x:v>119000</x:v>
      </x:c>
      <x:c r="J9" s="7" t="n">
        <x:v>11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4100</x:v>
      </x:c>
      <x:c r="E10" s="6" t="n">
        <x:v>87400</x:v>
      </x:c>
      <x:c r="F10" s="6" t="n">
        <x:f>D10-E10</x:f>
        <x:v>-83300</x:v>
      </x:c>
      <x:c r="G10" s="6" t="n">
        <x:f>G9+F10</x:f>
        <x:v>-345800</x:v>
      </x:c>
      <x:c r="H10" s="6" t="n">
        <x:v>-83300</x:v>
      </x:c>
      <x:c r="I10" s="6" t="n">
        <x:v>83300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3500</x:v>
      </x:c>
      <x:c r="E11" s="6" t="n">
        <x:v>82100</x:v>
      </x:c>
      <x:c r="F11" s="6" t="n">
        <x:f>D11-E11</x:f>
        <x:v>-78600</x:v>
      </x:c>
      <x:c r="G11" s="6" t="n">
        <x:f>G10+F11</x:f>
        <x:v>-424400</x:v>
      </x:c>
      <x:c r="H11" s="6" t="n">
        <x:v>-87000</x:v>
      </x:c>
      <x:c r="I11" s="6" t="n">
        <x:v>87000</x:v>
      </x:c>
      <x:c r="J11" s="7" t="n">
        <x:v>13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16400</x:v>
      </x:c>
      <x:c r="E12" s="6" t="n">
        <x:v>38000</x:v>
      </x:c>
      <x:c r="F12" s="6" t="n">
        <x:f>D12-E12</x:f>
        <x:v>-21600</x:v>
      </x:c>
      <x:c r="G12" s="6" t="n">
        <x:f>G11+F12</x:f>
        <x:v>-446000</x:v>
      </x:c>
      <x:c r="H12" s="6" t="n">
        <x:v>-31100</x:v>
      </x:c>
      <x:c r="I12" s="6" t="n">
        <x:v>36200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78300</x:v>
      </x:c>
      <x:c r="E13" s="6" t="n">
        <x:v>110600</x:v>
      </x:c>
      <x:c r="F13" s="6" t="n">
        <x:f>D13-E13</x:f>
        <x:v>-32300</x:v>
      </x:c>
      <x:c r="G13" s="6" t="n">
        <x:f>G12+F13</x:f>
        <x:v>-478300</x:v>
      </x:c>
      <x:c r="H13" s="6" t="n">
        <x:v>-51500</x:v>
      </x:c>
      <x:c r="I13" s="6" t="n">
        <x:v>117300</x:v>
      </x:c>
      <x:c r="J13" s="7" t="n">
        <x:v>26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61500</x:v>
      </x:c>
      <x:c r="E14" s="6" t="n">
        <x:v>145400</x:v>
      </x:c>
      <x:c r="F14" s="6" t="n">
        <x:f>D14-E14</x:f>
        <x:v>-83900</x:v>
      </x:c>
      <x:c r="G14" s="6" t="n">
        <x:f>G13+F14</x:f>
        <x:v>-562200</x:v>
      </x:c>
      <x:c r="H14" s="6" t="n">
        <x:v>-97400</x:v>
      </x:c>
      <x:c r="I14" s="6" t="n">
        <x:v>138500</x:v>
      </x:c>
      <x:c r="J14" s="7" t="n">
        <x:v>30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11700</x:v>
      </x:c>
      <x:c r="E15" s="6" t="n">
        <x:v>322400</x:v>
      </x:c>
      <x:c r="F15" s="6" t="n">
        <x:f>D15-E15</x:f>
        <x:v>-310700</x:v>
      </x:c>
      <x:c r="G15" s="6" t="n">
        <x:f>G14+F15</x:f>
        <x:v>-872900</x:v>
      </x:c>
      <x:c r="H15" s="6" t="n">
        <x:v>-310700</x:v>
      </x:c>
      <x:c r="I15" s="6" t="n">
        <x:v>310700</x:v>
      </x:c>
      <x:c r="J15" s="7" t="n">
        <x:v>25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0</x:v>
      </x:c>
      <x:c r="E16" s="6" t="n">
        <x:v>144000</x:v>
      </x:c>
      <x:c r="F16" s="6" t="n">
        <x:f>D16-E16</x:f>
        <x:v>-144000</x:v>
      </x:c>
      <x:c r="G16" s="6" t="n">
        <x:f>G15+F16</x:f>
        <x:v>-1016900</x:v>
      </x:c>
      <x:c r="H16" s="6" t="n">
        <x:v>-149400</x:v>
      </x:c>
      <x:c r="I16" s="6" t="n">
        <x:v>149400</x:v>
      </x:c>
      <x:c r="J16" s="7" t="n">
        <x:v>15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12400</x:v>
      </x:c>
      <x:c r="E17" s="6" t="n">
        <x:v>32700</x:v>
      </x:c>
      <x:c r="F17" s="6" t="n">
        <x:f>D17-E17</x:f>
        <x:v>-20300</x:v>
      </x:c>
      <x:c r="G17" s="6" t="n">
        <x:f>G16+F17</x:f>
        <x:v>-1037200</x:v>
      </x:c>
      <x:c r="H17" s="6" t="n">
        <x:v>-38400</x:v>
      </x:c>
      <x:c r="I17" s="6" t="n">
        <x:v>55900</x:v>
      </x:c>
      <x:c r="J17" s="7" t="n">
        <x:v>7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18300</x:v>
      </x:c>
      <x:c r="E18" s="6" t="n">
        <x:v>104800</x:v>
      </x:c>
      <x:c r="F18" s="6" t="n">
        <x:f>D18-E18</x:f>
        <x:v>-86500</x:v>
      </x:c>
      <x:c r="G18" s="6" t="n">
        <x:f>G17+F18</x:f>
        <x:v>-1123700</x:v>
      </x:c>
      <x:c r="H18" s="6" t="n">
        <x:v>-86500</x:v>
      </x:c>
      <x:c r="I18" s="6" t="n">
        <x:v>129200</x:v>
      </x:c>
      <x:c r="J18" s="7" t="n">
        <x:v>10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13500</x:v>
      </x:c>
      <x:c r="E19" s="6" t="n">
        <x:v>144100</x:v>
      </x:c>
      <x:c r="F19" s="6" t="n">
        <x:f>D19-E19</x:f>
        <x:v>-130600</x:v>
      </x:c>
      <x:c r="G19" s="6" t="n">
        <x:f>G18+F19</x:f>
        <x:v>-1254300</x:v>
      </x:c>
      <x:c r="H19" s="6" t="n">
        <x:v>-150600</x:v>
      </x:c>
      <x:c r="I19" s="6" t="n">
        <x:v>150600</x:v>
      </x:c>
      <x:c r="J19" s="7" t="n">
        <x:v>12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6300</x:v>
      </x:c>
      <x:c r="E20" s="6" t="n">
        <x:v>94000</x:v>
      </x:c>
      <x:c r="F20" s="6" t="n">
        <x:f>D20-E20</x:f>
        <x:v>-87700</x:v>
      </x:c>
      <x:c r="G20" s="6" t="n">
        <x:f>G19+F20</x:f>
        <x:v>-1342000</x:v>
      </x:c>
      <x:c r="H20" s="6" t="n">
        <x:v>-87700</x:v>
      </x:c>
      <x:c r="I20" s="6" t="n">
        <x:v>87700</x:v>
      </x:c>
      <x:c r="J20" s="7" t="n">
        <x:v>5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-1342000</x:v>
      </x:c>
      <x:c r="H21" s="6" t="n">
        <x:v>-18600</x:v>
      </x:c>
      <x:c r="I21" s="6" t="n">
        <x:v>18600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7000</x:v>
      </x:c>
      <x:c r="E22" s="6" t="n">
        <x:v>56800</x:v>
      </x:c>
      <x:c r="F22" s="6" t="n">
        <x:f>D22-E22</x:f>
        <x:v>-49800</x:v>
      </x:c>
      <x:c r="G22" s="6" t="n">
        <x:f>G21+F22</x:f>
        <x:v>-1391800</x:v>
      </x:c>
      <x:c r="H22" s="6" t="n">
        <x:v>-49800</x:v>
      </x:c>
      <x:c r="I22" s="6" t="n">
        <x:v>56800</x:v>
      </x:c>
      <x:c r="J22" s="7" t="n">
        <x:v>4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5700</x:v>
      </x:c>
      <x:c r="E23" s="6" t="n">
        <x:v>50300</x:v>
      </x:c>
      <x:c r="F23" s="6" t="n">
        <x:f>D23-E23</x:f>
        <x:v>-44600</x:v>
      </x:c>
      <x:c r="G23" s="6" t="n">
        <x:f>G22+F23</x:f>
        <x:v>-1436400</x:v>
      </x:c>
      <x:c r="H23" s="6" t="n">
        <x:v>-67400</x:v>
      </x:c>
      <x:c r="I23" s="6" t="n">
        <x:v>67400</x:v>
      </x:c>
      <x:c r="J23" s="7" t="n">
        <x:v>7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4700</x:v>
      </x:c>
      <x:c r="E24" s="6" t="n">
        <x:v>348900</x:v>
      </x:c>
      <x:c r="F24" s="6" t="n">
        <x:f>D24-E24</x:f>
        <x:v>-344200</x:v>
      </x:c>
      <x:c r="G24" s="6" t="n">
        <x:f>G23+F24</x:f>
        <x:v>-1780600</x:v>
      </x:c>
      <x:c r="H24" s="6" t="n">
        <x:v>-358200</x:v>
      </x:c>
      <x:c r="I24" s="6" t="n">
        <x:v>360400</x:v>
      </x:c>
      <x:c r="J24" s="7" t="n">
        <x:v>27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8000</x:v>
      </x:c>
      <x:c r="E25" s="6" t="n">
        <x:v>48400</x:v>
      </x:c>
      <x:c r="F25" s="6" t="n">
        <x:f>D25-E25</x:f>
        <x:v>-40400</x:v>
      </x:c>
      <x:c r="G25" s="6" t="n">
        <x:f>G24+F25</x:f>
        <x:v>-1821000</x:v>
      </x:c>
      <x:c r="H25" s="6" t="n">
        <x:v>-50800</x:v>
      </x:c>
      <x:c r="I25" s="6" t="n">
        <x:v>54300</x:v>
      </x:c>
      <x:c r="J25" s="7" t="n">
        <x:v>6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68400</x:v>
      </x:c>
      <x:c r="E26" s="6" t="n">
        <x:v>89200</x:v>
      </x:c>
      <x:c r="F26" s="6" t="n">
        <x:f>D26-E26</x:f>
        <x:v>-20800</x:v>
      </x:c>
      <x:c r="G26" s="6" t="n">
        <x:f>G25+F26</x:f>
        <x:v>-1841800</x:v>
      </x:c>
      <x:c r="H26" s="6" t="n">
        <x:v>-63100</x:v>
      </x:c>
      <x:c r="I26" s="6" t="n">
        <x:v>75800</x:v>
      </x:c>
      <x:c r="J26" s="7" t="n">
        <x:v>14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166600</x:v>
      </x:c>
      <x:c r="E27" s="6" t="n">
        <x:v>294200</x:v>
      </x:c>
      <x:c r="F27" s="6" t="n">
        <x:f>D27-E27</x:f>
        <x:v>-127600</x:v>
      </x:c>
      <x:c r="G27" s="6" t="n">
        <x:f>G26+F27</x:f>
        <x:v>-1969400</x:v>
      </x:c>
      <x:c r="H27" s="6" t="n">
        <x:v>-151400</x:v>
      </x:c>
      <x:c r="I27" s="6" t="n">
        <x:v>156500</x:v>
      </x:c>
      <x:c r="J27" s="7" t="n">
        <x:v>40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69000</x:v>
      </x:c>
      <x:c r="E28" s="6" t="n">
        <x:v>86500</x:v>
      </x:c>
      <x:c r="F28" s="6" t="n">
        <x:f>D28-E28</x:f>
        <x:v>-17500</x:v>
      </x:c>
      <x:c r="G28" s="6" t="n">
        <x:f>G27+F28</x:f>
        <x:v>-1986900</x:v>
      </x:c>
      <x:c r="H28" s="6" t="n">
        <x:v>-71400</x:v>
      </x:c>
      <x:c r="I28" s="6" t="n">
        <x:v>71400</x:v>
      </x:c>
      <x:c r="J28" s="7" t="n">
        <x:v>14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15800</x:v>
      </x:c>
      <x:c r="E29" s="6" t="n">
        <x:v>57300</x:v>
      </x:c>
      <x:c r="F29" s="6" t="n">
        <x:f>D29-E29</x:f>
        <x:v>-41500</x:v>
      </x:c>
      <x:c r="G29" s="6" t="n">
        <x:f>G28+F29</x:f>
        <x:v>-2028400</x:v>
      </x:c>
      <x:c r="H29" s="6" t="n">
        <x:v>-71100</x:v>
      </x:c>
      <x:c r="I29" s="6" t="n">
        <x:v>91800</x:v>
      </x:c>
      <x:c r="J29" s="7" t="n">
        <x:v>16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29500</x:v>
      </x:c>
      <x:c r="E30" s="6" t="n">
        <x:v>227100</x:v>
      </x:c>
      <x:c r="F30" s="6" t="n">
        <x:f>D30-E30</x:f>
        <x:v>-197600</x:v>
      </x:c>
      <x:c r="G30" s="6" t="n">
        <x:f>G29+F30</x:f>
        <x:v>-2226000</x:v>
      </x:c>
      <x:c r="H30" s="6" t="n">
        <x:v>-218600</x:v>
      </x:c>
      <x:c r="I30" s="6" t="n">
        <x:v>235800</x:v>
      </x:c>
      <x:c r="J30" s="7" t="n">
        <x:v>24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7900</x:v>
      </x:c>
      <x:c r="E31" s="6" t="n">
        <x:v>88100</x:v>
      </x:c>
      <x:c r="F31" s="6" t="n">
        <x:f>D31-E31</x:f>
        <x:v>-80200</x:v>
      </x:c>
      <x:c r="G31" s="6" t="n">
        <x:f>G30+F31</x:f>
        <x:v>-2306200</x:v>
      </x:c>
      <x:c r="H31" s="6" t="n">
        <x:v>-87000</x:v>
      </x:c>
      <x:c r="I31" s="6" t="n">
        <x:v>104400</x:v>
      </x:c>
      <x:c r="J31" s="7" t="n">
        <x:v>14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26200</x:v>
      </x:c>
      <x:c r="E32" s="6" t="n">
        <x:v>85600</x:v>
      </x:c>
      <x:c r="F32" s="6" t="n">
        <x:f>D32-E32</x:f>
        <x:v>-59400</x:v>
      </x:c>
      <x:c r="G32" s="6" t="n">
        <x:f>G31+F32</x:f>
        <x:v>-2365600</x:v>
      </x:c>
      <x:c r="H32" s="6" t="n">
        <x:v>-72600</x:v>
      </x:c>
      <x:c r="I32" s="6" t="n">
        <x:v>88900</x:v>
      </x:c>
      <x:c r="J32" s="7" t="n">
        <x:v>13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641400</x:v>
      </x:c>
      <x:c r="E33" s="9" t="n">
        <x:f>SUM(E6:E32)</x:f>
        <x:v>3007000</x:v>
      </x:c>
      <x:c r="F33" s="9" t="n">
        <x:f>D33-E33</x:f>
        <x:v>-2365600</x:v>
      </x:c>
      <x:c r="G33" s="9" t="n">
        <x:f>G32</x:f>
        <x:v>-2365600</x:v>
      </x:c>
      <x:c r="H33" s="9" t="n">
        <x:f>MIN(H6:H32)</x:f>
        <x:v>-358200</x:v>
      </x:c>
      <x:c r="I33" s="9" t="n">
        <x:f>MAX(I6:I32)</x:f>
        <x:v>360400</x:v>
      </x:c>
      <x:c r="J33" s="10" t="n">
        <x:f>SUM(J6:J32)</x:f>
        <x:v>362</x:v>
      </x:c>
      <x:c r="K33" s="10" t="n">
        <x:f>SUM(K6:K32)</x:f>
        <x:v>2</x:v>
      </x:c>
    </x:row>
  </x:sheetData>
  <x:conditionalFormatting sqref="F6:H32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d70add67eb45dc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NK225_U164_00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旧D07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7" t="n">
        <x:v>1</x:v>
      </x:c>
      <x:c r="K6" s="7" t="n">
        <x:f>IF(J6=0,1,0)</x:f>
        <x:v>0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32000</x:v>
      </x:c>
      <x:c r="E7" s="6" t="n">
        <x:v>8000</x:v>
      </x:c>
      <x:c r="F7" s="6" t="n">
        <x:f>D7-E7</x:f>
        <x:v>24000</x:v>
      </x:c>
      <x:c r="G7" s="6" t="n">
        <x:f>G6+F7</x:f>
        <x:v>-21000</x:v>
      </x:c>
      <x:c r="H7" s="6" t="n">
        <x:v>-35000</x:v>
      </x:c>
      <x:c r="I7" s="6" t="n">
        <x:v>50000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5000</x:v>
      </x:c>
      <x:c r="E8" s="6" t="n">
        <x:v>41000</x:v>
      </x:c>
      <x:c r="F8" s="6" t="n">
        <x:f>D8-E8</x:f>
        <x:v>-36000</x:v>
      </x:c>
      <x:c r="G8" s="6" t="n">
        <x:f>G7+F8</x:f>
        <x:v>-57000</x:v>
      </x:c>
      <x:c r="H8" s="6" t="n">
        <x:v>-44000</x:v>
      </x:c>
      <x:c r="I8" s="6" t="n">
        <x:v>44000</x:v>
      </x:c>
      <x:c r="J8" s="7" t="n">
        <x:v>3</x:v>
      </x:c>
      <x:c r="K8" s="7" t="n">
        <x:f>IF(J8=0,1,0)</x:f>
        <x:v>0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20000</x:v>
      </x:c>
      <x:c r="E9" s="6" t="n">
        <x:v>0</x:v>
      </x:c>
      <x:c r="F9" s="6" t="n">
        <x:f>D9-E9</x:f>
        <x:v>20000</x:v>
      </x:c>
      <x:c r="G9" s="6" t="n">
        <x:f>G8+F9</x:f>
        <x:v>-37000</x:v>
      </x:c>
      <x:c r="H9" s="6" t="n">
        <x:v>-3000</x:v>
      </x:c>
      <x:c r="I9" s="6" t="n">
        <x:v>24000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-36000</x:v>
      </x:c>
      <x:c r="H10" s="6" t="n">
        <x:v>-16000</x:v>
      </x:c>
      <x:c r="I10" s="6" t="n">
        <x:v>24000</x:v>
      </x:c>
      <x:c r="J10" s="7" t="n">
        <x:v>2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10000</x:v>
      </x:c>
      <x:c r="E11" s="6" t="n">
        <x:v>39000</x:v>
      </x:c>
      <x:c r="F11" s="6" t="n">
        <x:f>D11-E11</x:f>
        <x:v>-29000</x:v>
      </x:c>
      <x:c r="G11" s="6" t="n">
        <x:f>G10+F11</x:f>
        <x:v>-65000</x:v>
      </x:c>
      <x:c r="H11" s="6" t="n">
        <x:v>-40000</x:v>
      </x:c>
      <x:c r="I11" s="6" t="n">
        <x:v>43000</x:v>
      </x:c>
      <x:c r="J11" s="7" t="n">
        <x:v>4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90000</x:v>
      </x:c>
      <x:c r="E12" s="6" t="n">
        <x:v>25000</x:v>
      </x:c>
      <x:c r="F12" s="6" t="n">
        <x:f>D12-E12</x:f>
        <x:v>65000</x:v>
      </x:c>
      <x:c r="G12" s="6" t="n">
        <x:f>G11+F12</x:f>
        <x:v>0</x:v>
      </x:c>
      <x:c r="H12" s="6" t="n">
        <x:v>-30000</x:v>
      </x:c>
      <x:c r="I12" s="6" t="n">
        <x:v>70000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49000</x:v>
      </x:c>
      <x:c r="E13" s="6" t="n">
        <x:v>6000</x:v>
      </x:c>
      <x:c r="F13" s="6" t="n">
        <x:f>D13-E13</x:f>
        <x:v>43000</x:v>
      </x:c>
      <x:c r="G13" s="6" t="n">
        <x:f>G12+F13</x:f>
        <x:v>43000</x:v>
      </x:c>
      <x:c r="H13" s="6" t="n">
        <x:v>-21000</x:v>
      </x:c>
      <x:c r="I13" s="6" t="n">
        <x:v>63000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190000</x:v>
      </x:c>
      <x:c r="E14" s="6" t="n">
        <x:v>92000</x:v>
      </x:c>
      <x:c r="F14" s="6" t="n">
        <x:f>D14-E14</x:f>
        <x:v>98000</x:v>
      </x:c>
      <x:c r="G14" s="6" t="n">
        <x:f>G13+F14</x:f>
        <x:v>141000</x:v>
      </x:c>
      <x:c r="H14" s="6" t="n">
        <x:v>-61000</x:v>
      </x:c>
      <x:c r="I14" s="6" t="n">
        <x:v>145000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313000</x:v>
      </x:c>
      <x:c r="E15" s="6" t="n">
        <x:v>57000</x:v>
      </x:c>
      <x:c r="F15" s="6" t="n">
        <x:f>D15-E15</x:f>
        <x:v>256000</x:v>
      </x:c>
      <x:c r="G15" s="6" t="n">
        <x:f>G14+F15</x:f>
        <x:v>397000</x:v>
      </x:c>
      <x:c r="H15" s="6" t="n">
        <x:v>-34000</x:v>
      </x:c>
      <x:c r="I15" s="6" t="n">
        <x:v>162000</x:v>
      </x:c>
      <x:c r="J15" s="7" t="n">
        <x:v>15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98000</x:v>
      </x:c>
      <x:c r="E16" s="6" t="n">
        <x:v>64000</x:v>
      </x:c>
      <x:c r="F16" s="6" t="n">
        <x:f>D16-E16</x:f>
        <x:v>34000</x:v>
      </x:c>
      <x:c r="G16" s="6" t="n">
        <x:f>G15+F16</x:f>
        <x:v>431000</x:v>
      </x:c>
      <x:c r="H16" s="6" t="n">
        <x:v>-38000</x:v>
      </x:c>
      <x:c r="I16" s="6" t="n">
        <x:v>128000</x:v>
      </x:c>
      <x:c r="J16" s="7" t="n">
        <x:v>7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421000</x:v>
      </x:c>
      <x:c r="H17" s="6" t="n">
        <x:v>-56000</x:v>
      </x:c>
      <x:c r="I17" s="6" t="n">
        <x:v>56000</x:v>
      </x:c>
      <x:c r="J17" s="7" t="n">
        <x:v>4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22000</x:v>
      </x:c>
      <x:c r="F18" s="6" t="n">
        <x:f>D18-E18</x:f>
        <x:v>-22000</x:v>
      </x:c>
      <x:c r="G18" s="6" t="n">
        <x:f>G17+F18</x:f>
        <x:v>399000</x:v>
      </x:c>
      <x:c r="H18" s="6" t="n">
        <x:v>-24000</x:v>
      </x:c>
      <x:c r="I18" s="6" t="n">
        <x:v>30000</x:v>
      </x:c>
      <x:c r="J18" s="7" t="n">
        <x:v>2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342000</x:v>
      </x:c>
      <x:c r="E19" s="6" t="n">
        <x:v>36000</x:v>
      </x:c>
      <x:c r="F19" s="6" t="n">
        <x:f>D19-E19</x:f>
        <x:v>306000</x:v>
      </x:c>
      <x:c r="G19" s="6" t="n">
        <x:f>G18+F19</x:f>
        <x:v>705000</x:v>
      </x:c>
      <x:c r="H19" s="6" t="n">
        <x:v>-42000</x:v>
      </x:c>
      <x:c r="I19" s="6" t="n">
        <x:v>102000</x:v>
      </x:c>
      <x:c r="J19" s="7" t="n">
        <x:v>15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16000</x:v>
      </x:c>
      <x:c r="E20" s="6" t="n">
        <x:v>2000</x:v>
      </x:c>
      <x:c r="F20" s="6" t="n">
        <x:f>D20-E20</x:f>
        <x:v>14000</x:v>
      </x:c>
      <x:c r="G20" s="6" t="n">
        <x:f>G19+F20</x:f>
        <x:v>719000</x:v>
      </x:c>
      <x:c r="H20" s="6" t="n">
        <x:v>-35000</x:v>
      </x:c>
      <x:c r="I20" s="6" t="n">
        <x:v>60000</x:v>
      </x:c>
      <x:c r="J20" s="7" t="n">
        <x:v>1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801000</x:v>
      </x:c>
      <x:c r="H21" s="6" t="n">
        <x:v>-10000</x:v>
      </x:c>
      <x:c r="I21" s="6" t="n">
        <x:v>33000</x:v>
      </x:c>
      <x:c r="J21" s="7" t="n">
        <x:v>1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53000</x:v>
      </x:c>
      <x:c r="F22" s="6" t="n">
        <x:f>D22-E22</x:f>
        <x:v>-53000</x:v>
      </x:c>
      <x:c r="G22" s="6" t="n">
        <x:f>G21+F22</x:f>
        <x:v>748000</x:v>
      </x:c>
      <x:c r="H22" s="6" t="n">
        <x:v>-53000</x:v>
      </x:c>
      <x:c r="I22" s="6" t="n">
        <x:v>58000</x:v>
      </x:c>
      <x:c r="J22" s="7" t="n">
        <x:v>2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197000</x:v>
      </x:c>
      <x:c r="E23" s="6" t="n">
        <x:v>61000</x:v>
      </x:c>
      <x:c r="F23" s="6" t="n">
        <x:f>D23-E23</x:f>
        <x:v>136000</x:v>
      </x:c>
      <x:c r="G23" s="6" t="n">
        <x:f>G22+F23</x:f>
        <x:v>884000</x:v>
      </x:c>
      <x:c r="H23" s="6" t="n">
        <x:v>-60000</x:v>
      </x:c>
      <x:c r="I23" s="6" t="n">
        <x:v>62000</x:v>
      </x:c>
      <x:c r="J23" s="7" t="n">
        <x:v>4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86000</x:v>
      </x:c>
      <x:c r="E24" s="6" t="n">
        <x:v>64000</x:v>
      </x:c>
      <x:c r="F24" s="6" t="n">
        <x:f>D24-E24</x:f>
        <x:v>22000</x:v>
      </x:c>
      <x:c r="G24" s="6" t="n">
        <x:f>G23+F24</x:f>
        <x:v>906000</x:v>
      </x:c>
      <x:c r="H24" s="6" t="n">
        <x:v>-48000</x:v>
      </x:c>
      <x:c r="I24" s="6" t="n">
        <x:v>90000</x:v>
      </x:c>
      <x:c r="J24" s="7" t="n">
        <x:v>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177000</x:v>
      </x:c>
      <x:c r="E25" s="6" t="n">
        <x:v>145000</x:v>
      </x:c>
      <x:c r="F25" s="6" t="n">
        <x:f>D25-E25</x:f>
        <x:v>32000</x:v>
      </x:c>
      <x:c r="G25" s="6" t="n">
        <x:f>G24+F25</x:f>
        <x:v>938000</x:v>
      </x:c>
      <x:c r="H25" s="6" t="n">
        <x:v>-85000</x:v>
      </x:c>
      <x:c r="I25" s="6" t="n">
        <x:v>121000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97000</x:v>
      </x:c>
      <x:c r="E26" s="6" t="n">
        <x:v>105000</x:v>
      </x:c>
      <x:c r="F26" s="6" t="n">
        <x:f>D26-E26</x:f>
        <x:v>-8000</x:v>
      </x:c>
      <x:c r="G26" s="6" t="n">
        <x:f>G25+F26</x:f>
        <x:v>930000</x:v>
      </x:c>
      <x:c r="H26" s="6" t="n">
        <x:v>-68000</x:v>
      </x:c>
      <x:c r="I26" s="6" t="n">
        <x:v>97000</x:v>
      </x:c>
      <x:c r="J26" s="7" t="n">
        <x:v>12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99000</x:v>
      </x:c>
      <x:c r="E27" s="6" t="n">
        <x:v>33000</x:v>
      </x:c>
      <x:c r="F27" s="6" t="n">
        <x:f>D27-E27</x:f>
        <x:v>66000</x:v>
      </x:c>
      <x:c r="G27" s="6" t="n">
        <x:f>G26+F27</x:f>
        <x:v>996000</x:v>
      </x:c>
      <x:c r="H27" s="6" t="n">
        <x:v>-8000</x:v>
      </x:c>
      <x:c r="I27" s="6" t="n">
        <x:v>53000</x:v>
      </x:c>
      <x:c r="J27" s="7" t="n">
        <x:v>7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65000</x:v>
      </x:c>
      <x:c r="E28" s="6" t="n">
        <x:v>89000</x:v>
      </x:c>
      <x:c r="F28" s="6" t="n">
        <x:f>D28-E28</x:f>
        <x:v>-24000</x:v>
      </x:c>
      <x:c r="G28" s="6" t="n">
        <x:f>G27+F28</x:f>
        <x:v>972000</x:v>
      </x:c>
      <x:c r="H28" s="6" t="n">
        <x:v>-50000</x:v>
      </x:c>
      <x:c r="I28" s="6" t="n">
        <x:v>131000</x:v>
      </x:c>
      <x:c r="J28" s="7" t="n">
        <x:v>5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156000</x:v>
      </x:c>
      <x:c r="E29" s="6" t="n">
        <x:v>0</x:v>
      </x:c>
      <x:c r="F29" s="6" t="n">
        <x:f>D29-E29</x:f>
        <x:v>156000</x:v>
      </x:c>
      <x:c r="G29" s="6" t="n">
        <x:f>G28+F29</x:f>
        <x:v>1128000</x:v>
      </x:c>
      <x:c r="H29" s="6" t="n">
        <x:v>-2000</x:v>
      </x:c>
      <x:c r="I29" s="6" t="n">
        <x:v>64000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49000</x:v>
      </x:c>
      <x:c r="E30" s="6" t="n">
        <x:v>34000</x:v>
      </x:c>
      <x:c r="F30" s="6" t="n">
        <x:f>D30-E30</x:f>
        <x:v>15000</x:v>
      </x:c>
      <x:c r="G30" s="6" t="n">
        <x:f>G29+F30</x:f>
        <x:v>1143000</x:v>
      </x:c>
      <x:c r="H30" s="6" t="n">
        <x:v>-30000</x:v>
      </x:c>
      <x:c r="I30" s="6" t="n">
        <x:v>89000</x:v>
      </x:c>
      <x:c r="J30" s="7" t="n">
        <x:v>6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73000</x:v>
      </x:c>
      <x:c r="E31" s="6" t="n">
        <x:v>124000</x:v>
      </x:c>
      <x:c r="F31" s="6" t="n">
        <x:f>D31-E31</x:f>
        <x:v>-51000</x:v>
      </x:c>
      <x:c r="G31" s="6" t="n">
        <x:f>G30+F31</x:f>
        <x:v>1092000</x:v>
      </x:c>
      <x:c r="H31" s="6" t="n">
        <x:v>-52000</x:v>
      </x:c>
      <x:c r="I31" s="6" t="n">
        <x:v>121000</x:v>
      </x:c>
      <x:c r="J31" s="7" t="n">
        <x:v>11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8000</x:v>
      </x:c>
      <x:c r="E32" s="6" t="n">
        <x:v>0</x:v>
      </x:c>
      <x:c r="F32" s="6" t="n">
        <x:f>D32-E32</x:f>
        <x:v>8000</x:v>
      </x:c>
      <x:c r="G32" s="6" t="n">
        <x:f>G31+F32</x:f>
        <x:v>1100000</x:v>
      </x:c>
      <x:c r="H32" s="6" t="n">
        <x:v>-3000</x:v>
      </x:c>
      <x:c r="I32" s="6" t="n">
        <x:v>24000</x:v>
      </x:c>
      <x:c r="J32" s="7" t="n">
        <x:v>2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2304000</x:v>
      </x:c>
      <x:c r="E33" s="9" t="n">
        <x:f>SUM(E6:E32)</x:f>
        <x:v>1204000</x:v>
      </x:c>
      <x:c r="F33" s="9" t="n">
        <x:f>D33-E33</x:f>
        <x:v>1100000</x:v>
      </x:c>
      <x:c r="G33" s="9" t="n">
        <x:f>G32</x:f>
        <x:v>1100000</x:v>
      </x:c>
      <x:c r="H33" s="9" t="n">
        <x:f>MIN(H6:H32)</x:f>
        <x:v>-85000</x:v>
      </x:c>
      <x:c r="I33" s="9" t="n">
        <x:f>MAX(I6:I32)</x:f>
        <x:v>162000</x:v>
      </x:c>
      <x:c r="J33" s="10" t="n">
        <x:f>SUM(J6:J32)</x:f>
        <x:v>147</x:v>
      </x:c>
      <x:c r="K33" s="10" t="n">
        <x:f>SUM(K6:K32)</x:f>
        <x:v>0</x:v>
      </x:c>
    </x:row>
  </x:sheetData>
  <x:conditionalFormatting sqref="F6:H32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7b90ceec16473a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NK225_U164_01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押戻り再加速入口・R利益開始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0</x:v>
      </x:c>
      <x:c r="E7" s="6" t="n">
        <x:v>0</x:v>
      </x:c>
      <x:c r="F7" s="6" t="n">
        <x:f>D7-E7</x:f>
        <x:v>0</x:v>
      </x:c>
      <x:c r="G7" s="6" t="n">
        <x:f>G6+F7</x:f>
        <x:v>0</x:v>
      </x:c>
      <x:c r="H7" s="6" t="n">
        <x:v>0</x:v>
      </x:c>
      <x:c r="I7" s="6" t="n">
        <x:v>0</x:v>
      </x:c>
      <x:c r="J7" s="7" t="n">
        <x:v>0</x:v>
      </x:c>
      <x:c r="K7" s="7" t="n">
        <x:f>IF(J7=0,1,0)</x:f>
        <x:v>1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0</x:v>
      </x:c>
      <x:c r="E9" s="6" t="n">
        <x:v>0</x:v>
      </x:c>
      <x:c r="F9" s="6" t="n">
        <x:f>D9-E9</x:f>
        <x:v>0</x:v>
      </x:c>
      <x:c r="G9" s="6" t="n">
        <x:f>G8+F9</x:f>
        <x:v>0</x:v>
      </x:c>
      <x:c r="H9" s="6" t="n">
        <x:v>0</x:v>
      </x:c>
      <x:c r="I9" s="6" t="n">
        <x:v>0</x:v>
      </x:c>
      <x:c r="J9" s="7" t="n">
        <x:v>0</x:v>
      </x:c>
      <x:c r="K9" s="7" t="n">
        <x:f>IF(J9=0,1,0)</x:f>
        <x:v>1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0</x:v>
      </x:c>
      <x:c r="F11" s="6" t="n">
        <x:f>D11-E11</x:f>
        <x:v>0</x:v>
      </x:c>
      <x:c r="G11" s="6" t="n">
        <x:f>G10+F11</x:f>
        <x:v>0</x:v>
      </x:c>
      <x:c r="H11" s="6" t="n">
        <x:v>0</x:v>
      </x:c>
      <x:c r="I11" s="6" t="n">
        <x:v>0</x:v>
      </x:c>
      <x:c r="J11" s="7" t="n">
        <x:v>0</x:v>
      </x:c>
      <x:c r="K11" s="7" t="n">
        <x:f>IF(J11=0,1,0)</x:f>
        <x:v>1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0</x:v>
      </x:c>
      <x:c r="E13" s="6" t="n">
        <x:v>0</x:v>
      </x:c>
      <x:c r="F13" s="6" t="n">
        <x:f>D13-E13</x:f>
        <x:v>0</x:v>
      </x:c>
      <x:c r="G13" s="6" t="n">
        <x:f>G12+F13</x:f>
        <x:v>0</x:v>
      </x:c>
      <x:c r="H13" s="6" t="n">
        <x:v>0</x:v>
      </x:c>
      <x:c r="I13" s="6" t="n">
        <x:v>0</x:v>
      </x:c>
      <x:c r="J13" s="7" t="n">
        <x:v>0</x:v>
      </x:c>
      <x:c r="K13" s="7" t="n">
        <x:f>IF(J13=0,1,0)</x:f>
        <x:v>1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0</x:v>
      </x:c>
      <x:c r="E14" s="6" t="n">
        <x:v>0</x:v>
      </x:c>
      <x:c r="F14" s="6" t="n">
        <x:f>D14-E14</x:f>
        <x:v>0</x:v>
      </x:c>
      <x:c r="G14" s="6" t="n">
        <x:f>G13+F14</x:f>
        <x:v>0</x:v>
      </x:c>
      <x:c r="H14" s="6" t="n">
        <x:v>0</x:v>
      </x:c>
      <x:c r="I14" s="6" t="n">
        <x:v>0</x:v>
      </x:c>
      <x:c r="J14" s="7" t="n">
        <x:v>0</x:v>
      </x:c>
      <x:c r="K14" s="7" t="n">
        <x:f>IF(J14=0,1,0)</x:f>
        <x:v>1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0</x:v>
      </x:c>
      <x:c r="E16" s="6" t="n">
        <x:v>0</x:v>
      </x:c>
      <x:c r="F16" s="6" t="n">
        <x:f>D16-E16</x:f>
        <x:v>0</x:v>
      </x:c>
      <x:c r="G16" s="6" t="n">
        <x:f>G15+F16</x:f>
        <x:v>0</x:v>
      </x:c>
      <x:c r="H16" s="6" t="n">
        <x:v>0</x:v>
      </x:c>
      <x:c r="I16" s="6" t="n">
        <x:v>0</x:v>
      </x:c>
      <x:c r="J16" s="7" t="n">
        <x:v>0</x:v>
      </x:c>
      <x:c r="K16" s="7" t="n">
        <x:f>IF(J16=0,1,0)</x:f>
        <x:v>1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0</x:v>
      </x:c>
      <x:c r="F18" s="6" t="n">
        <x:f>D18-E18</x:f>
        <x:v>0</x:v>
      </x:c>
      <x:c r="G18" s="6" t="n">
        <x:f>G17+F18</x:f>
        <x:v>0</x:v>
      </x:c>
      <x:c r="H18" s="6" t="n">
        <x:v>0</x:v>
      </x:c>
      <x:c r="I18" s="6" t="n">
        <x:v>0</x:v>
      </x:c>
      <x:c r="J18" s="7" t="n">
        <x:v>0</x:v>
      </x:c>
      <x:c r="K18" s="7" t="n">
        <x:f>IF(J18=0,1,0)</x:f>
        <x:v>1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0</x:v>
      </x:c>
      <x:c r="E19" s="6" t="n">
        <x:v>0</x:v>
      </x:c>
      <x:c r="F19" s="6" t="n">
        <x:f>D19-E19</x:f>
        <x:v>0</x:v>
      </x:c>
      <x:c r="G19" s="6" t="n">
        <x:f>G18+F19</x:f>
        <x:v>0</x:v>
      </x:c>
      <x:c r="H19" s="6" t="n">
        <x:v>0</x:v>
      </x:c>
      <x:c r="I19" s="6" t="n">
        <x:v>0</x:v>
      </x:c>
      <x:c r="J19" s="7" t="n">
        <x:v>0</x:v>
      </x:c>
      <x:c r="K19" s="7" t="n">
        <x:f>IF(J19=0,1,0)</x:f>
        <x:v>1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0</x:v>
      </x:c>
      <x:c r="E20" s="6" t="n">
        <x:v>0</x:v>
      </x:c>
      <x:c r="F20" s="6" t="n">
        <x:f>D20-E20</x:f>
        <x:v>0</x:v>
      </x:c>
      <x:c r="G20" s="6" t="n">
        <x:f>G19+F20</x:f>
        <x:v>0</x:v>
      </x:c>
      <x:c r="H20" s="6" t="n">
        <x:v>0</x:v>
      </x:c>
      <x:c r="I20" s="6" t="n">
        <x:v>0</x:v>
      </x:c>
      <x:c r="J20" s="7" t="n">
        <x:v>0</x:v>
      </x:c>
      <x:c r="K20" s="7" t="n">
        <x:f>IF(J20=0,1,0)</x:f>
        <x:v>1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0</x:v>
      </x:c>
      <x:c r="F22" s="6" t="n">
        <x:f>D22-E22</x:f>
        <x:v>0</x:v>
      </x:c>
      <x:c r="G22" s="6" t="n">
        <x:f>G21+F22</x:f>
        <x:v>0</x:v>
      </x:c>
      <x:c r="H22" s="6" t="n">
        <x:v>0</x:v>
      </x:c>
      <x:c r="I22" s="6" t="n">
        <x:v>0</x:v>
      </x:c>
      <x:c r="J22" s="7" t="n">
        <x:v>0</x:v>
      </x:c>
      <x:c r="K22" s="7" t="n">
        <x:f>IF(J22=0,1,0)</x:f>
        <x:v>1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0</x:v>
      </x:c>
      <x:c r="E23" s="6" t="n">
        <x:v>0</x:v>
      </x:c>
      <x:c r="F23" s="6" t="n">
        <x:f>D23-E23</x:f>
        <x:v>0</x:v>
      </x:c>
      <x:c r="G23" s="6" t="n">
        <x:f>G22+F23</x:f>
        <x:v>0</x:v>
      </x:c>
      <x:c r="H23" s="6" t="n">
        <x:v>0</x:v>
      </x:c>
      <x:c r="I23" s="6" t="n">
        <x:v>0</x:v>
      </x:c>
      <x:c r="J23" s="7" t="n">
        <x:v>0</x:v>
      </x:c>
      <x:c r="K23" s="7" t="n">
        <x:f>IF(J23=0,1,0)</x:f>
        <x:v>1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0</x:v>
      </x:c>
      <x:c r="F25" s="6" t="n">
        <x:f>D25-E25</x:f>
        <x:v>0</x:v>
      </x:c>
      <x:c r="G25" s="6" t="n">
        <x:f>G24+F25</x:f>
        <x:v>0</x:v>
      </x:c>
      <x:c r="H25" s="6" t="n">
        <x:v>0</x:v>
      </x:c>
      <x:c r="I25" s="6" t="n">
        <x:v>0</x:v>
      </x:c>
      <x:c r="J25" s="7" t="n">
        <x:v>0</x:v>
      </x:c>
      <x:c r="K25" s="7" t="n">
        <x:f>IF(J25=0,1,0)</x:f>
        <x:v>1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0</x:v>
      </x:c>
      <x:c r="E26" s="6" t="n">
        <x:v>0</x:v>
      </x:c>
      <x:c r="F26" s="6" t="n">
        <x:f>D26-E26</x:f>
        <x:v>0</x:v>
      </x:c>
      <x:c r="G26" s="6" t="n">
        <x:f>G25+F26</x:f>
        <x:v>0</x:v>
      </x:c>
      <x:c r="H26" s="6" t="n">
        <x:v>0</x:v>
      </x:c>
      <x:c r="I26" s="6" t="n">
        <x:v>0</x:v>
      </x:c>
      <x:c r="J26" s="7" t="n">
        <x:v>0</x:v>
      </x:c>
      <x:c r="K26" s="7" t="n">
        <x:f>IF(J26=0,1,0)</x:f>
        <x:v>1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0</x:v>
      </x:c>
      <x:c r="E27" s="6" t="n">
        <x:v>0</x:v>
      </x:c>
      <x:c r="F27" s="6" t="n">
        <x:f>D27-E27</x:f>
        <x:v>0</x:v>
      </x:c>
      <x:c r="G27" s="6" t="n">
        <x:f>G26+F27</x:f>
        <x:v>0</x:v>
      </x:c>
      <x:c r="H27" s="6" t="n">
        <x:v>0</x:v>
      </x:c>
      <x:c r="I27" s="6" t="n">
        <x:v>0</x:v>
      </x:c>
      <x:c r="J27" s="7" t="n">
        <x:v>0</x:v>
      </x:c>
      <x:c r="K27" s="7" t="n">
        <x:f>IF(J27=0,1,0)</x:f>
        <x:v>1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0</x:v>
      </x:c>
      <x:c r="E28" s="6" t="n">
        <x:v>0</x:v>
      </x:c>
      <x:c r="F28" s="6" t="n">
        <x:f>D28-E28</x:f>
        <x:v>0</x:v>
      </x:c>
      <x:c r="G28" s="6" t="n">
        <x:f>G27+F28</x:f>
        <x:v>0</x:v>
      </x:c>
      <x:c r="H28" s="6" t="n">
        <x:v>0</x:v>
      </x:c>
      <x:c r="I28" s="6" t="n">
        <x:v>0</x:v>
      </x:c>
      <x:c r="J28" s="7" t="n">
        <x:v>0</x:v>
      </x:c>
      <x:c r="K28" s="7" t="n">
        <x:f>IF(J28=0,1,0)</x:f>
        <x:v>1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0</x:v>
      </x:c>
      <x:c r="E30" s="6" t="n">
        <x:v>0</x:v>
      </x:c>
      <x:c r="F30" s="6" t="n">
        <x:f>D30-E30</x:f>
        <x:v>0</x:v>
      </x:c>
      <x:c r="G30" s="6" t="n">
        <x:f>G29+F30</x:f>
        <x:v>0</x:v>
      </x:c>
      <x:c r="H30" s="6" t="n">
        <x:v>0</x:v>
      </x:c>
      <x:c r="I30" s="6" t="n">
        <x:v>0</x:v>
      </x:c>
      <x:c r="J30" s="7" t="n">
        <x:v>0</x:v>
      </x:c>
      <x:c r="K30" s="7" t="n">
        <x:f>IF(J30=0,1,0)</x:f>
        <x:v>1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0</x:v>
      </x:c>
      <x:c r="E31" s="6" t="n">
        <x:v>0</x:v>
      </x:c>
      <x:c r="F31" s="6" t="n">
        <x:f>D31-E31</x:f>
        <x:v>0</x:v>
      </x:c>
      <x:c r="G31" s="6" t="n">
        <x:f>G30+F31</x:f>
        <x:v>0</x:v>
      </x:c>
      <x:c r="H31" s="6" t="n">
        <x:v>0</x:v>
      </x:c>
      <x:c r="I31" s="6" t="n">
        <x:v>0</x:v>
      </x:c>
      <x:c r="J31" s="7" t="n">
        <x:v>0</x:v>
      </x:c>
      <x:c r="K31" s="7" t="n">
        <x:f>IF(J31=0,1,0)</x:f>
        <x:v>1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0</x:v>
      </x:c>
      <x:c r="E32" s="6" t="n">
        <x:v>0</x:v>
      </x:c>
      <x:c r="F32" s="6" t="n">
        <x:f>D32-E32</x:f>
        <x:v>0</x:v>
      </x:c>
      <x:c r="G32" s="6" t="n">
        <x:f>G31+F32</x:f>
        <x:v>0</x:v>
      </x:c>
      <x:c r="H32" s="6" t="n">
        <x:v>0</x:v>
      </x:c>
      <x:c r="I32" s="6" t="n">
        <x:v>0</x:v>
      </x:c>
      <x:c r="J32" s="7" t="n">
        <x:v>0</x:v>
      </x:c>
      <x:c r="K32" s="7" t="n">
        <x:f>IF(J32=0,1,0)</x:f>
        <x:v>1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0</x:v>
      </x:c>
      <x:c r="E33" s="9" t="n">
        <x:f>SUM(E6:E32)</x:f>
        <x:v>0</x:v>
      </x:c>
      <x:c r="F33" s="9" t="n">
        <x:f>D33-E33</x:f>
        <x:v>0</x:v>
      </x:c>
      <x:c r="G33" s="9" t="n">
        <x:f>G32</x:f>
        <x:v>0</x:v>
      </x:c>
      <x:c r="H33" s="9" t="n">
        <x:f>MIN(H6:H32)</x:f>
        <x:v>0</x:v>
      </x:c>
      <x:c r="I33" s="9" t="n">
        <x:f>MAX(I6:I32)</x:f>
        <x:v>0</x:v>
      </x:c>
      <x:c r="J33" s="10" t="n">
        <x:f>SUM(J6:J32)</x:f>
        <x:v>0</x:v>
      </x:c>
      <x:c r="K33" s="10" t="n">
        <x:f>SUM(K6:K32)</x:f>
        <x:v>27</x:v>
      </x:c>
    </x:row>
  </x:sheetData>
  <x:conditionalFormatting sqref="F6:H32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d6f96221764728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NK225_U164_02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押戻り再加速入口・正利益開始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0</x:v>
      </x:c>
      <x:c r="E7" s="6" t="n">
        <x:v>0</x:v>
      </x:c>
      <x:c r="F7" s="6" t="n">
        <x:f>D7-E7</x:f>
        <x:v>0</x:v>
      </x:c>
      <x:c r="G7" s="6" t="n">
        <x:f>G6+F7</x:f>
        <x:v>0</x:v>
      </x:c>
      <x:c r="H7" s="6" t="n">
        <x:v>0</x:v>
      </x:c>
      <x:c r="I7" s="6" t="n">
        <x:v>0</x:v>
      </x:c>
      <x:c r="J7" s="7" t="n">
        <x:v>0</x:v>
      </x:c>
      <x:c r="K7" s="7" t="n">
        <x:f>IF(J7=0,1,0)</x:f>
        <x:v>1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0</x:v>
      </x:c>
      <x:c r="E9" s="6" t="n">
        <x:v>0</x:v>
      </x:c>
      <x:c r="F9" s="6" t="n">
        <x:f>D9-E9</x:f>
        <x:v>0</x:v>
      </x:c>
      <x:c r="G9" s="6" t="n">
        <x:f>G8+F9</x:f>
        <x:v>0</x:v>
      </x:c>
      <x:c r="H9" s="6" t="n">
        <x:v>0</x:v>
      </x:c>
      <x:c r="I9" s="6" t="n">
        <x:v>0</x:v>
      </x:c>
      <x:c r="J9" s="7" t="n">
        <x:v>0</x:v>
      </x:c>
      <x:c r="K9" s="7" t="n">
        <x:f>IF(J9=0,1,0)</x:f>
        <x:v>1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0</x:v>
      </x:c>
      <x:c r="F11" s="6" t="n">
        <x:f>D11-E11</x:f>
        <x:v>0</x:v>
      </x:c>
      <x:c r="G11" s="6" t="n">
        <x:f>G10+F11</x:f>
        <x:v>0</x:v>
      </x:c>
      <x:c r="H11" s="6" t="n">
        <x:v>0</x:v>
      </x:c>
      <x:c r="I11" s="6" t="n">
        <x:v>0</x:v>
      </x:c>
      <x:c r="J11" s="7" t="n">
        <x:v>0</x:v>
      </x:c>
      <x:c r="K11" s="7" t="n">
        <x:f>IF(J11=0,1,0)</x:f>
        <x:v>1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0</x:v>
      </x:c>
      <x:c r="E13" s="6" t="n">
        <x:v>0</x:v>
      </x:c>
      <x:c r="F13" s="6" t="n">
        <x:f>D13-E13</x:f>
        <x:v>0</x:v>
      </x:c>
      <x:c r="G13" s="6" t="n">
        <x:f>G12+F13</x:f>
        <x:v>0</x:v>
      </x:c>
      <x:c r="H13" s="6" t="n">
        <x:v>0</x:v>
      </x:c>
      <x:c r="I13" s="6" t="n">
        <x:v>0</x:v>
      </x:c>
      <x:c r="J13" s="7" t="n">
        <x:v>0</x:v>
      </x:c>
      <x:c r="K13" s="7" t="n">
        <x:f>IF(J13=0,1,0)</x:f>
        <x:v>1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0</x:v>
      </x:c>
      <x:c r="E14" s="6" t="n">
        <x:v>0</x:v>
      </x:c>
      <x:c r="F14" s="6" t="n">
        <x:f>D14-E14</x:f>
        <x:v>0</x:v>
      </x:c>
      <x:c r="G14" s="6" t="n">
        <x:f>G13+F14</x:f>
        <x:v>0</x:v>
      </x:c>
      <x:c r="H14" s="6" t="n">
        <x:v>0</x:v>
      </x:c>
      <x:c r="I14" s="6" t="n">
        <x:v>0</x:v>
      </x:c>
      <x:c r="J14" s="7" t="n">
        <x:v>0</x:v>
      </x:c>
      <x:c r="K14" s="7" t="n">
        <x:f>IF(J14=0,1,0)</x:f>
        <x:v>1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0</x:v>
      </x:c>
      <x:c r="E16" s="6" t="n">
        <x:v>0</x:v>
      </x:c>
      <x:c r="F16" s="6" t="n">
        <x:f>D16-E16</x:f>
        <x:v>0</x:v>
      </x:c>
      <x:c r="G16" s="6" t="n">
        <x:f>G15+F16</x:f>
        <x:v>0</x:v>
      </x:c>
      <x:c r="H16" s="6" t="n">
        <x:v>0</x:v>
      </x:c>
      <x:c r="I16" s="6" t="n">
        <x:v>0</x:v>
      </x:c>
      <x:c r="J16" s="7" t="n">
        <x:v>0</x:v>
      </x:c>
      <x:c r="K16" s="7" t="n">
        <x:f>IF(J16=0,1,0)</x:f>
        <x:v>1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0</x:v>
      </x:c>
      <x:c r="F18" s="6" t="n">
        <x:f>D18-E18</x:f>
        <x:v>0</x:v>
      </x:c>
      <x:c r="G18" s="6" t="n">
        <x:f>G17+F18</x:f>
        <x:v>0</x:v>
      </x:c>
      <x:c r="H18" s="6" t="n">
        <x:v>0</x:v>
      </x:c>
      <x:c r="I18" s="6" t="n">
        <x:v>0</x:v>
      </x:c>
      <x:c r="J18" s="7" t="n">
        <x:v>0</x:v>
      </x:c>
      <x:c r="K18" s="7" t="n">
        <x:f>IF(J18=0,1,0)</x:f>
        <x:v>1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0</x:v>
      </x:c>
      <x:c r="E19" s="6" t="n">
        <x:v>0</x:v>
      </x:c>
      <x:c r="F19" s="6" t="n">
        <x:f>D19-E19</x:f>
        <x:v>0</x:v>
      </x:c>
      <x:c r="G19" s="6" t="n">
        <x:f>G18+F19</x:f>
        <x:v>0</x:v>
      </x:c>
      <x:c r="H19" s="6" t="n">
        <x:v>0</x:v>
      </x:c>
      <x:c r="I19" s="6" t="n">
        <x:v>0</x:v>
      </x:c>
      <x:c r="J19" s="7" t="n">
        <x:v>0</x:v>
      </x:c>
      <x:c r="K19" s="7" t="n">
        <x:f>IF(J19=0,1,0)</x:f>
        <x:v>1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0</x:v>
      </x:c>
      <x:c r="E20" s="6" t="n">
        <x:v>0</x:v>
      </x:c>
      <x:c r="F20" s="6" t="n">
        <x:f>D20-E20</x:f>
        <x:v>0</x:v>
      </x:c>
      <x:c r="G20" s="6" t="n">
        <x:f>G19+F20</x:f>
        <x:v>0</x:v>
      </x:c>
      <x:c r="H20" s="6" t="n">
        <x:v>0</x:v>
      </x:c>
      <x:c r="I20" s="6" t="n">
        <x:v>0</x:v>
      </x:c>
      <x:c r="J20" s="7" t="n">
        <x:v>0</x:v>
      </x:c>
      <x:c r="K20" s="7" t="n">
        <x:f>IF(J20=0,1,0)</x:f>
        <x:v>1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0</x:v>
      </x:c>
      <x:c r="F22" s="6" t="n">
        <x:f>D22-E22</x:f>
        <x:v>0</x:v>
      </x:c>
      <x:c r="G22" s="6" t="n">
        <x:f>G21+F22</x:f>
        <x:v>0</x:v>
      </x:c>
      <x:c r="H22" s="6" t="n">
        <x:v>0</x:v>
      </x:c>
      <x:c r="I22" s="6" t="n">
        <x:v>0</x:v>
      </x:c>
      <x:c r="J22" s="7" t="n">
        <x:v>0</x:v>
      </x:c>
      <x:c r="K22" s="7" t="n">
        <x:f>IF(J22=0,1,0)</x:f>
        <x:v>1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0</x:v>
      </x:c>
      <x:c r="E23" s="6" t="n">
        <x:v>0</x:v>
      </x:c>
      <x:c r="F23" s="6" t="n">
        <x:f>D23-E23</x:f>
        <x:v>0</x:v>
      </x:c>
      <x:c r="G23" s="6" t="n">
        <x:f>G22+F23</x:f>
        <x:v>0</x:v>
      </x:c>
      <x:c r="H23" s="6" t="n">
        <x:v>0</x:v>
      </x:c>
      <x:c r="I23" s="6" t="n">
        <x:v>0</x:v>
      </x:c>
      <x:c r="J23" s="7" t="n">
        <x:v>0</x:v>
      </x:c>
      <x:c r="K23" s="7" t="n">
        <x:f>IF(J23=0,1,0)</x:f>
        <x:v>1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0</x:v>
      </x:c>
      <x:c r="F25" s="6" t="n">
        <x:f>D25-E25</x:f>
        <x:v>0</x:v>
      </x:c>
      <x:c r="G25" s="6" t="n">
        <x:f>G24+F25</x:f>
        <x:v>0</x:v>
      </x:c>
      <x:c r="H25" s="6" t="n">
        <x:v>0</x:v>
      </x:c>
      <x:c r="I25" s="6" t="n">
        <x:v>0</x:v>
      </x:c>
      <x:c r="J25" s="7" t="n">
        <x:v>0</x:v>
      </x:c>
      <x:c r="K25" s="7" t="n">
        <x:f>IF(J25=0,1,0)</x:f>
        <x:v>1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0</x:v>
      </x:c>
      <x:c r="E26" s="6" t="n">
        <x:v>0</x:v>
      </x:c>
      <x:c r="F26" s="6" t="n">
        <x:f>D26-E26</x:f>
        <x:v>0</x:v>
      </x:c>
      <x:c r="G26" s="6" t="n">
        <x:f>G25+F26</x:f>
        <x:v>0</x:v>
      </x:c>
      <x:c r="H26" s="6" t="n">
        <x:v>0</x:v>
      </x:c>
      <x:c r="I26" s="6" t="n">
        <x:v>0</x:v>
      </x:c>
      <x:c r="J26" s="7" t="n">
        <x:v>0</x:v>
      </x:c>
      <x:c r="K26" s="7" t="n">
        <x:f>IF(J26=0,1,0)</x:f>
        <x:v>1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0</x:v>
      </x:c>
      <x:c r="E27" s="6" t="n">
        <x:v>0</x:v>
      </x:c>
      <x:c r="F27" s="6" t="n">
        <x:f>D27-E27</x:f>
        <x:v>0</x:v>
      </x:c>
      <x:c r="G27" s="6" t="n">
        <x:f>G26+F27</x:f>
        <x:v>0</x:v>
      </x:c>
      <x:c r="H27" s="6" t="n">
        <x:v>0</x:v>
      </x:c>
      <x:c r="I27" s="6" t="n">
        <x:v>0</x:v>
      </x:c>
      <x:c r="J27" s="7" t="n">
        <x:v>0</x:v>
      </x:c>
      <x:c r="K27" s="7" t="n">
        <x:f>IF(J27=0,1,0)</x:f>
        <x:v>1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0</x:v>
      </x:c>
      <x:c r="E28" s="6" t="n">
        <x:v>0</x:v>
      </x:c>
      <x:c r="F28" s="6" t="n">
        <x:f>D28-E28</x:f>
        <x:v>0</x:v>
      </x:c>
      <x:c r="G28" s="6" t="n">
        <x:f>G27+F28</x:f>
        <x:v>0</x:v>
      </x:c>
      <x:c r="H28" s="6" t="n">
        <x:v>0</x:v>
      </x:c>
      <x:c r="I28" s="6" t="n">
        <x:v>0</x:v>
      </x:c>
      <x:c r="J28" s="7" t="n">
        <x:v>0</x:v>
      </x:c>
      <x:c r="K28" s="7" t="n">
        <x:f>IF(J28=0,1,0)</x:f>
        <x:v>1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0</x:v>
      </x:c>
      <x:c r="E30" s="6" t="n">
        <x:v>0</x:v>
      </x:c>
      <x:c r="F30" s="6" t="n">
        <x:f>D30-E30</x:f>
        <x:v>0</x:v>
      </x:c>
      <x:c r="G30" s="6" t="n">
        <x:f>G29+F30</x:f>
        <x:v>0</x:v>
      </x:c>
      <x:c r="H30" s="6" t="n">
        <x:v>0</x:v>
      </x:c>
      <x:c r="I30" s="6" t="n">
        <x:v>0</x:v>
      </x:c>
      <x:c r="J30" s="7" t="n">
        <x:v>0</x:v>
      </x:c>
      <x:c r="K30" s="7" t="n">
        <x:f>IF(J30=0,1,0)</x:f>
        <x:v>1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0</x:v>
      </x:c>
      <x:c r="E31" s="6" t="n">
        <x:v>0</x:v>
      </x:c>
      <x:c r="F31" s="6" t="n">
        <x:f>D31-E31</x:f>
        <x:v>0</x:v>
      </x:c>
      <x:c r="G31" s="6" t="n">
        <x:f>G30+F31</x:f>
        <x:v>0</x:v>
      </x:c>
      <x:c r="H31" s="6" t="n">
        <x:v>0</x:v>
      </x:c>
      <x:c r="I31" s="6" t="n">
        <x:v>0</x:v>
      </x:c>
      <x:c r="J31" s="7" t="n">
        <x:v>0</x:v>
      </x:c>
      <x:c r="K31" s="7" t="n">
        <x:f>IF(J31=0,1,0)</x:f>
        <x:v>1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0</x:v>
      </x:c>
      <x:c r="E32" s="6" t="n">
        <x:v>0</x:v>
      </x:c>
      <x:c r="F32" s="6" t="n">
        <x:f>D32-E32</x:f>
        <x:v>0</x:v>
      </x:c>
      <x:c r="G32" s="6" t="n">
        <x:f>G31+F32</x:f>
        <x:v>0</x:v>
      </x:c>
      <x:c r="H32" s="6" t="n">
        <x:v>0</x:v>
      </x:c>
      <x:c r="I32" s="6" t="n">
        <x:v>0</x:v>
      </x:c>
      <x:c r="J32" s="7" t="n">
        <x:v>0</x:v>
      </x:c>
      <x:c r="K32" s="7" t="n">
        <x:f>IF(J32=0,1,0)</x:f>
        <x:v>1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0</x:v>
      </x:c>
      <x:c r="E33" s="9" t="n">
        <x:f>SUM(E6:E32)</x:f>
        <x:v>0</x:v>
      </x:c>
      <x:c r="F33" s="9" t="n">
        <x:f>D33-E33</x:f>
        <x:v>0</x:v>
      </x:c>
      <x:c r="G33" s="9" t="n">
        <x:f>G32</x:f>
        <x:v>0</x:v>
      </x:c>
      <x:c r="H33" s="9" t="n">
        <x:f>MIN(H6:H32)</x:f>
        <x:v>0</x:v>
      </x:c>
      <x:c r="I33" s="9" t="n">
        <x:f>MAX(I6:I32)</x:f>
        <x:v>0</x:v>
      </x:c>
      <x:c r="J33" s="10" t="n">
        <x:f>SUM(J6:J32)</x:f>
        <x:v>0</x:v>
      </x:c>
      <x:c r="K33" s="10" t="n">
        <x:f>SUM(K6:K32)</x:f>
        <x:v>27</x:v>
      </x:c>
    </x:row>
  </x:sheetData>
  <x:conditionalFormatting sqref="F6:H32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ce367cc3f940df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NK225_U164_03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押戻り再加速入口・正利益開始・新波再参加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0</x:v>
      </x:c>
      <x:c r="E7" s="6" t="n">
        <x:v>0</x:v>
      </x:c>
      <x:c r="F7" s="6" t="n">
        <x:f>D7-E7</x:f>
        <x:v>0</x:v>
      </x:c>
      <x:c r="G7" s="6" t="n">
        <x:f>G6+F7</x:f>
        <x:v>0</x:v>
      </x:c>
      <x:c r="H7" s="6" t="n">
        <x:v>0</x:v>
      </x:c>
      <x:c r="I7" s="6" t="n">
        <x:v>0</x:v>
      </x:c>
      <x:c r="J7" s="7" t="n">
        <x:v>0</x:v>
      </x:c>
      <x:c r="K7" s="7" t="n">
        <x:f>IF(J7=0,1,0)</x:f>
        <x:v>1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0</x:v>
      </x:c>
      <x:c r="E9" s="6" t="n">
        <x:v>0</x:v>
      </x:c>
      <x:c r="F9" s="6" t="n">
        <x:f>D9-E9</x:f>
        <x:v>0</x:v>
      </x:c>
      <x:c r="G9" s="6" t="n">
        <x:f>G8+F9</x:f>
        <x:v>0</x:v>
      </x:c>
      <x:c r="H9" s="6" t="n">
        <x:v>0</x:v>
      </x:c>
      <x:c r="I9" s="6" t="n">
        <x:v>0</x:v>
      </x:c>
      <x:c r="J9" s="7" t="n">
        <x:v>0</x:v>
      </x:c>
      <x:c r="K9" s="7" t="n">
        <x:f>IF(J9=0,1,0)</x:f>
        <x:v>1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0</x:v>
      </x:c>
      <x:c r="F11" s="6" t="n">
        <x:f>D11-E11</x:f>
        <x:v>0</x:v>
      </x:c>
      <x:c r="G11" s="6" t="n">
        <x:f>G10+F11</x:f>
        <x:v>0</x:v>
      </x:c>
      <x:c r="H11" s="6" t="n">
        <x:v>0</x:v>
      </x:c>
      <x:c r="I11" s="6" t="n">
        <x:v>0</x:v>
      </x:c>
      <x:c r="J11" s="7" t="n">
        <x:v>0</x:v>
      </x:c>
      <x:c r="K11" s="7" t="n">
        <x:f>IF(J11=0,1,0)</x:f>
        <x:v>1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0</x:v>
      </x:c>
      <x:c r="E13" s="6" t="n">
        <x:v>0</x:v>
      </x:c>
      <x:c r="F13" s="6" t="n">
        <x:f>D13-E13</x:f>
        <x:v>0</x:v>
      </x:c>
      <x:c r="G13" s="6" t="n">
        <x:f>G12+F13</x:f>
        <x:v>0</x:v>
      </x:c>
      <x:c r="H13" s="6" t="n">
        <x:v>0</x:v>
      </x:c>
      <x:c r="I13" s="6" t="n">
        <x:v>0</x:v>
      </x:c>
      <x:c r="J13" s="7" t="n">
        <x:v>0</x:v>
      </x:c>
      <x:c r="K13" s="7" t="n">
        <x:f>IF(J13=0,1,0)</x:f>
        <x:v>1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0</x:v>
      </x:c>
      <x:c r="E14" s="6" t="n">
        <x:v>0</x:v>
      </x:c>
      <x:c r="F14" s="6" t="n">
        <x:f>D14-E14</x:f>
        <x:v>0</x:v>
      </x:c>
      <x:c r="G14" s="6" t="n">
        <x:f>G13+F14</x:f>
        <x:v>0</x:v>
      </x:c>
      <x:c r="H14" s="6" t="n">
        <x:v>0</x:v>
      </x:c>
      <x:c r="I14" s="6" t="n">
        <x:v>0</x:v>
      </x:c>
      <x:c r="J14" s="7" t="n">
        <x:v>0</x:v>
      </x:c>
      <x:c r="K14" s="7" t="n">
        <x:f>IF(J14=0,1,0)</x:f>
        <x:v>1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0</x:v>
      </x:c>
      <x:c r="E16" s="6" t="n">
        <x:v>0</x:v>
      </x:c>
      <x:c r="F16" s="6" t="n">
        <x:f>D16-E16</x:f>
        <x:v>0</x:v>
      </x:c>
      <x:c r="G16" s="6" t="n">
        <x:f>G15+F16</x:f>
        <x:v>0</x:v>
      </x:c>
      <x:c r="H16" s="6" t="n">
        <x:v>0</x:v>
      </x:c>
      <x:c r="I16" s="6" t="n">
        <x:v>0</x:v>
      </x:c>
      <x:c r="J16" s="7" t="n">
        <x:v>0</x:v>
      </x:c>
      <x:c r="K16" s="7" t="n">
        <x:f>IF(J16=0,1,0)</x:f>
        <x:v>1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0</x:v>
      </x:c>
      <x:c r="F18" s="6" t="n">
        <x:f>D18-E18</x:f>
        <x:v>0</x:v>
      </x:c>
      <x:c r="G18" s="6" t="n">
        <x:f>G17+F18</x:f>
        <x:v>0</x:v>
      </x:c>
      <x:c r="H18" s="6" t="n">
        <x:v>0</x:v>
      </x:c>
      <x:c r="I18" s="6" t="n">
        <x:v>0</x:v>
      </x:c>
      <x:c r="J18" s="7" t="n">
        <x:v>0</x:v>
      </x:c>
      <x:c r="K18" s="7" t="n">
        <x:f>IF(J18=0,1,0)</x:f>
        <x:v>1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0</x:v>
      </x:c>
      <x:c r="E19" s="6" t="n">
        <x:v>0</x:v>
      </x:c>
      <x:c r="F19" s="6" t="n">
        <x:f>D19-E19</x:f>
        <x:v>0</x:v>
      </x:c>
      <x:c r="G19" s="6" t="n">
        <x:f>G18+F19</x:f>
        <x:v>0</x:v>
      </x:c>
      <x:c r="H19" s="6" t="n">
        <x:v>0</x:v>
      </x:c>
      <x:c r="I19" s="6" t="n">
        <x:v>0</x:v>
      </x:c>
      <x:c r="J19" s="7" t="n">
        <x:v>0</x:v>
      </x:c>
      <x:c r="K19" s="7" t="n">
        <x:f>IF(J19=0,1,0)</x:f>
        <x:v>1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0</x:v>
      </x:c>
      <x:c r="E20" s="6" t="n">
        <x:v>0</x:v>
      </x:c>
      <x:c r="F20" s="6" t="n">
        <x:f>D20-E20</x:f>
        <x:v>0</x:v>
      </x:c>
      <x:c r="G20" s="6" t="n">
        <x:f>G19+F20</x:f>
        <x:v>0</x:v>
      </x:c>
      <x:c r="H20" s="6" t="n">
        <x:v>0</x:v>
      </x:c>
      <x:c r="I20" s="6" t="n">
        <x:v>0</x:v>
      </x:c>
      <x:c r="J20" s="7" t="n">
        <x:v>0</x:v>
      </x:c>
      <x:c r="K20" s="7" t="n">
        <x:f>IF(J20=0,1,0)</x:f>
        <x:v>1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0</x:v>
      </x:c>
      <x:c r="F22" s="6" t="n">
        <x:f>D22-E22</x:f>
        <x:v>0</x:v>
      </x:c>
      <x:c r="G22" s="6" t="n">
        <x:f>G21+F22</x:f>
        <x:v>0</x:v>
      </x:c>
      <x:c r="H22" s="6" t="n">
        <x:v>0</x:v>
      </x:c>
      <x:c r="I22" s="6" t="n">
        <x:v>0</x:v>
      </x:c>
      <x:c r="J22" s="7" t="n">
        <x:v>0</x:v>
      </x:c>
      <x:c r="K22" s="7" t="n">
        <x:f>IF(J22=0,1,0)</x:f>
        <x:v>1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0</x:v>
      </x:c>
      <x:c r="E23" s="6" t="n">
        <x:v>0</x:v>
      </x:c>
      <x:c r="F23" s="6" t="n">
        <x:f>D23-E23</x:f>
        <x:v>0</x:v>
      </x:c>
      <x:c r="G23" s="6" t="n">
        <x:f>G22+F23</x:f>
        <x:v>0</x:v>
      </x:c>
      <x:c r="H23" s="6" t="n">
        <x:v>0</x:v>
      </x:c>
      <x:c r="I23" s="6" t="n">
        <x:v>0</x:v>
      </x:c>
      <x:c r="J23" s="7" t="n">
        <x:v>0</x:v>
      </x:c>
      <x:c r="K23" s="7" t="n">
        <x:f>IF(J23=0,1,0)</x:f>
        <x:v>1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0</x:v>
      </x:c>
      <x:c r="F25" s="6" t="n">
        <x:f>D25-E25</x:f>
        <x:v>0</x:v>
      </x:c>
      <x:c r="G25" s="6" t="n">
        <x:f>G24+F25</x:f>
        <x:v>0</x:v>
      </x:c>
      <x:c r="H25" s="6" t="n">
        <x:v>0</x:v>
      </x:c>
      <x:c r="I25" s="6" t="n">
        <x:v>0</x:v>
      </x:c>
      <x:c r="J25" s="7" t="n">
        <x:v>0</x:v>
      </x:c>
      <x:c r="K25" s="7" t="n">
        <x:f>IF(J25=0,1,0)</x:f>
        <x:v>1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0</x:v>
      </x:c>
      <x:c r="E26" s="6" t="n">
        <x:v>0</x:v>
      </x:c>
      <x:c r="F26" s="6" t="n">
        <x:f>D26-E26</x:f>
        <x:v>0</x:v>
      </x:c>
      <x:c r="G26" s="6" t="n">
        <x:f>G25+F26</x:f>
        <x:v>0</x:v>
      </x:c>
      <x:c r="H26" s="6" t="n">
        <x:v>0</x:v>
      </x:c>
      <x:c r="I26" s="6" t="n">
        <x:v>0</x:v>
      </x:c>
      <x:c r="J26" s="7" t="n">
        <x:v>0</x:v>
      </x:c>
      <x:c r="K26" s="7" t="n">
        <x:f>IF(J26=0,1,0)</x:f>
        <x:v>1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0</x:v>
      </x:c>
      <x:c r="E27" s="6" t="n">
        <x:v>0</x:v>
      </x:c>
      <x:c r="F27" s="6" t="n">
        <x:f>D27-E27</x:f>
        <x:v>0</x:v>
      </x:c>
      <x:c r="G27" s="6" t="n">
        <x:f>G26+F27</x:f>
        <x:v>0</x:v>
      </x:c>
      <x:c r="H27" s="6" t="n">
        <x:v>0</x:v>
      </x:c>
      <x:c r="I27" s="6" t="n">
        <x:v>0</x:v>
      </x:c>
      <x:c r="J27" s="7" t="n">
        <x:v>0</x:v>
      </x:c>
      <x:c r="K27" s="7" t="n">
        <x:f>IF(J27=0,1,0)</x:f>
        <x:v>1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0</x:v>
      </x:c>
      <x:c r="E28" s="6" t="n">
        <x:v>0</x:v>
      </x:c>
      <x:c r="F28" s="6" t="n">
        <x:f>D28-E28</x:f>
        <x:v>0</x:v>
      </x:c>
      <x:c r="G28" s="6" t="n">
        <x:f>G27+F28</x:f>
        <x:v>0</x:v>
      </x:c>
      <x:c r="H28" s="6" t="n">
        <x:v>0</x:v>
      </x:c>
      <x:c r="I28" s="6" t="n">
        <x:v>0</x:v>
      </x:c>
      <x:c r="J28" s="7" t="n">
        <x:v>0</x:v>
      </x:c>
      <x:c r="K28" s="7" t="n">
        <x:f>IF(J28=0,1,0)</x:f>
        <x:v>1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0</x:v>
      </x:c>
      <x:c r="E30" s="6" t="n">
        <x:v>0</x:v>
      </x:c>
      <x:c r="F30" s="6" t="n">
        <x:f>D30-E30</x:f>
        <x:v>0</x:v>
      </x:c>
      <x:c r="G30" s="6" t="n">
        <x:f>G29+F30</x:f>
        <x:v>0</x:v>
      </x:c>
      <x:c r="H30" s="6" t="n">
        <x:v>0</x:v>
      </x:c>
      <x:c r="I30" s="6" t="n">
        <x:v>0</x:v>
      </x:c>
      <x:c r="J30" s="7" t="n">
        <x:v>0</x:v>
      </x:c>
      <x:c r="K30" s="7" t="n">
        <x:f>IF(J30=0,1,0)</x:f>
        <x:v>1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0</x:v>
      </x:c>
      <x:c r="E31" s="6" t="n">
        <x:v>0</x:v>
      </x:c>
      <x:c r="F31" s="6" t="n">
        <x:f>D31-E31</x:f>
        <x:v>0</x:v>
      </x:c>
      <x:c r="G31" s="6" t="n">
        <x:f>G30+F31</x:f>
        <x:v>0</x:v>
      </x:c>
      <x:c r="H31" s="6" t="n">
        <x:v>0</x:v>
      </x:c>
      <x:c r="I31" s="6" t="n">
        <x:v>0</x:v>
      </x:c>
      <x:c r="J31" s="7" t="n">
        <x:v>0</x:v>
      </x:c>
      <x:c r="K31" s="7" t="n">
        <x:f>IF(J31=0,1,0)</x:f>
        <x:v>1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0</x:v>
      </x:c>
      <x:c r="E32" s="6" t="n">
        <x:v>0</x:v>
      </x:c>
      <x:c r="F32" s="6" t="n">
        <x:f>D32-E32</x:f>
        <x:v>0</x:v>
      </x:c>
      <x:c r="G32" s="6" t="n">
        <x:f>G31+F32</x:f>
        <x:v>0</x:v>
      </x:c>
      <x:c r="H32" s="6" t="n">
        <x:v>0</x:v>
      </x:c>
      <x:c r="I32" s="6" t="n">
        <x:v>0</x:v>
      </x:c>
      <x:c r="J32" s="7" t="n">
        <x:v>0</x:v>
      </x:c>
      <x:c r="K32" s="7" t="n">
        <x:f>IF(J32=0,1,0)</x:f>
        <x:v>1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0</x:v>
      </x:c>
      <x:c r="E33" s="9" t="n">
        <x:f>SUM(E6:E32)</x:f>
        <x:v>0</x:v>
      </x:c>
      <x:c r="F33" s="9" t="n">
        <x:f>D33-E33</x:f>
        <x:v>0</x:v>
      </x:c>
      <x:c r="G33" s="9" t="n">
        <x:f>G32</x:f>
        <x:v>0</x:v>
      </x:c>
      <x:c r="H33" s="9" t="n">
        <x:f>MIN(H6:H32)</x:f>
        <x:v>0</x:v>
      </x:c>
      <x:c r="I33" s="9" t="n">
        <x:f>MAX(I6:I32)</x:f>
        <x:v>0</x:v>
      </x:c>
      <x:c r="J33" s="10" t="n">
        <x:f>SUM(J6:J32)</x:f>
        <x:v>0</x:v>
      </x:c>
      <x:c r="K33" s="10" t="n">
        <x:f>SUM(K6:K32)</x:f>
        <x:v>27</x:v>
      </x:c>
    </x:row>
  </x:sheetData>
  <x:conditionalFormatting sqref="F6:H32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54169366ff472b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NK225_D164_12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元部分利確後の残玉保護と追加50円損切り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166700</x:v>
      </x:c>
      <x:c r="E9" s="6" t="n">
        <x:v>42500</x:v>
      </x:c>
      <x:c r="F9" s="6" t="n">
        <x:f>D9-E9</x:f>
        <x:v>124200</x:v>
      </x:c>
      <x:c r="G9" s="6" t="n">
        <x:f>G8+F9</x:f>
        <x:v>127400</x:v>
      </x:c>
      <x:c r="H9" s="6" t="n">
        <x:v>-27000</x:v>
      </x:c>
      <x:c r="I9" s="6" t="n">
        <x:v>164500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268800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90600</x:v>
      </x:c>
      <x:c r="E11" s="6" t="n">
        <x:v>54500</x:v>
      </x:c>
      <x:c r="F11" s="6" t="n">
        <x:f>D11-E11</x:f>
        <x:v>36100</x:v>
      </x:c>
      <x:c r="G11" s="6" t="n">
        <x:f>G10+F11</x:f>
        <x:v>304900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109100</x:v>
      </x:c>
      <x:c r="E12" s="6" t="n">
        <x:v>191800</x:v>
      </x:c>
      <x:c r="F12" s="6" t="n">
        <x:f>D12-E12</x:f>
        <x:v>-82700</x:v>
      </x:c>
      <x:c r="G12" s="6" t="n">
        <x:f>G11+F12</x:f>
        <x:v>222200</x:v>
      </x:c>
      <x:c r="H12" s="6" t="n">
        <x:v>-175600</x:v>
      </x:c>
      <x:c r="I12" s="6" t="n">
        <x:v>193800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47700</x:v>
      </x:c>
      <x:c r="E13" s="6" t="n">
        <x:v>27900</x:v>
      </x:c>
      <x:c r="F13" s="6" t="n">
        <x:f>D13-E13</x:f>
        <x:v>19800</x:v>
      </x:c>
      <x:c r="G13" s="6" t="n">
        <x:f>G12+F13</x:f>
        <x:v>242000</x:v>
      </x:c>
      <x:c r="H13" s="6" t="n">
        <x:v>-18400</x:v>
      </x:c>
      <x:c r="I13" s="6" t="n">
        <x:v>24900</x:v>
      </x:c>
      <x:c r="J13" s="7" t="n">
        <x:v>6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66000</x:v>
      </x:c>
      <x:c r="E14" s="6" t="n">
        <x:v>142700</x:v>
      </x:c>
      <x:c r="F14" s="6" t="n">
        <x:f>D14-E14</x:f>
        <x:v>-76700</x:v>
      </x:c>
      <x:c r="G14" s="6" t="n">
        <x:f>G13+F14</x:f>
        <x:v>165300</x:v>
      </x:c>
      <x:c r="H14" s="6" t="n">
        <x:v>-92700</x:v>
      </x:c>
      <x:c r="I14" s="6" t="n">
        <x:v>108900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12800</x:v>
      </x:c>
      <x:c r="E15" s="6" t="n">
        <x:v>53100</x:v>
      </x:c>
      <x:c r="F15" s="6" t="n">
        <x:f>D15-E15</x:f>
        <x:v>-40300</x:v>
      </x:c>
      <x:c r="G15" s="6" t="n">
        <x:f>G14+F15</x:f>
        <x:v>125000</x:v>
      </x:c>
      <x:c r="H15" s="6" t="n">
        <x:v>-43800</x:v>
      </x:c>
      <x:c r="I15" s="6" t="n">
        <x:v>90600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73200</x:v>
      </x:c>
      <x:c r="E16" s="6" t="n">
        <x:v>69400</x:v>
      </x:c>
      <x:c r="F16" s="6" t="n">
        <x:f>D16-E16</x:f>
        <x:v>3800</x:v>
      </x:c>
      <x:c r="G16" s="6" t="n">
        <x:f>G15+F16</x:f>
        <x:v>128800</x:v>
      </x:c>
      <x:c r="H16" s="6" t="n">
        <x:v>-17000</x:v>
      </x:c>
      <x:c r="I16" s="6" t="n">
        <x:v>71700</x:v>
      </x:c>
      <x:c r="J16" s="7" t="n">
        <x:v>12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174200</x:v>
      </x:c>
      <x:c r="F17" s="6" t="n">
        <x:f>D17-E17</x:f>
        <x:v>-129300</x:v>
      </x:c>
      <x:c r="G17" s="6" t="n">
        <x:f>G16+F17</x:f>
        <x:v>-500</x:v>
      </x:c>
      <x:c r="H17" s="6" t="n">
        <x:v>-129300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232800</x:v>
      </x:c>
      <x:c r="E18" s="6" t="n">
        <x:v>53800</x:v>
      </x:c>
      <x:c r="F18" s="6" t="n">
        <x:f>D18-E18</x:f>
        <x:v>179000</x:v>
      </x:c>
      <x:c r="G18" s="6" t="n">
        <x:f>G17+F18</x:f>
        <x:v>178500</x:v>
      </x:c>
      <x:c r="H18" s="6" t="n">
        <x:v>-12900</x:v>
      </x:c>
      <x:c r="I18" s="6" t="n">
        <x:v>86300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35400</x:v>
      </x:c>
      <x:c r="E19" s="6" t="n">
        <x:v>23000</x:v>
      </x:c>
      <x:c r="F19" s="6" t="n">
        <x:f>D19-E19</x:f>
        <x:v>12400</x:v>
      </x:c>
      <x:c r="G19" s="6" t="n">
        <x:f>G18+F19</x:f>
        <x:v>190900</x:v>
      </x:c>
      <x:c r="H19" s="6" t="n">
        <x:v>-27300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44400</x:v>
      </x:c>
      <x:c r="F20" s="6" t="n">
        <x:f>D20-E20</x:f>
        <x:v>57400</x:v>
      </x:c>
      <x:c r="G20" s="6" t="n">
        <x:f>G19+F20</x:f>
        <x:v>248300</x:v>
      </x:c>
      <x:c r="H20" s="6" t="n">
        <x:v>-102300</x:v>
      </x:c>
      <x:c r="I20" s="6" t="n">
        <x:v>156100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257500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167200</x:v>
      </x:c>
      <x:c r="E22" s="6" t="n">
        <x:v>242800</x:v>
      </x:c>
      <x:c r="F22" s="6" t="n">
        <x:f>D22-E22</x:f>
        <x:v>-75600</x:v>
      </x:c>
      <x:c r="G22" s="6" t="n">
        <x:f>G21+F22</x:f>
        <x:v>181900</x:v>
      </x:c>
      <x:c r="H22" s="6" t="n">
        <x:v>-111800</x:v>
      </x:c>
      <x:c r="I22" s="6" t="n">
        <x:v>219100</x:v>
      </x:c>
      <x:c r="J22" s="7" t="n">
        <x:v>15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41300</x:v>
      </x:c>
      <x:c r="E23" s="6" t="n">
        <x:v>67700</x:v>
      </x:c>
      <x:c r="F23" s="6" t="n">
        <x:f>D23-E23</x:f>
        <x:v>-26400</x:v>
      </x:c>
      <x:c r="G23" s="6" t="n">
        <x:f>G22+F23</x:f>
        <x:v>155500</x:v>
      </x:c>
      <x:c r="H23" s="6" t="n">
        <x:v>-69700</x:v>
      </x:c>
      <x:c r="I23" s="6" t="n">
        <x:v>108800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354900</x:v>
      </x:c>
      <x:c r="E24" s="6" t="n">
        <x:v>33000</x:v>
      </x:c>
      <x:c r="F24" s="6" t="n">
        <x:f>D24-E24</x:f>
        <x:v>321900</x:v>
      </x:c>
      <x:c r="G24" s="6" t="n">
        <x:f>G23+F24</x:f>
        <x:v>477400</x:v>
      </x:c>
      <x:c r="H24" s="6" t="n">
        <x:v>-31500</x:v>
      </x:c>
      <x:c r="I24" s="6" t="n">
        <x:v>139500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88300</x:v>
      </x:c>
      <x:c r="E25" s="6" t="n">
        <x:v>133500</x:v>
      </x:c>
      <x:c r="F25" s="6" t="n">
        <x:f>D25-E25</x:f>
        <x:v>-45200</x:v>
      </x:c>
      <x:c r="G25" s="6" t="n">
        <x:f>G24+F25</x:f>
        <x:v>432200</x:v>
      </x:c>
      <x:c r="H25" s="6" t="n">
        <x:v>-73600</x:v>
      </x:c>
      <x:c r="I25" s="6" t="n">
        <x:v>105600</x:v>
      </x:c>
      <x:c r="J25" s="7" t="n">
        <x:v>14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564500</x:v>
      </x:c>
      <x:c r="E26" s="6" t="n">
        <x:v>0</x:v>
      </x:c>
      <x:c r="F26" s="6" t="n">
        <x:f>D26-E26</x:f>
        <x:v>564500</x:v>
      </x:c>
      <x:c r="G26" s="6" t="n">
        <x:f>G25+F26</x:f>
        <x:v>996700</x:v>
      </x:c>
      <x:c r="H26" s="6" t="n">
        <x:v>-20800</x:v>
      </x:c>
      <x:c r="I26" s="6" t="n">
        <x:v>259200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96400</x:v>
      </x:c>
      <x:c r="E27" s="6" t="n">
        <x:v>88900</x:v>
      </x:c>
      <x:c r="F27" s="6" t="n">
        <x:f>D27-E27</x:f>
        <x:v>7500</x:v>
      </x:c>
      <x:c r="G27" s="6" t="n">
        <x:f>G26+F27</x:f>
        <x:v>1004200</x:v>
      </x:c>
      <x:c r="H27" s="6" t="n">
        <x:v>-12000</x:v>
      </x:c>
      <x:c r="I27" s="6" t="n">
        <x:v>136700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58100</x:v>
      </x:c>
      <x:c r="E28" s="6" t="n">
        <x:v>159900</x:v>
      </x:c>
      <x:c r="F28" s="6" t="n">
        <x:f>D28-E28</x:f>
        <x:v>-101800</x:v>
      </x:c>
      <x:c r="G28" s="6" t="n">
        <x:f>G27+F28</x:f>
        <x:v>902400</x:v>
      </x:c>
      <x:c r="H28" s="6" t="n">
        <x:v>-159300</x:v>
      </x:c>
      <x:c r="I28" s="6" t="n">
        <x:v>165800</x:v>
      </x:c>
      <x:c r="J28" s="7" t="n">
        <x:v>13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263900</x:v>
      </x:c>
      <x:c r="E29" s="6" t="n">
        <x:v>2000</x:v>
      </x:c>
      <x:c r="F29" s="6" t="n">
        <x:f>D29-E29</x:f>
        <x:v>261900</x:v>
      </x:c>
      <x:c r="G29" s="6" t="n">
        <x:f>G28+F29</x:f>
        <x:v>1164300</x:v>
      </x:c>
      <x:c r="H29" s="6" t="n">
        <x:v>-15300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298600</x:v>
      </x:c>
      <x:c r="E30" s="6" t="n">
        <x:v>65900</x:v>
      </x:c>
      <x:c r="F30" s="6" t="n">
        <x:f>D30-E30</x:f>
        <x:v>232700</x:v>
      </x:c>
      <x:c r="G30" s="6" t="n">
        <x:f>G29+F30</x:f>
        <x:v>1397000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288300</x:v>
      </x:c>
      <x:c r="E31" s="6" t="n">
        <x:v>110100</x:v>
      </x:c>
      <x:c r="F31" s="6" t="n">
        <x:f>D31-E31</x:f>
        <x:v>178200</x:v>
      </x:c>
      <x:c r="G31" s="6" t="n">
        <x:f>G30+F31</x:f>
        <x:v>1575200</x:v>
      </x:c>
      <x:c r="H31" s="6" t="n">
        <x:v>-14000</x:v>
      </x:c>
      <x:c r="I31" s="6" t="n">
        <x:v>222700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90800</x:v>
      </x:c>
      <x:c r="E32" s="6" t="n">
        <x:v>174100</x:v>
      </x:c>
      <x:c r="F32" s="6" t="n">
        <x:f>D32-E32</x:f>
        <x:v>-83300</x:v>
      </x:c>
      <x:c r="G32" s="6" t="n">
        <x:f>G31+F32</x:f>
        <x:v>1491900</x:v>
      </x:c>
      <x:c r="H32" s="6" t="n">
        <x:v>-106100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3474100</x:v>
      </x:c>
      <x:c r="E33" s="9" t="n">
        <x:f>SUM(E6:E32)</x:f>
        <x:v>1982200</x:v>
      </x:c>
      <x:c r="F33" s="9" t="n">
        <x:f>D33-E33</x:f>
        <x:v>1491900</x:v>
      </x:c>
      <x:c r="G33" s="9" t="n">
        <x:f>G32</x:f>
        <x:v>1491900</x:v>
      </x:c>
      <x:c r="H33" s="9" t="n">
        <x:f>MIN(H6:H32)</x:f>
        <x:v>-175600</x:v>
      </x:c>
      <x:c r="I33" s="9" t="n">
        <x:f>MAX(I6:I32)</x:f>
        <x:v>259200</x:v>
      </x:c>
      <x:c r="J33" s="10" t="n">
        <x:f>SUM(J6:J32)</x:f>
        <x:v>219</x:v>
      </x:c>
      <x:c r="K33" s="10" t="n">
        <x:f>SUM(K6:K32)</x:f>
        <x:v>0</x:v>
      </x:c>
    </x:row>
  </x:sheetData>
  <x:conditionalFormatting sqref="F6:H32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65bb9f64ad4da2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NK225_D164_13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失速待機の解除量と後続係数を最初の希望以下に固定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220200</x:v>
      </x:c>
      <x:c r="E9" s="6" t="n">
        <x:v>12000</x:v>
      </x:c>
      <x:c r="F9" s="6" t="n">
        <x:f>D9-E9</x:f>
        <x:v>208200</x:v>
      </x:c>
      <x:c r="G9" s="6" t="n">
        <x:f>G8+F9</x:f>
        <x:v>211400</x:v>
      </x:c>
      <x:c r="H9" s="6" t="n">
        <x:v>-25400</x:v>
      </x:c>
      <x:c r="I9" s="6" t="n">
        <x:v>169300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352800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90100</x:v>
      </x:c>
      <x:c r="E11" s="6" t="n">
        <x:v>70200</x:v>
      </x:c>
      <x:c r="F11" s="6" t="n">
        <x:f>D11-E11</x:f>
        <x:v>19900</x:v>
      </x:c>
      <x:c r="G11" s="6" t="n">
        <x:f>G10+F11</x:f>
        <x:v>372700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101200</x:v>
      </x:c>
      <x:c r="E12" s="6" t="n">
        <x:v>209900</x:v>
      </x:c>
      <x:c r="F12" s="6" t="n">
        <x:f>D12-E12</x:f>
        <x:v>-108700</x:v>
      </x:c>
      <x:c r="G12" s="6" t="n">
        <x:f>G11+F12</x:f>
        <x:v>264000</x:v>
      </x:c>
      <x:c r="H12" s="6" t="n">
        <x:v>-191200</x:v>
      </x:c>
      <x:c r="I12" s="6" t="n">
        <x:v>209400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46900</x:v>
      </x:c>
      <x:c r="E13" s="6" t="n">
        <x:v>11000</x:v>
      </x:c>
      <x:c r="F13" s="6" t="n">
        <x:f>D13-E13</x:f>
        <x:v>35900</x:v>
      </x:c>
      <x:c r="G13" s="6" t="n">
        <x:f>G12+F13</x:f>
        <x:v>299900</x:v>
      </x:c>
      <x:c r="H13" s="6" t="n">
        <x:v>-5000</x:v>
      </x:c>
      <x:c r="I13" s="6" t="n">
        <x:v>12800</x:v>
      </x:c>
      <x:c r="J13" s="7" t="n">
        <x:v>5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56000</x:v>
      </x:c>
      <x:c r="E14" s="6" t="n">
        <x:v>140800</x:v>
      </x:c>
      <x:c r="F14" s="6" t="n">
        <x:f>D14-E14</x:f>
        <x:v>-84800</x:v>
      </x:c>
      <x:c r="G14" s="6" t="n">
        <x:f>G13+F14</x:f>
        <x:v>215100</x:v>
      </x:c>
      <x:c r="H14" s="6" t="n">
        <x:v>-101700</x:v>
      </x:c>
      <x:c r="I14" s="6" t="n">
        <x:v>117900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35500</x:v>
      </x:c>
      <x:c r="E15" s="6" t="n">
        <x:v>56500</x:v>
      </x:c>
      <x:c r="F15" s="6" t="n">
        <x:f>D15-E15</x:f>
        <x:v>-21000</x:v>
      </x:c>
      <x:c r="G15" s="6" t="n">
        <x:f>G14+F15</x:f>
        <x:v>194100</x:v>
      </x:c>
      <x:c r="H15" s="6" t="n">
        <x:v>-38900</x:v>
      </x:c>
      <x:c r="I15" s="6" t="n">
        <x:v>87300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73500</x:v>
      </x:c>
      <x:c r="E16" s="6" t="n">
        <x:v>61900</x:v>
      </x:c>
      <x:c r="F16" s="6" t="n">
        <x:f>D16-E16</x:f>
        <x:v>11600</x:v>
      </x:c>
      <x:c r="G16" s="6" t="n">
        <x:f>G15+F16</x:f>
        <x:v>205700</x:v>
      </x:c>
      <x:c r="H16" s="6" t="n">
        <x:v>-13900</x:v>
      </x:c>
      <x:c r="I16" s="6" t="n">
        <x:v>81400</x:v>
      </x:c>
      <x:c r="J16" s="7" t="n">
        <x:v>11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178700</x:v>
      </x:c>
      <x:c r="F17" s="6" t="n">
        <x:f>D17-E17</x:f>
        <x:v>-133800</x:v>
      </x:c>
      <x:c r="G17" s="6" t="n">
        <x:f>G16+F17</x:f>
        <x:v>71900</x:v>
      </x:c>
      <x:c r="H17" s="6" t="n">
        <x:v>-133800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154200</x:v>
      </x:c>
      <x:c r="E18" s="6" t="n">
        <x:v>43300</x:v>
      </x:c>
      <x:c r="F18" s="6" t="n">
        <x:f>D18-E18</x:f>
        <x:v>110900</x:v>
      </x:c>
      <x:c r="G18" s="6" t="n">
        <x:f>G17+F18</x:f>
        <x:v>182800</x:v>
      </x:c>
      <x:c r="H18" s="6" t="n">
        <x:v>-10400</x:v>
      </x:c>
      <x:c r="I18" s="6" t="n">
        <x:v>55900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31200</x:v>
      </x:c>
      <x:c r="E19" s="6" t="n">
        <x:v>23000</x:v>
      </x:c>
      <x:c r="F19" s="6" t="n">
        <x:f>D19-E19</x:f>
        <x:v>8200</x:v>
      </x:c>
      <x:c r="G19" s="6" t="n">
        <x:f>G18+F19</x:f>
        <x:v>191000</x:v>
      </x:c>
      <x:c r="H19" s="6" t="n">
        <x:v>-31500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90500</x:v>
      </x:c>
      <x:c r="F20" s="6" t="n">
        <x:f>D20-E20</x:f>
        <x:v>11300</x:v>
      </x:c>
      <x:c r="G20" s="6" t="n">
        <x:f>G19+F20</x:f>
        <x:v>202300</x:v>
      </x:c>
      <x:c r="H20" s="6" t="n">
        <x:v>-101300</x:v>
      </x:c>
      <x:c r="I20" s="6" t="n">
        <x:v>198200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211500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164000</x:v>
      </x:c>
      <x:c r="E22" s="6" t="n">
        <x:v>245200</x:v>
      </x:c>
      <x:c r="F22" s="6" t="n">
        <x:f>D22-E22</x:f>
        <x:v>-81200</x:v>
      </x:c>
      <x:c r="G22" s="6" t="n">
        <x:f>G21+F22</x:f>
        <x:v>130300</x:v>
      </x:c>
      <x:c r="H22" s="6" t="n">
        <x:v>-122900</x:v>
      </x:c>
      <x:c r="I22" s="6" t="n">
        <x:v>222800</x:v>
      </x:c>
      <x:c r="J22" s="7" t="n">
        <x:v>14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41100</x:v>
      </x:c>
      <x:c r="E23" s="6" t="n">
        <x:v>57800</x:v>
      </x:c>
      <x:c r="F23" s="6" t="n">
        <x:f>D23-E23</x:f>
        <x:v>-16700</x:v>
      </x:c>
      <x:c r="G23" s="6" t="n">
        <x:f>G22+F23</x:f>
        <x:v>113600</x:v>
      </x:c>
      <x:c r="H23" s="6" t="n">
        <x:v>-57400</x:v>
      </x:c>
      <x:c r="I23" s="6" t="n">
        <x:v>83000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349300</x:v>
      </x:c>
      <x:c r="E24" s="6" t="n">
        <x:v>50000</x:v>
      </x:c>
      <x:c r="F24" s="6" t="n">
        <x:f>D24-E24</x:f>
        <x:v>299300</x:v>
      </x:c>
      <x:c r="G24" s="6" t="n">
        <x:f>G23+F24</x:f>
        <x:v>412900</x:v>
      </x:c>
      <x:c r="H24" s="6" t="n">
        <x:v>-31500</x:v>
      </x:c>
      <x:c r="I24" s="6" t="n">
        <x:v>144500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83400</x:v>
      </x:c>
      <x:c r="E25" s="6" t="n">
        <x:v>146900</x:v>
      </x:c>
      <x:c r="F25" s="6" t="n">
        <x:f>D25-E25</x:f>
        <x:v>-63500</x:v>
      </x:c>
      <x:c r="G25" s="6" t="n">
        <x:f>G24+F25</x:f>
        <x:v>349400</x:v>
      </x:c>
      <x:c r="H25" s="6" t="n">
        <x:v>-76900</x:v>
      </x:c>
      <x:c r="I25" s="6" t="n">
        <x:v>108900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497400</x:v>
      </x:c>
      <x:c r="E26" s="6" t="n">
        <x:v>0</x:v>
      </x:c>
      <x:c r="F26" s="6" t="n">
        <x:f>D26-E26</x:f>
        <x:v>497400</x:v>
      </x:c>
      <x:c r="G26" s="6" t="n">
        <x:f>G25+F26</x:f>
        <x:v>846800</x:v>
      </x:c>
      <x:c r="H26" s="6" t="n">
        <x:v>-26000</x:v>
      </x:c>
      <x:c r="I26" s="6" t="n">
        <x:v>241200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97700</x:v>
      </x:c>
      <x:c r="E27" s="6" t="n">
        <x:v>90800</x:v>
      </x:c>
      <x:c r="F27" s="6" t="n">
        <x:f>D27-E27</x:f>
        <x:v>6900</x:v>
      </x:c>
      <x:c r="G27" s="6" t="n">
        <x:f>G26+F27</x:f>
        <x:v>853700</x:v>
      </x:c>
      <x:c r="H27" s="6" t="n">
        <x:v>-12000</x:v>
      </x:c>
      <x:c r="I27" s="6" t="n">
        <x:v>139100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46300</x:v>
      </x:c>
      <x:c r="E28" s="6" t="n">
        <x:v>137300</x:v>
      </x:c>
      <x:c r="F28" s="6" t="n">
        <x:f>D28-E28</x:f>
        <x:v>-91000</x:v>
      </x:c>
      <x:c r="G28" s="6" t="n">
        <x:f>G27+F28</x:f>
        <x:v>762700</x:v>
      </x:c>
      <x:c r="H28" s="6" t="n">
        <x:v>-140400</x:v>
      </x:c>
      <x:c r="I28" s="6" t="n">
        <x:v>146900</x:v>
      </x:c>
      <x:c r="J28" s="7" t="n">
        <x:v>12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260600</x:v>
      </x:c>
      <x:c r="E29" s="6" t="n">
        <x:v>4000</x:v>
      </x:c>
      <x:c r="F29" s="6" t="n">
        <x:f>D29-E29</x:f>
        <x:v>256600</x:v>
      </x:c>
      <x:c r="G29" s="6" t="n">
        <x:f>G28+F29</x:f>
        <x:v>1019300</x:v>
      </x:c>
      <x:c r="H29" s="6" t="n">
        <x:v>-20600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358000</x:v>
      </x:c>
      <x:c r="E30" s="6" t="n">
        <x:v>51800</x:v>
      </x:c>
      <x:c r="F30" s="6" t="n">
        <x:f>D30-E30</x:f>
        <x:v>306200</x:v>
      </x:c>
      <x:c r="G30" s="6" t="n">
        <x:f>G29+F30</x:f>
        <x:v>1325500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381900</x:v>
      </x:c>
      <x:c r="E31" s="6" t="n">
        <x:v>100600</x:v>
      </x:c>
      <x:c r="F31" s="6" t="n">
        <x:f>D31-E31</x:f>
        <x:v>281300</x:v>
      </x:c>
      <x:c r="G31" s="6" t="n">
        <x:f>G30+F31</x:f>
        <x:v>1606800</x:v>
      </x:c>
      <x:c r="H31" s="6" t="n">
        <x:v>-15800</x:v>
      </x:c>
      <x:c r="I31" s="6" t="n">
        <x:v>263800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93800</x:v>
      </x:c>
      <x:c r="E32" s="6" t="n">
        <x:v>181200</x:v>
      </x:c>
      <x:c r="F32" s="6" t="n">
        <x:f>D32-E32</x:f>
        <x:v>-87400</x:v>
      </x:c>
      <x:c r="G32" s="6" t="n">
        <x:f>G31+F32</x:f>
        <x:v>1519400</x:v>
      </x:c>
      <x:c r="H32" s="6" t="n">
        <x:v>-105100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3509800</x:v>
      </x:c>
      <x:c r="E33" s="9" t="n">
        <x:f>SUM(E6:E32)</x:f>
        <x:v>1990400</x:v>
      </x:c>
      <x:c r="F33" s="9" t="n">
        <x:f>D33-E33</x:f>
        <x:v>1519400</x:v>
      </x:c>
      <x:c r="G33" s="9" t="n">
        <x:f>G32</x:f>
        <x:v>1519400</x:v>
      </x:c>
      <x:c r="H33" s="9" t="n">
        <x:f>MIN(H6:H32)</x:f>
        <x:v>-191200</x:v>
      </x:c>
      <x:c r="I33" s="9" t="n">
        <x:f>MAX(I6:I32)</x:f>
        <x:v>263800</x:v>
      </x:c>
      <x:c r="J33" s="10" t="n">
        <x:f>SUM(J6:J32)</x:f>
        <x:v>214</x:v>
      </x:c>
      <x:c r="K33" s="10" t="n">
        <x:f>SUM(K6:K32)</x:f>
        <x:v>0</x:v>
      </x:c>
    </x:row>
  </x:sheetData>
  <x:conditionalFormatting sqref="F6:H32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bfaa851e774c22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NK225_D164_14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残玉保護・追加50円損切り・数量上限付き失速待機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155500</x:v>
      </x:c>
      <x:c r="E9" s="6" t="n">
        <x:v>40500</x:v>
      </x:c>
      <x:c r="F9" s="6" t="n">
        <x:f>D9-E9</x:f>
        <x:v>115000</x:v>
      </x:c>
      <x:c r="G9" s="6" t="n">
        <x:f>G8+F9</x:f>
        <x:v>118200</x:v>
      </x:c>
      <x:c r="H9" s="6" t="n">
        <x:v>-36200</x:v>
      </x:c>
      <x:c r="I9" s="6" t="n">
        <x:v>164500</x:v>
      </x:c>
      <x:c r="J9" s="7" t="n">
        <x:v>8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259600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90600</x:v>
      </x:c>
      <x:c r="E11" s="6" t="n">
        <x:v>54500</x:v>
      </x:c>
      <x:c r="F11" s="6" t="n">
        <x:f>D11-E11</x:f>
        <x:v>36100</x:v>
      </x:c>
      <x:c r="G11" s="6" t="n">
        <x:f>G10+F11</x:f>
        <x:v>295700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101200</x:v>
      </x:c>
      <x:c r="E12" s="6" t="n">
        <x:v>191800</x:v>
      </x:c>
      <x:c r="F12" s="6" t="n">
        <x:f>D12-E12</x:f>
        <x:v>-90600</x:v>
      </x:c>
      <x:c r="G12" s="6" t="n">
        <x:f>G11+F12</x:f>
        <x:v>205100</x:v>
      </x:c>
      <x:c r="H12" s="6" t="n">
        <x:v>-177600</x:v>
      </x:c>
      <x:c r="I12" s="6" t="n">
        <x:v>195800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46900</x:v>
      </x:c>
      <x:c r="E13" s="6" t="n">
        <x:v>12500</x:v>
      </x:c>
      <x:c r="F13" s="6" t="n">
        <x:f>D13-E13</x:f>
        <x:v>34400</x:v>
      </x:c>
      <x:c r="G13" s="6" t="n">
        <x:f>G12+F13</x:f>
        <x:v>239500</x:v>
      </x:c>
      <x:c r="H13" s="6" t="n">
        <x:v>-5000</x:v>
      </x:c>
      <x:c r="I13" s="6" t="n">
        <x:v>12800</x:v>
      </x:c>
      <x:c r="J13" s="7" t="n">
        <x:v>5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56000</x:v>
      </x:c>
      <x:c r="E14" s="6" t="n">
        <x:v>140800</x:v>
      </x:c>
      <x:c r="F14" s="6" t="n">
        <x:f>D14-E14</x:f>
        <x:v>-84800</x:v>
      </x:c>
      <x:c r="G14" s="6" t="n">
        <x:f>G13+F14</x:f>
        <x:v>154700</x:v>
      </x:c>
      <x:c r="H14" s="6" t="n">
        <x:v>-101700</x:v>
      </x:c>
      <x:c r="I14" s="6" t="n">
        <x:v>117900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14400</x:v>
      </x:c>
      <x:c r="E15" s="6" t="n">
        <x:v>53100</x:v>
      </x:c>
      <x:c r="F15" s="6" t="n">
        <x:f>D15-E15</x:f>
        <x:v>-38700</x:v>
      </x:c>
      <x:c r="G15" s="6" t="n">
        <x:f>G14+F15</x:f>
        <x:v>116000</x:v>
      </x:c>
      <x:c r="H15" s="6" t="n">
        <x:v>-42200</x:v>
      </x:c>
      <x:c r="I15" s="6" t="n">
        <x:v>90600</x:v>
      </x:c>
      <x:c r="J15" s="7" t="n">
        <x:v>9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70500</x:v>
      </x:c>
      <x:c r="E16" s="6" t="n">
        <x:v>61400</x:v>
      </x:c>
      <x:c r="F16" s="6" t="n">
        <x:f>D16-E16</x:f>
        <x:v>9100</x:v>
      </x:c>
      <x:c r="G16" s="6" t="n">
        <x:f>G15+F16</x:f>
        <x:v>125100</x:v>
      </x:c>
      <x:c r="H16" s="6" t="n">
        <x:v>-9000</x:v>
      </x:c>
      <x:c r="I16" s="6" t="n">
        <x:v>74400</x:v>
      </x:c>
      <x:c r="J16" s="7" t="n">
        <x:v>11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177400</x:v>
      </x:c>
      <x:c r="F17" s="6" t="n">
        <x:f>D17-E17</x:f>
        <x:v>-132500</x:v>
      </x:c>
      <x:c r="G17" s="6" t="n">
        <x:f>G16+F17</x:f>
        <x:v>-7400</x:v>
      </x:c>
      <x:c r="H17" s="6" t="n">
        <x:v>-132500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145200</x:v>
      </x:c>
      <x:c r="E18" s="6" t="n">
        <x:v>49800</x:v>
      </x:c>
      <x:c r="F18" s="6" t="n">
        <x:f>D18-E18</x:f>
        <x:v>95400</x:v>
      </x:c>
      <x:c r="G18" s="6" t="n">
        <x:f>G17+F18</x:f>
        <x:v>88000</x:v>
      </x:c>
      <x:c r="H18" s="6" t="n">
        <x:v>-10400</x:v>
      </x:c>
      <x:c r="I18" s="6" t="n">
        <x:v>55900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31200</x:v>
      </x:c>
      <x:c r="E19" s="6" t="n">
        <x:v>23000</x:v>
      </x:c>
      <x:c r="F19" s="6" t="n">
        <x:f>D19-E19</x:f>
        <x:v>8200</x:v>
      </x:c>
      <x:c r="G19" s="6" t="n">
        <x:f>G18+F19</x:f>
        <x:v>96200</x:v>
      </x:c>
      <x:c r="H19" s="6" t="n">
        <x:v>-31500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46400</x:v>
      </x:c>
      <x:c r="F20" s="6" t="n">
        <x:f>D20-E20</x:f>
        <x:v>55400</x:v>
      </x:c>
      <x:c r="G20" s="6" t="n">
        <x:f>G19+F20</x:f>
        <x:v>151600</x:v>
      </x:c>
      <x:c r="H20" s="6" t="n">
        <x:v>-102300</x:v>
      </x:c>
      <x:c r="I20" s="6" t="n">
        <x:v>156100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160800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145800</x:v>
      </x:c>
      <x:c r="E22" s="6" t="n">
        <x:v>242800</x:v>
      </x:c>
      <x:c r="F22" s="6" t="n">
        <x:f>D22-E22</x:f>
        <x:v>-97000</x:v>
      </x:c>
      <x:c r="G22" s="6" t="n">
        <x:f>G21+F22</x:f>
        <x:v>63800</x:v>
      </x:c>
      <x:c r="H22" s="6" t="n">
        <x:v>-119200</x:v>
      </x:c>
      <x:c r="I22" s="6" t="n">
        <x:v>219100</x:v>
      </x:c>
      <x:c r="J22" s="7" t="n">
        <x:v>14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41300</x:v>
      </x:c>
      <x:c r="E23" s="6" t="n">
        <x:v>37200</x:v>
      </x:c>
      <x:c r="F23" s="6" t="n">
        <x:f>D23-E23</x:f>
        <x:v>4100</x:v>
      </x:c>
      <x:c r="G23" s="6" t="n">
        <x:f>G22+F23</x:f>
        <x:v>67900</x:v>
      </x:c>
      <x:c r="H23" s="6" t="n">
        <x:v>-39200</x:v>
      </x:c>
      <x:c r="I23" s="6" t="n">
        <x:v>64800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349300</x:v>
      </x:c>
      <x:c r="E24" s="6" t="n">
        <x:v>33000</x:v>
      </x:c>
      <x:c r="F24" s="6" t="n">
        <x:f>D24-E24</x:f>
        <x:v>316300</x:v>
      </x:c>
      <x:c r="G24" s="6" t="n">
        <x:f>G23+F24</x:f>
        <x:v>384200</x:v>
      </x:c>
      <x:c r="H24" s="6" t="n">
        <x:v>-31500</x:v>
      </x:c>
      <x:c r="I24" s="6" t="n">
        <x:v>127500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73600</x:v>
      </x:c>
      <x:c r="E25" s="6" t="n">
        <x:v>106100</x:v>
      </x:c>
      <x:c r="F25" s="6" t="n">
        <x:f>D25-E25</x:f>
        <x:v>-32500</x:v>
      </x:c>
      <x:c r="G25" s="6" t="n">
        <x:f>G24+F25</x:f>
        <x:v>351700</x:v>
      </x:c>
      <x:c r="H25" s="6" t="n">
        <x:v>-76300</x:v>
      </x:c>
      <x:c r="I25" s="6" t="n">
        <x:v>108300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497400</x:v>
      </x:c>
      <x:c r="E26" s="6" t="n">
        <x:v>0</x:v>
      </x:c>
      <x:c r="F26" s="6" t="n">
        <x:f>D26-E26</x:f>
        <x:v>497400</x:v>
      </x:c>
      <x:c r="G26" s="6" t="n">
        <x:f>G25+F26</x:f>
        <x:v>849100</x:v>
      </x:c>
      <x:c r="H26" s="6" t="n">
        <x:v>-26000</x:v>
      </x:c>
      <x:c r="I26" s="6" t="n">
        <x:v>241200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91700</x:v>
      </x:c>
      <x:c r="E27" s="6" t="n">
        <x:v>91300</x:v>
      </x:c>
      <x:c r="F27" s="6" t="n">
        <x:f>D27-E27</x:f>
        <x:v>400</x:v>
      </x:c>
      <x:c r="G27" s="6" t="n">
        <x:f>G26+F27</x:f>
        <x:v>849500</x:v>
      </x:c>
      <x:c r="H27" s="6" t="n">
        <x:v>-12000</x:v>
      </x:c>
      <x:c r="I27" s="6" t="n">
        <x:v>139100</x:v>
      </x:c>
      <x:c r="J27" s="7" t="n">
        <x:v>13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44800</x:v>
      </x:c>
      <x:c r="E28" s="6" t="n">
        <x:v>138800</x:v>
      </x:c>
      <x:c r="F28" s="6" t="n">
        <x:f>D28-E28</x:f>
        <x:v>-94000</x:v>
      </x:c>
      <x:c r="G28" s="6" t="n">
        <x:f>G27+F28</x:f>
        <x:v>755500</x:v>
      </x:c>
      <x:c r="H28" s="6" t="n">
        <x:v>-139400</x:v>
      </x:c>
      <x:c r="I28" s="6" t="n">
        <x:v>145900</x:v>
      </x:c>
      <x:c r="J28" s="7" t="n">
        <x:v>12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260600</x:v>
      </x:c>
      <x:c r="E29" s="6" t="n">
        <x:v>2000</x:v>
      </x:c>
      <x:c r="F29" s="6" t="n">
        <x:f>D29-E29</x:f>
        <x:v>258600</x:v>
      </x:c>
      <x:c r="G29" s="6" t="n">
        <x:f>G28+F29</x:f>
        <x:v>1014100</x:v>
      </x:c>
      <x:c r="H29" s="6" t="n">
        <x:v>-18600</x:v>
      </x:c>
      <x:c r="I29" s="6" t="n">
        <x:v>59400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297500</x:v>
      </x:c>
      <x:c r="E30" s="6" t="n">
        <x:v>67800</x:v>
      </x:c>
      <x:c r="F30" s="6" t="n">
        <x:f>D30-E30</x:f>
        <x:v>229700</x:v>
      </x:c>
      <x:c r="G30" s="6" t="n">
        <x:f>G29+F30</x:f>
        <x:v>1243800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121800</x:v>
      </x:c>
      <x:c r="E31" s="6" t="n">
        <x:v>111100</x:v>
      </x:c>
      <x:c r="F31" s="6" t="n">
        <x:f>D31-E31</x:f>
        <x:v>10700</x:v>
      </x:c>
      <x:c r="G31" s="6" t="n">
        <x:f>G30+F31</x:f>
        <x:v>1254500</x:v>
      </x:c>
      <x:c r="H31" s="6" t="n">
        <x:v>-15800</x:v>
      </x:c>
      <x:c r="I31" s="6" t="n">
        <x:v>241100</x:v>
      </x:c>
      <x:c r="J31" s="7" t="n">
        <x:v>7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91800</x:v>
      </x:c>
      <x:c r="E32" s="6" t="n">
        <x:v>174100</x:v>
      </x:c>
      <x:c r="F32" s="6" t="n">
        <x:f>D32-E32</x:f>
        <x:v>-82300</x:v>
      </x:c>
      <x:c r="G32" s="6" t="n">
        <x:f>G31+F32</x:f>
        <x:v>1172200</x:v>
      </x:c>
      <x:c r="H32" s="6" t="n">
        <x:v>-105100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3054600</x:v>
      </x:c>
      <x:c r="E33" s="9" t="n">
        <x:f>SUM(E6:E32)</x:f>
        <x:v>1882400</x:v>
      </x:c>
      <x:c r="F33" s="9" t="n">
        <x:f>D33-E33</x:f>
        <x:v>1172200</x:v>
      </x:c>
      <x:c r="G33" s="9" t="n">
        <x:f>G32</x:f>
        <x:v>1172200</x:v>
      </x:c>
      <x:c r="H33" s="9" t="n">
        <x:f>MIN(H6:H32)</x:f>
        <x:v>-177600</x:v>
      </x:c>
      <x:c r="I33" s="9" t="n">
        <x:f>MAX(I6:I32)</x:f>
        <x:v>241200</x:v>
      </x:c>
      <x:c r="J33" s="10" t="n">
        <x:f>SUM(J6:J32)</x:f>
        <x:v>214</x:v>
      </x:c>
      <x:c r="K33" s="10" t="n">
        <x:f>SUM(K6:K32)</x:f>
        <x:v>0</x:v>
      </x:c>
    </x:row>
  </x:sheetData>
  <x:conditionalFormatting sqref="F6:H32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8b1576dc6c434f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NK225_D164_15　日中の損益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14に元追加時の短期方向確認を追加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2026-09-21_Day</x:v>
      </x:c>
      <x:c r="B6" s="2" t="str">
        <x:v>前40場内</x:v>
      </x:c>
      <x:c r="C6" s="2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7" t="n">
        <x:v>2</x:v>
      </x:c>
      <x:c r="K6" s="7" t="n">
        <x:f>IF(J6=0,1,0)</x:f>
        <x:v>0</x:v>
      </x:c>
    </x:row>
    <x:row r="7" ht="25" customHeight="1">
      <x:c r="A7" s="2" t="str">
        <x:v>2026-09-22_Day</x:v>
      </x:c>
      <x:c r="B7" s="2" t="str">
        <x:v>前40場内</x:v>
      </x:c>
      <x:c r="C7" s="2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7" t="n">
        <x:v>2</x:v>
      </x:c>
      <x:c r="K7" s="7" t="n">
        <x:f>IF(J7=0,1,0)</x:f>
        <x:v>0</x:v>
      </x:c>
    </x:row>
    <x:row r="8" ht="25" customHeight="1">
      <x:c r="A8" s="2" t="str">
        <x:v>2026-09-23_Day</x:v>
      </x:c>
      <x:c r="B8" s="2" t="str">
        <x:v>前40場内</x:v>
      </x:c>
      <x:c r="C8" s="2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7" t="n">
        <x:v>1</x:v>
      </x:c>
      <x:c r="K8" s="7" t="n">
        <x:f>IF(J8=0,1,0)</x:f>
        <x:v>0</x:v>
      </x:c>
    </x:row>
    <x:row r="9" ht="25" customHeight="1">
      <x:c r="A9" s="2" t="str">
        <x:v>2026-09-24_Day</x:v>
      </x:c>
      <x:c r="B9" s="2" t="str">
        <x:v>前40場内</x:v>
      </x:c>
      <x:c r="C9" s="2" t="str">
        <x:v>下落</x:v>
      </x:c>
      <x:c r="D9" s="6" t="n">
        <x:v>155500</x:v>
      </x:c>
      <x:c r="E9" s="6" t="n">
        <x:v>28500</x:v>
      </x:c>
      <x:c r="F9" s="6" t="n">
        <x:f>D9-E9</x:f>
        <x:v>127000</x:v>
      </x:c>
      <x:c r="G9" s="6" t="n">
        <x:f>G8+F9</x:f>
        <x:v>130200</x:v>
      </x:c>
      <x:c r="H9" s="6" t="n">
        <x:v>-36200</x:v>
      </x:c>
      <x:c r="I9" s="6" t="n">
        <x:v>124500</x:v>
      </x:c>
      <x:c r="J9" s="7" t="n">
        <x:v>7</x:v>
      </x:c>
      <x:c r="K9" s="7" t="n">
        <x:f>IF(J9=0,1,0)</x:f>
        <x:v>0</x:v>
      </x:c>
    </x:row>
    <x:row r="10" ht="25" customHeight="1">
      <x:c r="A10" s="2" t="str">
        <x:v>2026-09-25_Day</x:v>
      </x:c>
      <x:c r="B10" s="2" t="str">
        <x:v>前40場内</x:v>
      </x:c>
      <x:c r="C10" s="2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271600</x:v>
      </x:c>
      <x:c r="H10" s="6" t="n">
        <x:v>-58000</x:v>
      </x:c>
      <x:c r="I10" s="6" t="n">
        <x:v>96800</x:v>
      </x:c>
      <x:c r="J10" s="7" t="n">
        <x:v>5</x:v>
      </x:c>
      <x:c r="K10" s="7" t="n">
        <x:f>IF(J10=0,1,0)</x:f>
        <x:v>0</x:v>
      </x:c>
    </x:row>
    <x:row r="11" ht="25" customHeight="1">
      <x:c r="A11" s="2" t="str">
        <x:v>2026-09-28_Day</x:v>
      </x:c>
      <x:c r="B11" s="2" t="str">
        <x:v>前40場内</x:v>
      </x:c>
      <x:c r="C11" s="2" t="str">
        <x:v>下落</x:v>
      </x:c>
      <x:c r="D11" s="6" t="n">
        <x:v>90600</x:v>
      </x:c>
      <x:c r="E11" s="6" t="n">
        <x:v>54500</x:v>
      </x:c>
      <x:c r="F11" s="6" t="n">
        <x:f>D11-E11</x:f>
        <x:v>36100</x:v>
      </x:c>
      <x:c r="G11" s="6" t="n">
        <x:f>G10+F11</x:f>
        <x:v>307700</x:v>
      </x:c>
      <x:c r="H11" s="6" t="n">
        <x:v>-75200</x:v>
      </x:c>
      <x:c r="I11" s="6" t="n">
        <x:v>89300</x:v>
      </x:c>
      <x:c r="J11" s="7" t="n">
        <x:v>9</x:v>
      </x:c>
      <x:c r="K11" s="7" t="n">
        <x:f>IF(J11=0,1,0)</x:f>
        <x:v>0</x:v>
      </x:c>
    </x:row>
    <x:row r="12" ht="25" customHeight="1">
      <x:c r="A12" s="2" t="str">
        <x:v>2026-09-29_Day</x:v>
      </x:c>
      <x:c r="B12" s="2" t="str">
        <x:v>前40場内</x:v>
      </x:c>
      <x:c r="C12" s="2" t="str">
        <x:v>下落</x:v>
      </x:c>
      <x:c r="D12" s="6" t="n">
        <x:v>101200</x:v>
      </x:c>
      <x:c r="E12" s="6" t="n">
        <x:v>191800</x:v>
      </x:c>
      <x:c r="F12" s="6" t="n">
        <x:f>D12-E12</x:f>
        <x:v>-90600</x:v>
      </x:c>
      <x:c r="G12" s="6" t="n">
        <x:f>G11+F12</x:f>
        <x:v>217100</x:v>
      </x:c>
      <x:c r="H12" s="6" t="n">
        <x:v>-177600</x:v>
      </x:c>
      <x:c r="I12" s="6" t="n">
        <x:v>195800</x:v>
      </x:c>
      <x:c r="J12" s="7" t="n">
        <x:v>14</x:v>
      </x:c>
      <x:c r="K12" s="7" t="n">
        <x:f>IF(J12=0,1,0)</x:f>
        <x:v>0</x:v>
      </x:c>
    </x:row>
    <x:row r="13" ht="25" customHeight="1">
      <x:c r="A13" s="2" t="str">
        <x:v>2026-09-30_Day</x:v>
      </x:c>
      <x:c r="B13" s="2" t="str">
        <x:v>前40場内</x:v>
      </x:c>
      <x:c r="C13" s="2" t="str">
        <x:v>上昇</x:v>
      </x:c>
      <x:c r="D13" s="6" t="n">
        <x:v>46900</x:v>
      </x:c>
      <x:c r="E13" s="6" t="n">
        <x:v>12500</x:v>
      </x:c>
      <x:c r="F13" s="6" t="n">
        <x:f>D13-E13</x:f>
        <x:v>34400</x:v>
      </x:c>
      <x:c r="G13" s="6" t="n">
        <x:f>G12+F13</x:f>
        <x:v>251500</x:v>
      </x:c>
      <x:c r="H13" s="6" t="n">
        <x:v>-5000</x:v>
      </x:c>
      <x:c r="I13" s="6" t="n">
        <x:v>12800</x:v>
      </x:c>
      <x:c r="J13" s="7" t="n">
        <x:v>5</x:v>
      </x:c>
      <x:c r="K13" s="7" t="n">
        <x:f>IF(J13=0,1,0)</x:f>
        <x:v>0</x:v>
      </x:c>
    </x:row>
    <x:row r="14" ht="25" customHeight="1">
      <x:c r="A14" s="2" t="str">
        <x:v>2026-10-01_Day</x:v>
      </x:c>
      <x:c r="B14" s="2" t="str">
        <x:v>前40場内</x:v>
      </x:c>
      <x:c r="C14" s="2" t="str">
        <x:v>上昇</x:v>
      </x:c>
      <x:c r="D14" s="6" t="n">
        <x:v>56000</x:v>
      </x:c>
      <x:c r="E14" s="6" t="n">
        <x:v>140800</x:v>
      </x:c>
      <x:c r="F14" s="6" t="n">
        <x:f>D14-E14</x:f>
        <x:v>-84800</x:v>
      </x:c>
      <x:c r="G14" s="6" t="n">
        <x:f>G13+F14</x:f>
        <x:v>166700</x:v>
      </x:c>
      <x:c r="H14" s="6" t="n">
        <x:v>-101700</x:v>
      </x:c>
      <x:c r="I14" s="6" t="n">
        <x:v>117900</x:v>
      </x:c>
      <x:c r="J14" s="7" t="n">
        <x:v>5</x:v>
      </x:c>
      <x:c r="K14" s="7" t="n">
        <x:f>IF(J14=0,1,0)</x:f>
        <x:v>0</x:v>
      </x:c>
    </x:row>
    <x:row r="15" ht="25" customHeight="1">
      <x:c r="A15" s="2" t="str">
        <x:v>2026-10-02_Day</x:v>
      </x:c>
      <x:c r="B15" s="2" t="str">
        <x:v>前40場内</x:v>
      </x:c>
      <x:c r="C15" s="2" t="str">
        <x:v>上昇</x:v>
      </x:c>
      <x:c r="D15" s="6" t="n">
        <x:v>14400</x:v>
      </x:c>
      <x:c r="E15" s="6" t="n">
        <x:v>47600</x:v>
      </x:c>
      <x:c r="F15" s="6" t="n">
        <x:f>D15-E15</x:f>
        <x:v>-33200</x:v>
      </x:c>
      <x:c r="G15" s="6" t="n">
        <x:f>G14+F15</x:f>
        <x:v>133500</x:v>
      </x:c>
      <x:c r="H15" s="6" t="n">
        <x:v>-40200</x:v>
      </x:c>
      <x:c r="I15" s="6" t="n">
        <x:v>88600</x:v>
      </x:c>
      <x:c r="J15" s="7" t="n">
        <x:v>7</x:v>
      </x:c>
      <x:c r="K15" s="7" t="n">
        <x:f>IF(J15=0,1,0)</x:f>
        <x:v>0</x:v>
      </x:c>
    </x:row>
    <x:row r="16" ht="25" customHeight="1">
      <x:c r="A16" s="2" t="str">
        <x:v>2026-10-05_Day</x:v>
      </x:c>
      <x:c r="B16" s="2" t="str">
        <x:v>前40場内</x:v>
      </x:c>
      <x:c r="C16" s="2" t="str">
        <x:v>上昇</x:v>
      </x:c>
      <x:c r="D16" s="6" t="n">
        <x:v>70500</x:v>
      </x:c>
      <x:c r="E16" s="6" t="n">
        <x:v>58900</x:v>
      </x:c>
      <x:c r="F16" s="6" t="n">
        <x:f>D16-E16</x:f>
        <x:v>11600</x:v>
      </x:c>
      <x:c r="G16" s="6" t="n">
        <x:f>G15+F16</x:f>
        <x:v>145100</x:v>
      </x:c>
      <x:c r="H16" s="6" t="n">
        <x:v>-9000</x:v>
      </x:c>
      <x:c r="I16" s="6" t="n">
        <x:v>71900</x:v>
      </x:c>
      <x:c r="J16" s="7" t="n">
        <x:v>9</x:v>
      </x:c>
      <x:c r="K16" s="7" t="n">
        <x:f>IF(J16=0,1,0)</x:f>
        <x:v>0</x:v>
      </x:c>
    </x:row>
    <x:row r="17" ht="25" customHeight="1">
      <x:c r="A17" s="2" t="str">
        <x:v>2026-10-06_Day</x:v>
      </x:c>
      <x:c r="B17" s="2" t="str">
        <x:v>前40場内</x:v>
      </x:c>
      <x:c r="C17" s="2" t="str">
        <x:v>上昇</x:v>
      </x:c>
      <x:c r="D17" s="6" t="n">
        <x:v>44900</x:v>
      </x:c>
      <x:c r="E17" s="6" t="n">
        <x:v>177400</x:v>
      </x:c>
      <x:c r="F17" s="6" t="n">
        <x:f>D17-E17</x:f>
        <x:v>-132500</x:v>
      </x:c>
      <x:c r="G17" s="6" t="n">
        <x:f>G16+F17</x:f>
        <x:v>12600</x:v>
      </x:c>
      <x:c r="H17" s="6" t="n">
        <x:v>-132500</x:v>
      </x:c>
      <x:c r="I17" s="6" t="n">
        <x:v>170700</x:v>
      </x:c>
      <x:c r="J17" s="7" t="n">
        <x:v>10</x:v>
      </x:c>
      <x:c r="K17" s="7" t="n">
        <x:f>IF(J17=0,1,0)</x:f>
        <x:v>0</x:v>
      </x:c>
    </x:row>
    <x:row r="18" ht="25" customHeight="1">
      <x:c r="A18" s="2" t="str">
        <x:v>2026-10-07_Day</x:v>
      </x:c>
      <x:c r="B18" s="2" t="str">
        <x:v>前40場内</x:v>
      </x:c>
      <x:c r="C18" s="2" t="str">
        <x:v>下落</x:v>
      </x:c>
      <x:c r="D18" s="6" t="n">
        <x:v>145200</x:v>
      </x:c>
      <x:c r="E18" s="6" t="n">
        <x:v>49800</x:v>
      </x:c>
      <x:c r="F18" s="6" t="n">
        <x:f>D18-E18</x:f>
        <x:v>95400</x:v>
      </x:c>
      <x:c r="G18" s="6" t="n">
        <x:f>G17+F18</x:f>
        <x:v>108000</x:v>
      </x:c>
      <x:c r="H18" s="6" t="n">
        <x:v>-10400</x:v>
      </x:c>
      <x:c r="I18" s="6" t="n">
        <x:v>55900</x:v>
      </x:c>
      <x:c r="J18" s="7" t="n">
        <x:v>7</x:v>
      </x:c>
      <x:c r="K18" s="7" t="n">
        <x:f>IF(J18=0,1,0)</x:f>
        <x:v>0</x:v>
      </x:c>
    </x:row>
    <x:row r="19" ht="25" customHeight="1">
      <x:c r="A19" s="2" t="str">
        <x:v>2026-10-08_Day</x:v>
      </x:c>
      <x:c r="B19" s="2" t="str">
        <x:v>前40場内</x:v>
      </x:c>
      <x:c r="C19" s="2" t="str">
        <x:v>下落</x:v>
      </x:c>
      <x:c r="D19" s="6" t="n">
        <x:v>31200</x:v>
      </x:c>
      <x:c r="E19" s="6" t="n">
        <x:v>23000</x:v>
      </x:c>
      <x:c r="F19" s="6" t="n">
        <x:f>D19-E19</x:f>
        <x:v>8200</x:v>
      </x:c>
      <x:c r="G19" s="6" t="n">
        <x:f>G18+F19</x:f>
        <x:v>116200</x:v>
      </x:c>
      <x:c r="H19" s="6" t="n">
        <x:v>-31500</x:v>
      </x:c>
      <x:c r="I19" s="6" t="n">
        <x:v>32300</x:v>
      </x:c>
      <x:c r="J19" s="7" t="n">
        <x:v>7</x:v>
      </x:c>
      <x:c r="K19" s="7" t="n">
        <x:f>IF(J19=0,1,0)</x:f>
        <x:v>0</x:v>
      </x:c>
    </x:row>
    <x:row r="20" ht="25" customHeight="1">
      <x:c r="A20" s="2" t="str">
        <x:v>2026-10-09_Day</x:v>
      </x:c>
      <x:c r="B20" s="2" t="str">
        <x:v>前40場内</x:v>
      </x:c>
      <x:c r="C20" s="2" t="str">
        <x:v>上昇</x:v>
      </x:c>
      <x:c r="D20" s="6" t="n">
        <x:v>101800</x:v>
      </x:c>
      <x:c r="E20" s="6" t="n">
        <x:v>46400</x:v>
      </x:c>
      <x:c r="F20" s="6" t="n">
        <x:f>D20-E20</x:f>
        <x:v>55400</x:v>
      </x:c>
      <x:c r="G20" s="6" t="n">
        <x:f>G19+F20</x:f>
        <x:v>171600</x:v>
      </x:c>
      <x:c r="H20" s="6" t="n">
        <x:v>-102300</x:v>
      </x:c>
      <x:c r="I20" s="6" t="n">
        <x:v>156100</x:v>
      </x:c>
      <x:c r="J20" s="7" t="n">
        <x:v>9</x:v>
      </x:c>
      <x:c r="K20" s="7" t="n">
        <x:f>IF(J20=0,1,0)</x:f>
        <x:v>0</x:v>
      </x:c>
    </x:row>
    <x:row r="21" ht="25" customHeight="1">
      <x:c r="A21" s="2" t="str">
        <x:v>2026-10-12_Day</x:v>
      </x:c>
      <x:c r="B21" s="2" t="str">
        <x:v>前40場内</x:v>
      </x:c>
      <x:c r="C21" s="2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180800</x:v>
      </x:c>
      <x:c r="H21" s="6" t="n">
        <x:v>-5000</x:v>
      </x:c>
      <x:c r="I21" s="6" t="n">
        <x:v>14000</x:v>
      </x:c>
      <x:c r="J21" s="7" t="n">
        <x:v>3</x:v>
      </x:c>
      <x:c r="K21" s="7" t="n">
        <x:f>IF(J21=0,1,0)</x:f>
        <x:v>0</x:v>
      </x:c>
    </x:row>
    <x:row r="22" ht="25" customHeight="1">
      <x:c r="A22" s="2" t="str">
        <x:v>2026-10-13_Day</x:v>
      </x:c>
      <x:c r="B22" s="2" t="str">
        <x:v>前40場内</x:v>
      </x:c>
      <x:c r="C22" s="2" t="str">
        <x:v>下落</x:v>
      </x:c>
      <x:c r="D22" s="6" t="n">
        <x:v>158800</x:v>
      </x:c>
      <x:c r="E22" s="6" t="n">
        <x:v>223000</x:v>
      </x:c>
      <x:c r="F22" s="6" t="n">
        <x:f>D22-E22</x:f>
        <x:v>-64200</x:v>
      </x:c>
      <x:c r="G22" s="6" t="n">
        <x:f>G21+F22</x:f>
        <x:v>116600</x:v>
      </x:c>
      <x:c r="H22" s="6" t="n">
        <x:v>-100700</x:v>
      </x:c>
      <x:c r="I22" s="6" t="n">
        <x:v>196900</x:v>
      </x:c>
      <x:c r="J22" s="7" t="n">
        <x:v>12</x:v>
      </x:c>
      <x:c r="K22" s="7" t="n">
        <x:f>IF(J22=0,1,0)</x:f>
        <x:v>0</x:v>
      </x:c>
    </x:row>
    <x:row r="23" ht="25" customHeight="1">
      <x:c r="A23" s="2" t="str">
        <x:v>2026-10-14_Day</x:v>
      </x:c>
      <x:c r="B23" s="2" t="str">
        <x:v>前40場内</x:v>
      </x:c>
      <x:c r="C23" s="2" t="str">
        <x:v>上昇</x:v>
      </x:c>
      <x:c r="D23" s="6" t="n">
        <x:v>41300</x:v>
      </x:c>
      <x:c r="E23" s="6" t="n">
        <x:v>37200</x:v>
      </x:c>
      <x:c r="F23" s="6" t="n">
        <x:f>D23-E23</x:f>
        <x:v>4100</x:v>
      </x:c>
      <x:c r="G23" s="6" t="n">
        <x:f>G22+F23</x:f>
        <x:v>120700</x:v>
      </x:c>
      <x:c r="H23" s="6" t="n">
        <x:v>-39200</x:v>
      </x:c>
      <x:c r="I23" s="6" t="n">
        <x:v>64800</x:v>
      </x:c>
      <x:c r="J23" s="7" t="n">
        <x:v>5</x:v>
      </x:c>
      <x:c r="K23" s="7" t="n">
        <x:f>IF(J23=0,1,0)</x:f>
        <x:v>0</x:v>
      </x:c>
    </x:row>
    <x:row r="24" ht="25" customHeight="1">
      <x:c r="A24" s="2" t="str">
        <x:v>2026-10-15_Day</x:v>
      </x:c>
      <x:c r="B24" s="2" t="str">
        <x:v>前40場内</x:v>
      </x:c>
      <x:c r="C24" s="2" t="str">
        <x:v>下落</x:v>
      </x:c>
      <x:c r="D24" s="6" t="n">
        <x:v>349300</x:v>
      </x:c>
      <x:c r="E24" s="6" t="n">
        <x:v>33000</x:v>
      </x:c>
      <x:c r="F24" s="6" t="n">
        <x:f>D24-E24</x:f>
        <x:v>316300</x:v>
      </x:c>
      <x:c r="G24" s="6" t="n">
        <x:f>G23+F24</x:f>
        <x:v>437000</x:v>
      </x:c>
      <x:c r="H24" s="6" t="n">
        <x:v>-31500</x:v>
      </x:c>
      <x:c r="I24" s="6" t="n">
        <x:v>127500</x:v>
      </x:c>
      <x:c r="J24" s="7" t="n">
        <x:v>6</x:v>
      </x:c>
      <x:c r="K24" s="7" t="n">
        <x:f>IF(J24=0,1,0)</x:f>
        <x:v>0</x:v>
      </x:c>
    </x:row>
    <x:row r="25" ht="25" customHeight="1">
      <x:c r="A25" s="2" t="str">
        <x:v>2026-10-16_Day</x:v>
      </x:c>
      <x:c r="B25" s="2" t="str">
        <x:v>前40場内</x:v>
      </x:c>
      <x:c r="C25" s="2" t="str">
        <x:v>上昇</x:v>
      </x:c>
      <x:c r="D25" s="6" t="n">
        <x:v>73600</x:v>
      </x:c>
      <x:c r="E25" s="6" t="n">
        <x:v>100100</x:v>
      </x:c>
      <x:c r="F25" s="6" t="n">
        <x:f>D25-E25</x:f>
        <x:v>-26500</x:v>
      </x:c>
      <x:c r="G25" s="6" t="n">
        <x:f>G24+F25</x:f>
        <x:v>410500</x:v>
      </x:c>
      <x:c r="H25" s="6" t="n">
        <x:v>-76300</x:v>
      </x:c>
      <x:c r="I25" s="6" t="n">
        <x:v>108300</x:v>
      </x:c>
      <x:c r="J25" s="7" t="n">
        <x:v>12</x:v>
      </x:c>
      <x:c r="K25" s="7" t="n">
        <x:f>IF(J25=0,1,0)</x:f>
        <x:v>0</x:v>
      </x:c>
    </x:row>
    <x:row r="26" ht="25" customHeight="1">
      <x:c r="A26" s="2" t="str">
        <x:v>2026-10-19_Day</x:v>
      </x:c>
      <x:c r="B26" s="2" t="str">
        <x:v>旧後13場内</x:v>
      </x:c>
      <x:c r="C26" s="2" t="str">
        <x:v>上昇</x:v>
      </x:c>
      <x:c r="D26" s="6" t="n">
        <x:v>497400</x:v>
      </x:c>
      <x:c r="E26" s="6" t="n">
        <x:v>0</x:v>
      </x:c>
      <x:c r="F26" s="6" t="n">
        <x:f>D26-E26</x:f>
        <x:v>497400</x:v>
      </x:c>
      <x:c r="G26" s="6" t="n">
        <x:f>G25+F26</x:f>
        <x:v>907900</x:v>
      </x:c>
      <x:c r="H26" s="6" t="n">
        <x:v>-26000</x:v>
      </x:c>
      <x:c r="I26" s="6" t="n">
        <x:v>241200</x:v>
      </x:c>
      <x:c r="J26" s="7" t="n">
        <x:v>4</x:v>
      </x:c>
      <x:c r="K26" s="7" t="n">
        <x:f>IF(J26=0,1,0)</x:f>
        <x:v>0</x:v>
      </x:c>
    </x:row>
    <x:row r="27" ht="25" customHeight="1">
      <x:c r="A27" s="2" t="str">
        <x:v>2026-10-20_Day</x:v>
      </x:c>
      <x:c r="B27" s="2" t="str">
        <x:v>旧後13場内</x:v>
      </x:c>
      <x:c r="C27" s="2" t="str">
        <x:v>下落</x:v>
      </x:c>
      <x:c r="D27" s="6" t="n">
        <x:v>91700</x:v>
      </x:c>
      <x:c r="E27" s="6" t="n">
        <x:v>88800</x:v>
      </x:c>
      <x:c r="F27" s="6" t="n">
        <x:f>D27-E27</x:f>
        <x:v>2900</x:v>
      </x:c>
      <x:c r="G27" s="6" t="n">
        <x:f>G26+F27</x:f>
        <x:v>910800</x:v>
      </x:c>
      <x:c r="H27" s="6" t="n">
        <x:v>-12000</x:v>
      </x:c>
      <x:c r="I27" s="6" t="n">
        <x:v>139100</x:v>
      </x:c>
      <x:c r="J27" s="7" t="n">
        <x:v>12</x:v>
      </x:c>
      <x:c r="K27" s="7" t="n">
        <x:f>IF(J27=0,1,0)</x:f>
        <x:v>0</x:v>
      </x:c>
    </x:row>
    <x:row r="28" ht="25" customHeight="1">
      <x:c r="A28" s="2" t="str">
        <x:v>2026-10-21_Day</x:v>
      </x:c>
      <x:c r="B28" s="2" t="str">
        <x:v>旧後13場内</x:v>
      </x:c>
      <x:c r="C28" s="2" t="str">
        <x:v>下落</x:v>
      </x:c>
      <x:c r="D28" s="6" t="n">
        <x:v>44800</x:v>
      </x:c>
      <x:c r="E28" s="6" t="n">
        <x:v>137000</x:v>
      </x:c>
      <x:c r="F28" s="6" t="n">
        <x:f>D28-E28</x:f>
        <x:v>-92200</x:v>
      </x:c>
      <x:c r="G28" s="6" t="n">
        <x:f>G27+F28</x:f>
        <x:v>818600</x:v>
      </x:c>
      <x:c r="H28" s="6" t="n">
        <x:v>-139400</x:v>
      </x:c>
      <x:c r="I28" s="6" t="n">
        <x:v>145900</x:v>
      </x:c>
      <x:c r="J28" s="7" t="n">
        <x:v>11</x:v>
      </x:c>
      <x:c r="K28" s="7" t="n">
        <x:f>IF(J28=0,1,0)</x:f>
        <x:v>0</x:v>
      </x:c>
    </x:row>
    <x:row r="29" ht="25" customHeight="1">
      <x:c r="A29" s="2" t="str">
        <x:v>2026-10-22_Day</x:v>
      </x:c>
      <x:c r="B29" s="2" t="str">
        <x:v>旧後13場内</x:v>
      </x:c>
      <x:c r="C29" s="2" t="str">
        <x:v>下落</x:v>
      </x:c>
      <x:c r="D29" s="6" t="n">
        <x:v>260600</x:v>
      </x:c>
      <x:c r="E29" s="6" t="n">
        <x:v>0</x:v>
      </x:c>
      <x:c r="F29" s="6" t="n">
        <x:f>D29-E29</x:f>
        <x:v>260600</x:v>
      </x:c>
      <x:c r="G29" s="6" t="n">
        <x:f>G28+F29</x:f>
        <x:v>1079200</x:v>
      </x:c>
      <x:c r="H29" s="6" t="n">
        <x:v>-16600</x:v>
      </x:c>
      <x:c r="I29" s="6" t="n">
        <x:v>59400</x:v>
      </x:c>
      <x:c r="J29" s="7" t="n">
        <x:v>2</x:v>
      </x:c>
      <x:c r="K29" s="7" t="n">
        <x:f>IF(J29=0,1,0)</x:f>
        <x:v>0</x:v>
      </x:c>
    </x:row>
    <x:row r="30" ht="25" customHeight="1">
      <x:c r="A30" s="2" t="str">
        <x:v>2026-10-23_Day</x:v>
      </x:c>
      <x:c r="B30" s="2" t="str">
        <x:v>旧後13場内</x:v>
      </x:c>
      <x:c r="C30" s="2" t="str">
        <x:v>上昇</x:v>
      </x:c>
      <x:c r="D30" s="6" t="n">
        <x:v>297500</x:v>
      </x:c>
      <x:c r="E30" s="6" t="n">
        <x:v>67800</x:v>
      </x:c>
      <x:c r="F30" s="6" t="n">
        <x:f>D30-E30</x:f>
        <x:v>229700</x:v>
      </x:c>
      <x:c r="G30" s="6" t="n">
        <x:f>G29+F30</x:f>
        <x:v>1308900</x:v>
      </x:c>
      <x:c r="H30" s="6" t="n">
        <x:v>-68400</x:v>
      </x:c>
      <x:c r="I30" s="6" t="n">
        <x:v>136800</x:v>
      </x:c>
      <x:c r="J30" s="7" t="n">
        <x:v>15</x:v>
      </x:c>
      <x:c r="K30" s="7" t="n">
        <x:f>IF(J30=0,1,0)</x:f>
        <x:v>0</x:v>
      </x:c>
    </x:row>
    <x:row r="31" ht="25" customHeight="1">
      <x:c r="A31" s="2" t="str">
        <x:v>2026-10-26_Day</x:v>
      </x:c>
      <x:c r="B31" s="2" t="str">
        <x:v>旧後13場内</x:v>
      </x:c>
      <x:c r="C31" s="2" t="str">
        <x:v>下落</x:v>
      </x:c>
      <x:c r="D31" s="6" t="n">
        <x:v>121800</x:v>
      </x:c>
      <x:c r="E31" s="6" t="n">
        <x:v>99900</x:v>
      </x:c>
      <x:c r="F31" s="6" t="n">
        <x:f>D31-E31</x:f>
        <x:v>21900</x:v>
      </x:c>
      <x:c r="G31" s="6" t="n">
        <x:f>G30+F31</x:f>
        <x:v>1330800</x:v>
      </x:c>
      <x:c r="H31" s="6" t="n">
        <x:v>-15800</x:v>
      </x:c>
      <x:c r="I31" s="6" t="n">
        <x:v>229900</x:v>
      </x:c>
      <x:c r="J31" s="7" t="n">
        <x:v>6</x:v>
      </x:c>
      <x:c r="K31" s="7" t="n">
        <x:f>IF(J31=0,1,0)</x:f>
        <x:v>0</x:v>
      </x:c>
    </x:row>
    <x:row r="32" ht="25" customHeight="1">
      <x:c r="A32" s="2" t="str">
        <x:v>2026-10-27_Day</x:v>
      </x:c>
      <x:c r="B32" s="2" t="str">
        <x:v>旧後13場内</x:v>
      </x:c>
      <x:c r="C32" s="2" t="str">
        <x:v>上昇</x:v>
      </x:c>
      <x:c r="D32" s="6" t="n">
        <x:v>91800</x:v>
      </x:c>
      <x:c r="E32" s="6" t="n">
        <x:v>174100</x:v>
      </x:c>
      <x:c r="F32" s="6" t="n">
        <x:f>D32-E32</x:f>
        <x:v>-82300</x:v>
      </x:c>
      <x:c r="G32" s="6" t="n">
        <x:f>G31+F32</x:f>
        <x:v>1248500</x:v>
      </x:c>
      <x:c r="H32" s="6" t="n">
        <x:v>-105100</x:v>
      </x:c>
      <x:c r="I32" s="6" t="n">
        <x:v>143600</x:v>
      </x:c>
      <x:c r="J32" s="7" t="n">
        <x:v>15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3067600</x:v>
      </x:c>
      <x:c r="E33" s="9" t="n">
        <x:f>SUM(E6:E32)</x:f>
        <x:v>1819100</x:v>
      </x:c>
      <x:c r="F33" s="9" t="n">
        <x:f>D33-E33</x:f>
        <x:v>1248500</x:v>
      </x:c>
      <x:c r="G33" s="9" t="n">
        <x:f>G32</x:f>
        <x:v>1248500</x:v>
      </x:c>
      <x:c r="H33" s="9" t="n">
        <x:f>MIN(H6:H32)</x:f>
        <x:v>-177600</x:v>
      </x:c>
      <x:c r="I33" s="9" t="n">
        <x:f>MAX(I6:I32)</x:f>
        <x:v>241200</x:v>
      </x:c>
      <x:c r="J33" s="10" t="n">
        <x:f>SUM(J6:J32)</x:f>
        <x:v>202</x:v>
      </x:c>
      <x:c r="K33" s="10" t="n">
        <x:f>SUM(K6:K32)</x:f>
        <x:v>0</x:v>
      </x:c>
    </x:row>
  </x:sheetData>
  <x:conditionalFormatting sqref="F6:H32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98fd1d0ae04688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NK225_P164_04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元入口と全実玉10円起動20円追尾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0</x:v>
      </x:c>
      <x:c r="E7" s="6" t="n">
        <x:v>0</x:v>
      </x:c>
      <x:c r="F7" s="6" t="n">
        <x:f>D7-E7</x:f>
        <x:v>0</x:v>
      </x:c>
      <x:c r="G7" s="6" t="n">
        <x:f>G6+F7</x:f>
        <x:v>0</x:v>
      </x:c>
      <x:c r="H7" s="6" t="n">
        <x:v>-30000</x:v>
      </x:c>
      <x:c r="I7" s="6" t="n">
        <x:v>30000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5000</x:v>
      </x:c>
      <x:c r="E9" s="6" t="n">
        <x:v>5000</x:v>
      </x:c>
      <x:c r="F9" s="6" t="n">
        <x:f>D9-E9</x:f>
        <x:v>0</x:v>
      </x:c>
      <x:c r="G9" s="6" t="n">
        <x:f>G8+F9</x:f>
        <x:v>0</x:v>
      </x:c>
      <x:c r="H9" s="6" t="n">
        <x:v>-70000</x:v>
      </x:c>
      <x:c r="I9" s="6" t="n">
        <x:v>70000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0</x:v>
      </x:c>
      <x:c r="F11" s="6" t="n">
        <x:f>D11-E11</x:f>
        <x:v>0</x:v>
      </x:c>
      <x:c r="G11" s="6" t="n">
        <x:f>G10+F11</x:f>
        <x:v>0</x:v>
      </x:c>
      <x:c r="H11" s="6" t="n">
        <x:v>-6000</x:v>
      </x:c>
      <x:c r="I11" s="6" t="n">
        <x:v>6000</x:v>
      </x:c>
      <x:c r="J11" s="7" t="n">
        <x:v>1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5000</x:v>
      </x:c>
      <x:c r="E13" s="6" t="n">
        <x:v>0</x:v>
      </x:c>
      <x:c r="F13" s="6" t="n">
        <x:f>D13-E13</x:f>
        <x:v>5000</x:v>
      </x:c>
      <x:c r="G13" s="6" t="n">
        <x:f>G12+F13</x:f>
        <x:v>5000</x:v>
      </x:c>
      <x:c r="H13" s="6" t="n">
        <x:v>-25000</x:v>
      </x:c>
      <x:c r="I13" s="6" t="n">
        <x:v>35000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13000</x:v>
      </x:c>
      <x:c r="E14" s="6" t="n">
        <x:v>0</x:v>
      </x:c>
      <x:c r="F14" s="6" t="n">
        <x:f>D14-E14</x:f>
        <x:v>13000</x:v>
      </x:c>
      <x:c r="G14" s="6" t="n">
        <x:f>G13+F14</x:f>
        <x:v>18000</x:v>
      </x:c>
      <x:c r="H14" s="6" t="n">
        <x:v>-42000</x:v>
      </x:c>
      <x:c r="I14" s="6" t="n">
        <x:v>56000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18000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0</x:v>
      </x:c>
      <x:c r="E16" s="6" t="n">
        <x:v>0</x:v>
      </x:c>
      <x:c r="F16" s="6" t="n">
        <x:f>D16-E16</x:f>
        <x:v>0</x:v>
      </x:c>
      <x:c r="G16" s="6" t="n">
        <x:f>G15+F16</x:f>
        <x:v>18000</x:v>
      </x:c>
      <x:c r="H16" s="6" t="n">
        <x:v>-10000</x:v>
      </x:c>
      <x:c r="I16" s="6" t="n">
        <x:v>10000</x:v>
      </x:c>
      <x:c r="J16" s="7" t="n">
        <x:v>1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18000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25000</x:v>
      </x:c>
      <x:c r="F18" s="6" t="n">
        <x:f>D18-E18</x:f>
        <x:v>-25000</x:v>
      </x:c>
      <x:c r="G18" s="6" t="n">
        <x:f>G17+F18</x:f>
        <x:v>-7000</x:v>
      </x:c>
      <x:c r="H18" s="6" t="n">
        <x:v>-30000</x:v>
      </x:c>
      <x:c r="I18" s="6" t="n">
        <x:v>32000</x:v>
      </x:c>
      <x:c r="J18" s="7" t="n">
        <x:v>3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1000</x:v>
      </x:c>
      <x:c r="E19" s="6" t="n">
        <x:v>0</x:v>
      </x:c>
      <x:c r="F19" s="6" t="n">
        <x:f>D19-E19</x:f>
        <x:v>1000</x:v>
      </x:c>
      <x:c r="G19" s="6" t="n">
        <x:f>G18+F19</x:f>
        <x:v>-6000</x:v>
      </x:c>
      <x:c r="H19" s="6" t="n">
        <x:v>-5000</x:v>
      </x:c>
      <x:c r="I19" s="6" t="n">
        <x:v>5000</x:v>
      </x:c>
      <x:c r="J19" s="7" t="n">
        <x:v>2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10000</x:v>
      </x:c>
      <x:c r="E20" s="6" t="n">
        <x:v>0</x:v>
      </x:c>
      <x:c r="F20" s="6" t="n">
        <x:f>D20-E20</x:f>
        <x:v>10000</x:v>
      </x:c>
      <x:c r="G20" s="6" t="n">
        <x:f>G19+F20</x:f>
        <x:v>4000</x:v>
      </x:c>
      <x:c r="H20" s="6" t="n">
        <x:v>-15000</x:v>
      </x:c>
      <x:c r="I20" s="6" t="n">
        <x:v>20000</x:v>
      </x:c>
      <x:c r="J20" s="7" t="n">
        <x:v>2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4000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0</x:v>
      </x:c>
      <x:c r="F22" s="6" t="n">
        <x:f>D22-E22</x:f>
        <x:v>0</x:v>
      </x:c>
      <x:c r="G22" s="6" t="n">
        <x:f>G21+F22</x:f>
        <x:v>4000</x:v>
      </x:c>
      <x:c r="H22" s="6" t="n">
        <x:v>-15000</x:v>
      </x:c>
      <x:c r="I22" s="6" t="n">
        <x:v>15000</x:v>
      </x:c>
      <x:c r="J22" s="7" t="n">
        <x:v>1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5000</x:v>
      </x:c>
      <x:c r="E23" s="6" t="n">
        <x:v>0</x:v>
      </x:c>
      <x:c r="F23" s="6" t="n">
        <x:f>D23-E23</x:f>
        <x:v>5000</x:v>
      </x:c>
      <x:c r="G23" s="6" t="n">
        <x:f>G22+F23</x:f>
        <x:v>9000</x:v>
      </x:c>
      <x:c r="H23" s="6" t="n">
        <x:v>-10000</x:v>
      </x:c>
      <x:c r="I23" s="6" t="n">
        <x:v>10000</x:v>
      </x:c>
      <x:c r="J23" s="7" t="n">
        <x:v>1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9000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0</x:v>
      </x:c>
      <x:c r="F25" s="6" t="n">
        <x:f>D25-E25</x:f>
        <x:v>0</x:v>
      </x:c>
      <x:c r="G25" s="6" t="n">
        <x:f>G24+F25</x:f>
        <x:v>9000</x:v>
      </x:c>
      <x:c r="H25" s="6" t="n">
        <x:v>-25000</x:v>
      </x:c>
      <x:c r="I25" s="6" t="n">
        <x:v>25000</x:v>
      </x:c>
      <x:c r="J25" s="7" t="n">
        <x:v>1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0</x:v>
      </x:c>
      <x:c r="E26" s="6" t="n">
        <x:v>0</x:v>
      </x:c>
      <x:c r="F26" s="6" t="n">
        <x:f>D26-E26</x:f>
        <x:v>0</x:v>
      </x:c>
      <x:c r="G26" s="6" t="n">
        <x:f>G25+F26</x:f>
        <x:v>9000</x:v>
      </x:c>
      <x:c r="H26" s="6" t="n">
        <x:v>-55000</x:v>
      </x:c>
      <x:c r="I26" s="6" t="n">
        <x:v>60000</x:v>
      </x:c>
      <x:c r="J26" s="7" t="n">
        <x:v>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4000</x:v>
      </x:c>
      <x:c r="E27" s="6" t="n">
        <x:v>0</x:v>
      </x:c>
      <x:c r="F27" s="6" t="n">
        <x:f>D27-E27</x:f>
        <x:v>4000</x:v>
      </x:c>
      <x:c r="G27" s="6" t="n">
        <x:f>G26+F27</x:f>
        <x:v>13000</x:v>
      </x:c>
      <x:c r="H27" s="6" t="n">
        <x:v>-10000</x:v>
      </x:c>
      <x:c r="I27" s="6" t="n">
        <x:v>10000</x:v>
      </x:c>
      <x:c r="J27" s="7" t="n">
        <x:v>4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0</x:v>
      </x:c>
      <x:c r="E28" s="6" t="n">
        <x:v>0</x:v>
      </x:c>
      <x:c r="F28" s="6" t="n">
        <x:f>D28-E28</x:f>
        <x:v>0</x:v>
      </x:c>
      <x:c r="G28" s="6" t="n">
        <x:f>G27+F28</x:f>
        <x:v>13000</x:v>
      </x:c>
      <x:c r="H28" s="6" t="n">
        <x:v>-5000</x:v>
      </x:c>
      <x:c r="I28" s="6" t="n">
        <x:v>5000</x:v>
      </x:c>
      <x:c r="J28" s="7" t="n">
        <x:v>1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13000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1000</x:v>
      </x:c>
      <x:c r="E30" s="6" t="n">
        <x:v>32000</x:v>
      </x:c>
      <x:c r="F30" s="6" t="n">
        <x:f>D30-E30</x:f>
        <x:v>-31000</x:v>
      </x:c>
      <x:c r="G30" s="6" t="n">
        <x:f>G29+F30</x:f>
        <x:v>-18000</x:v>
      </x:c>
      <x:c r="H30" s="6" t="n">
        <x:v>-39000</x:v>
      </x:c>
      <x:c r="I30" s="6" t="n">
        <x:v>44000</x:v>
      </x:c>
      <x:c r="J30" s="7" t="n">
        <x:v>5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0</x:v>
      </x:c>
      <x:c r="E31" s="6" t="n">
        <x:v>0</x:v>
      </x:c>
      <x:c r="F31" s="6" t="n">
        <x:f>D31-E31</x:f>
        <x:v>0</x:v>
      </x:c>
      <x:c r="G31" s="6" t="n">
        <x:f>G30+F31</x:f>
        <x:v>-18000</x:v>
      </x:c>
      <x:c r="H31" s="6" t="n">
        <x:v>-10000</x:v>
      </x:c>
      <x:c r="I31" s="6" t="n">
        <x:v>10000</x:v>
      </x:c>
      <x:c r="J31" s="7" t="n">
        <x:v>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0</x:v>
      </x:c>
      <x:c r="E32" s="6" t="n">
        <x:v>0</x:v>
      </x:c>
      <x:c r="F32" s="6" t="n">
        <x:f>D32-E32</x:f>
        <x:v>0</x:v>
      </x:c>
      <x:c r="G32" s="6" t="n">
        <x:f>G31+F32</x:f>
        <x:v>-18000</x:v>
      </x:c>
      <x:c r="H32" s="6" t="n">
        <x:v>-120000</x:v>
      </x:c>
      <x:c r="I32" s="6" t="n">
        <x:v>120000</x:v>
      </x:c>
      <x:c r="J32" s="7" t="n">
        <x:v>1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44000</x:v>
      </x:c>
      <x:c r="E33" s="9" t="n">
        <x:f>SUM(E6:E32)</x:f>
        <x:v>62000</x:v>
      </x:c>
      <x:c r="F33" s="9" t="n">
        <x:f>D33-E33</x:f>
        <x:v>-18000</x:v>
      </x:c>
      <x:c r="G33" s="9" t="n">
        <x:f>G32</x:f>
        <x:v>-18000</x:v>
      </x:c>
      <x:c r="H33" s="9" t="n">
        <x:f>MIN(H6:H32)</x:f>
        <x:v>-120000</x:v>
      </x:c>
      <x:c r="I33" s="9" t="n">
        <x:f>MAX(I6:I32)</x:f>
        <x:v>120000</x:v>
      </x:c>
      <x:c r="J33" s="10" t="n">
        <x:f>SUM(J6:J32)</x:f>
        <x:v>40</x:v>
      </x:c>
      <x:c r="K33" s="10" t="n">
        <x:f>SUM(K6:K32)</x:f>
        <x:v>9</x:v>
      </x:c>
    </x:row>
  </x:sheetData>
  <x:conditionalFormatting sqref="F6:H32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6cbf7f556649cf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NK225_P164_05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実益の元部分返済後だけ残玉建値保護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15000</x:v>
      </x:c>
      <x:c r="E7" s="6" t="n">
        <x:v>0</x:v>
      </x:c>
      <x:c r="F7" s="6" t="n">
        <x:f>D7-E7</x:f>
        <x:v>15000</x:v>
      </x:c>
      <x:c r="G7" s="6" t="n">
        <x:f>G6+F7</x:f>
        <x:v>15000</x:v>
      </x:c>
      <x:c r="H7" s="6" t="n">
        <x:v>-45000</x:v>
      </x:c>
      <x:c r="I7" s="6" t="n">
        <x:v>55000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15000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30000</x:v>
      </x:c>
      <x:c r="E9" s="6" t="n">
        <x:v>0</x:v>
      </x:c>
      <x:c r="F9" s="6" t="n">
        <x:f>D9-E9</x:f>
        <x:v>30000</x:v>
      </x:c>
      <x:c r="G9" s="6" t="n">
        <x:f>G8+F9</x:f>
        <x:v>45000</x:v>
      </x:c>
      <x:c r="H9" s="6" t="n">
        <x:v>-85000</x:v>
      </x:c>
      <x:c r="I9" s="6" t="n">
        <x:v>90000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45000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4000</x:v>
      </x:c>
      <x:c r="E11" s="6" t="n">
        <x:v>0</x:v>
      </x:c>
      <x:c r="F11" s="6" t="n">
        <x:f>D11-E11</x:f>
        <x:v>4000</x:v>
      </x:c>
      <x:c r="G11" s="6" t="n">
        <x:f>G10+F11</x:f>
        <x:v>49000</x:v>
      </x:c>
      <x:c r="H11" s="6" t="n">
        <x:v>-6000</x:v>
      </x:c>
      <x:c r="I11" s="6" t="n">
        <x:v>6000</x:v>
      </x:c>
      <x:c r="J11" s="7" t="n">
        <x:v>1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49000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60000</x:v>
      </x:c>
      <x:c r="E13" s="6" t="n">
        <x:v>0</x:v>
      </x:c>
      <x:c r="F13" s="6" t="n">
        <x:f>D13-E13</x:f>
        <x:v>60000</x:v>
      </x:c>
      <x:c r="G13" s="6" t="n">
        <x:f>G12+F13</x:f>
        <x:v>109000</x:v>
      </x:c>
      <x:c r="H13" s="6" t="n">
        <x:v>-75000</x:v>
      </x:c>
      <x:c r="I13" s="6" t="n">
        <x:v>95000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73000</x:v>
      </x:c>
      <x:c r="E14" s="6" t="n">
        <x:v>0</x:v>
      </x:c>
      <x:c r="F14" s="6" t="n">
        <x:f>D14-E14</x:f>
        <x:v>73000</x:v>
      </x:c>
      <x:c r="G14" s="6" t="n">
        <x:f>G13+F14</x:f>
        <x:v>182000</x:v>
      </x:c>
      <x:c r="H14" s="6" t="n">
        <x:v>-25000</x:v>
      </x:c>
      <x:c r="I14" s="6" t="n">
        <x:v>52000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182000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15000</x:v>
      </x:c>
      <x:c r="E16" s="6" t="n">
        <x:v>0</x:v>
      </x:c>
      <x:c r="F16" s="6" t="n">
        <x:f>D16-E16</x:f>
        <x:v>15000</x:v>
      </x:c>
      <x:c r="G16" s="6" t="n">
        <x:f>G15+F16</x:f>
        <x:v>197000</x:v>
      </x:c>
      <x:c r="H16" s="6" t="n">
        <x:v>-10000</x:v>
      </x:c>
      <x:c r="I16" s="6" t="n">
        <x:v>15000</x:v>
      </x:c>
      <x:c r="J16" s="7" t="n">
        <x:v>1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197000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23000</x:v>
      </x:c>
      <x:c r="E18" s="6" t="n">
        <x:v>25000</x:v>
      </x:c>
      <x:c r="F18" s="6" t="n">
        <x:f>D18-E18</x:f>
        <x:v>-2000</x:v>
      </x:c>
      <x:c r="G18" s="6" t="n">
        <x:f>G17+F18</x:f>
        <x:v>195000</x:v>
      </x:c>
      <x:c r="H18" s="6" t="n">
        <x:v>-30000</x:v>
      </x:c>
      <x:c r="I18" s="6" t="n">
        <x:v>30000</x:v>
      </x:c>
      <x:c r="J18" s="7" t="n">
        <x:v>3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8000</x:v>
      </x:c>
      <x:c r="E19" s="6" t="n">
        <x:v>0</x:v>
      </x:c>
      <x:c r="F19" s="6" t="n">
        <x:f>D19-E19</x:f>
        <x:v>8000</x:v>
      </x:c>
      <x:c r="G19" s="6" t="n">
        <x:f>G18+F19</x:f>
        <x:v>203000</x:v>
      </x:c>
      <x:c r="H19" s="6" t="n">
        <x:v>-5000</x:v>
      </x:c>
      <x:c r="I19" s="6" t="n">
        <x:v>5000</x:v>
      </x:c>
      <x:c r="J19" s="7" t="n">
        <x:v>2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40000</x:v>
      </x:c>
      <x:c r="E20" s="6" t="n">
        <x:v>0</x:v>
      </x:c>
      <x:c r="F20" s="6" t="n">
        <x:f>D20-E20</x:f>
        <x:v>40000</x:v>
      </x:c>
      <x:c r="G20" s="6" t="n">
        <x:f>G19+F20</x:f>
        <x:v>243000</x:v>
      </x:c>
      <x:c r="H20" s="6" t="n">
        <x:v>-10000</x:v>
      </x:c>
      <x:c r="I20" s="6" t="n">
        <x:v>20000</x:v>
      </x:c>
      <x:c r="J20" s="7" t="n">
        <x:v>2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243000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15000</x:v>
      </x:c>
      <x:c r="E22" s="6" t="n">
        <x:v>0</x:v>
      </x:c>
      <x:c r="F22" s="6" t="n">
        <x:f>D22-E22</x:f>
        <x:v>15000</x:v>
      </x:c>
      <x:c r="G22" s="6" t="n">
        <x:f>G21+F22</x:f>
        <x:v>258000</x:v>
      </x:c>
      <x:c r="H22" s="6" t="n">
        <x:v>-20000</x:v>
      </x:c>
      <x:c r="I22" s="6" t="n">
        <x:v>30000</x:v>
      </x:c>
      <x:c r="J22" s="7" t="n">
        <x:v>1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15000</x:v>
      </x:c>
      <x:c r="E23" s="6" t="n">
        <x:v>0</x:v>
      </x:c>
      <x:c r="F23" s="6" t="n">
        <x:f>D23-E23</x:f>
        <x:v>15000</x:v>
      </x:c>
      <x:c r="G23" s="6" t="n">
        <x:f>G22+F23</x:f>
        <x:v>273000</x:v>
      </x:c>
      <x:c r="H23" s="6" t="n">
        <x:v>-10000</x:v>
      </x:c>
      <x:c r="I23" s="6" t="n">
        <x:v>10000</x:v>
      </x:c>
      <x:c r="J23" s="7" t="n">
        <x:v>1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273000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20000</x:v>
      </x:c>
      <x:c r="F25" s="6" t="n">
        <x:f>D25-E25</x:f>
        <x:v>-20000</x:v>
      </x:c>
      <x:c r="G25" s="6" t="n">
        <x:f>G24+F25</x:f>
        <x:v>253000</x:v>
      </x:c>
      <x:c r="H25" s="6" t="n">
        <x:v>-45000</x:v>
      </x:c>
      <x:c r="I25" s="6" t="n">
        <x:v>55000</x:v>
      </x:c>
      <x:c r="J25" s="7" t="n">
        <x:v>1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35000</x:v>
      </x:c>
      <x:c r="E26" s="6" t="n">
        <x:v>0</x:v>
      </x:c>
      <x:c r="F26" s="6" t="n">
        <x:f>D26-E26</x:f>
        <x:v>35000</x:v>
      </x:c>
      <x:c r="G26" s="6" t="n">
        <x:f>G25+F26</x:f>
        <x:v>288000</x:v>
      </x:c>
      <x:c r="H26" s="6" t="n">
        <x:v>-40000</x:v>
      </x:c>
      <x:c r="I26" s="6" t="n">
        <x:v>60000</x:v>
      </x:c>
      <x:c r="J26" s="7" t="n">
        <x:v>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57000</x:v>
      </x:c>
      <x:c r="E27" s="6" t="n">
        <x:v>0</x:v>
      </x:c>
      <x:c r="F27" s="6" t="n">
        <x:f>D27-E27</x:f>
        <x:v>57000</x:v>
      </x:c>
      <x:c r="G27" s="6" t="n">
        <x:f>G26+F27</x:f>
        <x:v>345000</x:v>
      </x:c>
      <x:c r="H27" s="6" t="n">
        <x:v>-10000</x:v>
      </x:c>
      <x:c r="I27" s="6" t="n">
        <x:v>50000</x:v>
      </x:c>
      <x:c r="J27" s="7" t="n">
        <x:v>4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15000</x:v>
      </x:c>
      <x:c r="E28" s="6" t="n">
        <x:v>0</x:v>
      </x:c>
      <x:c r="F28" s="6" t="n">
        <x:f>D28-E28</x:f>
        <x:v>15000</x:v>
      </x:c>
      <x:c r="G28" s="6" t="n">
        <x:f>G27+F28</x:f>
        <x:v>360000</x:v>
      </x:c>
      <x:c r="H28" s="6" t="n">
        <x:v>-5000</x:v>
      </x:c>
      <x:c r="I28" s="6" t="n">
        <x:v>15000</x:v>
      </x:c>
      <x:c r="J28" s="7" t="n">
        <x:v>1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360000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22000</x:v>
      </x:c>
      <x:c r="E30" s="6" t="n">
        <x:v>32000</x:v>
      </x:c>
      <x:c r="F30" s="6" t="n">
        <x:f>D30-E30</x:f>
        <x:v>-10000</x:v>
      </x:c>
      <x:c r="G30" s="6" t="n">
        <x:f>G29+F30</x:f>
        <x:v>350000</x:v>
      </x:c>
      <x:c r="H30" s="6" t="n">
        <x:v>-30000</x:v>
      </x:c>
      <x:c r="I30" s="6" t="n">
        <x:v>45000</x:v>
      </x:c>
      <x:c r="J30" s="7" t="n">
        <x:v>5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15000</x:v>
      </x:c>
      <x:c r="E31" s="6" t="n">
        <x:v>0</x:v>
      </x:c>
      <x:c r="F31" s="6" t="n">
        <x:f>D31-E31</x:f>
        <x:v>15000</x:v>
      </x:c>
      <x:c r="G31" s="6" t="n">
        <x:f>G30+F31</x:f>
        <x:v>365000</x:v>
      </x:c>
      <x:c r="H31" s="6" t="n">
        <x:v>-15000</x:v>
      </x:c>
      <x:c r="I31" s="6" t="n">
        <x:v>25000</x:v>
      </x:c>
      <x:c r="J31" s="7" t="n">
        <x:v>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15000</x:v>
      </x:c>
      <x:c r="E32" s="6" t="n">
        <x:v>0</x:v>
      </x:c>
      <x:c r="F32" s="6" t="n">
        <x:f>D32-E32</x:f>
        <x:v>15000</x:v>
      </x:c>
      <x:c r="G32" s="6" t="n">
        <x:f>G31+F32</x:f>
        <x:v>380000</x:v>
      </x:c>
      <x:c r="H32" s="6" t="n">
        <x:v>-120000</x:v>
      </x:c>
      <x:c r="I32" s="6" t="n">
        <x:v>120000</x:v>
      </x:c>
      <x:c r="J32" s="7" t="n">
        <x:v>1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457000</x:v>
      </x:c>
      <x:c r="E33" s="9" t="n">
        <x:f>SUM(E6:E32)</x:f>
        <x:v>77000</x:v>
      </x:c>
      <x:c r="F33" s="9" t="n">
        <x:f>D33-E33</x:f>
        <x:v>380000</x:v>
      </x:c>
      <x:c r="G33" s="9" t="n">
        <x:f>G32</x:f>
        <x:v>380000</x:v>
      </x:c>
      <x:c r="H33" s="9" t="n">
        <x:f>MIN(H6:H32)</x:f>
        <x:v>-120000</x:v>
      </x:c>
      <x:c r="I33" s="9" t="n">
        <x:f>MAX(I6:I32)</x:f>
        <x:v>120000</x:v>
      </x:c>
      <x:c r="J33" s="10" t="n">
        <x:f>SUM(J6:J32)</x:f>
        <x:v>40</x:v>
      </x:c>
      <x:c r="K33" s="10" t="n">
        <x:f>SUM(K6:K32)</x:f>
        <x:v>9</x:v>
      </x:c>
    </x:row>
  </x:sheetData>
  <x:conditionalFormatting sqref="F6:H32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170ce02b344618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NK225_P164_06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残玉保護・小量初回追尾・同親追加50円停止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15000</x:v>
      </x:c>
      <x:c r="E7" s="6" t="n">
        <x:v>0</x:v>
      </x:c>
      <x:c r="F7" s="6" t="n">
        <x:f>D7-E7</x:f>
        <x:v>15000</x:v>
      </x:c>
      <x:c r="G7" s="6" t="n">
        <x:f>G6+F7</x:f>
        <x:v>15000</x:v>
      </x:c>
      <x:c r="H7" s="6" t="n">
        <x:v>-45000</x:v>
      </x:c>
      <x:c r="I7" s="6" t="n">
        <x:v>55000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15000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30000</x:v>
      </x:c>
      <x:c r="E9" s="6" t="n">
        <x:v>0</x:v>
      </x:c>
      <x:c r="F9" s="6" t="n">
        <x:f>D9-E9</x:f>
        <x:v>30000</x:v>
      </x:c>
      <x:c r="G9" s="6" t="n">
        <x:f>G8+F9</x:f>
        <x:v>45000</x:v>
      </x:c>
      <x:c r="H9" s="6" t="n">
        <x:v>-85000</x:v>
      </x:c>
      <x:c r="I9" s="6" t="n">
        <x:v>90000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45000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0</x:v>
      </x:c>
      <x:c r="F11" s="6" t="n">
        <x:f>D11-E11</x:f>
        <x:v>0</x:v>
      </x:c>
      <x:c r="G11" s="6" t="n">
        <x:f>G10+F11</x:f>
        <x:v>45000</x:v>
      </x:c>
      <x:c r="H11" s="6" t="n">
        <x:v>-6000</x:v>
      </x:c>
      <x:c r="I11" s="6" t="n">
        <x:v>6000</x:v>
      </x:c>
      <x:c r="J11" s="7" t="n">
        <x:v>1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45000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60000</x:v>
      </x:c>
      <x:c r="E13" s="6" t="n">
        <x:v>0</x:v>
      </x:c>
      <x:c r="F13" s="6" t="n">
        <x:f>D13-E13</x:f>
        <x:v>60000</x:v>
      </x:c>
      <x:c r="G13" s="6" t="n">
        <x:f>G12+F13</x:f>
        <x:v>105000</x:v>
      </x:c>
      <x:c r="H13" s="6" t="n">
        <x:v>-75000</x:v>
      </x:c>
      <x:c r="I13" s="6" t="n">
        <x:v>95000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55000</x:v>
      </x:c>
      <x:c r="E14" s="6" t="n">
        <x:v>5000</x:v>
      </x:c>
      <x:c r="F14" s="6" t="n">
        <x:f>D14-E14</x:f>
        <x:v>50000</x:v>
      </x:c>
      <x:c r="G14" s="6" t="n">
        <x:f>G13+F14</x:f>
        <x:v>155000</x:v>
      </x:c>
      <x:c r="H14" s="6" t="n">
        <x:v>-30000</x:v>
      </x:c>
      <x:c r="I14" s="6" t="n">
        <x:v>59000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155000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15000</x:v>
      </x:c>
      <x:c r="E16" s="6" t="n">
        <x:v>0</x:v>
      </x:c>
      <x:c r="F16" s="6" t="n">
        <x:f>D16-E16</x:f>
        <x:v>15000</x:v>
      </x:c>
      <x:c r="G16" s="6" t="n">
        <x:f>G15+F16</x:f>
        <x:v>170000</x:v>
      </x:c>
      <x:c r="H16" s="6" t="n">
        <x:v>-10000</x:v>
      </x:c>
      <x:c r="I16" s="6" t="n">
        <x:v>15000</x:v>
      </x:c>
      <x:c r="J16" s="7" t="n">
        <x:v>1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170000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20000</x:v>
      </x:c>
      <x:c r="E18" s="6" t="n">
        <x:v>5000</x:v>
      </x:c>
      <x:c r="F18" s="6" t="n">
        <x:f>D18-E18</x:f>
        <x:v>15000</x:v>
      </x:c>
      <x:c r="G18" s="6" t="n">
        <x:f>G17+F18</x:f>
        <x:v>185000</x:v>
      </x:c>
      <x:c r="H18" s="6" t="n">
        <x:v>-30000</x:v>
      </x:c>
      <x:c r="I18" s="6" t="n">
        <x:v>30000</x:v>
      </x:c>
      <x:c r="J18" s="7" t="n">
        <x:v>3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5000</x:v>
      </x:c>
      <x:c r="E19" s="6" t="n">
        <x:v>0</x:v>
      </x:c>
      <x:c r="F19" s="6" t="n">
        <x:f>D19-E19</x:f>
        <x:v>5000</x:v>
      </x:c>
      <x:c r="G19" s="6" t="n">
        <x:f>G18+F19</x:f>
        <x:v>190000</x:v>
      </x:c>
      <x:c r="H19" s="6" t="n">
        <x:v>-5000</x:v>
      </x:c>
      <x:c r="I19" s="6" t="n">
        <x:v>5000</x:v>
      </x:c>
      <x:c r="J19" s="7" t="n">
        <x:v>2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40000</x:v>
      </x:c>
      <x:c r="E20" s="6" t="n">
        <x:v>0</x:v>
      </x:c>
      <x:c r="F20" s="6" t="n">
        <x:f>D20-E20</x:f>
        <x:v>40000</x:v>
      </x:c>
      <x:c r="G20" s="6" t="n">
        <x:f>G19+F20</x:f>
        <x:v>230000</x:v>
      </x:c>
      <x:c r="H20" s="6" t="n">
        <x:v>-10000</x:v>
      </x:c>
      <x:c r="I20" s="6" t="n">
        <x:v>20000</x:v>
      </x:c>
      <x:c r="J20" s="7" t="n">
        <x:v>2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230000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15000</x:v>
      </x:c>
      <x:c r="E22" s="6" t="n">
        <x:v>0</x:v>
      </x:c>
      <x:c r="F22" s="6" t="n">
        <x:f>D22-E22</x:f>
        <x:v>15000</x:v>
      </x:c>
      <x:c r="G22" s="6" t="n">
        <x:f>G21+F22</x:f>
        <x:v>245000</x:v>
      </x:c>
      <x:c r="H22" s="6" t="n">
        <x:v>-20000</x:v>
      </x:c>
      <x:c r="I22" s="6" t="n">
        <x:v>30000</x:v>
      </x:c>
      <x:c r="J22" s="7" t="n">
        <x:v>1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15000</x:v>
      </x:c>
      <x:c r="E23" s="6" t="n">
        <x:v>0</x:v>
      </x:c>
      <x:c r="F23" s="6" t="n">
        <x:f>D23-E23</x:f>
        <x:v>15000</x:v>
      </x:c>
      <x:c r="G23" s="6" t="n">
        <x:f>G22+F23</x:f>
        <x:v>260000</x:v>
      </x:c>
      <x:c r="H23" s="6" t="n">
        <x:v>-10000</x:v>
      </x:c>
      <x:c r="I23" s="6" t="n">
        <x:v>10000</x:v>
      </x:c>
      <x:c r="J23" s="7" t="n">
        <x:v>1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260000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20000</x:v>
      </x:c>
      <x:c r="F25" s="6" t="n">
        <x:f>D25-E25</x:f>
        <x:v>-20000</x:v>
      </x:c>
      <x:c r="G25" s="6" t="n">
        <x:f>G24+F25</x:f>
        <x:v>240000</x:v>
      </x:c>
      <x:c r="H25" s="6" t="n">
        <x:v>-45000</x:v>
      </x:c>
      <x:c r="I25" s="6" t="n">
        <x:v>55000</x:v>
      </x:c>
      <x:c r="J25" s="7" t="n">
        <x:v>1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35000</x:v>
      </x:c>
      <x:c r="E26" s="6" t="n">
        <x:v>0</x:v>
      </x:c>
      <x:c r="F26" s="6" t="n">
        <x:f>D26-E26</x:f>
        <x:v>35000</x:v>
      </x:c>
      <x:c r="G26" s="6" t="n">
        <x:f>G25+F26</x:f>
        <x:v>275000</x:v>
      </x:c>
      <x:c r="H26" s="6" t="n">
        <x:v>-40000</x:v>
      </x:c>
      <x:c r="I26" s="6" t="n">
        <x:v>60000</x:v>
      </x:c>
      <x:c r="J26" s="7" t="n">
        <x:v>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57000</x:v>
      </x:c>
      <x:c r="E27" s="6" t="n">
        <x:v>0</x:v>
      </x:c>
      <x:c r="F27" s="6" t="n">
        <x:f>D27-E27</x:f>
        <x:v>57000</x:v>
      </x:c>
      <x:c r="G27" s="6" t="n">
        <x:f>G26+F27</x:f>
        <x:v>332000</x:v>
      </x:c>
      <x:c r="H27" s="6" t="n">
        <x:v>-10000</x:v>
      </x:c>
      <x:c r="I27" s="6" t="n">
        <x:v>50000</x:v>
      </x:c>
      <x:c r="J27" s="7" t="n">
        <x:v>4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15000</x:v>
      </x:c>
      <x:c r="E28" s="6" t="n">
        <x:v>0</x:v>
      </x:c>
      <x:c r="F28" s="6" t="n">
        <x:f>D28-E28</x:f>
        <x:v>15000</x:v>
      </x:c>
      <x:c r="G28" s="6" t="n">
        <x:f>G27+F28</x:f>
        <x:v>347000</x:v>
      </x:c>
      <x:c r="H28" s="6" t="n">
        <x:v>-5000</x:v>
      </x:c>
      <x:c r="I28" s="6" t="n">
        <x:v>15000</x:v>
      </x:c>
      <x:c r="J28" s="7" t="n">
        <x:v>1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347000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20000</x:v>
      </x:c>
      <x:c r="E30" s="6" t="n">
        <x:v>5000</x:v>
      </x:c>
      <x:c r="F30" s="6" t="n">
        <x:f>D30-E30</x:f>
        <x:v>15000</x:v>
      </x:c>
      <x:c r="G30" s="6" t="n">
        <x:f>G29+F30</x:f>
        <x:v>362000</x:v>
      </x:c>
      <x:c r="H30" s="6" t="n">
        <x:v>-30000</x:v>
      </x:c>
      <x:c r="I30" s="6" t="n">
        <x:v>45000</x:v>
      </x:c>
      <x:c r="J30" s="7" t="n">
        <x:v>5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15000</x:v>
      </x:c>
      <x:c r="E31" s="6" t="n">
        <x:v>0</x:v>
      </x:c>
      <x:c r="F31" s="6" t="n">
        <x:f>D31-E31</x:f>
        <x:v>15000</x:v>
      </x:c>
      <x:c r="G31" s="6" t="n">
        <x:f>G30+F31</x:f>
        <x:v>377000</x:v>
      </x:c>
      <x:c r="H31" s="6" t="n">
        <x:v>-15000</x:v>
      </x:c>
      <x:c r="I31" s="6" t="n">
        <x:v>25000</x:v>
      </x:c>
      <x:c r="J31" s="7" t="n">
        <x:v>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15000</x:v>
      </x:c>
      <x:c r="E32" s="6" t="n">
        <x:v>0</x:v>
      </x:c>
      <x:c r="F32" s="6" t="n">
        <x:f>D32-E32</x:f>
        <x:v>15000</x:v>
      </x:c>
      <x:c r="G32" s="6" t="n">
        <x:f>G31+F32</x:f>
        <x:v>392000</x:v>
      </x:c>
      <x:c r="H32" s="6" t="n">
        <x:v>-120000</x:v>
      </x:c>
      <x:c r="I32" s="6" t="n">
        <x:v>120000</x:v>
      </x:c>
      <x:c r="J32" s="7" t="n">
        <x:v>1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427000</x:v>
      </x:c>
      <x:c r="E33" s="9" t="n">
        <x:f>SUM(E6:E32)</x:f>
        <x:v>35000</x:v>
      </x:c>
      <x:c r="F33" s="9" t="n">
        <x:f>D33-E33</x:f>
        <x:v>392000</x:v>
      </x:c>
      <x:c r="G33" s="9" t="n">
        <x:f>G32</x:f>
        <x:v>392000</x:v>
      </x:c>
      <x:c r="H33" s="9" t="n">
        <x:f>MIN(H6:H32)</x:f>
        <x:v>-120000</x:v>
      </x:c>
      <x:c r="I33" s="9" t="n">
        <x:f>MAX(I6:I32)</x:f>
        <x:v>120000</x:v>
      </x:c>
      <x:c r="J33" s="10" t="n">
        <x:f>SUM(J6:J32)</x:f>
        <x:v>40</x:v>
      </x:c>
      <x:c r="K33" s="10" t="n">
        <x:f>SUM(K6:K32)</x:f>
        <x:v>9</x:v>
      </x:c>
    </x:row>
  </x:sheetData>
  <x:conditionalFormatting sqref="F6:H32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6f78c8624542af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NK225_P164_07　米国前の損益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06と初回失速時の最大30秒再加速待機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0</x:v>
      </x:c>
      <x:c r="I6" s="6" t="n">
        <x:v>0</x:v>
      </x:c>
      <x:c r="J6" s="7" t="n">
        <x:v>0</x:v>
      </x:c>
      <x:c r="K6" s="7" t="n">
        <x:f>IF(J6=0,1,0)</x:f>
        <x:v>1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15000</x:v>
      </x:c>
      <x:c r="E7" s="6" t="n">
        <x:v>0</x:v>
      </x:c>
      <x:c r="F7" s="6" t="n">
        <x:f>D7-E7</x:f>
        <x:v>15000</x:v>
      </x:c>
      <x:c r="G7" s="6" t="n">
        <x:f>G6+F7</x:f>
        <x:v>15000</x:v>
      </x:c>
      <x:c r="H7" s="6" t="n">
        <x:v>-45000</x:v>
      </x:c>
      <x:c r="I7" s="6" t="n">
        <x:v>55000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0</x:v>
      </x:c>
      <x:c r="E8" s="6" t="n">
        <x:v>0</x:v>
      </x:c>
      <x:c r="F8" s="6" t="n">
        <x:f>D8-E8</x:f>
        <x:v>0</x:v>
      </x:c>
      <x:c r="G8" s="6" t="n">
        <x:f>G7+F8</x:f>
        <x:v>15000</x:v>
      </x:c>
      <x:c r="H8" s="6" t="n">
        <x:v>0</x:v>
      </x:c>
      <x:c r="I8" s="6" t="n">
        <x:v>0</x:v>
      </x:c>
      <x:c r="J8" s="7" t="n">
        <x:v>0</x:v>
      </x:c>
      <x:c r="K8" s="7" t="n">
        <x:f>IF(J8=0,1,0)</x:f>
        <x:v>1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30000</x:v>
      </x:c>
      <x:c r="E9" s="6" t="n">
        <x:v>0</x:v>
      </x:c>
      <x:c r="F9" s="6" t="n">
        <x:f>D9-E9</x:f>
        <x:v>30000</x:v>
      </x:c>
      <x:c r="G9" s="6" t="n">
        <x:f>G8+F9</x:f>
        <x:v>45000</x:v>
      </x:c>
      <x:c r="H9" s="6" t="n">
        <x:v>-85000</x:v>
      </x:c>
      <x:c r="I9" s="6" t="n">
        <x:v>90000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0</x:v>
      </x:c>
      <x:c r="E10" s="6" t="n">
        <x:v>0</x:v>
      </x:c>
      <x:c r="F10" s="6" t="n">
        <x:f>D10-E10</x:f>
        <x:v>0</x:v>
      </x:c>
      <x:c r="G10" s="6" t="n">
        <x:f>G9+F10</x:f>
        <x:v>45000</x:v>
      </x:c>
      <x:c r="H10" s="6" t="n">
        <x:v>0</x:v>
      </x:c>
      <x:c r="I10" s="6" t="n">
        <x:v>0</x:v>
      </x:c>
      <x:c r="J10" s="7" t="n">
        <x:v>0</x:v>
      </x:c>
      <x:c r="K10" s="7" t="n">
        <x:f>IF(J10=0,1,0)</x:f>
        <x:v>1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0</x:v>
      </x:c>
      <x:c r="F11" s="6" t="n">
        <x:f>D11-E11</x:f>
        <x:v>0</x:v>
      </x:c>
      <x:c r="G11" s="6" t="n">
        <x:f>G10+F11</x:f>
        <x:v>45000</x:v>
      </x:c>
      <x:c r="H11" s="6" t="n">
        <x:v>-6000</x:v>
      </x:c>
      <x:c r="I11" s="6" t="n">
        <x:v>6000</x:v>
      </x:c>
      <x:c r="J11" s="7" t="n">
        <x:v>1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0</x:v>
      </x:c>
      <x:c r="E12" s="6" t="n">
        <x:v>0</x:v>
      </x:c>
      <x:c r="F12" s="6" t="n">
        <x:f>D12-E12</x:f>
        <x:v>0</x:v>
      </x:c>
      <x:c r="G12" s="6" t="n">
        <x:f>G11+F12</x:f>
        <x:v>45000</x:v>
      </x:c>
      <x:c r="H12" s="6" t="n">
        <x:v>0</x:v>
      </x:c>
      <x:c r="I12" s="6" t="n">
        <x:v>0</x:v>
      </x:c>
      <x:c r="J12" s="7" t="n">
        <x:v>0</x:v>
      </x:c>
      <x:c r="K12" s="7" t="n">
        <x:f>IF(J12=0,1,0)</x:f>
        <x:v>1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55000</x:v>
      </x:c>
      <x:c r="E13" s="6" t="n">
        <x:v>0</x:v>
      </x:c>
      <x:c r="F13" s="6" t="n">
        <x:f>D13-E13</x:f>
        <x:v>55000</x:v>
      </x:c>
      <x:c r="G13" s="6" t="n">
        <x:f>G12+F13</x:f>
        <x:v>100000</x:v>
      </x:c>
      <x:c r="H13" s="6" t="n">
        <x:v>-80000</x:v>
      </x:c>
      <x:c r="I13" s="6" t="n">
        <x:v>95000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55000</x:v>
      </x:c>
      <x:c r="E14" s="6" t="n">
        <x:v>0</x:v>
      </x:c>
      <x:c r="F14" s="6" t="n">
        <x:f>D14-E14</x:f>
        <x:v>55000</x:v>
      </x:c>
      <x:c r="G14" s="6" t="n">
        <x:f>G13+F14</x:f>
        <x:v>155000</x:v>
      </x:c>
      <x:c r="H14" s="6" t="n">
        <x:v>-25000</x:v>
      </x:c>
      <x:c r="I14" s="6" t="n">
        <x:v>52000</x:v>
      </x:c>
      <x:c r="J14" s="7" t="n">
        <x:v>6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0</x:v>
      </x:c>
      <x:c r="E15" s="6" t="n">
        <x:v>0</x:v>
      </x:c>
      <x:c r="F15" s="6" t="n">
        <x:f>D15-E15</x:f>
        <x:v>0</x:v>
      </x:c>
      <x:c r="G15" s="6" t="n">
        <x:f>G14+F15</x:f>
        <x:v>155000</x:v>
      </x:c>
      <x:c r="H15" s="6" t="n">
        <x:v>0</x:v>
      </x:c>
      <x:c r="I15" s="6" t="n">
        <x:v>0</x:v>
      </x:c>
      <x:c r="J15" s="7" t="n">
        <x:v>0</x:v>
      </x:c>
      <x:c r="K15" s="7" t="n">
        <x:f>IF(J15=0,1,0)</x:f>
        <x:v>1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15000</x:v>
      </x:c>
      <x:c r="E16" s="6" t="n">
        <x:v>0</x:v>
      </x:c>
      <x:c r="F16" s="6" t="n">
        <x:f>D16-E16</x:f>
        <x:v>15000</x:v>
      </x:c>
      <x:c r="G16" s="6" t="n">
        <x:f>G15+F16</x:f>
        <x:v>170000</x:v>
      </x:c>
      <x:c r="H16" s="6" t="n">
        <x:v>-10000</x:v>
      </x:c>
      <x:c r="I16" s="6" t="n">
        <x:v>15000</x:v>
      </x:c>
      <x:c r="J16" s="7" t="n">
        <x:v>1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0</x:v>
      </x:c>
      <x:c r="E17" s="6" t="n">
        <x:v>0</x:v>
      </x:c>
      <x:c r="F17" s="6" t="n">
        <x:f>D17-E17</x:f>
        <x:v>0</x:v>
      </x:c>
      <x:c r="G17" s="6" t="n">
        <x:f>G16+F17</x:f>
        <x:v>170000</x:v>
      </x:c>
      <x:c r="H17" s="6" t="n">
        <x:v>0</x:v>
      </x:c>
      <x:c r="I17" s="6" t="n">
        <x:v>0</x:v>
      </x:c>
      <x:c r="J17" s="7" t="n">
        <x:v>0</x:v>
      </x:c>
      <x:c r="K17" s="7" t="n">
        <x:f>IF(J17=0,1,0)</x:f>
        <x:v>1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20000</x:v>
      </x:c>
      <x:c r="E18" s="6" t="n">
        <x:v>5000</x:v>
      </x:c>
      <x:c r="F18" s="6" t="n">
        <x:f>D18-E18</x:f>
        <x:v>15000</x:v>
      </x:c>
      <x:c r="G18" s="6" t="n">
        <x:f>G17+F18</x:f>
        <x:v>185000</x:v>
      </x:c>
      <x:c r="H18" s="6" t="n">
        <x:v>-30000</x:v>
      </x:c>
      <x:c r="I18" s="6" t="n">
        <x:v>30000</x:v>
      </x:c>
      <x:c r="J18" s="7" t="n">
        <x:v>3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5000</x:v>
      </x:c>
      <x:c r="E19" s="6" t="n">
        <x:v>0</x:v>
      </x:c>
      <x:c r="F19" s="6" t="n">
        <x:f>D19-E19</x:f>
        <x:v>5000</x:v>
      </x:c>
      <x:c r="G19" s="6" t="n">
        <x:f>G18+F19</x:f>
        <x:v>190000</x:v>
      </x:c>
      <x:c r="H19" s="6" t="n">
        <x:v>-5000</x:v>
      </x:c>
      <x:c r="I19" s="6" t="n">
        <x:v>5000</x:v>
      </x:c>
      <x:c r="J19" s="7" t="n">
        <x:v>2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40000</x:v>
      </x:c>
      <x:c r="E20" s="6" t="n">
        <x:v>0</x:v>
      </x:c>
      <x:c r="F20" s="6" t="n">
        <x:f>D20-E20</x:f>
        <x:v>40000</x:v>
      </x:c>
      <x:c r="G20" s="6" t="n">
        <x:f>G19+F20</x:f>
        <x:v>230000</x:v>
      </x:c>
      <x:c r="H20" s="6" t="n">
        <x:v>-10000</x:v>
      </x:c>
      <x:c r="I20" s="6" t="n">
        <x:v>20000</x:v>
      </x:c>
      <x:c r="J20" s="7" t="n">
        <x:v>2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230000</x:v>
      </x:c>
      <x:c r="H21" s="6" t="n">
        <x:v>0</x:v>
      </x:c>
      <x:c r="I21" s="6" t="n">
        <x:v>0</x:v>
      </x:c>
      <x:c r="J21" s="7" t="n">
        <x:v>0</x:v>
      </x:c>
      <x:c r="K21" s="7" t="n">
        <x:f>IF(J21=0,1,0)</x:f>
        <x:v>1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15000</x:v>
      </x:c>
      <x:c r="E22" s="6" t="n">
        <x:v>0</x:v>
      </x:c>
      <x:c r="F22" s="6" t="n">
        <x:f>D22-E22</x:f>
        <x:v>15000</x:v>
      </x:c>
      <x:c r="G22" s="6" t="n">
        <x:f>G21+F22</x:f>
        <x:v>245000</x:v>
      </x:c>
      <x:c r="H22" s="6" t="n">
        <x:v>-20000</x:v>
      </x:c>
      <x:c r="I22" s="6" t="n">
        <x:v>30000</x:v>
      </x:c>
      <x:c r="J22" s="7" t="n">
        <x:v>1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15000</x:v>
      </x:c>
      <x:c r="E23" s="6" t="n">
        <x:v>0</x:v>
      </x:c>
      <x:c r="F23" s="6" t="n">
        <x:f>D23-E23</x:f>
        <x:v>15000</x:v>
      </x:c>
      <x:c r="G23" s="6" t="n">
        <x:f>G22+F23</x:f>
        <x:v>260000</x:v>
      </x:c>
      <x:c r="H23" s="6" t="n">
        <x:v>-10000</x:v>
      </x:c>
      <x:c r="I23" s="6" t="n">
        <x:v>10000</x:v>
      </x:c>
      <x:c r="J23" s="7" t="n">
        <x:v>1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0</x:v>
      </x:c>
      <x:c r="E24" s="6" t="n">
        <x:v>0</x:v>
      </x:c>
      <x:c r="F24" s="6" t="n">
        <x:f>D24-E24</x:f>
        <x:v>0</x:v>
      </x:c>
      <x:c r="G24" s="6" t="n">
        <x:f>G23+F24</x:f>
        <x:v>260000</x:v>
      </x:c>
      <x:c r="H24" s="6" t="n">
        <x:v>0</x:v>
      </x:c>
      <x:c r="I24" s="6" t="n">
        <x:v>0</x:v>
      </x:c>
      <x:c r="J24" s="7" t="n">
        <x:v>0</x:v>
      </x:c>
      <x:c r="K24" s="7" t="n">
        <x:f>IF(J24=0,1,0)</x:f>
        <x:v>1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0</x:v>
      </x:c>
      <x:c r="E25" s="6" t="n">
        <x:v>20000</x:v>
      </x:c>
      <x:c r="F25" s="6" t="n">
        <x:f>D25-E25</x:f>
        <x:v>-20000</x:v>
      </x:c>
      <x:c r="G25" s="6" t="n">
        <x:f>G24+F25</x:f>
        <x:v>240000</x:v>
      </x:c>
      <x:c r="H25" s="6" t="n">
        <x:v>-45000</x:v>
      </x:c>
      <x:c r="I25" s="6" t="n">
        <x:v>55000</x:v>
      </x:c>
      <x:c r="J25" s="7" t="n">
        <x:v>1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35000</x:v>
      </x:c>
      <x:c r="E26" s="6" t="n">
        <x:v>0</x:v>
      </x:c>
      <x:c r="F26" s="6" t="n">
        <x:f>D26-E26</x:f>
        <x:v>35000</x:v>
      </x:c>
      <x:c r="G26" s="6" t="n">
        <x:f>G25+F26</x:f>
        <x:v>275000</x:v>
      </x:c>
      <x:c r="H26" s="6" t="n">
        <x:v>-40000</x:v>
      </x:c>
      <x:c r="I26" s="6" t="n">
        <x:v>60000</x:v>
      </x:c>
      <x:c r="J26" s="7" t="n">
        <x:v>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57000</x:v>
      </x:c>
      <x:c r="E27" s="6" t="n">
        <x:v>0</x:v>
      </x:c>
      <x:c r="F27" s="6" t="n">
        <x:f>D27-E27</x:f>
        <x:v>57000</x:v>
      </x:c>
      <x:c r="G27" s="6" t="n">
        <x:f>G26+F27</x:f>
        <x:v>332000</x:v>
      </x:c>
      <x:c r="H27" s="6" t="n">
        <x:v>-10000</x:v>
      </x:c>
      <x:c r="I27" s="6" t="n">
        <x:v>50000</x:v>
      </x:c>
      <x:c r="J27" s="7" t="n">
        <x:v>4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15000</x:v>
      </x:c>
      <x:c r="E28" s="6" t="n">
        <x:v>0</x:v>
      </x:c>
      <x:c r="F28" s="6" t="n">
        <x:f>D28-E28</x:f>
        <x:v>15000</x:v>
      </x:c>
      <x:c r="G28" s="6" t="n">
        <x:f>G27+F28</x:f>
        <x:v>347000</x:v>
      </x:c>
      <x:c r="H28" s="6" t="n">
        <x:v>-5000</x:v>
      </x:c>
      <x:c r="I28" s="6" t="n">
        <x:v>15000</x:v>
      </x:c>
      <x:c r="J28" s="7" t="n">
        <x:v>1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0</x:v>
      </x:c>
      <x:c r="E29" s="6" t="n">
        <x:v>0</x:v>
      </x:c>
      <x:c r="F29" s="6" t="n">
        <x:f>D29-E29</x:f>
        <x:v>0</x:v>
      </x:c>
      <x:c r="G29" s="6" t="n">
        <x:f>G28+F29</x:f>
        <x:v>347000</x:v>
      </x:c>
      <x:c r="H29" s="6" t="n">
        <x:v>0</x:v>
      </x:c>
      <x:c r="I29" s="6" t="n">
        <x:v>0</x:v>
      </x:c>
      <x:c r="J29" s="7" t="n">
        <x:v>0</x:v>
      </x:c>
      <x:c r="K29" s="7" t="n">
        <x:f>IF(J29=0,1,0)</x:f>
        <x:v>1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14000</x:v>
      </x:c>
      <x:c r="E30" s="6" t="n">
        <x:v>5000</x:v>
      </x:c>
      <x:c r="F30" s="6" t="n">
        <x:f>D30-E30</x:f>
        <x:v>9000</x:v>
      </x:c>
      <x:c r="G30" s="6" t="n">
        <x:f>G29+F30</x:f>
        <x:v>356000</x:v>
      </x:c>
      <x:c r="H30" s="6" t="n">
        <x:v>-35000</x:v>
      </x:c>
      <x:c r="I30" s="6" t="n">
        <x:v>45000</x:v>
      </x:c>
      <x:c r="J30" s="7" t="n">
        <x:v>5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15000</x:v>
      </x:c>
      <x:c r="E31" s="6" t="n">
        <x:v>0</x:v>
      </x:c>
      <x:c r="F31" s="6" t="n">
        <x:f>D31-E31</x:f>
        <x:v>15000</x:v>
      </x:c>
      <x:c r="G31" s="6" t="n">
        <x:f>G30+F31</x:f>
        <x:v>371000</x:v>
      </x:c>
      <x:c r="H31" s="6" t="n">
        <x:v>-15000</x:v>
      </x:c>
      <x:c r="I31" s="6" t="n">
        <x:v>25000</x:v>
      </x:c>
      <x:c r="J31" s="7" t="n">
        <x:v>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15000</x:v>
      </x:c>
      <x:c r="E32" s="6" t="n">
        <x:v>0</x:v>
      </x:c>
      <x:c r="F32" s="6" t="n">
        <x:f>D32-E32</x:f>
        <x:v>15000</x:v>
      </x:c>
      <x:c r="G32" s="6" t="n">
        <x:f>G31+F32</x:f>
        <x:v>386000</x:v>
      </x:c>
      <x:c r="H32" s="6" t="n">
        <x:v>-120000</x:v>
      </x:c>
      <x:c r="I32" s="6" t="n">
        <x:v>120000</x:v>
      </x:c>
      <x:c r="J32" s="7" t="n">
        <x:v>1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416000</x:v>
      </x:c>
      <x:c r="E33" s="9" t="n">
        <x:f>SUM(E6:E32)</x:f>
        <x:v>30000</x:v>
      </x:c>
      <x:c r="F33" s="9" t="n">
        <x:f>D33-E33</x:f>
        <x:v>386000</x:v>
      </x:c>
      <x:c r="G33" s="9" t="n">
        <x:f>G32</x:f>
        <x:v>386000</x:v>
      </x:c>
      <x:c r="H33" s="9" t="n">
        <x:f>MIN(H6:H32)</x:f>
        <x:v>-120000</x:v>
      </x:c>
      <x:c r="I33" s="9" t="n">
        <x:f>MAX(I6:I32)</x:f>
        <x:v>120000</x:v>
      </x:c>
      <x:c r="J33" s="10" t="n">
        <x:f>SUM(J6:J32)</x:f>
        <x:v>38</x:v>
      </x:c>
      <x:c r="K33" s="10" t="n">
        <x:f>SUM(K6:K32)</x:f>
        <x:v>9</x:v>
      </x:c>
    </x:row>
  </x:sheetData>
  <x:conditionalFormatting sqref="F6:H32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c71777b0d54c6f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NK225_U164_04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元入口と全実玉10円起動20円追尾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-10000</x:v>
      </x:c>
      <x:c r="I6" s="6" t="n">
        <x:v>10000</x:v>
      </x:c>
      <x:c r="J6" s="7" t="n">
        <x:v>1</x:v>
      </x:c>
      <x:c r="K6" s="7" t="n">
        <x:f>IF(J6=0,1,0)</x:f>
        <x:v>0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0</x:v>
      </x:c>
      <x:c r="E7" s="6" t="n">
        <x:v>0</x:v>
      </x:c>
      <x:c r="F7" s="6" t="n">
        <x:f>D7-E7</x:f>
        <x:v>0</x:v>
      </x:c>
      <x:c r="G7" s="6" t="n">
        <x:f>G6+F7</x:f>
        <x:v>0</x:v>
      </x:c>
      <x:c r="H7" s="6" t="n">
        <x:v>-35000</x:v>
      </x:c>
      <x:c r="I7" s="6" t="n">
        <x:v>35000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4000</x:v>
      </x:c>
      <x:c r="E8" s="6" t="n">
        <x:v>40000</x:v>
      </x:c>
      <x:c r="F8" s="6" t="n">
        <x:f>D8-E8</x:f>
        <x:v>-36000</x:v>
      </x:c>
      <x:c r="G8" s="6" t="n">
        <x:f>G7+F8</x:f>
        <x:v>-36000</x:v>
      </x:c>
      <x:c r="H8" s="6" t="n">
        <x:v>-43000</x:v>
      </x:c>
      <x:c r="I8" s="6" t="n">
        <x:v>43000</x:v>
      </x:c>
      <x:c r="J8" s="7" t="n">
        <x:v>3</x:v>
      </x:c>
      <x:c r="K8" s="7" t="n">
        <x:f>IF(J8=0,1,0)</x:f>
        <x:v>0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1000</x:v>
      </x:c>
      <x:c r="E9" s="6" t="n">
        <x:v>0</x:v>
      </x:c>
      <x:c r="F9" s="6" t="n">
        <x:f>D9-E9</x:f>
        <x:v>1000</x:v>
      </x:c>
      <x:c r="G9" s="6" t="n">
        <x:f>G8+F9</x:f>
        <x:v>-35000</x:v>
      </x:c>
      <x:c r="H9" s="6" t="n">
        <x:v>-3000</x:v>
      </x:c>
      <x:c r="I9" s="6" t="n">
        <x:v>3000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5000</x:v>
      </x:c>
      <x:c r="E10" s="6" t="n">
        <x:v>0</x:v>
      </x:c>
      <x:c r="F10" s="6" t="n">
        <x:f>D10-E10</x:f>
        <x:v>5000</x:v>
      </x:c>
      <x:c r="G10" s="6" t="n">
        <x:f>G9+F10</x:f>
        <x:v>-30000</x:v>
      </x:c>
      <x:c r="H10" s="6" t="n">
        <x:v>-15000</x:v>
      </x:c>
      <x:c r="I10" s="6" t="n">
        <x:v>16000</x:v>
      </x:c>
      <x:c r="J10" s="7" t="n">
        <x:v>2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0</x:v>
      </x:c>
      <x:c r="F11" s="6" t="n">
        <x:f>D11-E11</x:f>
        <x:v>0</x:v>
      </x:c>
      <x:c r="G11" s="6" t="n">
        <x:f>G10+F11</x:f>
        <x:v>-30000</x:v>
      </x:c>
      <x:c r="H11" s="6" t="n">
        <x:v>-3000</x:v>
      </x:c>
      <x:c r="I11" s="6" t="n">
        <x:v>5000</x:v>
      </x:c>
      <x:c r="J11" s="7" t="n">
        <x:v>4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2000</x:v>
      </x:c>
      <x:c r="E12" s="6" t="n">
        <x:v>14000</x:v>
      </x:c>
      <x:c r="F12" s="6" t="n">
        <x:f>D12-E12</x:f>
        <x:v>-12000</x:v>
      </x:c>
      <x:c r="G12" s="6" t="n">
        <x:f>G11+F12</x:f>
        <x:v>-42000</x:v>
      </x:c>
      <x:c r="H12" s="6" t="n">
        <x:v>-23000</x:v>
      </x:c>
      <x:c r="I12" s="6" t="n">
        <x:v>28000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0</x:v>
      </x:c>
      <x:c r="E13" s="6" t="n">
        <x:v>0</x:v>
      </x:c>
      <x:c r="F13" s="6" t="n">
        <x:f>D13-E13</x:f>
        <x:v>0</x:v>
      </x:c>
      <x:c r="G13" s="6" t="n">
        <x:f>G12+F13</x:f>
        <x:v>-42000</x:v>
      </x:c>
      <x:c r="H13" s="6" t="n">
        <x:v>-30000</x:v>
      </x:c>
      <x:c r="I13" s="6" t="n">
        <x:v>31000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6000</x:v>
      </x:c>
      <x:c r="E14" s="6" t="n">
        <x:v>51000</x:v>
      </x:c>
      <x:c r="F14" s="6" t="n">
        <x:f>D14-E14</x:f>
        <x:v>-45000</x:v>
      </x:c>
      <x:c r="G14" s="6" t="n">
        <x:f>G13+F14</x:f>
        <x:v>-87000</x:v>
      </x:c>
      <x:c r="H14" s="6" t="n">
        <x:v>-69000</x:v>
      </x:c>
      <x:c r="I14" s="6" t="n">
        <x:v>84000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19000</x:v>
      </x:c>
      <x:c r="E15" s="6" t="n">
        <x:v>9000</x:v>
      </x:c>
      <x:c r="F15" s="6" t="n">
        <x:f>D15-E15</x:f>
        <x:v>10000</x:v>
      </x:c>
      <x:c r="G15" s="6" t="n">
        <x:f>G14+F15</x:f>
        <x:v>-77000</x:v>
      </x:c>
      <x:c r="H15" s="6" t="n">
        <x:v>-26000</x:v>
      </x:c>
      <x:c r="I15" s="6" t="n">
        <x:v>42000</x:v>
      </x:c>
      <x:c r="J15" s="7" t="n">
        <x:v>15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3000</x:v>
      </x:c>
      <x:c r="E16" s="6" t="n">
        <x:v>0</x:v>
      </x:c>
      <x:c r="F16" s="6" t="n">
        <x:f>D16-E16</x:f>
        <x:v>3000</x:v>
      </x:c>
      <x:c r="G16" s="6" t="n">
        <x:f>G15+F16</x:f>
        <x:v>-74000</x:v>
      </x:c>
      <x:c r="H16" s="6" t="n">
        <x:v>-15000</x:v>
      </x:c>
      <x:c r="I16" s="6" t="n">
        <x:v>17000</x:v>
      </x:c>
      <x:c r="J16" s="7" t="n">
        <x:v>7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1000</x:v>
      </x:c>
      <x:c r="E17" s="6" t="n">
        <x:v>43000</x:v>
      </x:c>
      <x:c r="F17" s="6" t="n">
        <x:f>D17-E17</x:f>
        <x:v>-42000</x:v>
      </x:c>
      <x:c r="G17" s="6" t="n">
        <x:f>G16+F17</x:f>
        <x:v>-116000</x:v>
      </x:c>
      <x:c r="H17" s="6" t="n">
        <x:v>-51000</x:v>
      </x:c>
      <x:c r="I17" s="6" t="n">
        <x:v>51000</x:v>
      </x:c>
      <x:c r="J17" s="7" t="n">
        <x:v>4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14000</x:v>
      </x:c>
      <x:c r="F18" s="6" t="n">
        <x:f>D18-E18</x:f>
        <x:v>-14000</x:v>
      </x:c>
      <x:c r="G18" s="6" t="n">
        <x:f>G17+F18</x:f>
        <x:v>-130000</x:v>
      </x:c>
      <x:c r="H18" s="6" t="n">
        <x:v>-15000</x:v>
      </x:c>
      <x:c r="I18" s="6" t="n">
        <x:v>16000</x:v>
      </x:c>
      <x:c r="J18" s="7" t="n">
        <x:v>2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5000</x:v>
      </x:c>
      <x:c r="E19" s="6" t="n">
        <x:v>16000</x:v>
      </x:c>
      <x:c r="F19" s="6" t="n">
        <x:f>D19-E19</x:f>
        <x:v>-11000</x:v>
      </x:c>
      <x:c r="G19" s="6" t="n">
        <x:f>G18+F19</x:f>
        <x:v>-141000</x:v>
      </x:c>
      <x:c r="H19" s="6" t="n">
        <x:v>-42000</x:v>
      </x:c>
      <x:c r="I19" s="6" t="n">
        <x:v>42000</x:v>
      </x:c>
      <x:c r="J19" s="7" t="n">
        <x:v>15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0</x:v>
      </x:c>
      <x:c r="E20" s="6" t="n">
        <x:v>0</x:v>
      </x:c>
      <x:c r="F20" s="6" t="n">
        <x:f>D20-E20</x:f>
        <x:v>0</x:v>
      </x:c>
      <x:c r="G20" s="6" t="n">
        <x:f>G19+F20</x:f>
        <x:v>-141000</x:v>
      </x:c>
      <x:c r="H20" s="6" t="n">
        <x:v>-20000</x:v>
      </x:c>
      <x:c r="I20" s="6" t="n">
        <x:v>20000</x:v>
      </x:c>
      <x:c r="J20" s="7" t="n">
        <x:v>1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-141000</x:v>
      </x:c>
      <x:c r="H21" s="6" t="n">
        <x:v>-10000</x:v>
      </x:c>
      <x:c r="I21" s="6" t="n">
        <x:v>10000</x:v>
      </x:c>
      <x:c r="J21" s="7" t="n">
        <x:v>1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8000</x:v>
      </x:c>
      <x:c r="F22" s="6" t="n">
        <x:f>D22-E22</x:f>
        <x:v>-8000</x:v>
      </x:c>
      <x:c r="G22" s="6" t="n">
        <x:f>G21+F22</x:f>
        <x:v>-149000</x:v>
      </x:c>
      <x:c r="H22" s="6" t="n">
        <x:v>-10000</x:v>
      </x:c>
      <x:c r="I22" s="6" t="n">
        <x:v>13000</x:v>
      </x:c>
      <x:c r="J22" s="7" t="n">
        <x:v>2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0</x:v>
      </x:c>
      <x:c r="E23" s="6" t="n">
        <x:v>0</x:v>
      </x:c>
      <x:c r="F23" s="6" t="n">
        <x:f>D23-E23</x:f>
        <x:v>0</x:v>
      </x:c>
      <x:c r="G23" s="6" t="n">
        <x:f>G22+F23</x:f>
        <x:v>-149000</x:v>
      </x:c>
      <x:c r="H23" s="6" t="n">
        <x:v>-10000</x:v>
      </x:c>
      <x:c r="I23" s="6" t="n">
        <x:v>12000</x:v>
      </x:c>
      <x:c r="J23" s="7" t="n">
        <x:v>4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5000</x:v>
      </x:c>
      <x:c r="E24" s="6" t="n">
        <x:v>30000</x:v>
      </x:c>
      <x:c r="F24" s="6" t="n">
        <x:f>D24-E24</x:f>
        <x:v>-25000</x:v>
      </x:c>
      <x:c r="G24" s="6" t="n">
        <x:f>G23+F24</x:f>
        <x:v>-174000</x:v>
      </x:c>
      <x:c r="H24" s="6" t="n">
        <x:v>-44000</x:v>
      </x:c>
      <x:c r="I24" s="6" t="n">
        <x:v>49000</x:v>
      </x:c>
      <x:c r="J24" s="7" t="n">
        <x:v>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5000</x:v>
      </x:c>
      <x:c r="E25" s="6" t="n">
        <x:v>0</x:v>
      </x:c>
      <x:c r="F25" s="6" t="n">
        <x:f>D25-E25</x:f>
        <x:v>5000</x:v>
      </x:c>
      <x:c r="G25" s="6" t="n">
        <x:f>G24+F25</x:f>
        <x:v>-169000</x:v>
      </x:c>
      <x:c r="H25" s="6" t="n">
        <x:v>-16000</x:v>
      </x:c>
      <x:c r="I25" s="6" t="n">
        <x:v>22000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16000</x:v>
      </x:c>
      <x:c r="E26" s="6" t="n">
        <x:v>49000</x:v>
      </x:c>
      <x:c r="F26" s="6" t="n">
        <x:f>D26-E26</x:f>
        <x:v>-33000</x:v>
      </x:c>
      <x:c r="G26" s="6" t="n">
        <x:f>G25+F26</x:f>
        <x:v>-202000</x:v>
      </x:c>
      <x:c r="H26" s="6" t="n">
        <x:v>-53000</x:v>
      </x:c>
      <x:c r="I26" s="6" t="n">
        <x:v>53000</x:v>
      </x:c>
      <x:c r="J26" s="7" t="n">
        <x:v>12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1000</x:v>
      </x:c>
      <x:c r="E27" s="6" t="n">
        <x:v>0</x:v>
      </x:c>
      <x:c r="F27" s="6" t="n">
        <x:f>D27-E27</x:f>
        <x:v>1000</x:v>
      </x:c>
      <x:c r="G27" s="6" t="n">
        <x:f>G26+F27</x:f>
        <x:v>-201000</x:v>
      </x:c>
      <x:c r="H27" s="6" t="n">
        <x:v>-10000</x:v>
      </x:c>
      <x:c r="I27" s="6" t="n">
        <x:v>12000</x:v>
      </x:c>
      <x:c r="J27" s="7" t="n">
        <x:v>7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7000</x:v>
      </x:c>
      <x:c r="E28" s="6" t="n">
        <x:v>0</x:v>
      </x:c>
      <x:c r="F28" s="6" t="n">
        <x:f>D28-E28</x:f>
        <x:v>7000</x:v>
      </x:c>
      <x:c r="G28" s="6" t="n">
        <x:f>G27+F28</x:f>
        <x:v>-194000</x:v>
      </x:c>
      <x:c r="H28" s="6" t="n">
        <x:v>-54000</x:v>
      </x:c>
      <x:c r="I28" s="6" t="n">
        <x:v>59000</x:v>
      </x:c>
      <x:c r="J28" s="7" t="n">
        <x:v>5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6000</x:v>
      </x:c>
      <x:c r="E29" s="6" t="n">
        <x:v>0</x:v>
      </x:c>
      <x:c r="F29" s="6" t="n">
        <x:f>D29-E29</x:f>
        <x:v>6000</x:v>
      </x:c>
      <x:c r="G29" s="6" t="n">
        <x:f>G28+F29</x:f>
        <x:v>-188000</x:v>
      </x:c>
      <x:c r="H29" s="6" t="n">
        <x:v>-9000</x:v>
      </x:c>
      <x:c r="I29" s="6" t="n">
        <x:v>10000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6000</x:v>
      </x:c>
      <x:c r="E30" s="6" t="n">
        <x:v>17000</x:v>
      </x:c>
      <x:c r="F30" s="6" t="n">
        <x:f>D30-E30</x:f>
        <x:v>-11000</x:v>
      </x:c>
      <x:c r="G30" s="6" t="n">
        <x:f>G29+F30</x:f>
        <x:v>-199000</x:v>
      </x:c>
      <x:c r="H30" s="6" t="n">
        <x:v>-20000</x:v>
      </x:c>
      <x:c r="I30" s="6" t="n">
        <x:v>26000</x:v>
      </x:c>
      <x:c r="J30" s="7" t="n">
        <x:v>6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9000</x:v>
      </x:c>
      <x:c r="E31" s="6" t="n">
        <x:v>18000</x:v>
      </x:c>
      <x:c r="F31" s="6" t="n">
        <x:f>D31-E31</x:f>
        <x:v>-9000</x:v>
      </x:c>
      <x:c r="G31" s="6" t="n">
        <x:f>G30+F31</x:f>
        <x:v>-208000</x:v>
      </x:c>
      <x:c r="H31" s="6" t="n">
        <x:v>-26000</x:v>
      </x:c>
      <x:c r="I31" s="6" t="n">
        <x:v>27000</x:v>
      </x:c>
      <x:c r="J31" s="7" t="n">
        <x:v>11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0</x:v>
      </x:c>
      <x:c r="E32" s="6" t="n">
        <x:v>0</x:v>
      </x:c>
      <x:c r="F32" s="6" t="n">
        <x:f>D32-E32</x:f>
        <x:v>0</x:v>
      </x:c>
      <x:c r="G32" s="6" t="n">
        <x:f>G31+F32</x:f>
        <x:v>-208000</x:v>
      </x:c>
      <x:c r="H32" s="6" t="n">
        <x:v>-3000</x:v>
      </x:c>
      <x:c r="I32" s="6" t="n">
        <x:v>3000</x:v>
      </x:c>
      <x:c r="J32" s="7" t="n">
        <x:v>2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101000</x:v>
      </x:c>
      <x:c r="E33" s="9" t="n">
        <x:f>SUM(E6:E32)</x:f>
        <x:v>309000</x:v>
      </x:c>
      <x:c r="F33" s="9" t="n">
        <x:f>D33-E33</x:f>
        <x:v>-208000</x:v>
      </x:c>
      <x:c r="G33" s="9" t="n">
        <x:f>G32</x:f>
        <x:v>-208000</x:v>
      </x:c>
      <x:c r="H33" s="9" t="n">
        <x:f>MIN(H6:H32)</x:f>
        <x:v>-69000</x:v>
      </x:c>
      <x:c r="I33" s="9" t="n">
        <x:f>MAX(I6:I32)</x:f>
        <x:v>84000</x:v>
      </x:c>
      <x:c r="J33" s="10" t="n">
        <x:f>SUM(J6:J32)</x:f>
        <x:v>147</x:v>
      </x:c>
      <x:c r="K33" s="10" t="n">
        <x:f>SUM(K6:K32)</x:f>
        <x:v>0</x:v>
      </x:c>
    </x:row>
  </x:sheetData>
  <x:conditionalFormatting sqref="F6:H32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92adde021d4638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NK225_U164_05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実益の元部分返済後だけ残玉建値保護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7" t="n">
        <x:v>1</x:v>
      </x:c>
      <x:c r="K6" s="7" t="n">
        <x:f>IF(J6=0,1,0)</x:f>
        <x:v>0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32000</x:v>
      </x:c>
      <x:c r="E7" s="6" t="n">
        <x:v>0</x:v>
      </x:c>
      <x:c r="F7" s="6" t="n">
        <x:f>D7-E7</x:f>
        <x:v>32000</x:v>
      </x:c>
      <x:c r="G7" s="6" t="n">
        <x:f>G6+F7</x:f>
        <x:v>-13000</x:v>
      </x:c>
      <x:c r="H7" s="6" t="n">
        <x:v>-35000</x:v>
      </x:c>
      <x:c r="I7" s="6" t="n">
        <x:v>50000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5000</x:v>
      </x:c>
      <x:c r="E8" s="6" t="n">
        <x:v>41000</x:v>
      </x:c>
      <x:c r="F8" s="6" t="n">
        <x:f>D8-E8</x:f>
        <x:v>-36000</x:v>
      </x:c>
      <x:c r="G8" s="6" t="n">
        <x:f>G7+F8</x:f>
        <x:v>-49000</x:v>
      </x:c>
      <x:c r="H8" s="6" t="n">
        <x:v>-44000</x:v>
      </x:c>
      <x:c r="I8" s="6" t="n">
        <x:v>44000</x:v>
      </x:c>
      <x:c r="J8" s="7" t="n">
        <x:v>3</x:v>
      </x:c>
      <x:c r="K8" s="7" t="n">
        <x:f>IF(J8=0,1,0)</x:f>
        <x:v>0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20000</x:v>
      </x:c>
      <x:c r="E9" s="6" t="n">
        <x:v>0</x:v>
      </x:c>
      <x:c r="F9" s="6" t="n">
        <x:f>D9-E9</x:f>
        <x:v>20000</x:v>
      </x:c>
      <x:c r="G9" s="6" t="n">
        <x:f>G8+F9</x:f>
        <x:v>-29000</x:v>
      </x:c>
      <x:c r="H9" s="6" t="n">
        <x:v>-3000</x:v>
      </x:c>
      <x:c r="I9" s="6" t="n">
        <x:v>24000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-28000</x:v>
      </x:c>
      <x:c r="H10" s="6" t="n">
        <x:v>-16000</x:v>
      </x:c>
      <x:c r="I10" s="6" t="n">
        <x:v>24000</x:v>
      </x:c>
      <x:c r="J10" s="7" t="n">
        <x:v>2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10000</x:v>
      </x:c>
      <x:c r="E11" s="6" t="n">
        <x:v>39000</x:v>
      </x:c>
      <x:c r="F11" s="6" t="n">
        <x:f>D11-E11</x:f>
        <x:v>-29000</x:v>
      </x:c>
      <x:c r="G11" s="6" t="n">
        <x:f>G10+F11</x:f>
        <x:v>-57000</x:v>
      </x:c>
      <x:c r="H11" s="6" t="n">
        <x:v>-40000</x:v>
      </x:c>
      <x:c r="I11" s="6" t="n">
        <x:v>43000</x:v>
      </x:c>
      <x:c r="J11" s="7" t="n">
        <x:v>4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90000</x:v>
      </x:c>
      <x:c r="E12" s="6" t="n">
        <x:v>22000</x:v>
      </x:c>
      <x:c r="F12" s="6" t="n">
        <x:f>D12-E12</x:f>
        <x:v>68000</x:v>
      </x:c>
      <x:c r="G12" s="6" t="n">
        <x:f>G11+F12</x:f>
        <x:v>11000</x:v>
      </x:c>
      <x:c r="H12" s="6" t="n">
        <x:v>-30000</x:v>
      </x:c>
      <x:c r="I12" s="6" t="n">
        <x:v>70000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48000</x:v>
      </x:c>
      <x:c r="E13" s="6" t="n">
        <x:v>6000</x:v>
      </x:c>
      <x:c r="F13" s="6" t="n">
        <x:f>D13-E13</x:f>
        <x:v>42000</x:v>
      </x:c>
      <x:c r="G13" s="6" t="n">
        <x:f>G12+F13</x:f>
        <x:v>53000</x:v>
      </x:c>
      <x:c r="H13" s="6" t="n">
        <x:v>-21000</x:v>
      </x:c>
      <x:c r="I13" s="6" t="n">
        <x:v>63000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190000</x:v>
      </x:c>
      <x:c r="E14" s="6" t="n">
        <x:v>92000</x:v>
      </x:c>
      <x:c r="F14" s="6" t="n">
        <x:f>D14-E14</x:f>
        <x:v>98000</x:v>
      </x:c>
      <x:c r="G14" s="6" t="n">
        <x:f>G13+F14</x:f>
        <x:v>151000</x:v>
      </x:c>
      <x:c r="H14" s="6" t="n">
        <x:v>-61000</x:v>
      </x:c>
      <x:c r="I14" s="6" t="n">
        <x:v>145000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313000</x:v>
      </x:c>
      <x:c r="E15" s="6" t="n">
        <x:v>57000</x:v>
      </x:c>
      <x:c r="F15" s="6" t="n">
        <x:f>D15-E15</x:f>
        <x:v>256000</x:v>
      </x:c>
      <x:c r="G15" s="6" t="n">
        <x:f>G14+F15</x:f>
        <x:v>407000</x:v>
      </x:c>
      <x:c r="H15" s="6" t="n">
        <x:v>-34000</x:v>
      </x:c>
      <x:c r="I15" s="6" t="n">
        <x:v>162000</x:v>
      </x:c>
      <x:c r="J15" s="7" t="n">
        <x:v>15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98000</x:v>
      </x:c>
      <x:c r="E16" s="6" t="n">
        <x:v>64000</x:v>
      </x:c>
      <x:c r="F16" s="6" t="n">
        <x:f>D16-E16</x:f>
        <x:v>34000</x:v>
      </x:c>
      <x:c r="G16" s="6" t="n">
        <x:f>G15+F16</x:f>
        <x:v>441000</x:v>
      </x:c>
      <x:c r="H16" s="6" t="n">
        <x:v>-38000</x:v>
      </x:c>
      <x:c r="I16" s="6" t="n">
        <x:v>128000</x:v>
      </x:c>
      <x:c r="J16" s="7" t="n">
        <x:v>7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431000</x:v>
      </x:c>
      <x:c r="H17" s="6" t="n">
        <x:v>-56000</x:v>
      </x:c>
      <x:c r="I17" s="6" t="n">
        <x:v>56000</x:v>
      </x:c>
      <x:c r="J17" s="7" t="n">
        <x:v>4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22000</x:v>
      </x:c>
      <x:c r="F18" s="6" t="n">
        <x:f>D18-E18</x:f>
        <x:v>-22000</x:v>
      </x:c>
      <x:c r="G18" s="6" t="n">
        <x:f>G17+F18</x:f>
        <x:v>409000</x:v>
      </x:c>
      <x:c r="H18" s="6" t="n">
        <x:v>-24000</x:v>
      </x:c>
      <x:c r="I18" s="6" t="n">
        <x:v>30000</x:v>
      </x:c>
      <x:c r="J18" s="7" t="n">
        <x:v>2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342000</x:v>
      </x:c>
      <x:c r="E19" s="6" t="n">
        <x:v>36000</x:v>
      </x:c>
      <x:c r="F19" s="6" t="n">
        <x:f>D19-E19</x:f>
        <x:v>306000</x:v>
      </x:c>
      <x:c r="G19" s="6" t="n">
        <x:f>G18+F19</x:f>
        <x:v>715000</x:v>
      </x:c>
      <x:c r="H19" s="6" t="n">
        <x:v>-42000</x:v>
      </x:c>
      <x:c r="I19" s="6" t="n">
        <x:v>102000</x:v>
      </x:c>
      <x:c r="J19" s="7" t="n">
        <x:v>15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16000</x:v>
      </x:c>
      <x:c r="E20" s="6" t="n">
        <x:v>0</x:v>
      </x:c>
      <x:c r="F20" s="6" t="n">
        <x:f>D20-E20</x:f>
        <x:v>16000</x:v>
      </x:c>
      <x:c r="G20" s="6" t="n">
        <x:f>G19+F20</x:f>
        <x:v>731000</x:v>
      </x:c>
      <x:c r="H20" s="6" t="n">
        <x:v>-35000</x:v>
      </x:c>
      <x:c r="I20" s="6" t="n">
        <x:v>60000</x:v>
      </x:c>
      <x:c r="J20" s="7" t="n">
        <x:v>1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813000</x:v>
      </x:c>
      <x:c r="H21" s="6" t="n">
        <x:v>-10000</x:v>
      </x:c>
      <x:c r="I21" s="6" t="n">
        <x:v>33000</x:v>
      </x:c>
      <x:c r="J21" s="7" t="n">
        <x:v>1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53000</x:v>
      </x:c>
      <x:c r="F22" s="6" t="n">
        <x:f>D22-E22</x:f>
        <x:v>-53000</x:v>
      </x:c>
      <x:c r="G22" s="6" t="n">
        <x:f>G21+F22</x:f>
        <x:v>760000</x:v>
      </x:c>
      <x:c r="H22" s="6" t="n">
        <x:v>-53000</x:v>
      </x:c>
      <x:c r="I22" s="6" t="n">
        <x:v>58000</x:v>
      </x:c>
      <x:c r="J22" s="7" t="n">
        <x:v>2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197000</x:v>
      </x:c>
      <x:c r="E23" s="6" t="n">
        <x:v>61000</x:v>
      </x:c>
      <x:c r="F23" s="6" t="n">
        <x:f>D23-E23</x:f>
        <x:v>136000</x:v>
      </x:c>
      <x:c r="G23" s="6" t="n">
        <x:f>G22+F23</x:f>
        <x:v>896000</x:v>
      </x:c>
      <x:c r="H23" s="6" t="n">
        <x:v>-60000</x:v>
      </x:c>
      <x:c r="I23" s="6" t="n">
        <x:v>62000</x:v>
      </x:c>
      <x:c r="J23" s="7" t="n">
        <x:v>4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86000</x:v>
      </x:c>
      <x:c r="E24" s="6" t="n">
        <x:v>64000</x:v>
      </x:c>
      <x:c r="F24" s="6" t="n">
        <x:f>D24-E24</x:f>
        <x:v>22000</x:v>
      </x:c>
      <x:c r="G24" s="6" t="n">
        <x:f>G23+F24</x:f>
        <x:v>918000</x:v>
      </x:c>
      <x:c r="H24" s="6" t="n">
        <x:v>-48000</x:v>
      </x:c>
      <x:c r="I24" s="6" t="n">
        <x:v>90000</x:v>
      </x:c>
      <x:c r="J24" s="7" t="n">
        <x:v>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127000</x:v>
      </x:c>
      <x:c r="E25" s="6" t="n">
        <x:v>131000</x:v>
      </x:c>
      <x:c r="F25" s="6" t="n">
        <x:f>D25-E25</x:f>
        <x:v>-4000</x:v>
      </x:c>
      <x:c r="G25" s="6" t="n">
        <x:f>G24+F25</x:f>
        <x:v>914000</x:v>
      </x:c>
      <x:c r="H25" s="6" t="n">
        <x:v>-100000</x:v>
      </x:c>
      <x:c r="I25" s="6" t="n">
        <x:v>141000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97000</x:v>
      </x:c>
      <x:c r="E26" s="6" t="n">
        <x:v>105000</x:v>
      </x:c>
      <x:c r="F26" s="6" t="n">
        <x:f>D26-E26</x:f>
        <x:v>-8000</x:v>
      </x:c>
      <x:c r="G26" s="6" t="n">
        <x:f>G25+F26</x:f>
        <x:v>906000</x:v>
      </x:c>
      <x:c r="H26" s="6" t="n">
        <x:v>-68000</x:v>
      </x:c>
      <x:c r="I26" s="6" t="n">
        <x:v>97000</x:v>
      </x:c>
      <x:c r="J26" s="7" t="n">
        <x:v>12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99000</x:v>
      </x:c>
      <x:c r="E27" s="6" t="n">
        <x:v>33000</x:v>
      </x:c>
      <x:c r="F27" s="6" t="n">
        <x:f>D27-E27</x:f>
        <x:v>66000</x:v>
      </x:c>
      <x:c r="G27" s="6" t="n">
        <x:f>G26+F27</x:f>
        <x:v>972000</x:v>
      </x:c>
      <x:c r="H27" s="6" t="n">
        <x:v>-8000</x:v>
      </x:c>
      <x:c r="I27" s="6" t="n">
        <x:v>53000</x:v>
      </x:c>
      <x:c r="J27" s="7" t="n">
        <x:v>7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65000</x:v>
      </x:c>
      <x:c r="E28" s="6" t="n">
        <x:v>89000</x:v>
      </x:c>
      <x:c r="F28" s="6" t="n">
        <x:f>D28-E28</x:f>
        <x:v>-24000</x:v>
      </x:c>
      <x:c r="G28" s="6" t="n">
        <x:f>G27+F28</x:f>
        <x:v>948000</x:v>
      </x:c>
      <x:c r="H28" s="6" t="n">
        <x:v>-50000</x:v>
      </x:c>
      <x:c r="I28" s="6" t="n">
        <x:v>131000</x:v>
      </x:c>
      <x:c r="J28" s="7" t="n">
        <x:v>5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156000</x:v>
      </x:c>
      <x:c r="E29" s="6" t="n">
        <x:v>0</x:v>
      </x:c>
      <x:c r="F29" s="6" t="n">
        <x:f>D29-E29</x:f>
        <x:v>156000</x:v>
      </x:c>
      <x:c r="G29" s="6" t="n">
        <x:f>G28+F29</x:f>
        <x:v>1104000</x:v>
      </x:c>
      <x:c r="H29" s="6" t="n">
        <x:v>-2000</x:v>
      </x:c>
      <x:c r="I29" s="6" t="n">
        <x:v>64000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49000</x:v>
      </x:c>
      <x:c r="E30" s="6" t="n">
        <x:v>32000</x:v>
      </x:c>
      <x:c r="F30" s="6" t="n">
        <x:f>D30-E30</x:f>
        <x:v>17000</x:v>
      </x:c>
      <x:c r="G30" s="6" t="n">
        <x:f>G29+F30</x:f>
        <x:v>1121000</x:v>
      </x:c>
      <x:c r="H30" s="6" t="n">
        <x:v>-30000</x:v>
      </x:c>
      <x:c r="I30" s="6" t="n">
        <x:v>87000</x:v>
      </x:c>
      <x:c r="J30" s="7" t="n">
        <x:v>6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73000</x:v>
      </x:c>
      <x:c r="E31" s="6" t="n">
        <x:v>124000</x:v>
      </x:c>
      <x:c r="F31" s="6" t="n">
        <x:f>D31-E31</x:f>
        <x:v>-51000</x:v>
      </x:c>
      <x:c r="G31" s="6" t="n">
        <x:f>G30+F31</x:f>
        <x:v>1070000</x:v>
      </x:c>
      <x:c r="H31" s="6" t="n">
        <x:v>-52000</x:v>
      </x:c>
      <x:c r="I31" s="6" t="n">
        <x:v>121000</x:v>
      </x:c>
      <x:c r="J31" s="7" t="n">
        <x:v>11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8000</x:v>
      </x:c>
      <x:c r="E32" s="6" t="n">
        <x:v>0</x:v>
      </x:c>
      <x:c r="F32" s="6" t="n">
        <x:f>D32-E32</x:f>
        <x:v>8000</x:v>
      </x:c>
      <x:c r="G32" s="6" t="n">
        <x:f>G31+F32</x:f>
        <x:v>1078000</x:v>
      </x:c>
      <x:c r="H32" s="6" t="n">
        <x:v>-3000</x:v>
      </x:c>
      <x:c r="I32" s="6" t="n">
        <x:v>24000</x:v>
      </x:c>
      <x:c r="J32" s="7" t="n">
        <x:v>2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2253000</x:v>
      </x:c>
      <x:c r="E33" s="9" t="n">
        <x:f>SUM(E6:E32)</x:f>
        <x:v>1175000</x:v>
      </x:c>
      <x:c r="F33" s="9" t="n">
        <x:f>D33-E33</x:f>
        <x:v>1078000</x:v>
      </x:c>
      <x:c r="G33" s="9" t="n">
        <x:f>G32</x:f>
        <x:v>1078000</x:v>
      </x:c>
      <x:c r="H33" s="9" t="n">
        <x:f>MIN(H6:H32)</x:f>
        <x:v>-100000</x:v>
      </x:c>
      <x:c r="I33" s="9" t="n">
        <x:f>MAX(I6:I32)</x:f>
        <x:v>162000</x:v>
      </x:c>
      <x:c r="J33" s="10" t="n">
        <x:f>SUM(J6:J32)</x:f>
        <x:v>147</x:v>
      </x:c>
      <x:c r="K33" s="10" t="n">
        <x:f>SUM(K6:K32)</x:f>
        <x:v>0</x:v>
      </x:c>
    </x:row>
  </x:sheetData>
  <x:conditionalFormatting sqref="F6:H32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ccacdef3924d5b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NK225_U164_06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残玉保護・小量初回追尾・同親追加50円停止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7" t="n">
        <x:v>1</x:v>
      </x:c>
      <x:c r="K6" s="7" t="n">
        <x:f>IF(J6=0,1,0)</x:f>
        <x:v>0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32000</x:v>
      </x:c>
      <x:c r="E7" s="6" t="n">
        <x:v>0</x:v>
      </x:c>
      <x:c r="F7" s="6" t="n">
        <x:f>D7-E7</x:f>
        <x:v>32000</x:v>
      </x:c>
      <x:c r="G7" s="6" t="n">
        <x:f>G6+F7</x:f>
        <x:v>-13000</x:v>
      </x:c>
      <x:c r="H7" s="6" t="n">
        <x:v>-35000</x:v>
      </x:c>
      <x:c r="I7" s="6" t="n">
        <x:v>50000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1000</x:v>
      </x:c>
      <x:c r="E8" s="6" t="n">
        <x:v>41000</x:v>
      </x:c>
      <x:c r="F8" s="6" t="n">
        <x:f>D8-E8</x:f>
        <x:v>-40000</x:v>
      </x:c>
      <x:c r="G8" s="6" t="n">
        <x:f>G7+F8</x:f>
        <x:v>-53000</x:v>
      </x:c>
      <x:c r="H8" s="6" t="n">
        <x:v>-43000</x:v>
      </x:c>
      <x:c r="I8" s="6" t="n">
        <x:v>43000</x:v>
      </x:c>
      <x:c r="J8" s="7" t="n">
        <x:v>3</x:v>
      </x:c>
      <x:c r="K8" s="7" t="n">
        <x:f>IF(J8=0,1,0)</x:f>
        <x:v>0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4000</x:v>
      </x:c>
      <x:c r="E9" s="6" t="n">
        <x:v>0</x:v>
      </x:c>
      <x:c r="F9" s="6" t="n">
        <x:f>D9-E9</x:f>
        <x:v>4000</x:v>
      </x:c>
      <x:c r="G9" s="6" t="n">
        <x:f>G8+F9</x:f>
        <x:v>-49000</x:v>
      </x:c>
      <x:c r="H9" s="6" t="n">
        <x:v>-3000</x:v>
      </x:c>
      <x:c r="I9" s="6" t="n">
        <x:v>7000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17000</x:v>
      </x:c>
      <x:c r="E10" s="6" t="n">
        <x:v>0</x:v>
      </x:c>
      <x:c r="F10" s="6" t="n">
        <x:f>D10-E10</x:f>
        <x:v>17000</x:v>
      </x:c>
      <x:c r="G10" s="6" t="n">
        <x:f>G9+F10</x:f>
        <x:v>-32000</x:v>
      </x:c>
      <x:c r="H10" s="6" t="n">
        <x:v>-15000</x:v>
      </x:c>
      <x:c r="I10" s="6" t="n">
        <x:v>20000</x:v>
      </x:c>
      <x:c r="J10" s="7" t="n">
        <x:v>2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5000</x:v>
      </x:c>
      <x:c r="F11" s="6" t="n">
        <x:f>D11-E11</x:f>
        <x:v>-5000</x:v>
      </x:c>
      <x:c r="G11" s="6" t="n">
        <x:f>G10+F11</x:f>
        <x:v>-37000</x:v>
      </x:c>
      <x:c r="H11" s="6" t="n">
        <x:v>-5000</x:v>
      </x:c>
      <x:c r="I11" s="6" t="n">
        <x:v>8000</x:v>
      </x:c>
      <x:c r="J11" s="7" t="n">
        <x:v>4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89000</x:v>
      </x:c>
      <x:c r="E12" s="6" t="n">
        <x:v>19000</x:v>
      </x:c>
      <x:c r="F12" s="6" t="n">
        <x:f>D12-E12</x:f>
        <x:v>70000</x:v>
      </x:c>
      <x:c r="G12" s="6" t="n">
        <x:f>G11+F12</x:f>
        <x:v>33000</x:v>
      </x:c>
      <x:c r="H12" s="6" t="n">
        <x:v>-22000</x:v>
      </x:c>
      <x:c r="I12" s="6" t="n">
        <x:v>70000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29000</x:v>
      </x:c>
      <x:c r="E13" s="6" t="n">
        <x:v>5000</x:v>
      </x:c>
      <x:c r="F13" s="6" t="n">
        <x:f>D13-E13</x:f>
        <x:v>24000</x:v>
      </x:c>
      <x:c r="G13" s="6" t="n">
        <x:f>G12+F13</x:f>
        <x:v>57000</x:v>
      </x:c>
      <x:c r="H13" s="6" t="n">
        <x:v>-30000</x:v>
      </x:c>
      <x:c r="I13" s="6" t="n">
        <x:v>45000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57000</x:v>
      </x:c>
      <x:c r="E14" s="6" t="n">
        <x:v>55000</x:v>
      </x:c>
      <x:c r="F14" s="6" t="n">
        <x:f>D14-E14</x:f>
        <x:v>2000</x:v>
      </x:c>
      <x:c r="G14" s="6" t="n">
        <x:f>G13+F14</x:f>
        <x:v>59000</x:v>
      </x:c>
      <x:c r="H14" s="6" t="n">
        <x:v>-22000</x:v>
      </x:c>
      <x:c r="I14" s="6" t="n">
        <x:v>106000</x:v>
      </x:c>
      <x:c r="J14" s="7" t="n">
        <x:v>8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197000</x:v>
      </x:c>
      <x:c r="E15" s="6" t="n">
        <x:v>21000</x:v>
      </x:c>
      <x:c r="F15" s="6" t="n">
        <x:f>D15-E15</x:f>
        <x:v>176000</x:v>
      </x:c>
      <x:c r="G15" s="6" t="n">
        <x:f>G14+F15</x:f>
        <x:v>235000</x:v>
      </x:c>
      <x:c r="H15" s="6" t="n">
        <x:v>-35000</x:v>
      </x:c>
      <x:c r="I15" s="6" t="n">
        <x:v>71000</x:v>
      </x:c>
      <x:c r="J15" s="7" t="n">
        <x:v>15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2000</x:v>
      </x:c>
      <x:c r="E16" s="6" t="n">
        <x:v>30000</x:v>
      </x:c>
      <x:c r="F16" s="6" t="n">
        <x:f>D16-E16</x:f>
        <x:v>-28000</x:v>
      </x:c>
      <x:c r="G16" s="6" t="n">
        <x:f>G15+F16</x:f>
        <x:v>207000</x:v>
      </x:c>
      <x:c r="H16" s="6" t="n">
        <x:v>-28000</x:v>
      </x:c>
      <x:c r="I16" s="6" t="n">
        <x:v>35000</x:v>
      </x:c>
      <x:c r="J16" s="7" t="n">
        <x:v>7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1000</x:v>
      </x:c>
      <x:c r="E17" s="6" t="n">
        <x:v>48000</x:v>
      </x:c>
      <x:c r="F17" s="6" t="n">
        <x:f>D17-E17</x:f>
        <x:v>-47000</x:v>
      </x:c>
      <x:c r="G17" s="6" t="n">
        <x:f>G16+F17</x:f>
        <x:v>160000</x:v>
      </x:c>
      <x:c r="H17" s="6" t="n">
        <x:v>-47000</x:v>
      </x:c>
      <x:c r="I17" s="6" t="n">
        <x:v>47000</x:v>
      </x:c>
      <x:c r="J17" s="7" t="n">
        <x:v>4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5000</x:v>
      </x:c>
      <x:c r="F18" s="6" t="n">
        <x:f>D18-E18</x:f>
        <x:v>-5000</x:v>
      </x:c>
      <x:c r="G18" s="6" t="n">
        <x:f>G17+F18</x:f>
        <x:v>155000</x:v>
      </x:c>
      <x:c r="H18" s="6" t="n">
        <x:v>-5000</x:v>
      </x:c>
      <x:c r="I18" s="6" t="n">
        <x:v>6000</x:v>
      </x:c>
      <x:c r="J18" s="7" t="n">
        <x:v>2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110000</x:v>
      </x:c>
      <x:c r="E19" s="6" t="n">
        <x:v>32000</x:v>
      </x:c>
      <x:c r="F19" s="6" t="n">
        <x:f>D19-E19</x:f>
        <x:v>78000</x:v>
      </x:c>
      <x:c r="G19" s="6" t="n">
        <x:f>G18+F19</x:f>
        <x:v>233000</x:v>
      </x:c>
      <x:c r="H19" s="6" t="n">
        <x:v>-42000</x:v>
      </x:c>
      <x:c r="I19" s="6" t="n">
        <x:v>58000</x:v>
      </x:c>
      <x:c r="J19" s="7" t="n">
        <x:v>15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16000</x:v>
      </x:c>
      <x:c r="E20" s="6" t="n">
        <x:v>0</x:v>
      </x:c>
      <x:c r="F20" s="6" t="n">
        <x:f>D20-E20</x:f>
        <x:v>16000</x:v>
      </x:c>
      <x:c r="G20" s="6" t="n">
        <x:f>G19+F20</x:f>
        <x:v>249000</x:v>
      </x:c>
      <x:c r="H20" s="6" t="n">
        <x:v>-35000</x:v>
      </x:c>
      <x:c r="I20" s="6" t="n">
        <x:v>60000</x:v>
      </x:c>
      <x:c r="J20" s="7" t="n">
        <x:v>1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331000</x:v>
      </x:c>
      <x:c r="H21" s="6" t="n">
        <x:v>-10000</x:v>
      </x:c>
      <x:c r="I21" s="6" t="n">
        <x:v>33000</x:v>
      </x:c>
      <x:c r="J21" s="7" t="n">
        <x:v>1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53000</x:v>
      </x:c>
      <x:c r="F22" s="6" t="n">
        <x:f>D22-E22</x:f>
        <x:v>-53000</x:v>
      </x:c>
      <x:c r="G22" s="6" t="n">
        <x:f>G21+F22</x:f>
        <x:v>278000</x:v>
      </x:c>
      <x:c r="H22" s="6" t="n">
        <x:v>-53000</x:v>
      </x:c>
      <x:c r="I22" s="6" t="n">
        <x:v>58000</x:v>
      </x:c>
      <x:c r="J22" s="7" t="n">
        <x:v>2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197000</x:v>
      </x:c>
      <x:c r="E23" s="6" t="n">
        <x:v>0</x:v>
      </x:c>
      <x:c r="F23" s="6" t="n">
        <x:f>D23-E23</x:f>
        <x:v>197000</x:v>
      </x:c>
      <x:c r="G23" s="6" t="n">
        <x:f>G22+F23</x:f>
        <x:v>475000</x:v>
      </x:c>
      <x:c r="H23" s="6" t="n">
        <x:v>-25000</x:v>
      </x:c>
      <x:c r="I23" s="6" t="n">
        <x:v>56000</x:v>
      </x:c>
      <x:c r="J23" s="7" t="n">
        <x:v>4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5000</x:v>
      </x:c>
      <x:c r="E24" s="6" t="n">
        <x:v>39000</x:v>
      </x:c>
      <x:c r="F24" s="6" t="n">
        <x:f>D24-E24</x:f>
        <x:v>-34000</x:v>
      </x:c>
      <x:c r="G24" s="6" t="n">
        <x:f>G23+F24</x:f>
        <x:v>441000</x:v>
      </x:c>
      <x:c r="H24" s="6" t="n">
        <x:v>-40000</x:v>
      </x:c>
      <x:c r="I24" s="6" t="n">
        <x:v>45000</x:v>
      </x:c>
      <x:c r="J24" s="7" t="n">
        <x:v>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72000</x:v>
      </x:c>
      <x:c r="E25" s="6" t="n">
        <x:v>5000</x:v>
      </x:c>
      <x:c r="F25" s="6" t="n">
        <x:f>D25-E25</x:f>
        <x:v>67000</x:v>
      </x:c>
      <x:c r="G25" s="6" t="n">
        <x:f>G24+F25</x:f>
        <x:v>508000</x:v>
      </x:c>
      <x:c r="H25" s="6" t="n">
        <x:v>-36000</x:v>
      </x:c>
      <x:c r="I25" s="6" t="n">
        <x:v>68000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58000</x:v>
      </x:c>
      <x:c r="E26" s="6" t="n">
        <x:v>45000</x:v>
      </x:c>
      <x:c r="F26" s="6" t="n">
        <x:f>D26-E26</x:f>
        <x:v>13000</x:v>
      </x:c>
      <x:c r="G26" s="6" t="n">
        <x:f>G25+F26</x:f>
        <x:v>521000</x:v>
      </x:c>
      <x:c r="H26" s="6" t="n">
        <x:v>-47000</x:v>
      </x:c>
      <x:c r="I26" s="6" t="n">
        <x:v>48000</x:v>
      </x:c>
      <x:c r="J26" s="7" t="n">
        <x:v>12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0</x:v>
      </x:c>
      <x:c r="E27" s="6" t="n">
        <x:v>10000</x:v>
      </x:c>
      <x:c r="F27" s="6" t="n">
        <x:f>D27-E27</x:f>
        <x:v>-10000</x:v>
      </x:c>
      <x:c r="G27" s="6" t="n">
        <x:f>G26+F27</x:f>
        <x:v>511000</x:v>
      </x:c>
      <x:c r="H27" s="6" t="n">
        <x:v>-14000</x:v>
      </x:c>
      <x:c r="I27" s="6" t="n">
        <x:v>16000</x:v>
      </x:c>
      <x:c r="J27" s="7" t="n">
        <x:v>7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39000</x:v>
      </x:c>
      <x:c r="E28" s="6" t="n">
        <x:v>89000</x:v>
      </x:c>
      <x:c r="F28" s="6" t="n">
        <x:f>D28-E28</x:f>
        <x:v>-50000</x:v>
      </x:c>
      <x:c r="G28" s="6" t="n">
        <x:f>G27+F28</x:f>
        <x:v>461000</x:v>
      </x:c>
      <x:c r="H28" s="6" t="n">
        <x:v>-50000</x:v>
      </x:c>
      <x:c r="I28" s="6" t="n">
        <x:v>129000</x:v>
      </x:c>
      <x:c r="J28" s="7" t="n">
        <x:v>5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113000</x:v>
      </x:c>
      <x:c r="E29" s="6" t="n">
        <x:v>0</x:v>
      </x:c>
      <x:c r="F29" s="6" t="n">
        <x:f>D29-E29</x:f>
        <x:v>113000</x:v>
      </x:c>
      <x:c r="G29" s="6" t="n">
        <x:f>G28+F29</x:f>
        <x:v>574000</x:v>
      </x:c>
      <x:c r="H29" s="6" t="n">
        <x:v>-2000</x:v>
      </x:c>
      <x:c r="I29" s="6" t="n">
        <x:v>45000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28000</x:v>
      </x:c>
      <x:c r="E30" s="6" t="n">
        <x:v>10000</x:v>
      </x:c>
      <x:c r="F30" s="6" t="n">
        <x:f>D30-E30</x:f>
        <x:v>18000</x:v>
      </x:c>
      <x:c r="G30" s="6" t="n">
        <x:f>G29+F30</x:f>
        <x:v>592000</x:v>
      </x:c>
      <x:c r="H30" s="6" t="n">
        <x:v>-30000</x:v>
      </x:c>
      <x:c r="I30" s="6" t="n">
        <x:v>47000</x:v>
      </x:c>
      <x:c r="J30" s="7" t="n">
        <x:v>6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12000</x:v>
      </x:c>
      <x:c r="E31" s="6" t="n">
        <x:v>22000</x:v>
      </x:c>
      <x:c r="F31" s="6" t="n">
        <x:f>D31-E31</x:f>
        <x:v>-10000</x:v>
      </x:c>
      <x:c r="G31" s="6" t="n">
        <x:f>G30+F31</x:f>
        <x:v>582000</x:v>
      </x:c>
      <x:c r="H31" s="6" t="n">
        <x:v>-26000</x:v>
      </x:c>
      <x:c r="I31" s="6" t="n">
        <x:v>45000</x:v>
      </x:c>
      <x:c r="J31" s="7" t="n">
        <x:v>11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4000</x:v>
      </x:c>
      <x:c r="E32" s="6" t="n">
        <x:v>0</x:v>
      </x:c>
      <x:c r="F32" s="6" t="n">
        <x:f>D32-E32</x:f>
        <x:v>4000</x:v>
      </x:c>
      <x:c r="G32" s="6" t="n">
        <x:f>G31+F32</x:f>
        <x:v>586000</x:v>
      </x:c>
      <x:c r="H32" s="6" t="n">
        <x:v>-3000</x:v>
      </x:c>
      <x:c r="I32" s="6" t="n">
        <x:v>8000</x:v>
      </x:c>
      <x:c r="J32" s="7" t="n">
        <x:v>2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1165000</x:v>
      </x:c>
      <x:c r="E33" s="9" t="n">
        <x:f>SUM(E6:E32)</x:f>
        <x:v>579000</x:v>
      </x:c>
      <x:c r="F33" s="9" t="n">
        <x:f>D33-E33</x:f>
        <x:v>586000</x:v>
      </x:c>
      <x:c r="G33" s="9" t="n">
        <x:f>G32</x:f>
        <x:v>586000</x:v>
      </x:c>
      <x:c r="H33" s="9" t="n">
        <x:f>MIN(H6:H32)</x:f>
        <x:v>-53000</x:v>
      </x:c>
      <x:c r="I33" s="9" t="n">
        <x:f>MAX(I6:I32)</x:f>
        <x:v>129000</x:v>
      </x:c>
      <x:c r="J33" s="10" t="n">
        <x:f>SUM(J6:J32)</x:f>
        <x:v>147</x:v>
      </x:c>
      <x:c r="K33" s="10" t="n">
        <x:f>SUM(K6:K32)</x:f>
        <x:v>0</x:v>
      </x:c>
    </x:row>
  </x:sheetData>
  <x:conditionalFormatting sqref="F6:H32">
    <x:cfRule type="cellIs" dxfId="3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ca9bbba21d48fd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1" hidden="0" customWidth="1"/>
    <x:col min="11" max="11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NK225_U164_07　米国後の損益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06と初回失速時の最大30秒再加速待機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片側micro100枚＝mini10枚相当／手数料0／ラージ気配代理。無取引は1、取引ありは0。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3" customHeight="1">
      <x:c r="A5" s="14" t="str">
        <x:v>セッション</x:v>
      </x:c>
      <x:c r="B5" s="14" t="str">
        <x:v>資料区分</x:v>
      </x:c>
      <x:c r="C5" s="14" t="str">
        <x:v>場方向</x:v>
      </x:c>
      <x:c r="D5" s="14" t="str">
        <x:v>利益（円）</x:v>
      </x:c>
      <x:c r="E5" s="14" t="str">
        <x:v>損失（円）</x:v>
      </x:c>
      <x:c r="F5" s="14" t="str">
        <x:v>収支（円）</x:v>
      </x:c>
      <x:c r="G5" s="14" t="str">
        <x:v>累計（円）</x:v>
      </x:c>
      <x:c r="H5" s="14" t="str">
        <x:v>場内最悪収支（円）</x:v>
      </x:c>
      <x:c r="I5" s="14" t="str">
        <x:v>最大下落額（円）</x:v>
      </x:c>
      <x:c r="J5" s="14" t="str">
        <x:v>新規回数</x:v>
      </x:c>
      <x:c r="K5" s="14" t="str">
        <x:v>無取引</x:v>
      </x:c>
    </x:row>
    <x:row r="6" ht="25" customHeight="1">
      <x:c r="A6" s="2" t="str">
        <x:v>2026-09-21_Night</x:v>
      </x:c>
      <x:c r="B6" s="2" t="str">
        <x:v>前40場内</x:v>
      </x:c>
      <x:c r="C6" s="2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7" t="n">
        <x:v>1</x:v>
      </x:c>
      <x:c r="K6" s="7" t="n">
        <x:f>IF(J6=0,1,0)</x:f>
        <x:v>0</x:v>
      </x:c>
    </x:row>
    <x:row r="7" ht="25" customHeight="1">
      <x:c r="A7" s="2" t="str">
        <x:v>2026-09-22_Night</x:v>
      </x:c>
      <x:c r="B7" s="2" t="str">
        <x:v>前40場内</x:v>
      </x:c>
      <x:c r="C7" s="2" t="str">
        <x:v>上昇</x:v>
      </x:c>
      <x:c r="D7" s="6" t="n">
        <x:v>32000</x:v>
      </x:c>
      <x:c r="E7" s="6" t="n">
        <x:v>0</x:v>
      </x:c>
      <x:c r="F7" s="6" t="n">
        <x:f>D7-E7</x:f>
        <x:v>32000</x:v>
      </x:c>
      <x:c r="G7" s="6" t="n">
        <x:f>G6+F7</x:f>
        <x:v>-13000</x:v>
      </x:c>
      <x:c r="H7" s="6" t="n">
        <x:v>-35000</x:v>
      </x:c>
      <x:c r="I7" s="6" t="n">
        <x:v>50000</x:v>
      </x:c>
      <x:c r="J7" s="7" t="n">
        <x:v>1</x:v>
      </x:c>
      <x:c r="K7" s="7" t="n">
        <x:f>IF(J7=0,1,0)</x:f>
        <x:v>0</x:v>
      </x:c>
    </x:row>
    <x:row r="8" ht="25" customHeight="1">
      <x:c r="A8" s="2" t="str">
        <x:v>2026-09-23_Night</x:v>
      </x:c>
      <x:c r="B8" s="2" t="str">
        <x:v>前40場内</x:v>
      </x:c>
      <x:c r="C8" s="2" t="str">
        <x:v>下落</x:v>
      </x:c>
      <x:c r="D8" s="6" t="n">
        <x:v>1000</x:v>
      </x:c>
      <x:c r="E8" s="6" t="n">
        <x:v>41000</x:v>
      </x:c>
      <x:c r="F8" s="6" t="n">
        <x:f>D8-E8</x:f>
        <x:v>-40000</x:v>
      </x:c>
      <x:c r="G8" s="6" t="n">
        <x:f>G7+F8</x:f>
        <x:v>-53000</x:v>
      </x:c>
      <x:c r="H8" s="6" t="n">
        <x:v>-43000</x:v>
      </x:c>
      <x:c r="I8" s="6" t="n">
        <x:v>43000</x:v>
      </x:c>
      <x:c r="J8" s="7" t="n">
        <x:v>3</x:v>
      </x:c>
      <x:c r="K8" s="7" t="n">
        <x:f>IF(J8=0,1,0)</x:f>
        <x:v>0</x:v>
      </x:c>
    </x:row>
    <x:row r="9" ht="25" customHeight="1">
      <x:c r="A9" s="2" t="str">
        <x:v>2026-09-24_Night</x:v>
      </x:c>
      <x:c r="B9" s="2" t="str">
        <x:v>前40場内</x:v>
      </x:c>
      <x:c r="C9" s="2" t="str">
        <x:v>下落</x:v>
      </x:c>
      <x:c r="D9" s="6" t="n">
        <x:v>4000</x:v>
      </x:c>
      <x:c r="E9" s="6" t="n">
        <x:v>0</x:v>
      </x:c>
      <x:c r="F9" s="6" t="n">
        <x:f>D9-E9</x:f>
        <x:v>4000</x:v>
      </x:c>
      <x:c r="G9" s="6" t="n">
        <x:f>G8+F9</x:f>
        <x:v>-49000</x:v>
      </x:c>
      <x:c r="H9" s="6" t="n">
        <x:v>-3000</x:v>
      </x:c>
      <x:c r="I9" s="6" t="n">
        <x:v>7000</x:v>
      </x:c>
      <x:c r="J9" s="7" t="n">
        <x:v>2</x:v>
      </x:c>
      <x:c r="K9" s="7" t="n">
        <x:f>IF(J9=0,1,0)</x:f>
        <x:v>0</x:v>
      </x:c>
    </x:row>
    <x:row r="10" ht="25" customHeight="1">
      <x:c r="A10" s="2" t="str">
        <x:v>2026-09-25_Night</x:v>
      </x:c>
      <x:c r="B10" s="2" t="str">
        <x:v>前40場内</x:v>
      </x:c>
      <x:c r="C10" s="2" t="str">
        <x:v>上昇</x:v>
      </x:c>
      <x:c r="D10" s="6" t="n">
        <x:v>17000</x:v>
      </x:c>
      <x:c r="E10" s="6" t="n">
        <x:v>0</x:v>
      </x:c>
      <x:c r="F10" s="6" t="n">
        <x:f>D10-E10</x:f>
        <x:v>17000</x:v>
      </x:c>
      <x:c r="G10" s="6" t="n">
        <x:f>G9+F10</x:f>
        <x:v>-32000</x:v>
      </x:c>
      <x:c r="H10" s="6" t="n">
        <x:v>-15000</x:v>
      </x:c>
      <x:c r="I10" s="6" t="n">
        <x:v>20000</x:v>
      </x:c>
      <x:c r="J10" s="7" t="n">
        <x:v>2</x:v>
      </x:c>
      <x:c r="K10" s="7" t="n">
        <x:f>IF(J10=0,1,0)</x:f>
        <x:v>0</x:v>
      </x:c>
    </x:row>
    <x:row r="11" ht="25" customHeight="1">
      <x:c r="A11" s="2" t="str">
        <x:v>2026-09-28_Night</x:v>
      </x:c>
      <x:c r="B11" s="2" t="str">
        <x:v>前40場内</x:v>
      </x:c>
      <x:c r="C11" s="2" t="str">
        <x:v>下落</x:v>
      </x:c>
      <x:c r="D11" s="6" t="n">
        <x:v>0</x:v>
      </x:c>
      <x:c r="E11" s="6" t="n">
        <x:v>5000</x:v>
      </x:c>
      <x:c r="F11" s="6" t="n">
        <x:f>D11-E11</x:f>
        <x:v>-5000</x:v>
      </x:c>
      <x:c r="G11" s="6" t="n">
        <x:f>G10+F11</x:f>
        <x:v>-37000</x:v>
      </x:c>
      <x:c r="H11" s="6" t="n">
        <x:v>-5000</x:v>
      </x:c>
      <x:c r="I11" s="6" t="n">
        <x:v>8000</x:v>
      </x:c>
      <x:c r="J11" s="7" t="n">
        <x:v>4</x:v>
      </x:c>
      <x:c r="K11" s="7" t="n">
        <x:f>IF(J11=0,1,0)</x:f>
        <x:v>0</x:v>
      </x:c>
    </x:row>
    <x:row r="12" ht="25" customHeight="1">
      <x:c r="A12" s="2" t="str">
        <x:v>2026-09-29_Night</x:v>
      </x:c>
      <x:c r="B12" s="2" t="str">
        <x:v>前40場内</x:v>
      </x:c>
      <x:c r="C12" s="2" t="str">
        <x:v>上昇</x:v>
      </x:c>
      <x:c r="D12" s="6" t="n">
        <x:v>87000</x:v>
      </x:c>
      <x:c r="E12" s="6" t="n">
        <x:v>19000</x:v>
      </x:c>
      <x:c r="F12" s="6" t="n">
        <x:f>D12-E12</x:f>
        <x:v>68000</x:v>
      </x:c>
      <x:c r="G12" s="6" t="n">
        <x:f>G11+F12</x:f>
        <x:v>31000</x:v>
      </x:c>
      <x:c r="H12" s="6" t="n">
        <x:v>-22000</x:v>
      </x:c>
      <x:c r="I12" s="6" t="n">
        <x:v>70000</x:v>
      </x:c>
      <x:c r="J12" s="7" t="n">
        <x:v>6</x:v>
      </x:c>
      <x:c r="K12" s="7" t="n">
        <x:f>IF(J12=0,1,0)</x:f>
        <x:v>0</x:v>
      </x:c>
    </x:row>
    <x:row r="13" ht="25" customHeight="1">
      <x:c r="A13" s="2" t="str">
        <x:v>2026-09-30_Night</x:v>
      </x:c>
      <x:c r="B13" s="2" t="str">
        <x:v>前40場内</x:v>
      </x:c>
      <x:c r="C13" s="2" t="str">
        <x:v>下落</x:v>
      </x:c>
      <x:c r="D13" s="6" t="n">
        <x:v>24000</x:v>
      </x:c>
      <x:c r="E13" s="6" t="n">
        <x:v>5000</x:v>
      </x:c>
      <x:c r="F13" s="6" t="n">
        <x:f>D13-E13</x:f>
        <x:v>19000</x:v>
      </x:c>
      <x:c r="G13" s="6" t="n">
        <x:f>G12+F13</x:f>
        <x:v>50000</x:v>
      </x:c>
      <x:c r="H13" s="6" t="n">
        <x:v>-35000</x:v>
      </x:c>
      <x:c r="I13" s="6" t="n">
        <x:v>44000</x:v>
      </x:c>
      <x:c r="J13" s="7" t="n">
        <x:v>3</x:v>
      </x:c>
      <x:c r="K13" s="7" t="n">
        <x:f>IF(J13=0,1,0)</x:f>
        <x:v>0</x:v>
      </x:c>
    </x:row>
    <x:row r="14" ht="25" customHeight="1">
      <x:c r="A14" s="2" t="str">
        <x:v>2026-10-01_Night</x:v>
      </x:c>
      <x:c r="B14" s="2" t="str">
        <x:v>前40場内</x:v>
      </x:c>
      <x:c r="C14" s="2" t="str">
        <x:v>上昇</x:v>
      </x:c>
      <x:c r="D14" s="6" t="n">
        <x:v>49000</x:v>
      </x:c>
      <x:c r="E14" s="6" t="n">
        <x:v>55000</x:v>
      </x:c>
      <x:c r="F14" s="6" t="n">
        <x:f>D14-E14</x:f>
        <x:v>-6000</x:v>
      </x:c>
      <x:c r="G14" s="6" t="n">
        <x:f>G13+F14</x:f>
        <x:v>44000</x:v>
      </x:c>
      <x:c r="H14" s="6" t="n">
        <x:v>-8000</x:v>
      </x:c>
      <x:c r="I14" s="6" t="n">
        <x:v>83000</x:v>
      </x:c>
      <x:c r="J14" s="7" t="n">
        <x:v>7</x:v>
      </x:c>
      <x:c r="K14" s="7" t="n">
        <x:f>IF(J14=0,1,0)</x:f>
        <x:v>0</x:v>
      </x:c>
    </x:row>
    <x:row r="15" ht="25" customHeight="1">
      <x:c r="A15" s="2" t="str">
        <x:v>2026-10-02_Night</x:v>
      </x:c>
      <x:c r="B15" s="2" t="str">
        <x:v>前40場内</x:v>
      </x:c>
      <x:c r="C15" s="2" t="str">
        <x:v>上昇</x:v>
      </x:c>
      <x:c r="D15" s="6" t="n">
        <x:v>197000</x:v>
      </x:c>
      <x:c r="E15" s="6" t="n">
        <x:v>21000</x:v>
      </x:c>
      <x:c r="F15" s="6" t="n">
        <x:f>D15-E15</x:f>
        <x:v>176000</x:v>
      </x:c>
      <x:c r="G15" s="6" t="n">
        <x:f>G14+F15</x:f>
        <x:v>220000</x:v>
      </x:c>
      <x:c r="H15" s="6" t="n">
        <x:v>-35000</x:v>
      </x:c>
      <x:c r="I15" s="6" t="n">
        <x:v>71000</x:v>
      </x:c>
      <x:c r="J15" s="7" t="n">
        <x:v>15</x:v>
      </x:c>
      <x:c r="K15" s="7" t="n">
        <x:f>IF(J15=0,1,0)</x:f>
        <x:v>0</x:v>
      </x:c>
    </x:row>
    <x:row r="16" ht="25" customHeight="1">
      <x:c r="A16" s="2" t="str">
        <x:v>2026-10-05_Night</x:v>
      </x:c>
      <x:c r="B16" s="2" t="str">
        <x:v>前40場内</x:v>
      </x:c>
      <x:c r="C16" s="2" t="str">
        <x:v>下落</x:v>
      </x:c>
      <x:c r="D16" s="6" t="n">
        <x:v>2000</x:v>
      </x:c>
      <x:c r="E16" s="6" t="n">
        <x:v>30000</x:v>
      </x:c>
      <x:c r="F16" s="6" t="n">
        <x:f>D16-E16</x:f>
        <x:v>-28000</x:v>
      </x:c>
      <x:c r="G16" s="6" t="n">
        <x:f>G15+F16</x:f>
        <x:v>192000</x:v>
      </x:c>
      <x:c r="H16" s="6" t="n">
        <x:v>-28000</x:v>
      </x:c>
      <x:c r="I16" s="6" t="n">
        <x:v>35000</x:v>
      </x:c>
      <x:c r="J16" s="7" t="n">
        <x:v>6</x:v>
      </x:c>
      <x:c r="K16" s="7" t="n">
        <x:f>IF(J16=0,1,0)</x:f>
        <x:v>0</x:v>
      </x:c>
    </x:row>
    <x:row r="17" ht="25" customHeight="1">
      <x:c r="A17" s="2" t="str">
        <x:v>2026-10-06_Night</x:v>
      </x:c>
      <x:c r="B17" s="2" t="str">
        <x:v>前40場内</x:v>
      </x:c>
      <x:c r="C17" s="2" t="str">
        <x:v>下落</x:v>
      </x:c>
      <x:c r="D17" s="6" t="n">
        <x:v>1000</x:v>
      </x:c>
      <x:c r="E17" s="6" t="n">
        <x:v>48000</x:v>
      </x:c>
      <x:c r="F17" s="6" t="n">
        <x:f>D17-E17</x:f>
        <x:v>-47000</x:v>
      </x:c>
      <x:c r="G17" s="6" t="n">
        <x:f>G16+F17</x:f>
        <x:v>145000</x:v>
      </x:c>
      <x:c r="H17" s="6" t="n">
        <x:v>-47000</x:v>
      </x:c>
      <x:c r="I17" s="6" t="n">
        <x:v>47000</x:v>
      </x:c>
      <x:c r="J17" s="7" t="n">
        <x:v>4</x:v>
      </x:c>
      <x:c r="K17" s="7" t="n">
        <x:f>IF(J17=0,1,0)</x:f>
        <x:v>0</x:v>
      </x:c>
    </x:row>
    <x:row r="18" ht="25" customHeight="1">
      <x:c r="A18" s="2" t="str">
        <x:v>2026-10-07_Night</x:v>
      </x:c>
      <x:c r="B18" s="2" t="str">
        <x:v>前40場内</x:v>
      </x:c>
      <x:c r="C18" s="2" t="str">
        <x:v>下落</x:v>
      </x:c>
      <x:c r="D18" s="6" t="n">
        <x:v>0</x:v>
      </x:c>
      <x:c r="E18" s="6" t="n">
        <x:v>5000</x:v>
      </x:c>
      <x:c r="F18" s="6" t="n">
        <x:f>D18-E18</x:f>
        <x:v>-5000</x:v>
      </x:c>
      <x:c r="G18" s="6" t="n">
        <x:f>G17+F18</x:f>
        <x:v>140000</x:v>
      </x:c>
      <x:c r="H18" s="6" t="n">
        <x:v>-5000</x:v>
      </x:c>
      <x:c r="I18" s="6" t="n">
        <x:v>6000</x:v>
      </x:c>
      <x:c r="J18" s="7" t="n">
        <x:v>2</x:v>
      </x:c>
      <x:c r="K18" s="7" t="n">
        <x:f>IF(J18=0,1,0)</x:f>
        <x:v>0</x:v>
      </x:c>
    </x:row>
    <x:row r="19" ht="25" customHeight="1">
      <x:c r="A19" s="2" t="str">
        <x:v>2026-10-08_Night</x:v>
      </x:c>
      <x:c r="B19" s="2" t="str">
        <x:v>前40場内</x:v>
      </x:c>
      <x:c r="C19" s="2" t="str">
        <x:v>下落</x:v>
      </x:c>
      <x:c r="D19" s="6" t="n">
        <x:v>114000</x:v>
      </x:c>
      <x:c r="E19" s="6" t="n">
        <x:v>32000</x:v>
      </x:c>
      <x:c r="F19" s="6" t="n">
        <x:f>D19-E19</x:f>
        <x:v>82000</x:v>
      </x:c>
      <x:c r="G19" s="6" t="n">
        <x:f>G18+F19</x:f>
        <x:v>222000</x:v>
      </x:c>
      <x:c r="H19" s="6" t="n">
        <x:v>-42000</x:v>
      </x:c>
      <x:c r="I19" s="6" t="n">
        <x:v>58000</x:v>
      </x:c>
      <x:c r="J19" s="7" t="n">
        <x:v>15</x:v>
      </x:c>
      <x:c r="K19" s="7" t="n">
        <x:f>IF(J19=0,1,0)</x:f>
        <x:v>0</x:v>
      </x:c>
    </x:row>
    <x:row r="20" ht="25" customHeight="1">
      <x:c r="A20" s="2" t="str">
        <x:v>2026-10-09_Night</x:v>
      </x:c>
      <x:c r="B20" s="2" t="str">
        <x:v>前40場内</x:v>
      </x:c>
      <x:c r="C20" s="2" t="str">
        <x:v>下落</x:v>
      </x:c>
      <x:c r="D20" s="6" t="n">
        <x:v>16000</x:v>
      </x:c>
      <x:c r="E20" s="6" t="n">
        <x:v>0</x:v>
      </x:c>
      <x:c r="F20" s="6" t="n">
        <x:f>D20-E20</x:f>
        <x:v>16000</x:v>
      </x:c>
      <x:c r="G20" s="6" t="n">
        <x:f>G19+F20</x:f>
        <x:v>238000</x:v>
      </x:c>
      <x:c r="H20" s="6" t="n">
        <x:v>-35000</x:v>
      </x:c>
      <x:c r="I20" s="6" t="n">
        <x:v>60000</x:v>
      </x:c>
      <x:c r="J20" s="7" t="n">
        <x:v>1</x:v>
      </x:c>
      <x:c r="K20" s="7" t="n">
        <x:f>IF(J20=0,1,0)</x:f>
        <x:v>0</x:v>
      </x:c>
    </x:row>
    <x:row r="21" ht="25" customHeight="1">
      <x:c r="A21" s="2" t="str">
        <x:v>2026-10-12_Night</x:v>
      </x:c>
      <x:c r="B21" s="2" t="str">
        <x:v>前40場内</x:v>
      </x:c>
      <x:c r="C21" s="2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320000</x:v>
      </x:c>
      <x:c r="H21" s="6" t="n">
        <x:v>-10000</x:v>
      </x:c>
      <x:c r="I21" s="6" t="n">
        <x:v>33000</x:v>
      </x:c>
      <x:c r="J21" s="7" t="n">
        <x:v>1</x:v>
      </x:c>
      <x:c r="K21" s="7" t="n">
        <x:f>IF(J21=0,1,0)</x:f>
        <x:v>0</x:v>
      </x:c>
    </x:row>
    <x:row r="22" ht="25" customHeight="1">
      <x:c r="A22" s="2" t="str">
        <x:v>2026-10-13_Night</x:v>
      </x:c>
      <x:c r="B22" s="2" t="str">
        <x:v>前40場内</x:v>
      </x:c>
      <x:c r="C22" s="2" t="str">
        <x:v>上昇</x:v>
      </x:c>
      <x:c r="D22" s="6" t="n">
        <x:v>0</x:v>
      </x:c>
      <x:c r="E22" s="6" t="n">
        <x:v>45000</x:v>
      </x:c>
      <x:c r="F22" s="6" t="n">
        <x:f>D22-E22</x:f>
        <x:v>-45000</x:v>
      </x:c>
      <x:c r="G22" s="6" t="n">
        <x:f>G21+F22</x:f>
        <x:v>275000</x:v>
      </x:c>
      <x:c r="H22" s="6" t="n">
        <x:v>-45000</x:v>
      </x:c>
      <x:c r="I22" s="6" t="n">
        <x:v>50000</x:v>
      </x:c>
      <x:c r="J22" s="7" t="n">
        <x:v>1</x:v>
      </x:c>
      <x:c r="K22" s="7" t="n">
        <x:f>IF(J22=0,1,0)</x:f>
        <x:v>0</x:v>
      </x:c>
    </x:row>
    <x:row r="23" ht="25" customHeight="1">
      <x:c r="A23" s="2" t="str">
        <x:v>2026-10-14_Night</x:v>
      </x:c>
      <x:c r="B23" s="2" t="str">
        <x:v>前40場内</x:v>
      </x:c>
      <x:c r="C23" s="2" t="str">
        <x:v>下落</x:v>
      </x:c>
      <x:c r="D23" s="6" t="n">
        <x:v>197000</x:v>
      </x:c>
      <x:c r="E23" s="6" t="n">
        <x:v>20000</x:v>
      </x:c>
      <x:c r="F23" s="6" t="n">
        <x:f>D23-E23</x:f>
        <x:v>177000</x:v>
      </x:c>
      <x:c r="G23" s="6" t="n">
        <x:f>G22+F23</x:f>
        <x:v>452000</x:v>
      </x:c>
      <x:c r="H23" s="6" t="n">
        <x:v>-45000</x:v>
      </x:c>
      <x:c r="I23" s="6" t="n">
        <x:v>56000</x:v>
      </x:c>
      <x:c r="J23" s="7" t="n">
        <x:v>4</x:v>
      </x:c>
      <x:c r="K23" s="7" t="n">
        <x:f>IF(J23=0,1,0)</x:f>
        <x:v>0</x:v>
      </x:c>
    </x:row>
    <x:row r="24" ht="25" customHeight="1">
      <x:c r="A24" s="2" t="str">
        <x:v>2026-10-15_Night</x:v>
      </x:c>
      <x:c r="B24" s="2" t="str">
        <x:v>前40場内</x:v>
      </x:c>
      <x:c r="C24" s="2" t="str">
        <x:v>上昇</x:v>
      </x:c>
      <x:c r="D24" s="6" t="n">
        <x:v>2000</x:v>
      </x:c>
      <x:c r="E24" s="6" t="n">
        <x:v>9000</x:v>
      </x:c>
      <x:c r="F24" s="6" t="n">
        <x:f>D24-E24</x:f>
        <x:v>-7000</x:v>
      </x:c>
      <x:c r="G24" s="6" t="n">
        <x:f>G23+F24</x:f>
        <x:v>445000</x:v>
      </x:c>
      <x:c r="H24" s="6" t="n">
        <x:v>-13000</x:v>
      </x:c>
      <x:c r="I24" s="6" t="n">
        <x:v>15000</x:v>
      </x:c>
      <x:c r="J24" s="7" t="n">
        <x:v>7</x:v>
      </x:c>
      <x:c r="K24" s="7" t="n">
        <x:f>IF(J24=0,1,0)</x:f>
        <x:v>0</x:v>
      </x:c>
    </x:row>
    <x:row r="25" ht="25" customHeight="1">
      <x:c r="A25" s="2" t="str">
        <x:v>2026-10-16_Night</x:v>
      </x:c>
      <x:c r="B25" s="2" t="str">
        <x:v>前40場内</x:v>
      </x:c>
      <x:c r="C25" s="2" t="str">
        <x:v>下落</x:v>
      </x:c>
      <x:c r="D25" s="6" t="n">
        <x:v>68000</x:v>
      </x:c>
      <x:c r="E25" s="6" t="n">
        <x:v>5000</x:v>
      </x:c>
      <x:c r="F25" s="6" t="n">
        <x:f>D25-E25</x:f>
        <x:v>63000</x:v>
      </x:c>
      <x:c r="G25" s="6" t="n">
        <x:f>G24+F25</x:f>
        <x:v>508000</x:v>
      </x:c>
      <x:c r="H25" s="6" t="n">
        <x:v>-36000</x:v>
      </x:c>
      <x:c r="I25" s="6" t="n">
        <x:v>91000</x:v>
      </x:c>
      <x:c r="J25" s="7" t="n">
        <x:v>13</x:v>
      </x:c>
      <x:c r="K25" s="7" t="n">
        <x:f>IF(J25=0,1,0)</x:f>
        <x:v>0</x:v>
      </x:c>
    </x:row>
    <x:row r="26" ht="25" customHeight="1">
      <x:c r="A26" s="2" t="str">
        <x:v>2026-10-19_Night</x:v>
      </x:c>
      <x:c r="B26" s="2" t="str">
        <x:v>旧後13場内</x:v>
      </x:c>
      <x:c r="C26" s="2" t="str">
        <x:v>上昇</x:v>
      </x:c>
      <x:c r="D26" s="6" t="n">
        <x:v>59000</x:v>
      </x:c>
      <x:c r="E26" s="6" t="n">
        <x:v>35000</x:v>
      </x:c>
      <x:c r="F26" s="6" t="n">
        <x:f>D26-E26</x:f>
        <x:v>24000</x:v>
      </x:c>
      <x:c r="G26" s="6" t="n">
        <x:f>G25+F26</x:f>
        <x:v>532000</x:v>
      </x:c>
      <x:c r="H26" s="6" t="n">
        <x:v>-36000</x:v>
      </x:c>
      <x:c r="I26" s="6" t="n">
        <x:v>48000</x:v>
      </x:c>
      <x:c r="J26" s="7" t="n">
        <x:v>12</x:v>
      </x:c>
      <x:c r="K26" s="7" t="n">
        <x:f>IF(J26=0,1,0)</x:f>
        <x:v>0</x:v>
      </x:c>
    </x:row>
    <x:row r="27" ht="25" customHeight="1">
      <x:c r="A27" s="2" t="str">
        <x:v>2026-10-20_Night</x:v>
      </x:c>
      <x:c r="B27" s="2" t="str">
        <x:v>旧後13場内</x:v>
      </x:c>
      <x:c r="C27" s="2" t="str">
        <x:v>上昇</x:v>
      </x:c>
      <x:c r="D27" s="6" t="n">
        <x:v>3000</x:v>
      </x:c>
      <x:c r="E27" s="6" t="n">
        <x:v>10000</x:v>
      </x:c>
      <x:c r="F27" s="6" t="n">
        <x:f>D27-E27</x:f>
        <x:v>-7000</x:v>
      </x:c>
      <x:c r="G27" s="6" t="n">
        <x:f>G26+F27</x:f>
        <x:v>525000</x:v>
      </x:c>
      <x:c r="H27" s="6" t="n">
        <x:v>-12000</x:v>
      </x:c>
      <x:c r="I27" s="6" t="n">
        <x:v>14000</x:v>
      </x:c>
      <x:c r="J27" s="7" t="n">
        <x:v>7</x:v>
      </x:c>
      <x:c r="K27" s="7" t="n">
        <x:f>IF(J27=0,1,0)</x:f>
        <x:v>0</x:v>
      </x:c>
    </x:row>
    <x:row r="28" ht="25" customHeight="1">
      <x:c r="A28" s="2" t="str">
        <x:v>2026-10-21_Night</x:v>
      </x:c>
      <x:c r="B28" s="2" t="str">
        <x:v>旧後13場内</x:v>
      </x:c>
      <x:c r="C28" s="2" t="str">
        <x:v>上昇</x:v>
      </x:c>
      <x:c r="D28" s="6" t="n">
        <x:v>34000</x:v>
      </x:c>
      <x:c r="E28" s="6" t="n">
        <x:v>89000</x:v>
      </x:c>
      <x:c r="F28" s="6" t="n">
        <x:f>D28-E28</x:f>
        <x:v>-55000</x:v>
      </x:c>
      <x:c r="G28" s="6" t="n">
        <x:f>G27+F28</x:f>
        <x:v>470000</x:v>
      </x:c>
      <x:c r="H28" s="6" t="n">
        <x:v>-55000</x:v>
      </x:c>
      <x:c r="I28" s="6" t="n">
        <x:v>129000</x:v>
      </x:c>
      <x:c r="J28" s="7" t="n">
        <x:v>5</x:v>
      </x:c>
      <x:c r="K28" s="7" t="n">
        <x:f>IF(J28=0,1,0)</x:f>
        <x:v>0</x:v>
      </x:c>
    </x:row>
    <x:row r="29" ht="25" customHeight="1">
      <x:c r="A29" s="2" t="str">
        <x:v>2026-10-22_Night</x:v>
      </x:c>
      <x:c r="B29" s="2" t="str">
        <x:v>旧後13場内</x:v>
      </x:c>
      <x:c r="C29" s="2" t="str">
        <x:v>下落</x:v>
      </x:c>
      <x:c r="D29" s="6" t="n">
        <x:v>123000</x:v>
      </x:c>
      <x:c r="E29" s="6" t="n">
        <x:v>0</x:v>
      </x:c>
      <x:c r="F29" s="6" t="n">
        <x:f>D29-E29</x:f>
        <x:v>123000</x:v>
      </x:c>
      <x:c r="G29" s="6" t="n">
        <x:f>G28+F29</x:f>
        <x:v>593000</x:v>
      </x:c>
      <x:c r="H29" s="6" t="n">
        <x:v>-3000</x:v>
      </x:c>
      <x:c r="I29" s="6" t="n">
        <x:v>45000</x:v>
      </x:c>
      <x:c r="J29" s="7" t="n">
        <x:v>3</x:v>
      </x:c>
      <x:c r="K29" s="7" t="n">
        <x:f>IF(J29=0,1,0)</x:f>
        <x:v>0</x:v>
      </x:c>
    </x:row>
    <x:row r="30" ht="25" customHeight="1">
      <x:c r="A30" s="2" t="str">
        <x:v>2026-10-23_Night</x:v>
      </x:c>
      <x:c r="B30" s="2" t="str">
        <x:v>旧後13場内</x:v>
      </x:c>
      <x:c r="C30" s="2" t="str">
        <x:v>上昇</x:v>
      </x:c>
      <x:c r="D30" s="6" t="n">
        <x:v>27000</x:v>
      </x:c>
      <x:c r="E30" s="6" t="n">
        <x:v>10000</x:v>
      </x:c>
      <x:c r="F30" s="6" t="n">
        <x:f>D30-E30</x:f>
        <x:v>17000</x:v>
      </x:c>
      <x:c r="G30" s="6" t="n">
        <x:f>G29+F30</x:f>
        <x:v>610000</x:v>
      </x:c>
      <x:c r="H30" s="6" t="n">
        <x:v>-35000</x:v>
      </x:c>
      <x:c r="I30" s="6" t="n">
        <x:v>45000</x:v>
      </x:c>
      <x:c r="J30" s="7" t="n">
        <x:v>6</x:v>
      </x:c>
      <x:c r="K30" s="7" t="n">
        <x:f>IF(J30=0,1,0)</x:f>
        <x:v>0</x:v>
      </x:c>
    </x:row>
    <x:row r="31" ht="25" customHeight="1">
      <x:c r="A31" s="2" t="str">
        <x:v>2026-10-26_Night</x:v>
      </x:c>
      <x:c r="B31" s="2" t="str">
        <x:v>旧後13場内</x:v>
      </x:c>
      <x:c r="C31" s="2" t="str">
        <x:v>上昇</x:v>
      </x:c>
      <x:c r="D31" s="6" t="n">
        <x:v>11000</x:v>
      </x:c>
      <x:c r="E31" s="6" t="n">
        <x:v>22000</x:v>
      </x:c>
      <x:c r="F31" s="6" t="n">
        <x:f>D31-E31</x:f>
        <x:v>-11000</x:v>
      </x:c>
      <x:c r="G31" s="6" t="n">
        <x:f>G30+F31</x:f>
        <x:v>599000</x:v>
      </x:c>
      <x:c r="H31" s="6" t="n">
        <x:v>-26000</x:v>
      </x:c>
      <x:c r="I31" s="6" t="n">
        <x:v>48000</x:v>
      </x:c>
      <x:c r="J31" s="7" t="n">
        <x:v>10</x:v>
      </x:c>
      <x:c r="K31" s="7" t="n">
        <x:f>IF(J31=0,1,0)</x:f>
        <x:v>0</x:v>
      </x:c>
    </x:row>
    <x:row r="32" ht="25" customHeight="1">
      <x:c r="A32" s="2" t="str">
        <x:v>2026-10-27_Night</x:v>
      </x:c>
      <x:c r="B32" s="2" t="str">
        <x:v>追加1場</x:v>
      </x:c>
      <x:c r="C32" s="2" t="str">
        <x:v>上昇</x:v>
      </x:c>
      <x:c r="D32" s="6" t="n">
        <x:v>5000</x:v>
      </x:c>
      <x:c r="E32" s="6" t="n">
        <x:v>0</x:v>
      </x:c>
      <x:c r="F32" s="6" t="n">
        <x:f>D32-E32</x:f>
        <x:v>5000</x:v>
      </x:c>
      <x:c r="G32" s="6" t="n">
        <x:f>G31+F32</x:f>
        <x:v>604000</x:v>
      </x:c>
      <x:c r="H32" s="6" t="n">
        <x:v>-1000</x:v>
      </x:c>
      <x:c r="I32" s="6" t="n">
        <x:v>8000</x:v>
      </x:c>
      <x:c r="J32" s="7" t="n">
        <x:v>2</x:v>
      </x:c>
      <x:c r="K32" s="7" t="n">
        <x:f>IF(J32=0,1,0)</x:f>
        <x:v>0</x:v>
      </x:c>
    </x:row>
    <x:row r="33" ht="25" customHeight="1">
      <x:c r="A33" s="8" t="str">
        <x:v>累計／場内最悪値</x:v>
      </x:c>
      <x:c r="B33" s="8"/>
      <x:c r="C33" s="8"/>
      <x:c r="D33" s="9" t="n">
        <x:f>SUM(D6:D32)</x:f>
        <x:v>1155000</x:v>
      </x:c>
      <x:c r="E33" s="9" t="n">
        <x:f>SUM(E6:E32)</x:f>
        <x:v>551000</x:v>
      </x:c>
      <x:c r="F33" s="9" t="n">
        <x:f>D33-E33</x:f>
        <x:v>604000</x:v>
      </x:c>
      <x:c r="G33" s="9" t="n">
        <x:f>G32</x:f>
        <x:v>604000</x:v>
      </x:c>
      <x:c r="H33" s="9" t="n">
        <x:f>MIN(H6:H32)</x:f>
        <x:v>-55000</x:v>
      </x:c>
      <x:c r="I33" s="9" t="n">
        <x:f>MAX(I6:I32)</x:f>
        <x:v>129000</x:v>
      </x:c>
      <x:c r="J33" s="10" t="n">
        <x:f>SUM(J6:J32)</x:f>
        <x:v>143</x:v>
      </x:c>
      <x:c r="K33" s="10" t="n">
        <x:f>SUM(K6:K32)</x:f>
        <x:v>0</x:v>
      </x:c>
    </x:row>
  </x:sheetData>
  <x:conditionalFormatting sqref="F6:H32">
    <x:cfRule type="cellIs" dxfId="3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5224018dbd4845"/>
  </x:tableParts>
</x:worksheet>
</file>