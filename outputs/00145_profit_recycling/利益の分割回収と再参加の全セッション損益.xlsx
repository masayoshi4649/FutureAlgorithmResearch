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  <Override PartName="/xl/worksheets/sheet46.xml" ContentType="application/vnd.openxmlformats-officedocument.spreadsheetml.worksheet+xml"/>
  <Override PartName="/xl/tables/table4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a20db3f3c4e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比較" sheetId="1" r:id="R3bd0a28575ef463a"/>
    <x:sheet xmlns:r="http://schemas.openxmlformats.org/officeDocument/2006/relationships" name="昼夜と上昇下落" sheetId="2" r:id="Rbe3ade879c6a4ba5"/>
    <x:sheet xmlns:r="http://schemas.openxmlformats.org/officeDocument/2006/relationships" name="日経_TG04Z" sheetId="3" r:id="Ra4a57d84cf6f44f2"/>
    <x:sheet xmlns:r="http://schemas.openxmlformats.org/officeDocument/2006/relationships" name="日経_D07" sheetId="4" r:id="R0047339358424bf7"/>
    <x:sheet xmlns:r="http://schemas.openxmlformats.org/officeDocument/2006/relationships" name="日経_D03" sheetId="5" r:id="Rbc7f178debe24b0c"/>
    <x:sheet xmlns:r="http://schemas.openxmlformats.org/officeDocument/2006/relationships" name="日経_D04" sheetId="6" r:id="Ra1dfbc305d194946"/>
    <x:sheet xmlns:r="http://schemas.openxmlformats.org/officeDocument/2006/relationships" name="日経_P01" sheetId="7" r:id="R7df5b168349f4207"/>
    <x:sheet xmlns:r="http://schemas.openxmlformats.org/officeDocument/2006/relationships" name="日経_C02" sheetId="8" r:id="R389279bebdb14b83"/>
    <x:sheet xmlns:r="http://schemas.openxmlformats.org/officeDocument/2006/relationships" name="日経_V16" sheetId="9" r:id="Rec7233f4f9264d61"/>
    <x:sheet xmlns:r="http://schemas.openxmlformats.org/officeDocument/2006/relationships" name="日経_C01" sheetId="10" r:id="R86359d12c8274cf0"/>
    <x:sheet xmlns:r="http://schemas.openxmlformats.org/officeDocument/2006/relationships" name="日経_C03" sheetId="11" r:id="R68eb14fab1274c60"/>
    <x:sheet xmlns:r="http://schemas.openxmlformats.org/officeDocument/2006/relationships" name="日経_D01" sheetId="12" r:id="R0d068a6b8b934a00"/>
    <x:sheet xmlns:r="http://schemas.openxmlformats.org/officeDocument/2006/relationships" name="日経_D02" sheetId="13" r:id="Rc60dd6a151be4b4b"/>
    <x:sheet xmlns:r="http://schemas.openxmlformats.org/officeDocument/2006/relationships" name="日経_D05" sheetId="14" r:id="Rf64bb14954664a8e"/>
    <x:sheet xmlns:r="http://schemas.openxmlformats.org/officeDocument/2006/relationships" name="日経_D06" sheetId="15" r:id="R88a9e20020474698"/>
    <x:sheet xmlns:r="http://schemas.openxmlformats.org/officeDocument/2006/relationships" name="日経_D08" sheetId="16" r:id="Rd9b32770eeb74fac"/>
    <x:sheet xmlns:r="http://schemas.openxmlformats.org/officeDocument/2006/relationships" name="日経_P02" sheetId="17" r:id="R0d13806123064cae"/>
    <x:sheet xmlns:r="http://schemas.openxmlformats.org/officeDocument/2006/relationships" name="日経_P03" sheetId="18" r:id="Rad052cde965c4a92"/>
    <x:sheet xmlns:r="http://schemas.openxmlformats.org/officeDocument/2006/relationships" name="日経_P04" sheetId="19" r:id="Ra7abd8e26e824f45"/>
    <x:sheet xmlns:r="http://schemas.openxmlformats.org/officeDocument/2006/relationships" name="日経_R01" sheetId="20" r:id="Recb55a53cb0b47f8"/>
    <x:sheet xmlns:r="http://schemas.openxmlformats.org/officeDocument/2006/relationships" name="日経_R02" sheetId="21" r:id="Ra5f703fd362941ee"/>
    <x:sheet xmlns:r="http://schemas.openxmlformats.org/officeDocument/2006/relationships" name="日経_R03" sheetId="22" r:id="R716258f0675945be"/>
    <x:sheet xmlns:r="http://schemas.openxmlformats.org/officeDocument/2006/relationships" name="日経_R04" sheetId="23" r:id="R20f904cd3be6400a"/>
    <x:sheet xmlns:r="http://schemas.openxmlformats.org/officeDocument/2006/relationships" name="日経_R05" sheetId="24" r:id="R8aee98ca6f544971"/>
    <x:sheet xmlns:r="http://schemas.openxmlformats.org/officeDocument/2006/relationships" name="日経_R06" sheetId="25" r:id="R6d8ade8c28874aa0"/>
    <x:sheet xmlns:r="http://schemas.openxmlformats.org/officeDocument/2006/relationships" name="日経_R07" sheetId="26" r:id="R4fd501453d304be8"/>
    <x:sheet xmlns:r="http://schemas.openxmlformats.org/officeDocument/2006/relationships" name="日経_R08" sheetId="27" r:id="R59b40c619e864029"/>
    <x:sheet xmlns:r="http://schemas.openxmlformats.org/officeDocument/2006/relationships" name="日経_R09" sheetId="28" r:id="R7ab1fa8c6daf4cbf"/>
    <x:sheet xmlns:r="http://schemas.openxmlformats.org/officeDocument/2006/relationships" name="日経_R10" sheetId="29" r:id="R92b65bfe10964471"/>
    <x:sheet xmlns:r="http://schemas.openxmlformats.org/officeDocument/2006/relationships" name="日経_R11" sheetId="30" r:id="R0ee29b6b4fe240c5"/>
    <x:sheet xmlns:r="http://schemas.openxmlformats.org/officeDocument/2006/relationships" name="日経_V01" sheetId="31" r:id="Ra6f50ef92f774b71"/>
    <x:sheet xmlns:r="http://schemas.openxmlformats.org/officeDocument/2006/relationships" name="日経_V02" sheetId="32" r:id="R99409f7ea0fe4bb9"/>
    <x:sheet xmlns:r="http://schemas.openxmlformats.org/officeDocument/2006/relationships" name="日経_V03" sheetId="33" r:id="Rea0e7ded504d40da"/>
    <x:sheet xmlns:r="http://schemas.openxmlformats.org/officeDocument/2006/relationships" name="日経_V04" sheetId="34" r:id="Rc031c43ab31b462f"/>
    <x:sheet xmlns:r="http://schemas.openxmlformats.org/officeDocument/2006/relationships" name="日経_V05" sheetId="35" r:id="R082d5c26c3f64307"/>
    <x:sheet xmlns:r="http://schemas.openxmlformats.org/officeDocument/2006/relationships" name="日経_V06" sheetId="36" r:id="R343fb0a9b7c4447f"/>
    <x:sheet xmlns:r="http://schemas.openxmlformats.org/officeDocument/2006/relationships" name="日経_V07" sheetId="37" r:id="Rbb0f5d5881924c76"/>
    <x:sheet xmlns:r="http://schemas.openxmlformats.org/officeDocument/2006/relationships" name="日経_V08" sheetId="38" r:id="R13fe1f2b18c74fde"/>
    <x:sheet xmlns:r="http://schemas.openxmlformats.org/officeDocument/2006/relationships" name="日経_V09" sheetId="39" r:id="R447236984a464aea"/>
    <x:sheet xmlns:r="http://schemas.openxmlformats.org/officeDocument/2006/relationships" name="日経_V10" sheetId="40" r:id="R1a838b19fc3149e3"/>
    <x:sheet xmlns:r="http://schemas.openxmlformats.org/officeDocument/2006/relationships" name="日経_V11" sheetId="41" r:id="Rd9388346ba294c8d"/>
    <x:sheet xmlns:r="http://schemas.openxmlformats.org/officeDocument/2006/relationships" name="日経_V12" sheetId="42" r:id="R3bb36a58a9b84677"/>
    <x:sheet xmlns:r="http://schemas.openxmlformats.org/officeDocument/2006/relationships" name="日経_V13" sheetId="43" r:id="R1217262fad454fb6"/>
    <x:sheet xmlns:r="http://schemas.openxmlformats.org/officeDocument/2006/relationships" name="日経_V14" sheetId="44" r:id="R2b6b7ff6440c4b86"/>
    <x:sheet xmlns:r="http://schemas.openxmlformats.org/officeDocument/2006/relationships" name="日経_V15" sheetId="45" r:id="R5f1e6792bdfe4406"/>
    <x:sheet xmlns:r="http://schemas.openxmlformats.org/officeDocument/2006/relationships" name="日経_V17" sheetId="46" r:id="R62c3541c063741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&quot;—&quot;"/>
    <x:numFmt numFmtId="201" formatCode="0.00"/>
  </x:numFmts>
  <x:fonts count="6">
    <x:font>
      <x:sz val="11"/>
      <x:name val="Carlito"/>
    </x:font>
    <x:font>
      <x:sz val="10"/>
      <x:color rgb="FF1B3048"/>
      <x:name val="Yu Gothic"/>
    </x:font>
    <x:font>
      <x:b/>
      <x:sz val="14"/>
      <x:color rgb="FF1B3048"/>
      <x:name val="Yu Gothic"/>
    </x:font>
    <x:font>
      <x:sz val="10"/>
      <x:color rgb="FF52677C"/>
      <x:name val="Yu Gothic"/>
    </x:font>
    <x:font>
      <x:b/>
      <x:sz val="10"/>
      <x:color rgb="FFFFFFFF"/>
      <x:name val="Yu Gothic"/>
    </x:font>
    <x:font>
      <x:b/>
      <x:sz val="10"/>
      <x:color rgb="FF1B3048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44A70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A5B5C5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8"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  <x:dxf>
      <x:font>
        <x:color rgb="FFA02836"/>
      </x:font>
      <x:fill>
        <x:patternFill patternType="solid">
          <x:bgColor rgb="FFFBEA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503f31b71345c9" /><Relationship Type="http://schemas.openxmlformats.org/officeDocument/2006/relationships/theme" Target="/xl/theme/theme1.xml" Id="R1fbb0b53882744c0" /><Relationship Type="http://schemas.openxmlformats.org/officeDocument/2006/relationships/sharedStrings" Target="/xl/sharedStrings.xml" Id="Ra31c3aeca8794790" /><Relationship Type="http://schemas.openxmlformats.org/officeDocument/2006/relationships/worksheet" Target="/xl/worksheets/sheet1.xml" Id="R3bd0a28575ef463a" /><Relationship Type="http://schemas.openxmlformats.org/officeDocument/2006/relationships/worksheet" Target="/xl/worksheets/sheet2.xml" Id="Rbe3ade879c6a4ba5" /><Relationship Type="http://schemas.openxmlformats.org/officeDocument/2006/relationships/worksheet" Target="/xl/worksheets/sheet3.xml" Id="Ra4a57d84cf6f44f2" /><Relationship Type="http://schemas.openxmlformats.org/officeDocument/2006/relationships/worksheet" Target="/xl/worksheets/sheet4.xml" Id="R0047339358424bf7" /><Relationship Type="http://schemas.openxmlformats.org/officeDocument/2006/relationships/worksheet" Target="/xl/worksheets/sheet5.xml" Id="Rbc7f178debe24b0c" /><Relationship Type="http://schemas.openxmlformats.org/officeDocument/2006/relationships/worksheet" Target="/xl/worksheets/sheet6.xml" Id="Ra1dfbc305d194946" /><Relationship Type="http://schemas.openxmlformats.org/officeDocument/2006/relationships/worksheet" Target="/xl/worksheets/sheet7.xml" Id="R7df5b168349f4207" /><Relationship Type="http://schemas.openxmlformats.org/officeDocument/2006/relationships/worksheet" Target="/xl/worksheets/sheet8.xml" Id="R389279bebdb14b83" /><Relationship Type="http://schemas.openxmlformats.org/officeDocument/2006/relationships/worksheet" Target="/xl/worksheets/sheet9.xml" Id="Rec7233f4f9264d61" /><Relationship Type="http://schemas.openxmlformats.org/officeDocument/2006/relationships/worksheet" Target="/xl/worksheets/sheet10.xml" Id="R86359d12c8274cf0" /><Relationship Type="http://schemas.openxmlformats.org/officeDocument/2006/relationships/worksheet" Target="/xl/worksheets/sheet11.xml" Id="R68eb14fab1274c60" /><Relationship Type="http://schemas.openxmlformats.org/officeDocument/2006/relationships/worksheet" Target="/xl/worksheets/sheet12.xml" Id="R0d068a6b8b934a00" /><Relationship Type="http://schemas.openxmlformats.org/officeDocument/2006/relationships/worksheet" Target="/xl/worksheets/sheet13.xml" Id="Rc60dd6a151be4b4b" /><Relationship Type="http://schemas.openxmlformats.org/officeDocument/2006/relationships/worksheet" Target="/xl/worksheets/sheet14.xml" Id="Rf64bb14954664a8e" /><Relationship Type="http://schemas.openxmlformats.org/officeDocument/2006/relationships/worksheet" Target="/xl/worksheets/sheet15.xml" Id="R88a9e20020474698" /><Relationship Type="http://schemas.openxmlformats.org/officeDocument/2006/relationships/worksheet" Target="/xl/worksheets/sheet16.xml" Id="Rd9b32770eeb74fac" /><Relationship Type="http://schemas.openxmlformats.org/officeDocument/2006/relationships/worksheet" Target="/xl/worksheets/sheet17.xml" Id="R0d13806123064cae" /><Relationship Type="http://schemas.openxmlformats.org/officeDocument/2006/relationships/worksheet" Target="/xl/worksheets/sheet18.xml" Id="Rad052cde965c4a92" /><Relationship Type="http://schemas.openxmlformats.org/officeDocument/2006/relationships/worksheet" Target="/xl/worksheets/sheet19.xml" Id="Ra7abd8e26e824f45" /><Relationship Type="http://schemas.openxmlformats.org/officeDocument/2006/relationships/worksheet" Target="/xl/worksheets/sheet20.xml" Id="Recb55a53cb0b47f8" /><Relationship Type="http://schemas.openxmlformats.org/officeDocument/2006/relationships/worksheet" Target="/xl/worksheets/sheet21.xml" Id="Ra5f703fd362941ee" /><Relationship Type="http://schemas.openxmlformats.org/officeDocument/2006/relationships/worksheet" Target="/xl/worksheets/sheet22.xml" Id="R716258f0675945be" /><Relationship Type="http://schemas.openxmlformats.org/officeDocument/2006/relationships/worksheet" Target="/xl/worksheets/sheet23.xml" Id="R20f904cd3be6400a" /><Relationship Type="http://schemas.openxmlformats.org/officeDocument/2006/relationships/worksheet" Target="/xl/worksheets/sheet24.xml" Id="R8aee98ca6f544971" /><Relationship Type="http://schemas.openxmlformats.org/officeDocument/2006/relationships/worksheet" Target="/xl/worksheets/sheet25.xml" Id="R6d8ade8c28874aa0" /><Relationship Type="http://schemas.openxmlformats.org/officeDocument/2006/relationships/worksheet" Target="/xl/worksheets/sheet26.xml" Id="R4fd501453d304be8" /><Relationship Type="http://schemas.openxmlformats.org/officeDocument/2006/relationships/worksheet" Target="/xl/worksheets/sheet27.xml" Id="R59b40c619e864029" /><Relationship Type="http://schemas.openxmlformats.org/officeDocument/2006/relationships/worksheet" Target="/xl/worksheets/sheet28.xml" Id="R7ab1fa8c6daf4cbf" /><Relationship Type="http://schemas.openxmlformats.org/officeDocument/2006/relationships/worksheet" Target="/xl/worksheets/sheet29.xml" Id="R92b65bfe10964471" /><Relationship Type="http://schemas.openxmlformats.org/officeDocument/2006/relationships/worksheet" Target="/xl/worksheets/sheet30.xml" Id="R0ee29b6b4fe240c5" /><Relationship Type="http://schemas.openxmlformats.org/officeDocument/2006/relationships/worksheet" Target="/xl/worksheets/sheet31.xml" Id="Ra6f50ef92f774b71" /><Relationship Type="http://schemas.openxmlformats.org/officeDocument/2006/relationships/worksheet" Target="/xl/worksheets/sheet32.xml" Id="R99409f7ea0fe4bb9" /><Relationship Type="http://schemas.openxmlformats.org/officeDocument/2006/relationships/worksheet" Target="/xl/worksheets/sheet33.xml" Id="Rea0e7ded504d40da" /><Relationship Type="http://schemas.openxmlformats.org/officeDocument/2006/relationships/worksheet" Target="/xl/worksheets/sheet34.xml" Id="Rc031c43ab31b462f" /><Relationship Type="http://schemas.openxmlformats.org/officeDocument/2006/relationships/worksheet" Target="/xl/worksheets/sheet35.xml" Id="R082d5c26c3f64307" /><Relationship Type="http://schemas.openxmlformats.org/officeDocument/2006/relationships/worksheet" Target="/xl/worksheets/sheet36.xml" Id="R343fb0a9b7c4447f" /><Relationship Type="http://schemas.openxmlformats.org/officeDocument/2006/relationships/worksheet" Target="/xl/worksheets/sheet37.xml" Id="Rbb0f5d5881924c76" /><Relationship Type="http://schemas.openxmlformats.org/officeDocument/2006/relationships/worksheet" Target="/xl/worksheets/sheet38.xml" Id="R13fe1f2b18c74fde" /><Relationship Type="http://schemas.openxmlformats.org/officeDocument/2006/relationships/worksheet" Target="/xl/worksheets/sheet39.xml" Id="R447236984a464aea" /><Relationship Type="http://schemas.openxmlformats.org/officeDocument/2006/relationships/worksheet" Target="/xl/worksheets/sheet40.xml" Id="R1a838b19fc3149e3" /><Relationship Type="http://schemas.openxmlformats.org/officeDocument/2006/relationships/worksheet" Target="/xl/worksheets/sheet41.xml" Id="Rd9388346ba294c8d" /><Relationship Type="http://schemas.openxmlformats.org/officeDocument/2006/relationships/worksheet" Target="/xl/worksheets/sheet42.xml" Id="R3bb36a58a9b84677" /><Relationship Type="http://schemas.openxmlformats.org/officeDocument/2006/relationships/worksheet" Target="/xl/worksheets/sheet43.xml" Id="R1217262fad454fb6" /><Relationship Type="http://schemas.openxmlformats.org/officeDocument/2006/relationships/worksheet" Target="/xl/worksheets/sheet44.xml" Id="R2b6b7ff6440c4b86" /><Relationship Type="http://schemas.openxmlformats.org/officeDocument/2006/relationships/worksheet" Target="/xl/worksheets/sheet45.xml" Id="R5f1e6792bdfe4406" /><Relationship Type="http://schemas.openxmlformats.org/officeDocument/2006/relationships/worksheet" Target="/xl/worksheets/sheet46.xml" Id="R62c3541c063741bb" /></Relationships>
</file>

<file path=xl/tables/table1.xml><?xml version="1.0" encoding="utf-8"?>
<x:table xmlns:x="http://schemas.openxmlformats.org/spreadsheetml/2006/main" id="45" name="Comparison145" displayName="Comparison145" ref="A6:M50" headerRowCount="1" totalsRowCount="0" totalsRowShown="0">
  <x:autoFilter ref="A6:M50"/>
  <x:tableColumns count="13">
    <x:tableColumn id="1" name="手法ID"/>
    <x:tableColumn id="2" name="簡単な説明"/>
    <x:tableColumn id="3" name="総利益（円）"/>
    <x:tableColumn id="4" name="総損失（円）"/>
    <x:tableColumn id="5" name="収支（円）"/>
    <x:tableColumn id="6" name="利益損失比"/>
    <x:tableColumn id="7" name="黒字場"/>
    <x:tableColumn id="8" name="赤字場"/>
    <x:tableColumn id="9" name="最大赤字（円）"/>
    <x:tableColumn id="10" name="平均赤字（円）"/>
    <x:tableColumn id="11" name="場収支中央値（円）"/>
    <x:tableColumn id="12" name="上位3黒字除外（円）"/>
    <x:tableColumn id="13" name="新規件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6" name="Divisions145" displayName="Divisions145" ref="A6:K182" headerRowCount="1" totalsRowCount="0" totalsRowShown="0">
  <x:autoFilter ref="A6:K182"/>
  <x:tableColumns count="11">
    <x:tableColumn id="1" name="手法ID"/>
    <x:tableColumn id="2" name="区分"/>
    <x:tableColumn id="3" name="場数"/>
    <x:tableColumn id="4" name="利益（円）"/>
    <x:tableColumn id="5" name="損失（円）"/>
    <x:tableColumn id="6" name="収支（円）"/>
    <x:tableColumn id="7" name="利益損失比"/>
    <x:tableColumn id="8" name="赤字場"/>
    <x:tableColumn id="9" name="平均赤字（円）"/>
    <x:tableColumn id="10" name="最大赤字（円）"/>
    <x:tableColumn id="11" name="新規件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Method_TG04Z" displayName="Method_TG04Z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Method_D07" displayName="Method_D07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Method_D03" displayName="Method_D03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Method_D04" displayName="Method_D04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5" name="Method_P01" displayName="Method_P01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6" name="Method_C02" displayName="Method_C02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7" name="Method_V16" displayName="Method_V16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8" name="Method_C01" displayName="Method_C01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9" name="Method_C03" displayName="Method_C03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0" name="Method_D01" displayName="Method_D01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1" name="Method_D02" displayName="Method_D02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2" name="Method_D05" displayName="Method_D05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3" name="Method_D06" displayName="Method_D06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4" name="Method_D08" displayName="Method_D08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5" name="Method_P02" displayName="Method_P02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6" name="Method_P03" displayName="Method_P03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7" name="Method_P04" displayName="Method_P04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8" name="Method_R01" displayName="Method_R01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19" name="Method_R02" displayName="Method_R02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0" name="Method_R03" displayName="Method_R03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1" name="Method_R04" displayName="Method_R04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2" name="Method_R05" displayName="Method_R05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3" name="Method_R06" displayName="Method_R06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4" name="Method_R07" displayName="Method_R07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5" name="Method_R08" displayName="Method_R08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6" name="Method_R09" displayName="Method_R09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7" name="Method_R10" displayName="Method_R10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28" name="Method_R11" displayName="Method_R11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29" name="Method_V01" displayName="Method_V01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0" name="Method_V02" displayName="Method_V02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1" name="Method_V03" displayName="Method_V03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2" name="Method_V04" displayName="Method_V04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3" name="Method_V05" displayName="Method_V05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4" name="Method_V06" displayName="Method_V06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5" name="Method_V07" displayName="Method_V07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6" name="Method_V08" displayName="Method_V08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7" name="Method_V09" displayName="Method_V09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38" name="Method_V10" displayName="Method_V10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39" name="Method_V11" displayName="Method_V11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40" name="Method_V12" displayName="Method_V12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43.xml><?xml version="1.0" encoding="utf-8"?>
<x:table xmlns:x="http://schemas.openxmlformats.org/spreadsheetml/2006/main" id="41" name="Method_V13" displayName="Method_V13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2" name="Method_V14" displayName="Method_V14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45.xml><?xml version="1.0" encoding="utf-8"?>
<x:table xmlns:x="http://schemas.openxmlformats.org/spreadsheetml/2006/main" id="43" name="Method_V15" displayName="Method_V15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ables/table46.xml><?xml version="1.0" encoding="utf-8"?>
<x:table xmlns:x="http://schemas.openxmlformats.org/spreadsheetml/2006/main" id="44" name="Method_V17" displayName="Method_V17" ref="A6:I56" headerRowCount="1" totalsRowCount="0" totalsRowShown="0">
  <x:autoFilter ref="A6:I56"/>
  <x:tableColumns count="9">
    <x:tableColumn id="1" name="セッション"/>
    <x:tableColumn id="2" name="区分"/>
    <x:tableColumn id="3" name="利益（円）"/>
    <x:tableColumn id="4" name="損失（円）"/>
    <x:tableColumn id="5" name="収支（円）"/>
    <x:tableColumn id="6" name="累計（円）"/>
    <x:tableColumn id="7" name="新規件数"/>
    <x:tableColumn id="8" name="親取引数"/>
    <x:tableColumn id="9" name="始終値方向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a2c262b7d041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ebb2abedee47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fa20fa6ecf64d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d6e720fa04f4f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1c209a2b07146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c2fdf00a2644e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8b7ad217d1948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5ce3d82c64340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4349f9d0a8548e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95d306288be48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bac6b4d2b934e1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8d100dd21d9247f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bc58c87d9d04cd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d6dc4b6f114043c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a8abb8f3ade2470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c5405a8157ac4be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e44ebe15531c45b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e4bc5cc935f841f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7eef9677b2a6489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ef665e13f12e498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a15258f5357e45a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b476a6199732422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4b780ea0feb749bf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fc14d2cf1ae443b3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d9a7ad165ca74f9c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4357b12421b348b6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4da8d46eee8840f9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3d737cadf63c44bb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e3d8a38f53354242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abc2b6b3c6b843db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5964238617644bd4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942ae656409846e7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e8fd03e1429f441b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939f83dcee3f4c56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d41af569df36441b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897725e290b640c7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51ce202f43b74aaf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3f26db0b6b5b4e54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9.xml" Id="Rd75c0437c4b74fa0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0.xml" Id="R007625d260e34ab0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1.xml" Id="Rdd180905f5724d1f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2.xml" Id="R6e9bd923b9954685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3.xml" Id="R539f8a90115147dd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4.xml" Id="R790783e79422428c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5.xml" Id="R7a5c55e3eaff4ca2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6.xml" Id="Rc58b35e6d6764a6a" /></Relationships>
</file>

<file path=xl/worksheets/sheet1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4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3" customHeight="1">
      <x:c r="A2" s="4" t="str">
        <x:v>利益回収・再参加の比較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3" customHeight="1">
      <x:c r="A5" s="6" t="str">
        <x:v>第一候補D07（赤字12/50場）、次善D03。TG04Zは費用0基準。全44条件は既知50場の開発比較。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40" customHeight="1">
      <x:c r="A6" s="15" t="str">
        <x:v>手法ID</x:v>
      </x:c>
      <x:c r="B6" s="16" t="str">
        <x:v>簡単な説明</x:v>
      </x:c>
      <x:c r="C6" s="16" t="str">
        <x:v>総利益（円）</x:v>
      </x:c>
      <x:c r="D6" s="16" t="str">
        <x:v>総損失（円）</x:v>
      </x:c>
      <x:c r="E6" s="16" t="str">
        <x:v>収支（円）</x:v>
      </x:c>
      <x:c r="F6" s="16" t="str">
        <x:v>利益損失比</x:v>
      </x:c>
      <x:c r="G6" s="16" t="str">
        <x:v>黒字場</x:v>
      </x:c>
      <x:c r="H6" s="16" t="str">
        <x:v>赤字場</x:v>
      </x:c>
      <x:c r="I6" s="16" t="str">
        <x:v>最大赤字（円）</x:v>
      </x:c>
      <x:c r="J6" s="16" t="str">
        <x:v>平均赤字（円）</x:v>
      </x:c>
      <x:c r="K6" s="16" t="str">
        <x:v>場収支中央値（円）</x:v>
      </x:c>
      <x:c r="L6" s="16" t="str">
        <x:v>上位3黒字除外（円）</x:v>
      </x:c>
      <x:c r="M6" s="17" t="str">
        <x:v>新規件数</x:v>
      </x:c>
    </x:row>
    <x:row r="7" ht="42" customHeight="1">
      <x:c r="A7" s="2" t="str">
        <x:v>TG04Z</x:v>
      </x:c>
      <x:c r="B7" s="23" t="str">
        <x:v>TG04基準・手数料0で再生</x:v>
      </x:c>
      <x:c r="C7" s="19" t="n">
        <x:f>'日経_TG04Z'!C57</x:f>
        <x:v>7128000</x:v>
      </x:c>
      <x:c r="D7" s="19" t="n">
        <x:f>'日経_TG04Z'!D57</x:f>
        <x:v>3328000</x:v>
      </x:c>
      <x:c r="E7" s="19" t="n">
        <x:f>'日経_TG04Z'!E57</x:f>
        <x:v>3800000</x:v>
      </x:c>
      <x:c r="F7" s="24" t="n">
        <x:f>IF(D7=0,"損失なし",C7/D7)</x:f>
        <x:v>2.141826923076923</x:v>
      </x:c>
      <x:c r="G7" s="2" t="n">
        <x:f>COUNTIFS('日経_TG04Z'!$E$7:$E$56,"&gt;0")</x:f>
        <x:v>32</x:v>
      </x:c>
      <x:c r="H7" s="2" t="n">
        <x:f>COUNTIFS('日経_TG04Z'!$E$7:$E$56,"&lt;0")</x:f>
        <x:v>18</x:v>
      </x:c>
      <x:c r="I7" s="19" t="n">
        <x:f>MAX(0,-MIN('日経_TG04Z'!$E$7:$E$56))</x:f>
        <x:v>105000</x:v>
      </x:c>
      <x:c r="J7" s="19" t="n">
        <x:f>IF(H7=0,0,-SUMIFS('日経_TG04Z'!$E$7:$E$56,'日経_TG04Z'!$E$7:$E$56,"&lt;0")/H7)</x:f>
        <x:v>42611.11111111111</x:v>
      </x:c>
      <x:c r="K7" s="19" t="n">
        <x:f>MEDIAN('日経_TG04Z'!$E$7:$E$56)</x:f>
        <x:v>44500</x:v>
      </x:c>
      <x:c r="L7" s="19" t="n">
        <x:f>E7-MAX(0,LARGE('日経_TG04Z'!$E$7:$E$56,1))-MAX(0,LARGE('日経_TG04Z'!$E$7:$E$56,2))-MAX(0,LARGE('日経_TG04Z'!$E$7:$E$56,3))</x:f>
        <x:v>2187000</x:v>
      </x:c>
      <x:c r="M7" s="2" t="n">
        <x:f>'日経_TG04Z'!G57</x:f>
        <x:v>335</x:v>
      </x:c>
    </x:row>
    <x:row r="8" ht="42" customHeight="1">
      <x:c r="A8" s="2" t="str">
        <x:v>D07</x:v>
      </x:c>
      <x:c r="B8" s="23" t="str">
        <x:v>昼は分割回収・夜は長短確認ドテン</x:v>
      </x:c>
      <x:c r="C8" s="19" t="n">
        <x:f>'日経_D07'!C57</x:f>
        <x:v>7689000</x:v>
      </x:c>
      <x:c r="D8" s="19" t="n">
        <x:f>'日経_D07'!D57</x:f>
        <x:v>3530000</x:v>
      </x:c>
      <x:c r="E8" s="19" t="n">
        <x:f>'日経_D07'!E57</x:f>
        <x:v>4159000</x:v>
      </x:c>
      <x:c r="F8" s="24" t="n">
        <x:f>IF(D8=0,"損失なし",C8/D8)</x:f>
        <x:v>2.178186968838527</x:v>
      </x:c>
      <x:c r="G8" s="2" t="n">
        <x:f>COUNTIFS('日経_D07'!$E$7:$E$56,"&gt;0")</x:f>
        <x:v>38</x:v>
      </x:c>
      <x:c r="H8" s="2" t="n">
        <x:f>COUNTIFS('日経_D07'!$E$7:$E$56,"&lt;0")</x:f>
        <x:v>12</x:v>
      </x:c>
      <x:c r="I8" s="19" t="n">
        <x:f>MAX(0,-MIN('日経_D07'!$E$7:$E$56))</x:f>
        <x:v>105000</x:v>
      </x:c>
      <x:c r="J8" s="19" t="n">
        <x:f>IF(H8=0,0,-SUMIFS('日経_D07'!$E$7:$E$56,'日経_D07'!$E$7:$E$56,"&lt;0")/H8)</x:f>
        <x:v>39333.333333333336</x:v>
      </x:c>
      <x:c r="K8" s="19" t="n">
        <x:f>MEDIAN('日経_D07'!$E$7:$E$56)</x:f>
        <x:v>32000</x:v>
      </x:c>
      <x:c r="L8" s="19" t="n">
        <x:f>E8-MAX(0,LARGE('日経_D07'!$E$7:$E$56,1))-MAX(0,LARGE('日経_D07'!$E$7:$E$56,2))-MAX(0,LARGE('日経_D07'!$E$7:$E$56,3))</x:f>
        <x:v>2595000</x:v>
      </x:c>
      <x:c r="M8" s="2" t="n">
        <x:f>'日経_D07'!G57</x:f>
        <x:v>367</x:v>
      </x:c>
    </x:row>
    <x:row r="9" ht="42" customHeight="1">
      <x:c r="A9" s="2" t="str">
        <x:v>D03</x:v>
      </x:c>
      <x:c r="B9" s="23" t="str">
        <x:v>昼は分割回収・夜は短期確認ドテン</x:v>
      </x:c>
      <x:c r="C9" s="19" t="n">
        <x:f>'日経_D03'!C57</x:f>
        <x:v>7749000</x:v>
      </x:c>
      <x:c r="D9" s="19" t="n">
        <x:f>'日経_D03'!D57</x:f>
        <x:v>3531000</x:v>
      </x:c>
      <x:c r="E9" s="19" t="n">
        <x:f>'日経_D03'!E57</x:f>
        <x:v>4218000</x:v>
      </x:c>
      <x:c r="F9" s="24" t="n">
        <x:f>IF(D9=0,"損失なし",C9/D9)</x:f>
        <x:v>2.1945624468988956</x:v>
      </x:c>
      <x:c r="G9" s="2" t="n">
        <x:f>COUNTIFS('日経_D03'!$E$7:$E$56,"&gt;0")</x:f>
        <x:v>37</x:v>
      </x:c>
      <x:c r="H9" s="2" t="n">
        <x:f>COUNTIFS('日経_D03'!$E$7:$E$56,"&lt;0")</x:f>
        <x:v>13</x:v>
      </x:c>
      <x:c r="I9" s="19" t="n">
        <x:f>MAX(0,-MIN('日経_D03'!$E$7:$E$56))</x:f>
        <x:v>105000</x:v>
      </x:c>
      <x:c r="J9" s="19" t="n">
        <x:f>IF(H9=0,0,-SUMIFS('日経_D03'!$E$7:$E$56,'日経_D03'!$E$7:$E$56,"&lt;0")/H9)</x:f>
        <x:v>37230.769230769234</x:v>
      </x:c>
      <x:c r="K9" s="19" t="n">
        <x:f>MEDIAN('日経_D03'!$E$7:$E$56)</x:f>
        <x:v>32000</x:v>
      </x:c>
      <x:c r="L9" s="19" t="n">
        <x:f>E9-MAX(0,LARGE('日経_D03'!$E$7:$E$56,1))-MAX(0,LARGE('日経_D03'!$E$7:$E$56,2))-MAX(0,LARGE('日経_D03'!$E$7:$E$56,3))</x:f>
        <x:v>2692000</x:v>
      </x:c>
      <x:c r="M9" s="2" t="n">
        <x:f>'日経_D03'!G57</x:f>
        <x:v>373</x:v>
      </x:c>
    </x:row>
    <x:row r="10" ht="42" customHeight="1">
      <x:c r="A10" s="2" t="str">
        <x:v>D04</x:v>
      </x:c>
      <x:c r="B10" s="23" t="str">
        <x:v>昼は分割回収・夜は同方向再参加</x:v>
      </x:c>
      <x:c r="C10" s="19" t="n">
        <x:f>'日経_D04'!C57</x:f>
        <x:v>7283000</x:v>
      </x:c>
      <x:c r="D10" s="19" t="n">
        <x:f>'日経_D04'!D57</x:f>
        <x:v>3326000</x:v>
      </x:c>
      <x:c r="E10" s="19" t="n">
        <x:f>'日経_D04'!E57</x:f>
        <x:v>3957000</x:v>
      </x:c>
      <x:c r="F10" s="24" t="n">
        <x:f>IF(D10=0,"損失なし",C10/D10)</x:f>
        <x:v>2.1897173782321104</x:v>
      </x:c>
      <x:c r="G10" s="2" t="n">
        <x:f>COUNTIFS('日経_D04'!$E$7:$E$56,"&gt;0")</x:f>
        <x:v>37</x:v>
      </x:c>
      <x:c r="H10" s="2" t="n">
        <x:f>COUNTIFS('日経_D04'!$E$7:$E$56,"&lt;0")</x:f>
        <x:v>13</x:v>
      </x:c>
      <x:c r="I10" s="19" t="n">
        <x:f>MAX(0,-MIN('日経_D04'!$E$7:$E$56))</x:f>
        <x:v>105000</x:v>
      </x:c>
      <x:c r="J10" s="19" t="n">
        <x:f>IF(H10=0,0,-SUMIFS('日経_D04'!$E$7:$E$56,'日経_D04'!$E$7:$E$56,"&lt;0")/H10)</x:f>
        <x:v>37923.07692307692</x:v>
      </x:c>
      <x:c r="K10" s="19" t="n">
        <x:f>MEDIAN('日経_D04'!$E$7:$E$56)</x:f>
        <x:v>28000</x:v>
      </x:c>
      <x:c r="L10" s="19" t="n">
        <x:f>E10-MAX(0,LARGE('日経_D04'!$E$7:$E$56,1))-MAX(0,LARGE('日経_D04'!$E$7:$E$56,2))-MAX(0,LARGE('日経_D04'!$E$7:$E$56,3))</x:f>
        <x:v>2374000</x:v>
      </x:c>
      <x:c r="M10" s="2" t="n">
        <x:f>'日経_D04'!G57</x:f>
        <x:v>336</x:v>
      </x:c>
    </x:row>
    <x:row r="11" ht="42" customHeight="1">
      <x:c r="A11" s="2" t="str">
        <x:v>P01</x:v>
      </x:c>
      <x:c r="B11" s="23" t="str">
        <x:v>部分利確後ピークの50%戻りで残全返済</x:v>
      </x:c>
      <x:c r="C11" s="19" t="n">
        <x:f>'日経_P01'!C57</x:f>
        <x:v>7140000</x:v>
      </x:c>
      <x:c r="D11" s="19" t="n">
        <x:f>'日経_P01'!D57</x:f>
        <x:v>3324000</x:v>
      </x:c>
      <x:c r="E11" s="19" t="n">
        <x:f>'日経_P01'!E57</x:f>
        <x:v>3816000</x:v>
      </x:c>
      <x:c r="F11" s="24" t="n">
        <x:f>IF(D11=0,"損失なし",C11/D11)</x:f>
        <x:v>2.148014440433213</x:v>
      </x:c>
      <x:c r="G11" s="2" t="n">
        <x:f>COUNTIFS('日経_P01'!$E$7:$E$56,"&gt;0")</x:f>
        <x:v>35</x:v>
      </x:c>
      <x:c r="H11" s="2" t="n">
        <x:f>COUNTIFS('日経_P01'!$E$7:$E$56,"&lt;0")</x:f>
        <x:v>15</x:v>
      </x:c>
      <x:c r="I11" s="19" t="n">
        <x:f>MAX(0,-MIN('日経_P01'!$E$7:$E$56))</x:f>
        <x:v>105000</x:v>
      </x:c>
      <x:c r="J11" s="19" t="n">
        <x:f>IF(H11=0,0,-SUMIFS('日経_P01'!$E$7:$E$56,'日経_P01'!$E$7:$E$56,"&lt;0")/H11)</x:f>
        <x:v>38133.333333333336</x:v>
      </x:c>
      <x:c r="K11" s="19" t="n">
        <x:f>MEDIAN('日経_P01'!$E$7:$E$56)</x:f>
        <x:v>30000</x:v>
      </x:c>
      <x:c r="L11" s="19" t="n">
        <x:f>E11-MAX(0,LARGE('日経_P01'!$E$7:$E$56,1))-MAX(0,LARGE('日経_P01'!$E$7:$E$56,2))-MAX(0,LARGE('日経_P01'!$E$7:$E$56,3))</x:f>
        <x:v>2203000</x:v>
      </x:c>
      <x:c r="M11" s="2" t="n">
        <x:f>'日経_P01'!G57</x:f>
        <x:v>336</x:v>
      </x:c>
    </x:row>
    <x:row r="12" ht="42" customHeight="1">
      <x:c r="A12" s="2" t="str">
        <x:v>C02</x:v>
      </x:c>
      <x:c r="B12" s="23" t="str">
        <x:v>昼夜別に前半30場で固定した組合せ</x:v>
      </x:c>
      <x:c r="C12" s="19" t="n">
        <x:f>'日経_C02'!C57</x:f>
        <x:v>7801000</x:v>
      </x:c>
      <x:c r="D12" s="19" t="n">
        <x:f>'日経_C02'!D57</x:f>
        <x:v>3635000</x:v>
      </x:c>
      <x:c r="E12" s="19" t="n">
        <x:f>'日経_C02'!E57</x:f>
        <x:v>4166000</x:v>
      </x:c>
      <x:c r="F12" s="24" t="n">
        <x:f>IF(D12=0,"損失なし",C12/D12)</x:f>
        <x:v>2.146079779917469</x:v>
      </x:c>
      <x:c r="G12" s="2" t="n">
        <x:f>COUNTIFS('日経_C02'!$E$7:$E$56,"&gt;0")</x:f>
        <x:v>36</x:v>
      </x:c>
      <x:c r="H12" s="2" t="n">
        <x:f>COUNTIFS('日経_C02'!$E$7:$E$56,"&lt;0")</x:f>
        <x:v>14</x:v>
      </x:c>
      <x:c r="I12" s="19" t="n">
        <x:f>MAX(0,-MIN('日経_C02'!$E$7:$E$56))</x:f>
        <x:v>105000</x:v>
      </x:c>
      <x:c r="J12" s="19" t="n">
        <x:f>IF(H12=0,0,-SUMIFS('日経_C02'!$E$7:$E$56,'日経_C02'!$E$7:$E$56,"&lt;0")/H12)</x:f>
        <x:v>37785.71428571428</x:v>
      </x:c>
      <x:c r="K12" s="19" t="n">
        <x:f>MEDIAN('日経_C02'!$E$7:$E$56)</x:f>
        <x:v>31000</x:v>
      </x:c>
      <x:c r="L12" s="19" t="n">
        <x:f>E12-MAX(0,LARGE('日経_C02'!$E$7:$E$56,1))-MAX(0,LARGE('日経_C02'!$E$7:$E$56,2))-MAX(0,LARGE('日経_C02'!$E$7:$E$56,3))</x:f>
        <x:v>2599000</x:v>
      </x:c>
      <x:c r="M12" s="2" t="n">
        <x:f>'日経_C02'!G57</x:f>
        <x:v>383</x:v>
      </x:c>
    </x:row>
    <x:row r="13" ht="42" customHeight="1">
      <x:c r="A13" s="2" t="str">
        <x:v>V16</x:v>
      </x:c>
      <x:c r="B13" s="23" t="str">
        <x:v>V10の確認ドテンに40分差の方向一致</x:v>
      </x:c>
      <x:c r="C13" s="19" t="n">
        <x:f>'日経_V16'!C57</x:f>
        <x:v>8717000</x:v>
      </x:c>
      <x:c r="D13" s="19" t="n">
        <x:f>'日経_V16'!D57</x:f>
        <x:v>4128000</x:v>
      </x:c>
      <x:c r="E13" s="19" t="n">
        <x:f>'日経_V16'!E57</x:f>
        <x:v>4589000</x:v>
      </x:c>
      <x:c r="F13" s="24" t="n">
        <x:f>IF(D13=0,"損失なし",C13/D13)</x:f>
        <x:v>2.111676356589147</x:v>
      </x:c>
      <x:c r="G13" s="2" t="n">
        <x:f>COUNTIFS('日経_V16'!$E$7:$E$56,"&gt;0")</x:f>
        <x:v>33</x:v>
      </x:c>
      <x:c r="H13" s="2" t="n">
        <x:f>COUNTIFS('日経_V16'!$E$7:$E$56,"&lt;0")</x:f>
        <x:v>17</x:v>
      </x:c>
      <x:c r="I13" s="19" t="n">
        <x:f>MAX(0,-MIN('日経_V16'!$E$7:$E$56))</x:f>
        <x:v>179000</x:v>
      </x:c>
      <x:c r="J13" s="19" t="n">
        <x:f>IF(H13=0,0,-SUMIFS('日経_V16'!$E$7:$E$56,'日経_V16'!$E$7:$E$56,"&lt;0")/H13)</x:f>
        <x:v>50647.05882352941</x:v>
      </x:c>
      <x:c r="K13" s="19" t="n">
        <x:f>MEDIAN('日経_V16'!$E$7:$E$56)</x:f>
        <x:v>51500</x:v>
      </x:c>
      <x:c r="L13" s="19" t="n">
        <x:f>E13-MAX(0,LARGE('日経_V16'!$E$7:$E$56,1))-MAX(0,LARGE('日経_V16'!$E$7:$E$56,2))-MAX(0,LARGE('日経_V16'!$E$7:$E$56,3))</x:f>
        <x:v>2774000</x:v>
      </x:c>
      <x:c r="M13" s="2" t="n">
        <x:f>'日経_V16'!G57</x:f>
        <x:v>459</x:v>
      </x:c>
    </x:row>
    <x:row r="14" ht="42" customHeight="1">
      <x:c r="A14" s="2" t="str">
        <x:v>C01</x:v>
      </x:c>
      <x:c r="B14" s="23" t="str">
        <x:v>前半30場で固定した組合せ</x:v>
      </x:c>
      <x:c r="C14" s="19" t="n">
        <x:f>'日経_C01'!C57</x:f>
        <x:v>7138000</x:v>
      </x:c>
      <x:c r="D14" s="19" t="n">
        <x:f>'日経_C01'!D57</x:f>
        <x:v>3553000</x:v>
      </x:c>
      <x:c r="E14" s="19" t="n">
        <x:f>'日経_C01'!E57</x:f>
        <x:v>3585000</x:v>
      </x:c>
      <x:c r="F14" s="24" t="n">
        <x:f>IF(D14=0,"損失なし",C14/D14)</x:f>
        <x:v>2.009006473402758</x:v>
      </x:c>
      <x:c r="G14" s="2" t="n">
        <x:f>COUNTIFS('日経_C01'!$E$7:$E$56,"&gt;0")</x:f>
        <x:v>31</x:v>
      </x:c>
      <x:c r="H14" s="2" t="n">
        <x:f>COUNTIFS('日経_C01'!$E$7:$E$56,"&lt;0")</x:f>
        <x:v>19</x:v>
      </x:c>
      <x:c r="I14" s="19" t="n">
        <x:f>MAX(0,-MIN('日経_C01'!$E$7:$E$56))</x:f>
        <x:v>105000</x:v>
      </x:c>
      <x:c r="J14" s="19" t="n">
        <x:f>IF(H14=0,0,-SUMIFS('日経_C01'!$E$7:$E$56,'日経_C01'!$E$7:$E$56,"&lt;0")/H14)</x:f>
        <x:v>38526.31578947369</x:v>
      </x:c>
      <x:c r="K14" s="19" t="n">
        <x:f>MEDIAN('日経_C01'!$E$7:$E$56)</x:f>
        <x:v>38000</x:v>
      </x:c>
      <x:c r="L14" s="19" t="n">
        <x:f>E14-MAX(0,LARGE('日経_C01'!$E$7:$E$56,1))-MAX(0,LARGE('日経_C01'!$E$7:$E$56,2))-MAX(0,LARGE('日経_C01'!$E$7:$E$56,3))</x:f>
        <x:v>2046000</x:v>
      </x:c>
      <x:c r="M14" s="2" t="n">
        <x:f>'日経_C01'!G57</x:f>
        <x:v>374</x:v>
      </x:c>
    </x:row>
    <x:row r="15" ht="42" customHeight="1">
      <x:c r="A15" s="2" t="str">
        <x:v>C03</x:v>
      </x:c>
      <x:c r="B15" s="23" t="str">
        <x:v>全50場から選んだ開発用組合せ</x:v>
      </x:c>
      <x:c r="C15" s="19" t="n">
        <x:f>'日経_C03'!C57</x:f>
        <x:v>6847000</x:v>
      </x:c>
      <x:c r="D15" s="19" t="n">
        <x:f>'日経_C03'!D57</x:f>
        <x:v>3690000</x:v>
      </x:c>
      <x:c r="E15" s="19" t="n">
        <x:f>'日経_C03'!E57</x:f>
        <x:v>3157000</x:v>
      </x:c>
      <x:c r="F15" s="24" t="n">
        <x:f>IF(D15=0,"損失なし",C15/D15)</x:f>
        <x:v>1.8555555555555556</x:v>
      </x:c>
      <x:c r="G15" s="2" t="n">
        <x:f>COUNTIFS('日経_C03'!$E$7:$E$56,"&gt;0")</x:f>
        <x:v>33</x:v>
      </x:c>
      <x:c r="H15" s="2" t="n">
        <x:f>COUNTIFS('日経_C03'!$E$7:$E$56,"&lt;0")</x:f>
        <x:v>17</x:v>
      </x:c>
      <x:c r="I15" s="19" t="n">
        <x:f>MAX(0,-MIN('日経_C03'!$E$7:$E$56))</x:f>
        <x:v>105000</x:v>
      </x:c>
      <x:c r="J15" s="19" t="n">
        <x:f>IF(H15=0,0,-SUMIFS('日経_C03'!$E$7:$E$56,'日経_C03'!$E$7:$E$56,"&lt;0")/H15)</x:f>
        <x:v>35941.17647058824</x:v>
      </x:c>
      <x:c r="K15" s="19" t="n">
        <x:f>MEDIAN('日経_C03'!$E$7:$E$56)</x:f>
        <x:v>36000</x:v>
      </x:c>
      <x:c r="L15" s="19" t="n">
        <x:f>E15-MAX(0,LARGE('日経_C03'!$E$7:$E$56,1))-MAX(0,LARGE('日経_C03'!$E$7:$E$56,2))-MAX(0,LARGE('日経_C03'!$E$7:$E$56,3))</x:f>
        <x:v>1825000</x:v>
      </x:c>
      <x:c r="M15" s="2" t="n">
        <x:f>'日経_C03'!G57</x:f>
        <x:v>365</x:v>
      </x:c>
    </x:row>
    <x:row r="16" ht="42" customHeight="1">
      <x:c r="A16" s="2" t="str">
        <x:v>D01</x:v>
      </x:c>
      <x:c r="B16" s="23" t="str">
        <x:v>基本担当の残り1枚だけ追尾幅制限</x:v>
      </x:c>
      <x:c r="C16" s="19" t="n">
        <x:f>'日経_D01'!C57</x:f>
        <x:v>7400000</x:v>
      </x:c>
      <x:c r="D16" s="19" t="n">
        <x:f>'日経_D01'!D57</x:f>
        <x:v>3328000</x:v>
      </x:c>
      <x:c r="E16" s="19" t="n">
        <x:f>'日経_D01'!E57</x:f>
        <x:v>4072000</x:v>
      </x:c>
      <x:c r="F16" s="24" t="n">
        <x:f>IF(D16=0,"損失なし",C16/D16)</x:f>
        <x:v>2.2235576923076925</x:v>
      </x:c>
      <x:c r="G16" s="2" t="n">
        <x:f>COUNTIFS('日経_D01'!$E$7:$E$56,"&gt;0")</x:f>
        <x:v>32</x:v>
      </x:c>
      <x:c r="H16" s="2" t="n">
        <x:f>COUNTIFS('日経_D01'!$E$7:$E$56,"&lt;0")</x:f>
        <x:v>18</x:v>
      </x:c>
      <x:c r="I16" s="19" t="n">
        <x:f>MAX(0,-MIN('日経_D01'!$E$7:$E$56))</x:f>
        <x:v>105000</x:v>
      </x:c>
      <x:c r="J16" s="19" t="n">
        <x:f>IF(H16=0,0,-SUMIFS('日経_D01'!$E$7:$E$56,'日経_D01'!$E$7:$E$56,"&lt;0")/H16)</x:f>
        <x:v>41722.22222222222</x:v>
      </x:c>
      <x:c r="K16" s="19" t="n">
        <x:f>MEDIAN('日経_D01'!$E$7:$E$56)</x:f>
        <x:v>49000</x:v>
      </x:c>
      <x:c r="L16" s="19" t="n">
        <x:f>E16-MAX(0,LARGE('日経_D01'!$E$7:$E$56,1))-MAX(0,LARGE('日経_D01'!$E$7:$E$56,2))-MAX(0,LARGE('日経_D01'!$E$7:$E$56,3))</x:f>
        <x:v>2431000</x:v>
      </x:c>
      <x:c r="M16" s="2" t="n">
        <x:f>'日経_D01'!G57</x:f>
        <x:v>337</x:v>
      </x:c>
    </x:row>
    <x:row r="17" ht="42" customHeight="1">
      <x:c r="A17" s="2" t="str">
        <x:v>D02</x:v>
      </x:c>
      <x:c r="B17" s="23" t="str">
        <x:v>基本担当の残玉保護と反対候補へ切替</x:v>
      </x:c>
      <x:c r="C17" s="19" t="n">
        <x:f>'日経_D02'!C57</x:f>
        <x:v>7386000</x:v>
      </x:c>
      <x:c r="D17" s="19" t="n">
        <x:f>'日経_D02'!D57</x:f>
        <x:v>3328000</x:v>
      </x:c>
      <x:c r="E17" s="19" t="n">
        <x:f>'日経_D02'!E57</x:f>
        <x:v>4058000</x:v>
      </x:c>
      <x:c r="F17" s="24" t="n">
        <x:f>IF(D17=0,"損失なし",C17/D17)</x:f>
        <x:v>2.2193509615384617</x:v>
      </x:c>
      <x:c r="G17" s="2" t="n">
        <x:f>COUNTIFS('日経_D02'!$E$7:$E$56,"&gt;0")</x:f>
        <x:v>32</x:v>
      </x:c>
      <x:c r="H17" s="2" t="n">
        <x:f>COUNTIFS('日経_D02'!$E$7:$E$56,"&lt;0")</x:f>
        <x:v>18</x:v>
      </x:c>
      <x:c r="I17" s="19" t="n">
        <x:f>MAX(0,-MIN('日経_D02'!$E$7:$E$56))</x:f>
        <x:v>105000</x:v>
      </x:c>
      <x:c r="J17" s="19" t="n">
        <x:f>IF(H17=0,0,-SUMIFS('日経_D02'!$E$7:$E$56,'日経_D02'!$E$7:$E$56,"&lt;0")/H17)</x:f>
        <x:v>41111.11111111111</x:v>
      </x:c>
      <x:c r="K17" s="19" t="n">
        <x:f>MEDIAN('日経_D02'!$E$7:$E$56)</x:f>
        <x:v>43500</x:v>
      </x:c>
      <x:c r="L17" s="19" t="n">
        <x:f>E17-MAX(0,LARGE('日経_D02'!$E$7:$E$56,1))-MAX(0,LARGE('日経_D02'!$E$7:$E$56,2))-MAX(0,LARGE('日経_D02'!$E$7:$E$56,3))</x:f>
        <x:v>2417000</x:v>
      </x:c>
      <x:c r="M17" s="2" t="n">
        <x:f>'日経_D02'!G57</x:f>
        <x:v>337</x:v>
      </x:c>
    </x:row>
    <x:row r="18" ht="42" customHeight="1">
      <x:c r="A18" s="2" t="str">
        <x:v>D05</x:v>
      </x:c>
      <x:c r="B18" s="23" t="str">
        <x:v>昼だけ分割回収・夜はTG04</x:v>
      </x:c>
      <x:c r="C18" s="19" t="n">
        <x:f>'日経_D05'!C57</x:f>
        <x:v>7003000</x:v>
      </x:c>
      <x:c r="D18" s="19" t="n">
        <x:f>'日経_D05'!D57</x:f>
        <x:v>3176000</x:v>
      </x:c>
      <x:c r="E18" s="19" t="n">
        <x:f>'日経_D05'!E57</x:f>
        <x:v>3827000</x:v>
      </x:c>
      <x:c r="F18" s="24" t="n">
        <x:f>IF(D18=0,"損失なし",C18/D18)</x:f>
        <x:v>2.2049748110831233</x:v>
      </x:c>
      <x:c r="G18" s="2" t="n">
        <x:f>COUNTIFS('日経_D05'!$E$7:$E$56,"&gt;0")</x:f>
        <x:v>36</x:v>
      </x:c>
      <x:c r="H18" s="2" t="n">
        <x:f>COUNTIFS('日経_D05'!$E$7:$E$56,"&lt;0")</x:f>
        <x:v>14</x:v>
      </x:c>
      <x:c r="I18" s="19" t="n">
        <x:f>MAX(0,-MIN('日経_D05'!$E$7:$E$56))</x:f>
        <x:v>105000</x:v>
      </x:c>
      <x:c r="J18" s="19" t="n">
        <x:f>IF(H18=0,0,-SUMIFS('日経_D05'!$E$7:$E$56,'日経_D05'!$E$7:$E$56,"&lt;0")/H18)</x:f>
        <x:v>37928.57142857143</x:v>
      </x:c>
      <x:c r="K18" s="19" t="n">
        <x:f>MEDIAN('日経_D05'!$E$7:$E$56)</x:f>
        <x:v>28500</x:v>
      </x:c>
      <x:c r="L18" s="19" t="n">
        <x:f>E18-MAX(0,LARGE('日経_D05'!$E$7:$E$56,1))-MAX(0,LARGE('日経_D05'!$E$7:$E$56,2))-MAX(0,LARGE('日経_D05'!$E$7:$E$56,3))</x:f>
        <x:v>2255000</x:v>
      </x:c>
      <x:c r="M18" s="2" t="n">
        <x:f>'日経_D05'!G57</x:f>
        <x:v>322</x:v>
      </x:c>
    </x:row>
    <x:row r="19" ht="42" customHeight="1">
      <x:c r="A19" s="2" t="str">
        <x:v>D06</x:v>
      </x:c>
      <x:c r="B19" s="23" t="str">
        <x:v>基本の残玉保護と勢い別の回転</x:v>
      </x:c>
      <x:c r="C19" s="19" t="n">
        <x:f>'日経_D06'!C57</x:f>
        <x:v>8418000</x:v>
      </x:c>
      <x:c r="D19" s="19" t="n">
        <x:f>'日経_D06'!D57</x:f>
        <x:v>4013000</x:v>
      </x:c>
      <x:c r="E19" s="19" t="n">
        <x:f>'日経_D06'!E57</x:f>
        <x:v>4405000</x:v>
      </x:c>
      <x:c r="F19" s="24" t="n">
        <x:f>IF(D19=0,"損失なし",C19/D19)</x:f>
        <x:v>2.097682531771742</x:v>
      </x:c>
      <x:c r="G19" s="2" t="n">
        <x:f>COUNTIFS('日経_D06'!$E$7:$E$56,"&gt;0")</x:f>
        <x:v>31</x:v>
      </x:c>
      <x:c r="H19" s="2" t="n">
        <x:f>COUNTIFS('日経_D06'!$E$7:$E$56,"&lt;0")</x:f>
        <x:v>19</x:v>
      </x:c>
      <x:c r="I19" s="19" t="n">
        <x:f>MAX(0,-MIN('日経_D06'!$E$7:$E$56))</x:f>
        <x:v>115000</x:v>
      </x:c>
      <x:c r="J19" s="19" t="n">
        <x:f>IF(H19=0,0,-SUMIFS('日経_D06'!$E$7:$E$56,'日経_D06'!$E$7:$E$56,"&lt;0")/H19)</x:f>
        <x:v>47105.26315789474</x:v>
      </x:c>
      <x:c r="K19" s="19" t="n">
        <x:f>MEDIAN('日経_D06'!$E$7:$E$56)</x:f>
        <x:v>37500</x:v>
      </x:c>
      <x:c r="L19" s="19" t="n">
        <x:f>E19-MAX(0,LARGE('日経_D06'!$E$7:$E$56,1))-MAX(0,LARGE('日経_D06'!$E$7:$E$56,2))-MAX(0,LARGE('日経_D06'!$E$7:$E$56,3))</x:f>
        <x:v>2698000</x:v>
      </x:c>
      <x:c r="M19" s="2" t="n">
        <x:f>'日経_D06'!G57</x:f>
        <x:v>400</x:v>
      </x:c>
    </x:row>
    <x:row r="20" ht="42" customHeight="1">
      <x:c r="A20" s="2" t="str">
        <x:v>D08</x:v>
      </x:c>
      <x:c r="B20" s="23" t="str">
        <x:v>D07に40分平均の位置確認を追加</x:v>
      </x:c>
      <x:c r="C20" s="19" t="n">
        <x:f>'日経_D08'!C57</x:f>
        <x:v>7689000</x:v>
      </x:c>
      <x:c r="D20" s="19" t="n">
        <x:f>'日経_D08'!D57</x:f>
        <x:v>3530000</x:v>
      </x:c>
      <x:c r="E20" s="19" t="n">
        <x:f>'日経_D08'!E57</x:f>
        <x:v>4159000</x:v>
      </x:c>
      <x:c r="F20" s="24" t="n">
        <x:f>IF(D20=0,"損失なし",C20/D20)</x:f>
        <x:v>2.178186968838527</x:v>
      </x:c>
      <x:c r="G20" s="2" t="n">
        <x:f>COUNTIFS('日経_D08'!$E$7:$E$56,"&gt;0")</x:f>
        <x:v>38</x:v>
      </x:c>
      <x:c r="H20" s="2" t="n">
        <x:f>COUNTIFS('日経_D08'!$E$7:$E$56,"&lt;0")</x:f>
        <x:v>12</x:v>
      </x:c>
      <x:c r="I20" s="19" t="n">
        <x:f>MAX(0,-MIN('日経_D08'!$E$7:$E$56))</x:f>
        <x:v>105000</x:v>
      </x:c>
      <x:c r="J20" s="19" t="n">
        <x:f>IF(H20=0,0,-SUMIFS('日経_D08'!$E$7:$E$56,'日経_D08'!$E$7:$E$56,"&lt;0")/H20)</x:f>
        <x:v>39333.333333333336</x:v>
      </x:c>
      <x:c r="K20" s="19" t="n">
        <x:f>MEDIAN('日経_D08'!$E$7:$E$56)</x:f>
        <x:v>32000</x:v>
      </x:c>
      <x:c r="L20" s="19" t="n">
        <x:f>E20-MAX(0,LARGE('日経_D08'!$E$7:$E$56,1))-MAX(0,LARGE('日経_D08'!$E$7:$E$56,2))-MAX(0,LARGE('日経_D08'!$E$7:$E$56,3))</x:f>
        <x:v>2595000</x:v>
      </x:c>
      <x:c r="M20" s="2" t="n">
        <x:f>'日経_D08'!G57</x:f>
        <x:v>367</x:v>
      </x:c>
    </x:row>
    <x:row r="21" ht="42" customHeight="1">
      <x:c r="A21" s="2" t="str">
        <x:v>P02</x:v>
      </x:c>
      <x:c r="B21" s="23" t="str">
        <x:v>部分利確後ピークの30%戻りで残全返済</x:v>
      </x:c>
      <x:c r="C21" s="19" t="n">
        <x:f>'日経_P02'!C57</x:f>
        <x:v>6672000</x:v>
      </x:c>
      <x:c r="D21" s="19" t="n">
        <x:f>'日経_P02'!D57</x:f>
        <x:v>3324000</x:v>
      </x:c>
      <x:c r="E21" s="19" t="n">
        <x:f>'日経_P02'!E57</x:f>
        <x:v>3348000</x:v>
      </x:c>
      <x:c r="F21" s="24" t="n">
        <x:f>IF(D21=0,"損失なし",C21/D21)</x:f>
        <x:v>2.0072202166064983</x:v>
      </x:c>
      <x:c r="G21" s="2" t="n">
        <x:f>COUNTIFS('日経_P02'!$E$7:$E$56,"&gt;0")</x:f>
        <x:v>35</x:v>
      </x:c>
      <x:c r="H21" s="2" t="n">
        <x:f>COUNTIFS('日経_P02'!$E$7:$E$56,"&lt;0")</x:f>
        <x:v>15</x:v>
      </x:c>
      <x:c r="I21" s="19" t="n">
        <x:f>MAX(0,-MIN('日経_P02'!$E$7:$E$56))</x:f>
        <x:v>105000</x:v>
      </x:c>
      <x:c r="J21" s="19" t="n">
        <x:f>IF(H21=0,0,-SUMIFS('日経_P02'!$E$7:$E$56,'日経_P02'!$E$7:$E$56,"&lt;0")/H21)</x:f>
        <x:v>37933.333333333336</x:v>
      </x:c>
      <x:c r="K21" s="19" t="n">
        <x:f>MEDIAN('日経_P02'!$E$7:$E$56)</x:f>
        <x:v>34000</x:v>
      </x:c>
      <x:c r="L21" s="19" t="n">
        <x:f>E21-MAX(0,LARGE('日経_P02'!$E$7:$E$56,1))-MAX(0,LARGE('日経_P02'!$E$7:$E$56,2))-MAX(0,LARGE('日経_P02'!$E$7:$E$56,3))</x:f>
        <x:v>2005000</x:v>
      </x:c>
      <x:c r="M21" s="2" t="n">
        <x:f>'日経_P02'!G57</x:f>
        <x:v>336</x:v>
      </x:c>
    </x:row>
    <x:row r="22" ht="42" customHeight="1">
      <x:c r="A22" s="2" t="str">
        <x:v>P03</x:v>
      </x:c>
      <x:c r="B22" s="23" t="str">
        <x:v>部分利確後の最高値から1Rで残全返済</x:v>
      </x:c>
      <x:c r="C22" s="19" t="n">
        <x:f>'日経_P03'!C57</x:f>
        <x:v>7104000</x:v>
      </x:c>
      <x:c r="D22" s="19" t="n">
        <x:f>'日経_P03'!D57</x:f>
        <x:v>3324000</x:v>
      </x:c>
      <x:c r="E22" s="19" t="n">
        <x:f>'日経_P03'!E57</x:f>
        <x:v>3780000</x:v>
      </x:c>
      <x:c r="F22" s="24" t="n">
        <x:f>IF(D22=0,"損失なし",C22/D22)</x:f>
        <x:v>2.137184115523466</x:v>
      </x:c>
      <x:c r="G22" s="2" t="n">
        <x:f>COUNTIFS('日経_P03'!$E$7:$E$56,"&gt;0")</x:f>
        <x:v>35</x:v>
      </x:c>
      <x:c r="H22" s="2" t="n">
        <x:f>COUNTIFS('日経_P03'!$E$7:$E$56,"&lt;0")</x:f>
        <x:v>15</x:v>
      </x:c>
      <x:c r="I22" s="19" t="n">
        <x:f>MAX(0,-MIN('日経_P03'!$E$7:$E$56))</x:f>
        <x:v>105000</x:v>
      </x:c>
      <x:c r="J22" s="19" t="n">
        <x:f>IF(H22=0,0,-SUMIFS('日経_P03'!$E$7:$E$56,'日経_P03'!$E$7:$E$56,"&lt;0")/H22)</x:f>
        <x:v>37733.333333333336</x:v>
      </x:c>
      <x:c r="K22" s="19" t="n">
        <x:f>MEDIAN('日経_P03'!$E$7:$E$56)</x:f>
        <x:v>32500</x:v>
      </x:c>
      <x:c r="L22" s="19" t="n">
        <x:f>E22-MAX(0,LARGE('日経_P03'!$E$7:$E$56,1))-MAX(0,LARGE('日経_P03'!$E$7:$E$56,2))-MAX(0,LARGE('日経_P03'!$E$7:$E$56,3))</x:f>
        <x:v>2167000</x:v>
      </x:c>
      <x:c r="M22" s="2" t="n">
        <x:f>'日経_P03'!G57</x:f>
        <x:v>336</x:v>
      </x:c>
    </x:row>
    <x:row r="23" ht="42" customHeight="1">
      <x:c r="A23" s="2" t="str">
        <x:v>P04</x:v>
      </x:c>
      <x:c r="B23" s="23" t="str">
        <x:v>部分利確価格の支持破綻と120秒逆行15秒で残全返済</x:v>
      </x:c>
      <x:c r="C23" s="19" t="n">
        <x:f>'日経_P04'!C57</x:f>
        <x:v>6676000</x:v>
      </x:c>
      <x:c r="D23" s="19" t="n">
        <x:f>'日経_P04'!D57</x:f>
        <x:v>3328000</x:v>
      </x:c>
      <x:c r="E23" s="19" t="n">
        <x:f>'日経_P04'!E57</x:f>
        <x:v>3348000</x:v>
      </x:c>
      <x:c r="F23" s="24" t="n">
        <x:f>IF(D23=0,"損失なし",C23/D23)</x:f>
        <x:v>2.0060096153846154</x:v>
      </x:c>
      <x:c r="G23" s="2" t="n">
        <x:f>COUNTIFS('日経_P04'!$E$7:$E$56,"&gt;0")</x:f>
        <x:v>34</x:v>
      </x:c>
      <x:c r="H23" s="2" t="n">
        <x:f>COUNTIFS('日経_P04'!$E$7:$E$56,"&lt;0")</x:f>
        <x:v>16</x:v>
      </x:c>
      <x:c r="I23" s="19" t="n">
        <x:f>MAX(0,-MIN('日経_P04'!$E$7:$E$56))</x:f>
        <x:v>105000</x:v>
      </x:c>
      <x:c r="J23" s="19" t="n">
        <x:f>IF(H23=0,0,-SUMIFS('日経_P04'!$E$7:$E$56,'日経_P04'!$E$7:$E$56,"&lt;0")/H23)</x:f>
        <x:v>37187.5</x:v>
      </x:c>
      <x:c r="K23" s="19" t="n">
        <x:f>MEDIAN('日経_P04'!$E$7:$E$56)</x:f>
        <x:v>38000</x:v>
      </x:c>
      <x:c r="L23" s="19" t="n">
        <x:f>E23-MAX(0,LARGE('日経_P04'!$E$7:$E$56,1))-MAX(0,LARGE('日経_P04'!$E$7:$E$56,2))-MAX(0,LARGE('日経_P04'!$E$7:$E$56,3))</x:f>
        <x:v>1987000</x:v>
      </x:c>
      <x:c r="M23" s="2" t="n">
        <x:f>'日経_P04'!G57</x:f>
        <x:v>336</x:v>
      </x:c>
    </x:row>
    <x:row r="24" ht="42" customHeight="1">
      <x:c r="A24" s="2" t="str">
        <x:v>R01</x:v>
      </x:c>
      <x:c r="B24" s="23" t="str">
        <x:v>残玉なしで全返済</x:v>
      </x:c>
      <x:c r="C24" s="19" t="n">
        <x:f>'日経_R01'!C57</x:f>
        <x:v>7131000</x:v>
      </x:c>
      <x:c r="D24" s="19" t="n">
        <x:f>'日経_R01'!D57</x:f>
        <x:v>3680000</x:v>
      </x:c>
      <x:c r="E24" s="19" t="n">
        <x:f>'日経_R01'!E57</x:f>
        <x:v>3451000</x:v>
      </x:c>
      <x:c r="F24" s="24" t="n">
        <x:f>IF(D24=0,"損失なし",C24/D24)</x:f>
        <x:v>1.9377717391304348</x:v>
      </x:c>
      <x:c r="G24" s="2" t="n">
        <x:f>COUNTIFS('日経_R01'!$E$7:$E$56,"&gt;0")</x:f>
        <x:v>32</x:v>
      </x:c>
      <x:c r="H24" s="2" t="n">
        <x:f>COUNTIFS('日経_R01'!$E$7:$E$56,"&lt;0")</x:f>
        <x:v>18</x:v>
      </x:c>
      <x:c r="I24" s="19" t="n">
        <x:f>MAX(0,-MIN('日経_R01'!$E$7:$E$56))</x:f>
        <x:v>105000</x:v>
      </x:c>
      <x:c r="J24" s="19" t="n">
        <x:f>IF(H24=0,0,-SUMIFS('日経_R01'!$E$7:$E$56,'日経_R01'!$E$7:$E$56,"&lt;0")/H24)</x:f>
        <x:v>38388.88888888889</x:v>
      </x:c>
      <x:c r="K24" s="19" t="n">
        <x:f>MEDIAN('日経_R01'!$E$7:$E$56)</x:f>
        <x:v>35000</x:v>
      </x:c>
      <x:c r="L24" s="19" t="n">
        <x:f>E24-MAX(0,LARGE('日経_R01'!$E$7:$E$56,1))-MAX(0,LARGE('日経_R01'!$E$7:$E$56,2))-MAX(0,LARGE('日経_R01'!$E$7:$E$56,3))</x:f>
        <x:v>2016000</x:v>
      </x:c>
      <x:c r="M24" s="2" t="n">
        <x:f>'日経_R01'!G57</x:f>
        <x:v>376</x:v>
      </x:c>
    </x:row>
    <x:row r="25" ht="42" customHeight="1">
      <x:c r="A25" s="2" t="str">
        <x:v>R02</x:v>
      </x:c>
      <x:c r="B25" s="23" t="str">
        <x:v>他玉利益の25%だけ残玉予算</x:v>
      </x:c>
      <x:c r="C25" s="19" t="n">
        <x:f>'日経_R02'!C57</x:f>
        <x:v>6955000</x:v>
      </x:c>
      <x:c r="D25" s="19" t="n">
        <x:f>'日経_R02'!D57</x:f>
        <x:v>3398000</x:v>
      </x:c>
      <x:c r="E25" s="19" t="n">
        <x:f>'日経_R02'!E57</x:f>
        <x:v>3557000</x:v>
      </x:c>
      <x:c r="F25" s="24" t="n">
        <x:f>IF(D25=0,"損失なし",C25/D25)</x:f>
        <x:v>2.0467922307239554</x:v>
      </x:c>
      <x:c r="G25" s="2" t="n">
        <x:f>COUNTIFS('日経_R02'!$E$7:$E$56,"&gt;0")</x:f>
        <x:v>30</x:v>
      </x:c>
      <x:c r="H25" s="2" t="n">
        <x:f>COUNTIFS('日経_R02'!$E$7:$E$56,"&lt;0")</x:f>
        <x:v>20</x:v>
      </x:c>
      <x:c r="I25" s="19" t="n">
        <x:f>MAX(0,-MIN('日経_R02'!$E$7:$E$56))</x:f>
        <x:v>105000</x:v>
      </x:c>
      <x:c r="J25" s="19" t="n">
        <x:f>IF(H25=0,0,-SUMIFS('日経_R02'!$E$7:$E$56,'日経_R02'!$E$7:$E$56,"&lt;0")/H25)</x:f>
        <x:v>39800</x:v>
      </x:c>
      <x:c r="K25" s="19" t="n">
        <x:f>MEDIAN('日経_R02'!$E$7:$E$56)</x:f>
        <x:v>38000</x:v>
      </x:c>
      <x:c r="L25" s="19" t="n">
        <x:f>E25-MAX(0,LARGE('日経_R02'!$E$7:$E$56,1))-MAX(0,LARGE('日経_R02'!$E$7:$E$56,2))-MAX(0,LARGE('日経_R02'!$E$7:$E$56,3))</x:f>
        <x:v>1944000</x:v>
      </x:c>
      <x:c r="M25" s="2" t="n">
        <x:f>'日経_R02'!G57</x:f>
        <x:v>344</x:v>
      </x:c>
    </x:row>
    <x:row r="26" ht="42" customHeight="1">
      <x:c r="A26" s="2" t="str">
        <x:v>R03</x:v>
      </x:c>
      <x:c r="B26" s="23" t="str">
        <x:v>残玉を1Rで追尾</x:v>
      </x:c>
      <x:c r="C26" s="19" t="n">
        <x:f>'日経_R03'!C57</x:f>
        <x:v>7283000</x:v>
      </x:c>
      <x:c r="D26" s="19" t="n">
        <x:f>'日経_R03'!D57</x:f>
        <x:v>3580000</x:v>
      </x:c>
      <x:c r="E26" s="19" t="n">
        <x:f>'日経_R03'!E57</x:f>
        <x:v>3703000</x:v>
      </x:c>
      <x:c r="F26" s="24" t="n">
        <x:f>IF(D26=0,"損失なし",C26/D26)</x:f>
        <x:v>2.0343575418994413</x:v>
      </x:c>
      <x:c r="G26" s="2" t="n">
        <x:f>COUNTIFS('日経_R03'!$E$7:$E$56,"&gt;0")</x:f>
        <x:v>31</x:v>
      </x:c>
      <x:c r="H26" s="2" t="n">
        <x:f>COUNTIFS('日経_R03'!$E$7:$E$56,"&lt;0")</x:f>
        <x:v>19</x:v>
      </x:c>
      <x:c r="I26" s="19" t="n">
        <x:f>MAX(0,-MIN('日経_R03'!$E$7:$E$56))</x:f>
        <x:v>105000</x:v>
      </x:c>
      <x:c r="J26" s="19" t="n">
        <x:f>IF(H26=0,0,-SUMIFS('日経_R03'!$E$7:$E$56,'日経_R03'!$E$7:$E$56,"&lt;0")/H26)</x:f>
        <x:v>40421.05263157895</x:v>
      </x:c>
      <x:c r="K26" s="19" t="n">
        <x:f>MEDIAN('日経_R03'!$E$7:$E$56)</x:f>
        <x:v>29000</x:v>
      </x:c>
      <x:c r="L26" s="19" t="n">
        <x:f>E26-MAX(0,LARGE('日経_R03'!$E$7:$E$56,1))-MAX(0,LARGE('日経_R03'!$E$7:$E$56,2))-MAX(0,LARGE('日経_R03'!$E$7:$E$56,3))</x:f>
        <x:v>2107000</x:v>
      </x:c>
      <x:c r="M26" s="2" t="n">
        <x:f>'日経_R03'!G57</x:f>
        <x:v>367</x:v>
      </x:c>
    </x:row>
    <x:row r="27" ht="42" customHeight="1">
      <x:c r="A27" s="2" t="str">
        <x:v>R04</x:v>
      </x:c>
      <x:c r="B27" s="23" t="str">
        <x:v>残玉化時の含み益50%を床にする</x:v>
      </x:c>
      <x:c r="C27" s="19" t="n">
        <x:f>'日経_R04'!C57</x:f>
        <x:v>7084000</x:v>
      </x:c>
      <x:c r="D27" s="19" t="n">
        <x:f>'日経_R04'!D57</x:f>
        <x:v>3437000</x:v>
      </x:c>
      <x:c r="E27" s="19" t="n">
        <x:f>'日経_R04'!E57</x:f>
        <x:v>3647000</x:v>
      </x:c>
      <x:c r="F27" s="24" t="n">
        <x:f>IF(D27=0,"損失なし",C27/D27)</x:f>
        <x:v>2.061099796334012</x:v>
      </x:c>
      <x:c r="G27" s="2" t="n">
        <x:f>COUNTIFS('日経_R04'!$E$7:$E$56,"&gt;0")</x:f>
        <x:v>30</x:v>
      </x:c>
      <x:c r="H27" s="2" t="n">
        <x:f>COUNTIFS('日経_R04'!$E$7:$E$56,"&lt;0")</x:f>
        <x:v>20</x:v>
      </x:c>
      <x:c r="I27" s="19" t="n">
        <x:f>MAX(0,-MIN('日経_R04'!$E$7:$E$56))</x:f>
        <x:v>105000</x:v>
      </x:c>
      <x:c r="J27" s="19" t="n">
        <x:f>IF(H27=0,0,-SUMIFS('日経_R04'!$E$7:$E$56,'日経_R04'!$E$7:$E$56,"&lt;0")/H27)</x:f>
        <x:v>39150</x:v>
      </x:c>
      <x:c r="K27" s="19" t="n">
        <x:f>MEDIAN('日経_R04'!$E$7:$E$56)</x:f>
        <x:v>40500</x:v>
      </x:c>
      <x:c r="L27" s="19" t="n">
        <x:f>E27-MAX(0,LARGE('日経_R04'!$E$7:$E$56,1))-MAX(0,LARGE('日経_R04'!$E$7:$E$56,2))-MAX(0,LARGE('日経_R04'!$E$7:$E$56,3))</x:f>
        <x:v>2026000</x:v>
      </x:c>
      <x:c r="M27" s="2" t="n">
        <x:f>'日経_R04'!G57</x:f>
        <x:v>352</x:v>
      </x:c>
    </x:row>
    <x:row r="28" ht="42" customHeight="1">
      <x:c r="A28" s="2" t="str">
        <x:v>R05</x:v>
      </x:c>
      <x:c r="B28" s="23" t="str">
        <x:v>残玉追尾を最大16呼値にする</x:v>
      </x:c>
      <x:c r="C28" s="19" t="n">
        <x:f>'日経_R05'!C57</x:f>
        <x:v>7213000</x:v>
      </x:c>
      <x:c r="D28" s="19" t="n">
        <x:f>'日経_R05'!D57</x:f>
        <x:v>3572000</x:v>
      </x:c>
      <x:c r="E28" s="19" t="n">
        <x:f>'日経_R05'!E57</x:f>
        <x:v>3641000</x:v>
      </x:c>
      <x:c r="F28" s="24" t="n">
        <x:f>IF(D28=0,"損失なし",C28/D28)</x:f>
        <x:v>2.019316909294513</x:v>
      </x:c>
      <x:c r="G28" s="2" t="n">
        <x:f>COUNTIFS('日経_R05'!$E$7:$E$56,"&gt;0")</x:f>
        <x:v>31</x:v>
      </x:c>
      <x:c r="H28" s="2" t="n">
        <x:f>COUNTIFS('日経_R05'!$E$7:$E$56,"&lt;0")</x:f>
        <x:v>19</x:v>
      </x:c>
      <x:c r="I28" s="19" t="n">
        <x:f>MAX(0,-MIN('日経_R05'!$E$7:$E$56))</x:f>
        <x:v>105000</x:v>
      </x:c>
      <x:c r="J28" s="19" t="n">
        <x:f>IF(H28=0,0,-SUMIFS('日経_R05'!$E$7:$E$56,'日経_R05'!$E$7:$E$56,"&lt;0")/H28)</x:f>
        <x:v>40210.52631578947</x:v>
      </x:c>
      <x:c r="K28" s="19" t="n">
        <x:f>MEDIAN('日経_R05'!$E$7:$E$56)</x:f>
        <x:v>35500</x:v>
      </x:c>
      <x:c r="L28" s="19" t="n">
        <x:f>E28-MAX(0,LARGE('日経_R05'!$E$7:$E$56,1))-MAX(0,LARGE('日経_R05'!$E$7:$E$56,2))-MAX(0,LARGE('日経_R05'!$E$7:$E$56,3))</x:f>
        <x:v>2079000</x:v>
      </x:c>
      <x:c r="M28" s="2" t="n">
        <x:f>'日経_R05'!G57</x:f>
        <x:v>368</x:v>
      </x:c>
    </x:row>
    <x:row r="29" ht="42" customHeight="1">
      <x:c r="A29" s="2" t="str">
        <x:v>R06</x:v>
      </x:c>
      <x:c r="B29" s="23" t="str">
        <x:v>反対候補へ切替・返済後0秒から再評価</x:v>
      </x:c>
      <x:c r="C29" s="19" t="n">
        <x:f>'日経_R06'!C57</x:f>
        <x:v>7193000</x:v>
      </x:c>
      <x:c r="D29" s="19" t="n">
        <x:f>'日経_R06'!D57</x:f>
        <x:v>3584000</x:v>
      </x:c>
      <x:c r="E29" s="19" t="n">
        <x:f>'日経_R06'!E57</x:f>
        <x:v>3609000</x:v>
      </x:c>
      <x:c r="F29" s="24" t="n">
        <x:f>IF(D29=0,"損失なし",C29/D29)</x:f>
        <x:v>2.0069754464285716</x:v>
      </x:c>
      <x:c r="G29" s="2" t="n">
        <x:f>COUNTIFS('日経_R06'!$E$7:$E$56,"&gt;0")</x:f>
        <x:v>32</x:v>
      </x:c>
      <x:c r="H29" s="2" t="n">
        <x:f>COUNTIFS('日経_R06'!$E$7:$E$56,"&lt;0")</x:f>
        <x:v>18</x:v>
      </x:c>
      <x:c r="I29" s="19" t="n">
        <x:f>MAX(0,-MIN('日経_R06'!$E$7:$E$56))</x:f>
        <x:v>105000</x:v>
      </x:c>
      <x:c r="J29" s="19" t="n">
        <x:f>IF(H29=0,0,-SUMIFS('日経_R06'!$E$7:$E$56,'日経_R06'!$E$7:$E$56,"&lt;0")/H29)</x:f>
        <x:v>42611.11111111111</x:v>
      </x:c>
      <x:c r="K29" s="19" t="n">
        <x:f>MEDIAN('日経_R06'!$E$7:$E$56)</x:f>
        <x:v>49000</x:v>
      </x:c>
      <x:c r="L29" s="19" t="n">
        <x:f>E29-MAX(0,LARGE('日経_R06'!$E$7:$E$56,1))-MAX(0,LARGE('日経_R06'!$E$7:$E$56,2))-MAX(0,LARGE('日経_R06'!$E$7:$E$56,3))</x:f>
        <x:v>2028000</x:v>
      </x:c>
      <x:c r="M29" s="2" t="n">
        <x:f>'日経_R06'!G57</x:f>
        <x:v>368</x:v>
      </x:c>
    </x:row>
    <x:row r="30" ht="42" customHeight="1">
      <x:c r="A30" s="2" t="str">
        <x:v>R07</x:v>
      </x:c>
      <x:c r="B30" s="23" t="str">
        <x:v>反対候補へ切替・返済後60秒から再評価</x:v>
      </x:c>
      <x:c r="C30" s="19" t="n">
        <x:f>'日経_R07'!C57</x:f>
        <x:v>7179000</x:v>
      </x:c>
      <x:c r="D30" s="19" t="n">
        <x:f>'日経_R07'!D57</x:f>
        <x:v>3586000</x:v>
      </x:c>
      <x:c r="E30" s="19" t="n">
        <x:f>'日経_R07'!E57</x:f>
        <x:v>3593000</x:v>
      </x:c>
      <x:c r="F30" s="24" t="n">
        <x:f>IF(D30=0,"損失なし",C30/D30)</x:f>
        <x:v>2.001952035694367</x:v>
      </x:c>
      <x:c r="G30" s="2" t="n">
        <x:f>COUNTIFS('日経_R07'!$E$7:$E$56,"&gt;0")</x:f>
        <x:v>32</x:v>
      </x:c>
      <x:c r="H30" s="2" t="n">
        <x:f>COUNTIFS('日経_R07'!$E$7:$E$56,"&lt;0")</x:f>
        <x:v>18</x:v>
      </x:c>
      <x:c r="I30" s="19" t="n">
        <x:f>MAX(0,-MIN('日経_R07'!$E$7:$E$56))</x:f>
        <x:v>105000</x:v>
      </x:c>
      <x:c r="J30" s="19" t="n">
        <x:f>IF(H30=0,0,-SUMIFS('日経_R07'!$E$7:$E$56,'日経_R07'!$E$7:$E$56,"&lt;0")/H30)</x:f>
        <x:v>42611.11111111111</x:v>
      </x:c>
      <x:c r="K30" s="19" t="n">
        <x:f>MEDIAN('日経_R07'!$E$7:$E$56)</x:f>
        <x:v>49000</x:v>
      </x:c>
      <x:c r="L30" s="19" t="n">
        <x:f>E30-MAX(0,LARGE('日経_R07'!$E$7:$E$56,1))-MAX(0,LARGE('日経_R07'!$E$7:$E$56,2))-MAX(0,LARGE('日経_R07'!$E$7:$E$56,3))</x:f>
        <x:v>2022000</x:v>
      </x:c>
      <x:c r="M30" s="2" t="n">
        <x:f>'日経_R07'!G57</x:f>
        <x:v>367</x:v>
      </x:c>
    </x:row>
    <x:row r="31" ht="42" customHeight="1">
      <x:c r="A31" s="2" t="str">
        <x:v>R08</x:v>
      </x:c>
      <x:c r="B31" s="23" t="str">
        <x:v>反対候補へ切替・返済後300秒から再評価</x:v>
      </x:c>
      <x:c r="C31" s="19" t="n">
        <x:f>'日経_R08'!C57</x:f>
        <x:v>7166000</x:v>
      </x:c>
      <x:c r="D31" s="19" t="n">
        <x:f>'日経_R08'!D57</x:f>
        <x:v>3559000</x:v>
      </x:c>
      <x:c r="E31" s="19" t="n">
        <x:f>'日経_R08'!E57</x:f>
        <x:v>3607000</x:v>
      </x:c>
      <x:c r="F31" s="24" t="n">
        <x:f>IF(D31=0,"損失なし",C31/D31)</x:f>
        <x:v>2.013486934532172</x:v>
      </x:c>
      <x:c r="G31" s="2" t="n">
        <x:f>COUNTIFS('日経_R08'!$E$7:$E$56,"&gt;0")</x:f>
        <x:v>31</x:v>
      </x:c>
      <x:c r="H31" s="2" t="n">
        <x:f>COUNTIFS('日経_R08'!$E$7:$E$56,"&lt;0")</x:f>
        <x:v>19</x:v>
      </x:c>
      <x:c r="I31" s="19" t="n">
        <x:f>MAX(0,-MIN('日経_R08'!$E$7:$E$56))</x:f>
        <x:v>105000</x:v>
      </x:c>
      <x:c r="J31" s="19" t="n">
        <x:f>IF(H31=0,0,-SUMIFS('日経_R08'!$E$7:$E$56,'日経_R08'!$E$7:$E$56,"&lt;0")/H31)</x:f>
        <x:v>40736.84210526316</x:v>
      </x:c>
      <x:c r="K31" s="19" t="n">
        <x:f>MEDIAN('日経_R08'!$E$7:$E$56)</x:f>
        <x:v>49000</x:v>
      </x:c>
      <x:c r="L31" s="19" t="n">
        <x:f>E31-MAX(0,LARGE('日経_R08'!$E$7:$E$56,1))-MAX(0,LARGE('日経_R08'!$E$7:$E$56,2))-MAX(0,LARGE('日経_R08'!$E$7:$E$56,3))</x:f>
        <x:v>2030000</x:v>
      </x:c>
      <x:c r="M31" s="2" t="n">
        <x:f>'日経_R08'!G57</x:f>
        <x:v>361</x:v>
      </x:c>
    </x:row>
    <x:row r="32" ht="42" customHeight="1">
      <x:c r="A32" s="2" t="str">
        <x:v>R09</x:v>
      </x:c>
      <x:c r="B32" s="23" t="str">
        <x:v>反対候補へ切替・返済後900秒から再評価</x:v>
      </x:c>
      <x:c r="C32" s="19" t="n">
        <x:f>'日経_R09'!C57</x:f>
        <x:v>6983000</x:v>
      </x:c>
      <x:c r="D32" s="19" t="n">
        <x:f>'日経_R09'!D57</x:f>
        <x:v>3480000</x:v>
      </x:c>
      <x:c r="E32" s="19" t="n">
        <x:f>'日経_R09'!E57</x:f>
        <x:v>3503000</x:v>
      </x:c>
      <x:c r="F32" s="24" t="n">
        <x:f>IF(D32=0,"損失なし",C32/D32)</x:f>
        <x:v>2.006609195402299</x:v>
      </x:c>
      <x:c r="G32" s="2" t="n">
        <x:f>COUNTIFS('日経_R09'!$E$7:$E$56,"&gt;0")</x:f>
        <x:v>32</x:v>
      </x:c>
      <x:c r="H32" s="2" t="n">
        <x:f>COUNTIFS('日経_R09'!$E$7:$E$56,"&lt;0")</x:f>
        <x:v>18</x:v>
      </x:c>
      <x:c r="I32" s="19" t="n">
        <x:f>MAX(0,-MIN('日経_R09'!$E$7:$E$56))</x:f>
        <x:v>105000</x:v>
      </x:c>
      <x:c r="J32" s="19" t="n">
        <x:f>IF(H32=0,0,-SUMIFS('日経_R09'!$E$7:$E$56,'日経_R09'!$E$7:$E$56,"&lt;0")/H32)</x:f>
        <x:v>42611.11111111111</x:v>
      </x:c>
      <x:c r="K32" s="19" t="n">
        <x:f>MEDIAN('日経_R09'!$E$7:$E$56)</x:f>
        <x:v>37000</x:v>
      </x:c>
      <x:c r="L32" s="19" t="n">
        <x:f>E32-MAX(0,LARGE('日経_R09'!$E$7:$E$56,1))-MAX(0,LARGE('日経_R09'!$E$7:$E$56,2))-MAX(0,LARGE('日経_R09'!$E$7:$E$56,3))</x:f>
        <x:v>1926000</x:v>
      </x:c>
      <x:c r="M32" s="2" t="n">
        <x:f>'日経_R09'!G57</x:f>
        <x:v>355</x:v>
      </x:c>
    </x:row>
    <x:row r="33" ht="42" customHeight="1">
      <x:c r="A33" s="2" t="str">
        <x:v>R10</x:v>
      </x:c>
      <x:c r="B33" s="23" t="str">
        <x:v>同方向も含む新候補へ切替</x:v>
      </x:c>
      <x:c r="C33" s="19" t="n">
        <x:f>'日経_R10'!C57</x:f>
        <x:v>7234000</x:v>
      </x:c>
      <x:c r="D33" s="19" t="n">
        <x:f>'日経_R10'!D57</x:f>
        <x:v>3666000</x:v>
      </x:c>
      <x:c r="E33" s="19" t="n">
        <x:f>'日経_R10'!E57</x:f>
        <x:v>3568000</x:v>
      </x:c>
      <x:c r="F33" s="24" t="n">
        <x:f>IF(D33=0,"損失なし",C33/D33)</x:f>
        <x:v>1.9732678668848882</x:v>
      </x:c>
      <x:c r="G33" s="2" t="n">
        <x:f>COUNTIFS('日経_R10'!$E$7:$E$56,"&gt;0")</x:f>
        <x:v>31</x:v>
      </x:c>
      <x:c r="H33" s="2" t="n">
        <x:f>COUNTIFS('日経_R10'!$E$7:$E$56,"&lt;0")</x:f>
        <x:v>19</x:v>
      </x:c>
      <x:c r="I33" s="19" t="n">
        <x:f>MAX(0,-MIN('日経_R10'!$E$7:$E$56))</x:f>
        <x:v>105000</x:v>
      </x:c>
      <x:c r="J33" s="19" t="n">
        <x:f>IF(H33=0,0,-SUMIFS('日経_R10'!$E$7:$E$56,'日経_R10'!$E$7:$E$56,"&lt;0")/H33)</x:f>
        <x:v>42210.52631578947</x:v>
      </x:c>
      <x:c r="K33" s="19" t="n">
        <x:f>MEDIAN('日経_R10'!$E$7:$E$56)</x:f>
        <x:v>37000</x:v>
      </x:c>
      <x:c r="L33" s="19" t="n">
        <x:f>E33-MAX(0,LARGE('日経_R10'!$E$7:$E$56,1))-MAX(0,LARGE('日経_R10'!$E$7:$E$56,2))-MAX(0,LARGE('日経_R10'!$E$7:$E$56,3))</x:f>
        <x:v>1983000</x:v>
      </x:c>
      <x:c r="M33" s="2" t="n">
        <x:f>'日経_R10'!G57</x:f>
        <x:v>376</x:v>
      </x:c>
    </x:row>
    <x:row r="34" ht="42" customHeight="1">
      <x:c r="A34" s="2" t="str">
        <x:v>R11</x:v>
      </x:c>
      <x:c r="B34" s="23" t="str">
        <x:v>反対60秒・既得益50%床・16呼値追尾上限</x:v>
      </x:c>
      <x:c r="C34" s="19" t="n">
        <x:f>'日経_R11'!C57</x:f>
        <x:v>7236000</x:v>
      </x:c>
      <x:c r="D34" s="19" t="n">
        <x:f>'日経_R11'!D57</x:f>
        <x:v>3614000</x:v>
      </x:c>
      <x:c r="E34" s="19" t="n">
        <x:f>'日経_R11'!E57</x:f>
        <x:v>3622000</x:v>
      </x:c>
      <x:c r="F34" s="24" t="n">
        <x:f>IF(D34=0,"損失なし",C34/D34)</x:f>
        <x:v>2.002213613724405</x:v>
      </x:c>
      <x:c r="G34" s="2" t="n">
        <x:f>COUNTIFS('日経_R11'!$E$7:$E$56,"&gt;0")</x:f>
        <x:v>31</x:v>
      </x:c>
      <x:c r="H34" s="2" t="n">
        <x:f>COUNTIFS('日経_R11'!$E$7:$E$56,"&lt;0")</x:f>
        <x:v>19</x:v>
      </x:c>
      <x:c r="I34" s="19" t="n">
        <x:f>MAX(0,-MIN('日経_R11'!$E$7:$E$56))</x:f>
        <x:v>105000</x:v>
      </x:c>
      <x:c r="J34" s="19" t="n">
        <x:f>IF(H34=0,0,-SUMIFS('日経_R11'!$E$7:$E$56,'日経_R11'!$E$7:$E$56,"&lt;0")/H34)</x:f>
        <x:v>38631.57894736842</x:v>
      </x:c>
      <x:c r="K34" s="19" t="n">
        <x:f>MEDIAN('日経_R11'!$E$7:$E$56)</x:f>
        <x:v>33000</x:v>
      </x:c>
      <x:c r="L34" s="19" t="n">
        <x:f>E34-MAX(0,LARGE('日経_R11'!$E$7:$E$56,1))-MAX(0,LARGE('日経_R11'!$E$7:$E$56,2))-MAX(0,LARGE('日経_R11'!$E$7:$E$56,3))</x:f>
        <x:v>2060000</x:v>
      </x:c>
      <x:c r="M34" s="2" t="n">
        <x:f>'日経_R11'!G57</x:f>
        <x:v>372</x:v>
      </x:c>
    </x:row>
    <x:row r="35" ht="42" customHeight="1">
      <x:c r="A35" s="2" t="str">
        <x:v>V01</x:v>
      </x:c>
      <x:c r="B35" s="23" t="str">
        <x:v>広い初回幅で保護だけ早期化</x:v>
      </x:c>
      <x:c r="C35" s="19" t="n">
        <x:f>'日経_V01'!C57</x:f>
        <x:v>6609000</x:v>
      </x:c>
      <x:c r="D35" s="19" t="n">
        <x:f>'日経_V01'!D57</x:f>
        <x:v>3308000</x:v>
      </x:c>
      <x:c r="E35" s="19" t="n">
        <x:f>'日経_V01'!E57</x:f>
        <x:v>3301000</x:v>
      </x:c>
      <x:c r="F35" s="24" t="n">
        <x:f>IF(D35=0,"損失なし",C35/D35)</x:f>
        <x:v>1.9978839177750907</x:v>
      </x:c>
      <x:c r="G35" s="2" t="n">
        <x:f>COUNTIFS('日経_V01'!$E$7:$E$56,"&gt;0")</x:f>
        <x:v>31</x:v>
      </x:c>
      <x:c r="H35" s="2" t="n">
        <x:f>COUNTIFS('日経_V01'!$E$7:$E$56,"&lt;0")</x:f>
        <x:v>19</x:v>
      </x:c>
      <x:c r="I35" s="19" t="n">
        <x:f>MAX(0,-MIN('日経_V01'!$E$7:$E$56))</x:f>
        <x:v>105000</x:v>
      </x:c>
      <x:c r="J35" s="19" t="n">
        <x:f>IF(H35=0,0,-SUMIFS('日経_V01'!$E$7:$E$56,'日経_V01'!$E$7:$E$56,"&lt;0")/H35)</x:f>
        <x:v>40842.10526315789</x:v>
      </x:c>
      <x:c r="K35" s="19" t="n">
        <x:f>MEDIAN('日経_V01'!$E$7:$E$56)</x:f>
        <x:v>27500</x:v>
      </x:c>
      <x:c r="L35" s="19" t="n">
        <x:f>E35-MAX(0,LARGE('日経_V01'!$E$7:$E$56,1))-MAX(0,LARGE('日経_V01'!$E$7:$E$56,2))-MAX(0,LARGE('日経_V01'!$E$7:$E$56,3))</x:f>
        <x:v>1793000</x:v>
      </x:c>
      <x:c r="M35" s="2" t="n">
        <x:f>'日経_V01'!G57</x:f>
        <x:v>353</x:v>
      </x:c>
    </x:row>
    <x:row r="36" ht="42" customHeight="1">
      <x:c r="A36" s="2" t="str">
        <x:v>V02</x:v>
      </x:c>
      <x:c r="B36" s="23" t="str">
        <x:v>初回損切りと短期利益追尾の幅を分離</x:v>
      </x:c>
      <x:c r="C36" s="19" t="n">
        <x:f>'日経_V02'!C57</x:f>
        <x:v>7053000</x:v>
      </x:c>
      <x:c r="D36" s="19" t="n">
        <x:f>'日経_V02'!D57</x:f>
        <x:v>3309000</x:v>
      </x:c>
      <x:c r="E36" s="19" t="n">
        <x:f>'日経_V02'!E57</x:f>
        <x:v>3744000</x:v>
      </x:c>
      <x:c r="F36" s="24" t="n">
        <x:f>IF(D36=0,"損失なし",C36/D36)</x:f>
        <x:v>2.131459655485041</x:v>
      </x:c>
      <x:c r="G36" s="2" t="n">
        <x:f>COUNTIFS('日経_V02'!$E$7:$E$56,"&gt;0")</x:f>
        <x:v>32</x:v>
      </x:c>
      <x:c r="H36" s="2" t="n">
        <x:f>COUNTIFS('日経_V02'!$E$7:$E$56,"&lt;0")</x:f>
        <x:v>18</x:v>
      </x:c>
      <x:c r="I36" s="19" t="n">
        <x:f>MAX(0,-MIN('日経_V02'!$E$7:$E$56))</x:f>
        <x:v>105000</x:v>
      </x:c>
      <x:c r="J36" s="19" t="n">
        <x:f>IF(H36=0,0,-SUMIFS('日経_V02'!$E$7:$E$56,'日経_V02'!$E$7:$E$56,"&lt;0")/H36)</x:f>
        <x:v>40666.666666666664</x:v>
      </x:c>
      <x:c r="K36" s="19" t="n">
        <x:f>MEDIAN('日経_V02'!$E$7:$E$56)</x:f>
        <x:v>43500</x:v>
      </x:c>
      <x:c r="L36" s="19" t="n">
        <x:f>E36-MAX(0,LARGE('日経_V02'!$E$7:$E$56,1))-MAX(0,LARGE('日経_V02'!$E$7:$E$56,2))-MAX(0,LARGE('日経_V02'!$E$7:$E$56,3))</x:f>
        <x:v>2123000</x:v>
      </x:c>
      <x:c r="M36" s="2" t="n">
        <x:f>'日経_V02'!G57</x:f>
        <x:v>341</x:v>
      </x:c>
    </x:row>
    <x:row r="37" ht="42" customHeight="1">
      <x:c r="A37" s="2" t="str">
        <x:v>V03</x:v>
      </x:c>
      <x:c r="B37" s="23" t="str">
        <x:v>利益幅だけ160ptを上限</x:v>
      </x:c>
      <x:c r="C37" s="19" t="n">
        <x:f>'日経_V03'!C57</x:f>
        <x:v>7071000</x:v>
      </x:c>
      <x:c r="D37" s="19" t="n">
        <x:f>'日経_V03'!D57</x:f>
        <x:v>3318000</x:v>
      </x:c>
      <x:c r="E37" s="19" t="n">
        <x:f>'日経_V03'!E57</x:f>
        <x:v>3753000</x:v>
      </x:c>
      <x:c r="F37" s="24" t="n">
        <x:f>IF(D37=0,"損失なし",C37/D37)</x:f>
        <x:v>2.131103074141049</x:v>
      </x:c>
      <x:c r="G37" s="2" t="n">
        <x:f>COUNTIFS('日経_V03'!$E$7:$E$56,"&gt;0")</x:f>
        <x:v>31</x:v>
      </x:c>
      <x:c r="H37" s="2" t="n">
        <x:f>COUNTIFS('日経_V03'!$E$7:$E$56,"&lt;0")</x:f>
        <x:v>19</x:v>
      </x:c>
      <x:c r="I37" s="19" t="n">
        <x:f>MAX(0,-MIN('日経_V03'!$E$7:$E$56))</x:f>
        <x:v>105000</x:v>
      </x:c>
      <x:c r="J37" s="19" t="n">
        <x:f>IF(H37=0,0,-SUMIFS('日経_V03'!$E$7:$E$56,'日経_V03'!$E$7:$E$56,"&lt;0")/H37)</x:f>
        <x:v>40473.68421052631</x:v>
      </x:c>
      <x:c r="K37" s="19" t="n">
        <x:f>MEDIAN('日経_V03'!$E$7:$E$56)</x:f>
        <x:v>35500</x:v>
      </x:c>
      <x:c r="L37" s="19" t="n">
        <x:f>E37-MAX(0,LARGE('日経_V03'!$E$7:$E$56,1))-MAX(0,LARGE('日経_V03'!$E$7:$E$56,2))-MAX(0,LARGE('日経_V03'!$E$7:$E$56,3))</x:f>
        <x:v>2132000</x:v>
      </x:c>
      <x:c r="M37" s="2" t="n">
        <x:f>'日経_V03'!G57</x:f>
        <x:v>351</x:v>
      </x:c>
    </x:row>
    <x:row r="38" ht="42" customHeight="1">
      <x:c r="A38" s="2" t="str">
        <x:v>V04</x:v>
      </x:c>
      <x:c r="B38" s="23" t="str">
        <x:v>半分利確と残りの広い短期追尾</x:v>
      </x:c>
      <x:c r="C38" s="19" t="n">
        <x:f>'日経_V04'!C57</x:f>
        <x:v>6738000</x:v>
      </x:c>
      <x:c r="D38" s="19" t="n">
        <x:f>'日経_V04'!D57</x:f>
        <x:v>3157000</x:v>
      </x:c>
      <x:c r="E38" s="19" t="n">
        <x:f>'日経_V04'!E57</x:f>
        <x:v>3581000</x:v>
      </x:c>
      <x:c r="F38" s="24" t="n">
        <x:f>IF(D38=0,"損失なし",C38/D38)</x:f>
        <x:v>2.134304719670573</x:v>
      </x:c>
      <x:c r="G38" s="2" t="n">
        <x:f>COUNTIFS('日経_V04'!$E$7:$E$56,"&gt;0")</x:f>
        <x:v>32</x:v>
      </x:c>
      <x:c r="H38" s="2" t="n">
        <x:f>COUNTIFS('日経_V04'!$E$7:$E$56,"&lt;0")</x:f>
        <x:v>18</x:v>
      </x:c>
      <x:c r="I38" s="19" t="n">
        <x:f>MAX(0,-MIN('日経_V04'!$E$7:$E$56))</x:f>
        <x:v>105000</x:v>
      </x:c>
      <x:c r="J38" s="19" t="n">
        <x:f>IF(H38=0,0,-SUMIFS('日経_V04'!$E$7:$E$56,'日経_V04'!$E$7:$E$56,"&lt;0")/H38)</x:f>
        <x:v>38000</x:v>
      </x:c>
      <x:c r="K38" s="19" t="n">
        <x:f>MEDIAN('日経_V04'!$E$7:$E$56)</x:f>
        <x:v>25000</x:v>
      </x:c>
      <x:c r="L38" s="19" t="n">
        <x:f>E38-MAX(0,LARGE('日経_V04'!$E$7:$E$56,1))-MAX(0,LARGE('日経_V04'!$E$7:$E$56,2))-MAX(0,LARGE('日経_V04'!$E$7:$E$56,3))</x:f>
        <x:v>2136000</x:v>
      </x:c>
      <x:c r="M38" s="2" t="n">
        <x:f>'日経_V04'!G57</x:f>
        <x:v>307</x:v>
      </x:c>
    </x:row>
    <x:row r="39" ht="42" customHeight="1">
      <x:c r="A39" s="2" t="str">
        <x:v>V05</x:v>
      </x:c>
      <x:c r="B39" s="23" t="str">
        <x:v>半分利確後に押し戻りを待って回転</x:v>
      </x:c>
      <x:c r="C39" s="19" t="n">
        <x:f>'日経_V05'!C57</x:f>
        <x:v>6759000</x:v>
      </x:c>
      <x:c r="D39" s="19" t="n">
        <x:f>'日経_V05'!D57</x:f>
        <x:v>3180000</x:v>
      </x:c>
      <x:c r="E39" s="19" t="n">
        <x:f>'日経_V05'!E57</x:f>
        <x:v>3579000</x:v>
      </x:c>
      <x:c r="F39" s="24" t="n">
        <x:f>IF(D39=0,"損失なし",C39/D39)</x:f>
        <x:v>2.1254716981132074</x:v>
      </x:c>
      <x:c r="G39" s="2" t="n">
        <x:f>COUNTIFS('日経_V05'!$E$7:$E$56,"&gt;0")</x:f>
        <x:v>32</x:v>
      </x:c>
      <x:c r="H39" s="2" t="n">
        <x:f>COUNTIFS('日経_V05'!$E$7:$E$56,"&lt;0")</x:f>
        <x:v>18</x:v>
      </x:c>
      <x:c r="I39" s="19" t="n">
        <x:f>MAX(0,-MIN('日経_V05'!$E$7:$E$56))</x:f>
        <x:v>105000</x:v>
      </x:c>
      <x:c r="J39" s="19" t="n">
        <x:f>IF(H39=0,0,-SUMIFS('日経_V05'!$E$7:$E$56,'日経_V05'!$E$7:$E$56,"&lt;0")/H39)</x:f>
        <x:v>38277.77777777778</x:v>
      </x:c>
      <x:c r="K39" s="19" t="n">
        <x:f>MEDIAN('日経_V05'!$E$7:$E$56)</x:f>
        <x:v>25500</x:v>
      </x:c>
      <x:c r="L39" s="19" t="n">
        <x:f>E39-MAX(0,LARGE('日経_V05'!$E$7:$E$56,1))-MAX(0,LARGE('日経_V05'!$E$7:$E$56,2))-MAX(0,LARGE('日経_V05'!$E$7:$E$56,3))</x:f>
        <x:v>2134000</x:v>
      </x:c>
      <x:c r="M39" s="2" t="n">
        <x:f>'日経_V05'!G57</x:f>
        <x:v>312</x:v>
      </x:c>
    </x:row>
    <x:row r="40" ht="42" customHeight="1">
      <x:c r="A40" s="2" t="str">
        <x:v>V06</x:v>
      </x:c>
      <x:c r="B40" s="23" t="str">
        <x:v>全利確後の状態再確認・時刻待ちなし</x:v>
      </x:c>
      <x:c r="C40" s="19" t="n">
        <x:f>'日経_V06'!C57</x:f>
        <x:v>7303000</x:v>
      </x:c>
      <x:c r="D40" s="19" t="n">
        <x:f>'日経_V06'!D57</x:f>
        <x:v>3694000</x:v>
      </x:c>
      <x:c r="E40" s="19" t="n">
        <x:f>'日経_V06'!E57</x:f>
        <x:v>3609000</x:v>
      </x:c>
      <x:c r="F40" s="24" t="n">
        <x:f>IF(D40=0,"損失なし",C40/D40)</x:f>
        <x:v>1.9769897130481862</x:v>
      </x:c>
      <x:c r="G40" s="2" t="n">
        <x:f>COUNTIFS('日経_V06'!$E$7:$E$56,"&gt;0")</x:f>
        <x:v>32</x:v>
      </x:c>
      <x:c r="H40" s="2" t="n">
        <x:f>COUNTIFS('日経_V06'!$E$7:$E$56,"&lt;0")</x:f>
        <x:v>18</x:v>
      </x:c>
      <x:c r="I40" s="19" t="n">
        <x:f>MAX(0,-MIN('日経_V06'!$E$7:$E$56))</x:f>
        <x:v>105000</x:v>
      </x:c>
      <x:c r="J40" s="19" t="n">
        <x:f>IF(H40=0,0,-SUMIFS('日経_V06'!$E$7:$E$56,'日経_V06'!$E$7:$E$56,"&lt;0")/H40)</x:f>
        <x:v>45333.333333333336</x:v>
      </x:c>
      <x:c r="K40" s="19" t="n">
        <x:f>MEDIAN('日経_V06'!$E$7:$E$56)</x:f>
        <x:v>48000</x:v>
      </x:c>
      <x:c r="L40" s="19" t="n">
        <x:f>E40-MAX(0,LARGE('日経_V06'!$E$7:$E$56,1))-MAX(0,LARGE('日経_V06'!$E$7:$E$56,2))-MAX(0,LARGE('日経_V06'!$E$7:$E$56,3))</x:f>
        <x:v>2027000</x:v>
      </x:c>
      <x:c r="M40" s="2" t="n">
        <x:f>'日経_V06'!G57</x:f>
        <x:v>364</x:v>
      </x:c>
    </x:row>
    <x:row r="41" ht="42" customHeight="1">
      <x:c r="A41" s="2" t="str">
        <x:v>V07</x:v>
      </x:c>
      <x:c r="B41" s="23" t="str">
        <x:v>全利確後60秒と状態再確認</x:v>
      </x:c>
      <x:c r="C41" s="19" t="n">
        <x:f>'日経_V07'!C57</x:f>
        <x:v>7303000</x:v>
      </x:c>
      <x:c r="D41" s="19" t="n">
        <x:f>'日経_V07'!D57</x:f>
        <x:v>3695000</x:v>
      </x:c>
      <x:c r="E41" s="19" t="n">
        <x:f>'日経_V07'!E57</x:f>
        <x:v>3608000</x:v>
      </x:c>
      <x:c r="F41" s="24" t="n">
        <x:f>IF(D41=0,"損失なし",C41/D41)</x:f>
        <x:v>1.9764546684709066</x:v>
      </x:c>
      <x:c r="G41" s="2" t="n">
        <x:f>COUNTIFS('日経_V07'!$E$7:$E$56,"&gt;0")</x:f>
        <x:v>32</x:v>
      </x:c>
      <x:c r="H41" s="2" t="n">
        <x:f>COUNTIFS('日経_V07'!$E$7:$E$56,"&lt;0")</x:f>
        <x:v>18</x:v>
      </x:c>
      <x:c r="I41" s="19" t="n">
        <x:f>MAX(0,-MIN('日経_V07'!$E$7:$E$56))</x:f>
        <x:v>105000</x:v>
      </x:c>
      <x:c r="J41" s="19" t="n">
        <x:f>IF(H41=0,0,-SUMIFS('日経_V07'!$E$7:$E$56,'日経_V07'!$E$7:$E$56,"&lt;0")/H41)</x:f>
        <x:v>45333.333333333336</x:v>
      </x:c>
      <x:c r="K41" s="19" t="n">
        <x:f>MEDIAN('日経_V07'!$E$7:$E$56)</x:f>
        <x:v>48000</x:v>
      </x:c>
      <x:c r="L41" s="19" t="n">
        <x:f>E41-MAX(0,LARGE('日経_V07'!$E$7:$E$56,1))-MAX(0,LARGE('日経_V07'!$E$7:$E$56,2))-MAX(0,LARGE('日経_V07'!$E$7:$E$56,3))</x:f>
        <x:v>2045000</x:v>
      </x:c>
      <x:c r="M41" s="2" t="n">
        <x:f>'日経_V07'!G57</x:f>
        <x:v>363</x:v>
      </x:c>
    </x:row>
    <x:row r="42" ht="42" customHeight="1">
      <x:c r="A42" s="2" t="str">
        <x:v>V08</x:v>
      </x:c>
      <x:c r="B42" s="23" t="str">
        <x:v>全利確後300秒と状態再確認</x:v>
      </x:c>
      <x:c r="C42" s="19" t="n">
        <x:f>'日経_V08'!C57</x:f>
        <x:v>7262000</x:v>
      </x:c>
      <x:c r="D42" s="19" t="n">
        <x:f>'日経_V08'!D57</x:f>
        <x:v>3741000</x:v>
      </x:c>
      <x:c r="E42" s="19" t="n">
        <x:f>'日経_V08'!E57</x:f>
        <x:v>3521000</x:v>
      </x:c>
      <x:c r="F42" s="24" t="n">
        <x:f>IF(D42=0,"損失なし",C42/D42)</x:f>
        <x:v>1.9411921946003743</x:v>
      </x:c>
      <x:c r="G42" s="2" t="n">
        <x:f>COUNTIFS('日経_V08'!$E$7:$E$56,"&gt;0")</x:f>
        <x:v>32</x:v>
      </x:c>
      <x:c r="H42" s="2" t="n">
        <x:f>COUNTIFS('日経_V08'!$E$7:$E$56,"&lt;0")</x:f>
        <x:v>18</x:v>
      </x:c>
      <x:c r="I42" s="19" t="n">
        <x:f>MAX(0,-MIN('日経_V08'!$E$7:$E$56))</x:f>
        <x:v>105000</x:v>
      </x:c>
      <x:c r="J42" s="19" t="n">
        <x:f>IF(H42=0,0,-SUMIFS('日経_V08'!$E$7:$E$56,'日経_V08'!$E$7:$E$56,"&lt;0")/H42)</x:f>
        <x:v>45333.333333333336</x:v>
      </x:c>
      <x:c r="K42" s="19" t="n">
        <x:f>MEDIAN('日経_V08'!$E$7:$E$56)</x:f>
        <x:v>39500</x:v>
      </x:c>
      <x:c r="L42" s="19" t="n">
        <x:f>E42-MAX(0,LARGE('日経_V08'!$E$7:$E$56,1))-MAX(0,LARGE('日経_V08'!$E$7:$E$56,2))-MAX(0,LARGE('日経_V08'!$E$7:$E$56,3))</x:f>
        <x:v>1958000</x:v>
      </x:c>
      <x:c r="M42" s="2" t="n">
        <x:f>'日経_V08'!G57</x:f>
        <x:v>361</x:v>
      </x:c>
    </x:row>
    <x:row r="43" ht="42" customHeight="1">
      <x:c r="A43" s="2" t="str">
        <x:v>V09</x:v>
      </x:c>
      <x:c r="B43" s="23" t="str">
        <x:v>全利確後900秒と状態再確認</x:v>
      </x:c>
      <x:c r="C43" s="19" t="n">
        <x:f>'日経_V09'!C57</x:f>
        <x:v>7241000</x:v>
      </x:c>
      <x:c r="D43" s="19" t="n">
        <x:f>'日経_V09'!D57</x:f>
        <x:v>3695000</x:v>
      </x:c>
      <x:c r="E43" s="19" t="n">
        <x:f>'日経_V09'!E57</x:f>
        <x:v>3546000</x:v>
      </x:c>
      <x:c r="F43" s="24" t="n">
        <x:f>IF(D43=0,"損失なし",C43/D43)</x:f>
        <x:v>1.9596752368064954</x:v>
      </x:c>
      <x:c r="G43" s="2" t="n">
        <x:f>COUNTIFS('日経_V09'!$E$7:$E$56,"&gt;0")</x:f>
        <x:v>31</x:v>
      </x:c>
      <x:c r="H43" s="2" t="n">
        <x:f>COUNTIFS('日経_V09'!$E$7:$E$56,"&lt;0")</x:f>
        <x:v>18</x:v>
      </x:c>
      <x:c r="I43" s="19" t="n">
        <x:f>MAX(0,-MIN('日経_V09'!$E$7:$E$56))</x:f>
        <x:v>105000</x:v>
      </x:c>
      <x:c r="J43" s="19" t="n">
        <x:f>IF(H43=0,0,-SUMIFS('日経_V09'!$E$7:$E$56,'日経_V09'!$E$7:$E$56,"&lt;0")/H43)</x:f>
        <x:v>44555.555555555555</x:v>
      </x:c>
      <x:c r="K43" s="19" t="n">
        <x:f>MEDIAN('日経_V09'!$E$7:$E$56)</x:f>
        <x:v>24000</x:v>
      </x:c>
      <x:c r="L43" s="19" t="n">
        <x:f>E43-MAX(0,LARGE('日経_V09'!$E$7:$E$56,1))-MAX(0,LARGE('日経_V09'!$E$7:$E$56,2))-MAX(0,LARGE('日経_V09'!$E$7:$E$56,3))</x:f>
        <x:v>1953000</x:v>
      </x:c>
      <x:c r="M43" s="2" t="n">
        <x:f>'日経_V09'!G57</x:f>
        <x:v>360</x:v>
      </x:c>
    </x:row>
    <x:row r="44" ht="42" customHeight="1">
      <x:c r="A44" s="2" t="str">
        <x:v>V10</x:v>
      </x:c>
      <x:c r="B44" s="23" t="str">
        <x:v>全利確後の押し戻り再参加と確認ドテン</x:v>
      </x:c>
      <x:c r="C44" s="19" t="n">
        <x:f>'日経_V10'!C57</x:f>
        <x:v>8364000</x:v>
      </x:c>
      <x:c r="D44" s="19" t="n">
        <x:f>'日経_V10'!D57</x:f>
        <x:v>5055000</x:v>
      </x:c>
      <x:c r="E44" s="19" t="n">
        <x:f>'日経_V10'!E57</x:f>
        <x:v>3309000</x:v>
      </x:c>
      <x:c r="F44" s="24" t="n">
        <x:f>IF(D44=0,"損失なし",C44/D44)</x:f>
        <x:v>1.65459940652819</x:v>
      </x:c>
      <x:c r="G44" s="2" t="n">
        <x:f>COUNTIFS('日経_V10'!$E$7:$E$56,"&gt;0")</x:f>
        <x:v>31</x:v>
      </x:c>
      <x:c r="H44" s="2" t="n">
        <x:f>COUNTIFS('日経_V10'!$E$7:$E$56,"&lt;0")</x:f>
        <x:v>19</x:v>
      </x:c>
      <x:c r="I44" s="19" t="n">
        <x:f>MAX(0,-MIN('日経_V10'!$E$7:$E$56))</x:f>
        <x:v>169000</x:v>
      </x:c>
      <x:c r="J44" s="19" t="n">
        <x:f>IF(H44=0,0,-SUMIFS('日経_V10'!$E$7:$E$56,'日経_V10'!$E$7:$E$56,"&lt;0")/H44)</x:f>
        <x:v>48894.73684210526</x:v>
      </x:c>
      <x:c r="K44" s="19" t="n">
        <x:f>MEDIAN('日経_V10'!$E$7:$E$56)</x:f>
        <x:v>30500</x:v>
      </x:c>
      <x:c r="L44" s="19" t="n">
        <x:f>E44-MAX(0,LARGE('日経_V10'!$E$7:$E$56,1))-MAX(0,LARGE('日経_V10'!$E$7:$E$56,2))-MAX(0,LARGE('日経_V10'!$E$7:$E$56,3))</x:f>
        <x:v>1801000</x:v>
      </x:c>
      <x:c r="M44" s="2" t="n">
        <x:f>'日経_V10'!G57</x:f>
        <x:v>500</x:v>
      </x:c>
    </x:row>
    <x:row r="45" ht="42" customHeight="1">
      <x:c r="A45" s="2" t="str">
        <x:v>V11</x:v>
      </x:c>
      <x:c r="B45" s="23" t="str">
        <x:v>継続効率による広保持と回転の切替</x:v>
      </x:c>
      <x:c r="C45" s="19" t="n">
        <x:f>'日経_V11'!C57</x:f>
        <x:v>8146000</x:v>
      </x:c>
      <x:c r="D45" s="19" t="n">
        <x:f>'日経_V11'!D57</x:f>
        <x:v>4013000</x:v>
      </x:c>
      <x:c r="E45" s="19" t="n">
        <x:f>'日経_V11'!E57</x:f>
        <x:v>4133000</x:v>
      </x:c>
      <x:c r="F45" s="24" t="n">
        <x:f>IF(D45=0,"損失なし",C45/D45)</x:f>
        <x:v>2.029902815848492</x:v>
      </x:c>
      <x:c r="G45" s="2" t="n">
        <x:f>COUNTIFS('日経_V11'!$E$7:$E$56,"&gt;0")</x:f>
        <x:v>30</x:v>
      </x:c>
      <x:c r="H45" s="2" t="n">
        <x:f>COUNTIFS('日経_V11'!$E$7:$E$56,"&lt;0")</x:f>
        <x:v>20</x:v>
      </x:c>
      <x:c r="I45" s="19" t="n">
        <x:f>MAX(0,-MIN('日経_V11'!$E$7:$E$56))</x:f>
        <x:v>115000</x:v>
      </x:c>
      <x:c r="J45" s="19" t="n">
        <x:f>IF(H45=0,0,-SUMIFS('日経_V11'!$E$7:$E$56,'日経_V11'!$E$7:$E$56,"&lt;0")/H45)</x:f>
        <x:v>44200</x:v>
      </x:c>
      <x:c r="K45" s="19" t="n">
        <x:f>MEDIAN('日経_V11'!$E$7:$E$56)</x:f>
        <x:v>29500</x:v>
      </x:c>
      <x:c r="L45" s="19" t="n">
        <x:f>E45-MAX(0,LARGE('日経_V11'!$E$7:$E$56,1))-MAX(0,LARGE('日経_V11'!$E$7:$E$56,2))-MAX(0,LARGE('日経_V11'!$E$7:$E$56,3))</x:f>
        <x:v>2446000</x:v>
      </x:c>
      <x:c r="M45" s="2" t="n">
        <x:f>'日経_V11'!G57</x:f>
        <x:v>398</x:v>
      </x:c>
    </x:row>
    <x:row r="46" ht="42" customHeight="1">
      <x:c r="A46" s="2" t="str">
        <x:v>V12</x:v>
      </x:c>
      <x:c r="B46" s="23" t="str">
        <x:v>最高利益の60%保護と40pt以上の戻り許容</x:v>
      </x:c>
      <x:c r="C46" s="19" t="n">
        <x:f>'日経_V12'!C57</x:f>
        <x:v>6924000</x:v>
      </x:c>
      <x:c r="D46" s="19" t="n">
        <x:f>'日経_V12'!D57</x:f>
        <x:v>3342000</x:v>
      </x:c>
      <x:c r="E46" s="19" t="n">
        <x:f>'日経_V12'!E57</x:f>
        <x:v>3582000</x:v>
      </x:c>
      <x:c r="F46" s="24" t="n">
        <x:f>IF(D46=0,"損失なし",C46/D46)</x:f>
        <x:v>2.0718132854578095</x:v>
      </x:c>
      <x:c r="G46" s="2" t="n">
        <x:f>COUNTIFS('日経_V12'!$E$7:$E$56,"&gt;0")</x:f>
        <x:v>32</x:v>
      </x:c>
      <x:c r="H46" s="2" t="n">
        <x:f>COUNTIFS('日経_V12'!$E$7:$E$56,"&lt;0")</x:f>
        <x:v>18</x:v>
      </x:c>
      <x:c r="I46" s="19" t="n">
        <x:f>MAX(0,-MIN('日経_V12'!$E$7:$E$56))</x:f>
        <x:v>105000</x:v>
      </x:c>
      <x:c r="J46" s="19" t="n">
        <x:f>IF(H46=0,0,-SUMIFS('日経_V12'!$E$7:$E$56,'日経_V12'!$E$7:$E$56,"&lt;0")/H46)</x:f>
        <x:v>39166.666666666664</x:v>
      </x:c>
      <x:c r="K46" s="19" t="n">
        <x:f>MEDIAN('日経_V12'!$E$7:$E$56)</x:f>
        <x:v>36000</x:v>
      </x:c>
      <x:c r="L46" s="19" t="n">
        <x:f>E46-MAX(0,LARGE('日経_V12'!$E$7:$E$56,1))-MAX(0,LARGE('日経_V12'!$E$7:$E$56,2))-MAX(0,LARGE('日経_V12'!$E$7:$E$56,3))</x:f>
        <x:v>1955000</x:v>
      </x:c>
      <x:c r="M46" s="2" t="n">
        <x:f>'日経_V12'!G57</x:f>
        <x:v>346</x:v>
      </x:c>
    </x:row>
    <x:row r="47" ht="42" customHeight="1">
      <x:c r="A47" s="2" t="str">
        <x:v>V13</x:v>
      </x:c>
      <x:c r="B47" s="23" t="str">
        <x:v>広い帯と短期幅が乖離した時だけ回転</x:v>
      </x:c>
      <x:c r="C47" s="19" t="n">
        <x:f>'日経_V13'!C57</x:f>
        <x:v>7128000</x:v>
      </x:c>
      <x:c r="D47" s="19" t="n">
        <x:f>'日経_V13'!D57</x:f>
        <x:v>3328000</x:v>
      </x:c>
      <x:c r="E47" s="19" t="n">
        <x:f>'日経_V13'!E57</x:f>
        <x:v>3800000</x:v>
      </x:c>
      <x:c r="F47" s="24" t="n">
        <x:f>IF(D47=0,"損失なし",C47/D47)</x:f>
        <x:v>2.141826923076923</x:v>
      </x:c>
      <x:c r="G47" s="2" t="n">
        <x:f>COUNTIFS('日経_V13'!$E$7:$E$56,"&gt;0")</x:f>
        <x:v>32</x:v>
      </x:c>
      <x:c r="H47" s="2" t="n">
        <x:f>COUNTIFS('日経_V13'!$E$7:$E$56,"&lt;0")</x:f>
        <x:v>18</x:v>
      </x:c>
      <x:c r="I47" s="19" t="n">
        <x:f>MAX(0,-MIN('日経_V13'!$E$7:$E$56))</x:f>
        <x:v>105000</x:v>
      </x:c>
      <x:c r="J47" s="19" t="n">
        <x:f>IF(H47=0,0,-SUMIFS('日経_V13'!$E$7:$E$56,'日経_V13'!$E$7:$E$56,"&lt;0")/H47)</x:f>
        <x:v>42611.11111111111</x:v>
      </x:c>
      <x:c r="K47" s="19" t="n">
        <x:f>MEDIAN('日経_V13'!$E$7:$E$56)</x:f>
        <x:v>44500</x:v>
      </x:c>
      <x:c r="L47" s="19" t="n">
        <x:f>E47-MAX(0,LARGE('日経_V13'!$E$7:$E$56,1))-MAX(0,LARGE('日経_V13'!$E$7:$E$56,2))-MAX(0,LARGE('日経_V13'!$E$7:$E$56,3))</x:f>
        <x:v>2187000</x:v>
      </x:c>
      <x:c r="M47" s="2" t="n">
        <x:f>'日経_V13'!G57</x:f>
        <x:v>335</x:v>
      </x:c>
    </x:row>
    <x:row r="48" ht="42" customHeight="1">
      <x:c r="A48" s="2" t="str">
        <x:v>V14</x:v>
      </x:c>
      <x:c r="B48" s="23" t="str">
        <x:v>回転再投入に二市場の短期と板支持を要求</x:v>
      </x:c>
      <x:c r="C48" s="19" t="n">
        <x:f>'日経_V14'!C57</x:f>
        <x:v>6738000</x:v>
      </x:c>
      <x:c r="D48" s="19" t="n">
        <x:f>'日経_V14'!D57</x:f>
        <x:v>3177000</x:v>
      </x:c>
      <x:c r="E48" s="19" t="n">
        <x:f>'日経_V14'!E57</x:f>
        <x:v>3561000</x:v>
      </x:c>
      <x:c r="F48" s="24" t="n">
        <x:f>IF(D48=0,"損失なし",C48/D48)</x:f>
        <x:v>2.120868744098206</x:v>
      </x:c>
      <x:c r="G48" s="2" t="n">
        <x:f>COUNTIFS('日経_V14'!$E$7:$E$56,"&gt;0")</x:f>
        <x:v>32</x:v>
      </x:c>
      <x:c r="H48" s="2" t="n">
        <x:f>COUNTIFS('日経_V14'!$E$7:$E$56,"&lt;0")</x:f>
        <x:v>18</x:v>
      </x:c>
      <x:c r="I48" s="19" t="n">
        <x:f>MAX(0,-MIN('日経_V14'!$E$7:$E$56))</x:f>
        <x:v>105000</x:v>
      </x:c>
      <x:c r="J48" s="19" t="n">
        <x:f>IF(H48=0,0,-SUMIFS('日経_V14'!$E$7:$E$56,'日経_V14'!$E$7:$E$56,"&lt;0")/H48)</x:f>
        <x:v>38777.77777777778</x:v>
      </x:c>
      <x:c r="K48" s="19" t="n">
        <x:f>MEDIAN('日経_V14'!$E$7:$E$56)</x:f>
        <x:v>25000</x:v>
      </x:c>
      <x:c r="L48" s="19" t="n">
        <x:f>E48-MAX(0,LARGE('日経_V14'!$E$7:$E$56,1))-MAX(0,LARGE('日経_V14'!$E$7:$E$56,2))-MAX(0,LARGE('日経_V14'!$E$7:$E$56,3))</x:f>
        <x:v>2116000</x:v>
      </x:c>
      <x:c r="M48" s="2" t="n">
        <x:f>'日経_V14'!G57</x:f>
        <x:v>311</x:v>
      </x:c>
    </x:row>
    <x:row r="49" ht="42" customHeight="1">
      <x:c r="A49" s="2" t="str">
        <x:v>V15</x:v>
      </x:c>
      <x:c r="B49" s="23" t="str">
        <x:v>回転玉利確と60秒再参加と確認ドテン</x:v>
      </x:c>
      <x:c r="C49" s="19" t="n">
        <x:f>'日経_V15'!C57</x:f>
        <x:v>7915000</x:v>
      </x:c>
      <x:c r="D49" s="19" t="n">
        <x:f>'日経_V15'!D57</x:f>
        <x:v>4013000</x:v>
      </x:c>
      <x:c r="E49" s="19" t="n">
        <x:f>'日経_V15'!E57</x:f>
        <x:v>3902000</x:v>
      </x:c>
      <x:c r="F49" s="24" t="n">
        <x:f>IF(D49=0,"損失なし",C49/D49)</x:f>
        <x:v>1.9723398953401445</x:v>
      </x:c>
      <x:c r="G49" s="2" t="n">
        <x:f>COUNTIFS('日経_V15'!$E$7:$E$56,"&gt;0")</x:f>
        <x:v>30</x:v>
      </x:c>
      <x:c r="H49" s="2" t="n">
        <x:f>COUNTIFS('日経_V15'!$E$7:$E$56,"&lt;0")</x:f>
        <x:v>20</x:v>
      </x:c>
      <x:c r="I49" s="19" t="n">
        <x:f>MAX(0,-MIN('日経_V15'!$E$7:$E$56))</x:f>
        <x:v>115000</x:v>
      </x:c>
      <x:c r="J49" s="19" t="n">
        <x:f>IF(H49=0,0,-SUMIFS('日経_V15'!$E$7:$E$56,'日経_V15'!$E$7:$E$56,"&lt;0")/H49)</x:f>
        <x:v>44200</x:v>
      </x:c>
      <x:c r="K49" s="19" t="n">
        <x:f>MEDIAN('日経_V15'!$E$7:$E$56)</x:f>
        <x:v>29500</x:v>
      </x:c>
      <x:c r="L49" s="19" t="n">
        <x:f>E49-MAX(0,LARGE('日経_V15'!$E$7:$E$56,1))-MAX(0,LARGE('日経_V15'!$E$7:$E$56,2))-MAX(0,LARGE('日経_V15'!$E$7:$E$56,3))</x:f>
        <x:v>2215000</x:v>
      </x:c>
      <x:c r="M49" s="2" t="n">
        <x:f>'日経_V15'!G57</x:f>
        <x:v>396</x:v>
      </x:c>
    </x:row>
    <x:row r="50" ht="42" customHeight="1">
      <x:c r="A50" s="2" t="str">
        <x:v>V17</x:v>
      </x:c>
      <x:c r="B50" s="23" t="str">
        <x:v>V10の確認ドテンに40分差と平均の方向一致</x:v>
      </x:c>
      <x:c r="C50" s="19" t="n">
        <x:f>'日経_V17'!C57</x:f>
        <x:v>8717000</x:v>
      </x:c>
      <x:c r="D50" s="19" t="n">
        <x:f>'日経_V17'!D57</x:f>
        <x:v>4128000</x:v>
      </x:c>
      <x:c r="E50" s="19" t="n">
        <x:f>'日経_V17'!E57</x:f>
        <x:v>4589000</x:v>
      </x:c>
      <x:c r="F50" s="24" t="n">
        <x:f>IF(D50=0,"損失なし",C50/D50)</x:f>
        <x:v>2.111676356589147</x:v>
      </x:c>
      <x:c r="G50" s="2" t="n">
        <x:f>COUNTIFS('日経_V17'!$E$7:$E$56,"&gt;0")</x:f>
        <x:v>33</x:v>
      </x:c>
      <x:c r="H50" s="2" t="n">
        <x:f>COUNTIFS('日経_V17'!$E$7:$E$56,"&lt;0")</x:f>
        <x:v>17</x:v>
      </x:c>
      <x:c r="I50" s="19" t="n">
        <x:f>MAX(0,-MIN('日経_V17'!$E$7:$E$56))</x:f>
        <x:v>179000</x:v>
      </x:c>
      <x:c r="J50" s="19" t="n">
        <x:f>IF(H50=0,0,-SUMIFS('日経_V17'!$E$7:$E$56,'日経_V17'!$E$7:$E$56,"&lt;0")/H50)</x:f>
        <x:v>50647.05882352941</x:v>
      </x:c>
      <x:c r="K50" s="19" t="n">
        <x:f>MEDIAN('日経_V17'!$E$7:$E$56)</x:f>
        <x:v>51500</x:v>
      </x:c>
      <x:c r="L50" s="19" t="n">
        <x:f>E50-MAX(0,LARGE('日経_V17'!$E$7:$E$56,1))-MAX(0,LARGE('日経_V17'!$E$7:$E$56,2))-MAX(0,LARGE('日経_V17'!$E$7:$E$56,3))</x:f>
        <x:v>2774000</x:v>
      </x:c>
      <x:c r="M50" s="2" t="n">
        <x:f>'日経_V17'!G57</x:f>
        <x:v>459</x:v>
      </x:c>
    </x:row>
  </x:sheetData>
  <x:conditionalFormatting sqref="C7:E50">
    <x:cfRule type="cellIs" dxfId="44" priority="1" operator="lessThan">
      <x:formula>0</x:formula>
    </x:cfRule>
  </x:conditionalFormatting>
  <x:conditionalFormatting sqref="I7:L50">
    <x:cfRule type="cellIs" dxfId="45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8a2c262b7d0418a"/>
  </x:tableParts>
</x:worksheet>
</file>

<file path=xl/worksheets/sheet2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昼夜・始終値方向を分けた比較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6" t="str">
        <x:v>方向は事後分類。終値・当日の最終値幅を売買判断には使いません。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0" customHeight="1">
      <x:c r="A6" s="15" t="str">
        <x:v>手法ID</x:v>
      </x:c>
      <x:c r="B6" s="16" t="str">
        <x:v>区分</x:v>
      </x:c>
      <x:c r="C6" s="16" t="str">
        <x:v>場数</x:v>
      </x:c>
      <x:c r="D6" s="16" t="str">
        <x:v>利益（円）</x:v>
      </x:c>
      <x:c r="E6" s="16" t="str">
        <x:v>損失（円）</x:v>
      </x:c>
      <x:c r="F6" s="16" t="str">
        <x:v>収支（円）</x:v>
      </x:c>
      <x:c r="G6" s="16" t="str">
        <x:v>利益損失比</x:v>
      </x:c>
      <x:c r="H6" s="16" t="str">
        <x:v>赤字場</x:v>
      </x:c>
      <x:c r="I6" s="16" t="str">
        <x:v>平均赤字（円）</x:v>
      </x:c>
      <x:c r="J6" s="16" t="str">
        <x:v>最大赤字（円）</x:v>
      </x:c>
      <x:c r="K6" s="17" t="str">
        <x:v>新規件数</x:v>
      </x:c>
    </x:row>
    <x:row r="7" ht="23" customHeight="1">
      <x:c r="A7" s="2" t="str">
        <x:v>TG04Z</x:v>
      </x:c>
      <x:c r="B7" s="2" t="str">
        <x:v>デイ</x:v>
      </x:c>
      <x:c r="C7" s="2" t="n">
        <x:f>COUNTIFS('日経_TG04Z'!$B$7:$B$56,B7)</x:f>
        <x:v>25</x:v>
      </x:c>
      <x:c r="D7" s="19" t="n">
        <x:f>SUMIFS('日経_TG04Z'!$C$7:$C$56,'日経_TG04Z'!$B$7:$B$56,B7)</x:f>
        <x:v>4930000</x:v>
      </x:c>
      <x:c r="E7" s="19" t="n">
        <x:f>SUMIFS('日経_TG04Z'!$D$7:$D$56,'日経_TG04Z'!$B$7:$B$56,B7)</x:f>
        <x:v>2433000</x:v>
      </x:c>
      <x:c r="F7" s="19" t="n">
        <x:f>D7-E7</x:f>
        <x:v>2497000</x:v>
      </x:c>
      <x:c r="G7" s="24" t="n">
        <x:f>IF(E7=0,"損失なし",D7/E7)</x:f>
        <x:v>2.0263049732840117</x:v>
      </x:c>
      <x:c r="H7" s="2" t="n">
        <x:f>COUNTIFS('日経_TG04Z'!$B$7:$B$56,B7,'日経_TG04Z'!$E$7:$E$56,"&lt;0")</x:f>
        <x:v>8</x:v>
      </x:c>
      <x:c r="I7" s="19" t="n">
        <x:f>IF(H7=0,0,-SUMIFS('日経_TG04Z'!$E$7:$E$56,'日経_TG04Z'!$B$7:$B$56,B7,'日経_TG04Z'!$E$7:$E$56,"&lt;0")/H7)</x:f>
        <x:v>55750</x:v>
      </x:c>
      <x:c r="J7" s="19" t="n">
        <x:v>105000</x:v>
      </x:c>
      <x:c r="K7" s="2" t="n">
        <x:f>SUMIFS('日経_TG04Z'!$G$7:$G$56,'日経_TG04Z'!$B$7:$B$56,B7)</x:f>
        <x:v>201</x:v>
      </x:c>
    </x:row>
    <x:row r="8" ht="23" customHeight="1">
      <x:c r="A8" s="2" t="str">
        <x:v>TG04Z</x:v>
      </x:c>
      <x:c r="B8" s="2" t="str">
        <x:v>ナイト</x:v>
      </x:c>
      <x:c r="C8" s="2" t="n">
        <x:f>COUNTIFS('日経_TG04Z'!$B$7:$B$56,B8)</x:f>
        <x:v>25</x:v>
      </x:c>
      <x:c r="D8" s="19" t="n">
        <x:f>SUMIFS('日経_TG04Z'!$C$7:$C$56,'日経_TG04Z'!$B$7:$B$56,B8)</x:f>
        <x:v>2198000</x:v>
      </x:c>
      <x:c r="E8" s="19" t="n">
        <x:f>SUMIFS('日経_TG04Z'!$D$7:$D$56,'日経_TG04Z'!$B$7:$B$56,B8)</x:f>
        <x:v>895000</x:v>
      </x:c>
      <x:c r="F8" s="19" t="n">
        <x:f>D8-E8</x:f>
        <x:v>1303000</x:v>
      </x:c>
      <x:c r="G8" s="24" t="n">
        <x:f>IF(E8=0,"損失なし",D8/E8)</x:f>
        <x:v>2.4558659217877095</x:v>
      </x:c>
      <x:c r="H8" s="2" t="n">
        <x:f>COUNTIFS('日経_TG04Z'!$B$7:$B$56,B8,'日経_TG04Z'!$E$7:$E$56,"&lt;0")</x:f>
        <x:v>10</x:v>
      </x:c>
      <x:c r="I8" s="19" t="n">
        <x:f>IF(H8=0,0,-SUMIFS('日経_TG04Z'!$E$7:$E$56,'日経_TG04Z'!$B$7:$B$56,B8,'日経_TG04Z'!$E$7:$E$56,"&lt;0")/H8)</x:f>
        <x:v>32100</x:v>
      </x:c>
      <x:c r="J8" s="19" t="n">
        <x:v>53000</x:v>
      </x:c>
      <x:c r="K8" s="2" t="n">
        <x:f>SUMIFS('日経_TG04Z'!$G$7:$G$56,'日経_TG04Z'!$B$7:$B$56,B8)</x:f>
        <x:v>134</x:v>
      </x:c>
    </x:row>
    <x:row r="9" ht="23" customHeight="1">
      <x:c r="A9" s="2" t="str">
        <x:v>TG04Z</x:v>
      </x:c>
      <x:c r="B9" s="2" t="str">
        <x:v>上昇</x:v>
      </x:c>
      <x:c r="C9" s="2" t="n">
        <x:f>COUNTIFS('日経_TG04Z'!$I$7:$I$56,B9)</x:f>
        <x:v>24</x:v>
      </x:c>
      <x:c r="D9" s="19" t="n">
        <x:f>SUMIFS('日経_TG04Z'!$C$7:$C$56,'日経_TG04Z'!$I$7:$I$56,B9)</x:f>
        <x:v>3520000</x:v>
      </x:c>
      <x:c r="E9" s="19" t="n">
        <x:f>SUMIFS('日経_TG04Z'!$D$7:$D$56,'日経_TG04Z'!$I$7:$I$56,B9)</x:f>
        <x:v>1534000</x:v>
      </x:c>
      <x:c r="F9" s="19" t="n">
        <x:f>D9-E9</x:f>
        <x:v>1986000</x:v>
      </x:c>
      <x:c r="G9" s="24" t="n">
        <x:f>IF(E9=0,"損失なし",D9/E9)</x:f>
        <x:v>2.2946544980443284</x:v>
      </x:c>
      <x:c r="H9" s="2" t="n">
        <x:f>COUNTIFS('日経_TG04Z'!$I$7:$I$56,B9,'日経_TG04Z'!$E$7:$E$56,"&lt;0")</x:f>
        <x:v>9</x:v>
      </x:c>
      <x:c r="I9" s="19" t="n">
        <x:f>IF(H9=0,0,-SUMIFS('日経_TG04Z'!$E$7:$E$56,'日経_TG04Z'!$I$7:$I$56,B9,'日経_TG04Z'!$E$7:$E$56,"&lt;0")/H9)</x:f>
        <x:v>42111.11111111111</x:v>
      </x:c>
      <x:c r="J9" s="19" t="n">
        <x:v>81000</x:v>
      </x:c>
      <x:c r="K9" s="2" t="n">
        <x:f>SUMIFS('日経_TG04Z'!$G$7:$G$56,'日経_TG04Z'!$I$7:$I$56,B9)</x:f>
        <x:v>176</x:v>
      </x:c>
    </x:row>
    <x:row r="10" ht="23" customHeight="1">
      <x:c r="A10" s="2" t="str">
        <x:v>TG04Z</x:v>
      </x:c>
      <x:c r="B10" s="2" t="str">
        <x:v>下落</x:v>
      </x:c>
      <x:c r="C10" s="2" t="n">
        <x:f>COUNTIFS('日経_TG04Z'!$I$7:$I$56,B10)</x:f>
        <x:v>26</x:v>
      </x:c>
      <x:c r="D10" s="19" t="n">
        <x:f>SUMIFS('日経_TG04Z'!$C$7:$C$56,'日経_TG04Z'!$I$7:$I$56,B10)</x:f>
        <x:v>3608000</x:v>
      </x:c>
      <x:c r="E10" s="19" t="n">
        <x:f>SUMIFS('日経_TG04Z'!$D$7:$D$56,'日経_TG04Z'!$I$7:$I$56,B10)</x:f>
        <x:v>1794000</x:v>
      </x:c>
      <x:c r="F10" s="19" t="n">
        <x:f>D10-E10</x:f>
        <x:v>1814000</x:v>
      </x:c>
      <x:c r="G10" s="24" t="n">
        <x:f>IF(E10=0,"損失なし",D10/E10)</x:f>
        <x:v>2.011148272017837</x:v>
      </x:c>
      <x:c r="H10" s="2" t="n">
        <x:f>COUNTIFS('日経_TG04Z'!$I$7:$I$56,B10,'日経_TG04Z'!$E$7:$E$56,"&lt;0")</x:f>
        <x:v>9</x:v>
      </x:c>
      <x:c r="I10" s="19" t="n">
        <x:f>IF(H10=0,0,-SUMIFS('日経_TG04Z'!$E$7:$E$56,'日経_TG04Z'!$I$7:$I$56,B10,'日経_TG04Z'!$E$7:$E$56,"&lt;0")/H10)</x:f>
        <x:v>43111.11111111111</x:v>
      </x:c>
      <x:c r="J10" s="19" t="n">
        <x:v>105000</x:v>
      </x:c>
      <x:c r="K10" s="2" t="n">
        <x:f>SUMIFS('日経_TG04Z'!$G$7:$G$56,'日経_TG04Z'!$I$7:$I$56,B10)</x:f>
        <x:v>159</x:v>
      </x:c>
    </x:row>
    <x:row r="11" ht="23" customHeight="1">
      <x:c r="A11" s="2" t="str">
        <x:v>D07</x:v>
      </x:c>
      <x:c r="B11" s="2" t="str">
        <x:v>デイ</x:v>
      </x:c>
      <x:c r="C11" s="2" t="n">
        <x:f>COUNTIFS('日経_D07'!$B$7:$B$56,B11)</x:f>
        <x:v>25</x:v>
      </x:c>
      <x:c r="D11" s="19" t="n">
        <x:f>SUMIFS('日経_D07'!$C$7:$C$56,'日経_D07'!$B$7:$B$56,B11)</x:f>
        <x:v>4805000</x:v>
      </x:c>
      <x:c r="E11" s="19" t="n">
        <x:f>SUMIFS('日経_D07'!$D$7:$D$56,'日経_D07'!$B$7:$B$56,B11)</x:f>
        <x:v>2281000</x:v>
      </x:c>
      <x:c r="F11" s="19" t="n">
        <x:f>D11-E11</x:f>
        <x:v>2524000</x:v>
      </x:c>
      <x:c r="G11" s="24" t="n">
        <x:f>IF(E11=0,"損失なし",D11/E11)</x:f>
        <x:v>2.106532222709338</x:v>
      </x:c>
      <x:c r="H11" s="2" t="n">
        <x:f>COUNTIFS('日経_D07'!$B$7:$B$56,B11,'日経_D07'!$E$7:$E$56,"&lt;0")</x:f>
        <x:v>4</x:v>
      </x:c>
      <x:c r="I11" s="19" t="n">
        <x:f>IF(H11=0,0,-SUMIFS('日経_D07'!$E$7:$E$56,'日経_D07'!$B$7:$B$56,B11,'日経_D07'!$E$7:$E$56,"&lt;0")/H11)</x:f>
        <x:v>52500</x:v>
      </x:c>
      <x:c r="J11" s="19" t="n">
        <x:v>105000</x:v>
      </x:c>
      <x:c r="K11" s="2" t="n">
        <x:f>SUMIFS('日経_D07'!$G$7:$G$56,'日経_D07'!$B$7:$B$56,B11)</x:f>
        <x:v>188</x:v>
      </x:c>
    </x:row>
    <x:row r="12" ht="23" customHeight="1">
      <x:c r="A12" s="2" t="str">
        <x:v>D07</x:v>
      </x:c>
      <x:c r="B12" s="2" t="str">
        <x:v>ナイト</x:v>
      </x:c>
      <x:c r="C12" s="2" t="n">
        <x:f>COUNTIFS('日経_D07'!$B$7:$B$56,B12)</x:f>
        <x:v>25</x:v>
      </x:c>
      <x:c r="D12" s="19" t="n">
        <x:f>SUMIFS('日経_D07'!$C$7:$C$56,'日経_D07'!$B$7:$B$56,B12)</x:f>
        <x:v>2884000</x:v>
      </x:c>
      <x:c r="E12" s="19" t="n">
        <x:f>SUMIFS('日経_D07'!$D$7:$D$56,'日経_D07'!$B$7:$B$56,B12)</x:f>
        <x:v>1249000</x:v>
      </x:c>
      <x:c r="F12" s="19" t="n">
        <x:f>D12-E12</x:f>
        <x:v>1635000</x:v>
      </x:c>
      <x:c r="G12" s="24" t="n">
        <x:f>IF(E12=0,"損失なし",D12/E12)</x:f>
        <x:v>2.309047237790232</x:v>
      </x:c>
      <x:c r="H12" s="2" t="n">
        <x:f>COUNTIFS('日経_D07'!$B$7:$B$56,B12,'日経_D07'!$E$7:$E$56,"&lt;0")</x:f>
        <x:v>8</x:v>
      </x:c>
      <x:c r="I12" s="19" t="n">
        <x:f>IF(H12=0,0,-SUMIFS('日経_D07'!$E$7:$E$56,'日経_D07'!$B$7:$B$56,B12,'日経_D07'!$E$7:$E$56,"&lt;0")/H12)</x:f>
        <x:v>32750</x:v>
      </x:c>
      <x:c r="J12" s="19" t="n">
        <x:v>53000</x:v>
      </x:c>
      <x:c r="K12" s="2" t="n">
        <x:f>SUMIFS('日経_D07'!$G$7:$G$56,'日経_D07'!$B$7:$B$56,B12)</x:f>
        <x:v>179</x:v>
      </x:c>
    </x:row>
    <x:row r="13" ht="23" customHeight="1">
      <x:c r="A13" s="2" t="str">
        <x:v>D07</x:v>
      </x:c>
      <x:c r="B13" s="2" t="str">
        <x:v>上昇</x:v>
      </x:c>
      <x:c r="C13" s="2" t="n">
        <x:f>COUNTIFS('日経_D07'!$I$7:$I$56,B13)</x:f>
        <x:v>24</x:v>
      </x:c>
      <x:c r="D13" s="19" t="n">
        <x:f>SUMIFS('日経_D07'!$C$7:$C$56,'日経_D07'!$I$7:$I$56,B13)</x:f>
        <x:v>3830000</x:v>
      </x:c>
      <x:c r="E13" s="19" t="n">
        <x:f>SUMIFS('日経_D07'!$D$7:$D$56,'日経_D07'!$I$7:$I$56,B13)</x:f>
        <x:v>1646000</x:v>
      </x:c>
      <x:c r="F13" s="19" t="n">
        <x:f>D13-E13</x:f>
        <x:v>2184000</x:v>
      </x:c>
      <x:c r="G13" s="24" t="n">
        <x:f>IF(E13=0,"損失なし",D13/E13)</x:f>
        <x:v>2.32685297691373</x:v>
      </x:c>
      <x:c r="H13" s="2" t="n">
        <x:f>COUNTIFS('日経_D07'!$I$7:$I$56,B13,'日経_D07'!$E$7:$E$56,"&lt;0")</x:f>
        <x:v>7</x:v>
      </x:c>
      <x:c r="I13" s="19" t="n">
        <x:f>IF(H13=0,0,-SUMIFS('日経_D07'!$E$7:$E$56,'日経_D07'!$I$7:$I$56,B13,'日経_D07'!$E$7:$E$56,"&lt;0")/H13)</x:f>
        <x:v>34285.71428571428</x:v>
      </x:c>
      <x:c r="J13" s="19" t="n">
        <x:v>60000</x:v>
      </x:c>
      <x:c r="K13" s="2" t="n">
        <x:f>SUMIFS('日経_D07'!$G$7:$G$56,'日経_D07'!$I$7:$I$56,B13)</x:f>
        <x:v>192</x:v>
      </x:c>
    </x:row>
    <x:row r="14" ht="23" customHeight="1">
      <x:c r="A14" s="2" t="str">
        <x:v>D07</x:v>
      </x:c>
      <x:c r="B14" s="2" t="str">
        <x:v>下落</x:v>
      </x:c>
      <x:c r="C14" s="2" t="n">
        <x:f>COUNTIFS('日経_D07'!$I$7:$I$56,B14)</x:f>
        <x:v>26</x:v>
      </x:c>
      <x:c r="D14" s="19" t="n">
        <x:f>SUMIFS('日経_D07'!$C$7:$C$56,'日経_D07'!$I$7:$I$56,B14)</x:f>
        <x:v>3859000</x:v>
      </x:c>
      <x:c r="E14" s="19" t="n">
        <x:f>SUMIFS('日経_D07'!$D$7:$D$56,'日経_D07'!$I$7:$I$56,B14)</x:f>
        <x:v>1884000</x:v>
      </x:c>
      <x:c r="F14" s="19" t="n">
        <x:f>D14-E14</x:f>
        <x:v>1975000</x:v>
      </x:c>
      <x:c r="G14" s="24" t="n">
        <x:f>IF(E14=0,"損失なし",D14/E14)</x:f>
        <x:v>2.048301486199575</x:v>
      </x:c>
      <x:c r="H14" s="2" t="n">
        <x:f>COUNTIFS('日経_D07'!$I$7:$I$56,B14,'日経_D07'!$E$7:$E$56,"&lt;0")</x:f>
        <x:v>5</x:v>
      </x:c>
      <x:c r="I14" s="19" t="n">
        <x:f>IF(H14=0,0,-SUMIFS('日経_D07'!$E$7:$E$56,'日経_D07'!$I$7:$I$56,B14,'日経_D07'!$E$7:$E$56,"&lt;0")/H14)</x:f>
        <x:v>46400</x:v>
      </x:c>
      <x:c r="J14" s="19" t="n">
        <x:v>105000</x:v>
      </x:c>
      <x:c r="K14" s="2" t="n">
        <x:f>SUMIFS('日経_D07'!$G$7:$G$56,'日経_D07'!$I$7:$I$56,B14)</x:f>
        <x:v>175</x:v>
      </x:c>
    </x:row>
    <x:row r="15" ht="23" customHeight="1">
      <x:c r="A15" s="2" t="str">
        <x:v>D03</x:v>
      </x:c>
      <x:c r="B15" s="2" t="str">
        <x:v>デイ</x:v>
      </x:c>
      <x:c r="C15" s="2" t="n">
        <x:f>COUNTIFS('日経_D03'!$B$7:$B$56,B15)</x:f>
        <x:v>25</x:v>
      </x:c>
      <x:c r="D15" s="19" t="n">
        <x:f>SUMIFS('日経_D03'!$C$7:$C$56,'日経_D03'!$B$7:$B$56,B15)</x:f>
        <x:v>4805000</x:v>
      </x:c>
      <x:c r="E15" s="19" t="n">
        <x:f>SUMIFS('日経_D03'!$D$7:$D$56,'日経_D03'!$B$7:$B$56,B15)</x:f>
        <x:v>2281000</x:v>
      </x:c>
      <x:c r="F15" s="19" t="n">
        <x:f>D15-E15</x:f>
        <x:v>2524000</x:v>
      </x:c>
      <x:c r="G15" s="24" t="n">
        <x:f>IF(E15=0,"損失なし",D15/E15)</x:f>
        <x:v>2.106532222709338</x:v>
      </x:c>
      <x:c r="H15" s="2" t="n">
        <x:f>COUNTIFS('日経_D03'!$B$7:$B$56,B15,'日経_D03'!$E$7:$E$56,"&lt;0")</x:f>
        <x:v>4</x:v>
      </x:c>
      <x:c r="I15" s="19" t="n">
        <x:f>IF(H15=0,0,-SUMIFS('日経_D03'!$E$7:$E$56,'日経_D03'!$B$7:$B$56,B15,'日経_D03'!$E$7:$E$56,"&lt;0")/H15)</x:f>
        <x:v>52500</x:v>
      </x:c>
      <x:c r="J15" s="19" t="n">
        <x:v>105000</x:v>
      </x:c>
      <x:c r="K15" s="2" t="n">
        <x:f>SUMIFS('日経_D03'!$G$7:$G$56,'日経_D03'!$B$7:$B$56,B15)</x:f>
        <x:v>188</x:v>
      </x:c>
    </x:row>
    <x:row r="16" ht="23" customHeight="1">
      <x:c r="A16" s="2" t="str">
        <x:v>D03</x:v>
      </x:c>
      <x:c r="B16" s="2" t="str">
        <x:v>ナイト</x:v>
      </x:c>
      <x:c r="C16" s="2" t="n">
        <x:f>COUNTIFS('日経_D03'!$B$7:$B$56,B16)</x:f>
        <x:v>25</x:v>
      </x:c>
      <x:c r="D16" s="19" t="n">
        <x:f>SUMIFS('日経_D03'!$C$7:$C$56,'日経_D03'!$B$7:$B$56,B16)</x:f>
        <x:v>2944000</x:v>
      </x:c>
      <x:c r="E16" s="19" t="n">
        <x:f>SUMIFS('日経_D03'!$D$7:$D$56,'日経_D03'!$B$7:$B$56,B16)</x:f>
        <x:v>1250000</x:v>
      </x:c>
      <x:c r="F16" s="19" t="n">
        <x:f>D16-E16</x:f>
        <x:v>1694000</x:v>
      </x:c>
      <x:c r="G16" s="24" t="n">
        <x:f>IF(E16=0,"損失なし",D16/E16)</x:f>
        <x:v>2.3552</x:v>
      </x:c>
      <x:c r="H16" s="2" t="n">
        <x:f>COUNTIFS('日経_D03'!$B$7:$B$56,B16,'日経_D03'!$E$7:$E$56,"&lt;0")</x:f>
        <x:v>9</x:v>
      </x:c>
      <x:c r="I16" s="19" t="n">
        <x:f>IF(H16=0,0,-SUMIFS('日経_D03'!$E$7:$E$56,'日経_D03'!$B$7:$B$56,B16,'日経_D03'!$E$7:$E$56,"&lt;0")/H16)</x:f>
        <x:v>30444.444444444445</x:v>
      </x:c>
      <x:c r="J16" s="19" t="n">
        <x:v>53000</x:v>
      </x:c>
      <x:c r="K16" s="2" t="n">
        <x:f>SUMIFS('日経_D03'!$G$7:$G$56,'日経_D03'!$B$7:$B$56,B16)</x:f>
        <x:v>185</x:v>
      </x:c>
    </x:row>
    <x:row r="17" ht="23" customHeight="1">
      <x:c r="A17" s="2" t="str">
        <x:v>D03</x:v>
      </x:c>
      <x:c r="B17" s="2" t="str">
        <x:v>上昇</x:v>
      </x:c>
      <x:c r="C17" s="2" t="n">
        <x:f>COUNTIFS('日経_D03'!$I$7:$I$56,B17)</x:f>
        <x:v>24</x:v>
      </x:c>
      <x:c r="D17" s="19" t="n">
        <x:f>SUMIFS('日経_D03'!$C$7:$C$56,'日経_D03'!$I$7:$I$56,B17)</x:f>
        <x:v>3797000</x:v>
      </x:c>
      <x:c r="E17" s="19" t="n">
        <x:f>SUMIFS('日経_D03'!$D$7:$D$56,'日経_D03'!$I$7:$I$56,B17)</x:f>
        <x:v>1629000</x:v>
      </x:c>
      <x:c r="F17" s="19" t="n">
        <x:f>D17-E17</x:f>
        <x:v>2168000</x:v>
      </x:c>
      <x:c r="G17" s="24" t="n">
        <x:f>IF(E17=0,"損失なし",D17/E17)</x:f>
        <x:v>2.330877839165132</x:v>
      </x:c>
      <x:c r="H17" s="2" t="n">
        <x:f>COUNTIFS('日経_D03'!$I$7:$I$56,B17,'日経_D03'!$E$7:$E$56,"&lt;0")</x:f>
        <x:v>7</x:v>
      </x:c>
      <x:c r="I17" s="19" t="n">
        <x:f>IF(H17=0,0,-SUMIFS('日経_D03'!$E$7:$E$56,'日経_D03'!$I$7:$I$56,B17,'日経_D03'!$E$7:$E$56,"&lt;0")/H17)</x:f>
        <x:v>34285.71428571428</x:v>
      </x:c>
      <x:c r="J17" s="19" t="n">
        <x:v>60000</x:v>
      </x:c>
      <x:c r="K17" s="2" t="n">
        <x:f>SUMIFS('日経_D03'!$G$7:$G$56,'日経_D03'!$I$7:$I$56,B17)</x:f>
        <x:v>200</x:v>
      </x:c>
    </x:row>
    <x:row r="18" ht="23" customHeight="1">
      <x:c r="A18" s="2" t="str">
        <x:v>D03</x:v>
      </x:c>
      <x:c r="B18" s="2" t="str">
        <x:v>下落</x:v>
      </x:c>
      <x:c r="C18" s="2" t="n">
        <x:f>COUNTIFS('日経_D03'!$I$7:$I$56,B18)</x:f>
        <x:v>26</x:v>
      </x:c>
      <x:c r="D18" s="19" t="n">
        <x:f>SUMIFS('日経_D03'!$C$7:$C$56,'日経_D03'!$I$7:$I$56,B18)</x:f>
        <x:v>3952000</x:v>
      </x:c>
      <x:c r="E18" s="19" t="n">
        <x:f>SUMIFS('日経_D03'!$D$7:$D$56,'日経_D03'!$I$7:$I$56,B18)</x:f>
        <x:v>1902000</x:v>
      </x:c>
      <x:c r="F18" s="19" t="n">
        <x:f>D18-E18</x:f>
        <x:v>2050000</x:v>
      </x:c>
      <x:c r="G18" s="24" t="n">
        <x:f>IF(E18=0,"損失なし",D18/E18)</x:f>
        <x:v>2.077812828601472</x:v>
      </x:c>
      <x:c r="H18" s="2" t="n">
        <x:f>COUNTIFS('日経_D03'!$I$7:$I$56,B18,'日経_D03'!$E$7:$E$56,"&lt;0")</x:f>
        <x:v>6</x:v>
      </x:c>
      <x:c r="I18" s="19" t="n">
        <x:f>IF(H18=0,0,-SUMIFS('日経_D03'!$E$7:$E$56,'日経_D03'!$I$7:$I$56,B18,'日経_D03'!$E$7:$E$56,"&lt;0")/H18)</x:f>
        <x:v>40666.666666666664</x:v>
      </x:c>
      <x:c r="J18" s="19" t="n">
        <x:v>105000</x:v>
      </x:c>
      <x:c r="K18" s="2" t="n">
        <x:f>SUMIFS('日経_D03'!$G$7:$G$56,'日経_D03'!$I$7:$I$56,B18)</x:f>
        <x:v>173</x:v>
      </x:c>
    </x:row>
    <x:row r="19" ht="23" customHeight="1">
      <x:c r="A19" s="2" t="str">
        <x:v>D04</x:v>
      </x:c>
      <x:c r="B19" s="2" t="str">
        <x:v>デイ</x:v>
      </x:c>
      <x:c r="C19" s="2" t="n">
        <x:f>COUNTIFS('日経_D04'!$B$7:$B$56,B19)</x:f>
        <x:v>25</x:v>
      </x:c>
      <x:c r="D19" s="19" t="n">
        <x:f>SUMIFS('日経_D04'!$C$7:$C$56,'日経_D04'!$B$7:$B$56,B19)</x:f>
        <x:v>4805000</x:v>
      </x:c>
      <x:c r="E19" s="19" t="n">
        <x:f>SUMIFS('日経_D04'!$D$7:$D$56,'日経_D04'!$B$7:$B$56,B19)</x:f>
        <x:v>2281000</x:v>
      </x:c>
      <x:c r="F19" s="19" t="n">
        <x:f>D19-E19</x:f>
        <x:v>2524000</x:v>
      </x:c>
      <x:c r="G19" s="24" t="n">
        <x:f>IF(E19=0,"損失なし",D19/E19)</x:f>
        <x:v>2.106532222709338</x:v>
      </x:c>
      <x:c r="H19" s="2" t="n">
        <x:f>COUNTIFS('日経_D04'!$B$7:$B$56,B19,'日経_D04'!$E$7:$E$56,"&lt;0")</x:f>
        <x:v>4</x:v>
      </x:c>
      <x:c r="I19" s="19" t="n">
        <x:f>IF(H19=0,0,-SUMIFS('日経_D04'!$E$7:$E$56,'日経_D04'!$B$7:$B$56,B19,'日経_D04'!$E$7:$E$56,"&lt;0")/H19)</x:f>
        <x:v>52500</x:v>
      </x:c>
      <x:c r="J19" s="19" t="n">
        <x:v>105000</x:v>
      </x:c>
      <x:c r="K19" s="2" t="n">
        <x:f>SUMIFS('日経_D04'!$G$7:$G$56,'日経_D04'!$B$7:$B$56,B19)</x:f>
        <x:v>188</x:v>
      </x:c>
    </x:row>
    <x:row r="20" ht="23" customHeight="1">
      <x:c r="A20" s="2" t="str">
        <x:v>D04</x:v>
      </x:c>
      <x:c r="B20" s="2" t="str">
        <x:v>ナイト</x:v>
      </x:c>
      <x:c r="C20" s="2" t="n">
        <x:f>COUNTIFS('日経_D04'!$B$7:$B$56,B20)</x:f>
        <x:v>25</x:v>
      </x:c>
      <x:c r="D20" s="19" t="n">
        <x:f>SUMIFS('日経_D04'!$C$7:$C$56,'日経_D04'!$B$7:$B$56,B20)</x:f>
        <x:v>2478000</x:v>
      </x:c>
      <x:c r="E20" s="19" t="n">
        <x:f>SUMIFS('日経_D04'!$D$7:$D$56,'日経_D04'!$B$7:$B$56,B20)</x:f>
        <x:v>1045000</x:v>
      </x:c>
      <x:c r="F20" s="19" t="n">
        <x:f>D20-E20</x:f>
        <x:v>1433000</x:v>
      </x:c>
      <x:c r="G20" s="24" t="n">
        <x:f>IF(E20=0,"損失なし",D20/E20)</x:f>
        <x:v>2.371291866028708</x:v>
      </x:c>
      <x:c r="H20" s="2" t="n">
        <x:f>COUNTIFS('日経_D04'!$B$7:$B$56,B20,'日経_D04'!$E$7:$E$56,"&lt;0")</x:f>
        <x:v>9</x:v>
      </x:c>
      <x:c r="I20" s="19" t="n">
        <x:f>IF(H20=0,0,-SUMIFS('日経_D04'!$E$7:$E$56,'日経_D04'!$B$7:$B$56,B20,'日経_D04'!$E$7:$E$56,"&lt;0")/H20)</x:f>
        <x:v>31444.444444444445</x:v>
      </x:c>
      <x:c r="J20" s="19" t="n">
        <x:v>53000</x:v>
      </x:c>
      <x:c r="K20" s="2" t="n">
        <x:f>SUMIFS('日経_D04'!$G$7:$G$56,'日経_D04'!$B$7:$B$56,B20)</x:f>
        <x:v>148</x:v>
      </x:c>
    </x:row>
    <x:row r="21" ht="23" customHeight="1">
      <x:c r="A21" s="2" t="str">
        <x:v>D04</x:v>
      </x:c>
      <x:c r="B21" s="2" t="str">
        <x:v>上昇</x:v>
      </x:c>
      <x:c r="C21" s="2" t="n">
        <x:f>COUNTIFS('日経_D04'!$I$7:$I$56,B21)</x:f>
        <x:v>24</x:v>
      </x:c>
      <x:c r="D21" s="19" t="n">
        <x:f>SUMIFS('日経_D04'!$C$7:$C$56,'日経_D04'!$I$7:$I$56,B21)</x:f>
        <x:v>3581000</x:v>
      </x:c>
      <x:c r="E21" s="19" t="n">
        <x:f>SUMIFS('日経_D04'!$D$7:$D$56,'日経_D04'!$I$7:$I$56,B21)</x:f>
        <x:v>1517000</x:v>
      </x:c>
      <x:c r="F21" s="19" t="n">
        <x:f>D21-E21</x:f>
        <x:v>2064000</x:v>
      </x:c>
      <x:c r="G21" s="24" t="n">
        <x:f>IF(E21=0,"損失なし",D21/E21)</x:f>
        <x:v>2.3605800922874094</x:v>
      </x:c>
      <x:c r="H21" s="2" t="n">
        <x:f>COUNTIFS('日経_D04'!$I$7:$I$56,B21,'日経_D04'!$E$7:$E$56,"&lt;0")</x:f>
        <x:v>8</x:v>
      </x:c>
      <x:c r="I21" s="19" t="n">
        <x:f>IF(H21=0,0,-SUMIFS('日経_D04'!$E$7:$E$56,'日経_D04'!$I$7:$I$56,B21,'日経_D04'!$E$7:$E$56,"&lt;0")/H21)</x:f>
        <x:v>32500</x:v>
      </x:c>
      <x:c r="J21" s="19" t="n">
        <x:v>60000</x:v>
      </x:c>
      <x:c r="K21" s="2" t="n">
        <x:f>SUMIFS('日経_D04'!$G$7:$G$56,'日経_D04'!$I$7:$I$56,B21)</x:f>
        <x:v>173</x:v>
      </x:c>
    </x:row>
    <x:row r="22" ht="23" customHeight="1">
      <x:c r="A22" s="2" t="str">
        <x:v>D04</x:v>
      </x:c>
      <x:c r="B22" s="2" t="str">
        <x:v>下落</x:v>
      </x:c>
      <x:c r="C22" s="2" t="n">
        <x:f>COUNTIFS('日経_D04'!$I$7:$I$56,B22)</x:f>
        <x:v>26</x:v>
      </x:c>
      <x:c r="D22" s="19" t="n">
        <x:f>SUMIFS('日経_D04'!$C$7:$C$56,'日経_D04'!$I$7:$I$56,B22)</x:f>
        <x:v>3702000</x:v>
      </x:c>
      <x:c r="E22" s="19" t="n">
        <x:f>SUMIFS('日経_D04'!$D$7:$D$56,'日経_D04'!$I$7:$I$56,B22)</x:f>
        <x:v>1809000</x:v>
      </x:c>
      <x:c r="F22" s="19" t="n">
        <x:f>D22-E22</x:f>
        <x:v>1893000</x:v>
      </x:c>
      <x:c r="G22" s="24" t="n">
        <x:f>IF(E22=0,"損失なし",D22/E22)</x:f>
        <x:v>2.046434494195688</x:v>
      </x:c>
      <x:c r="H22" s="2" t="n">
        <x:f>COUNTIFS('日経_D04'!$I$7:$I$56,B22,'日経_D04'!$E$7:$E$56,"&lt;0")</x:f>
        <x:v>5</x:v>
      </x:c>
      <x:c r="I22" s="19" t="n">
        <x:f>IF(H22=0,0,-SUMIFS('日経_D04'!$E$7:$E$56,'日経_D04'!$I$7:$I$56,B22,'日経_D04'!$E$7:$E$56,"&lt;0")/H22)</x:f>
        <x:v>46600</x:v>
      </x:c>
      <x:c r="J22" s="19" t="n">
        <x:v>105000</x:v>
      </x:c>
      <x:c r="K22" s="2" t="n">
        <x:f>SUMIFS('日経_D04'!$G$7:$G$56,'日経_D04'!$I$7:$I$56,B22)</x:f>
        <x:v>163</x:v>
      </x:c>
    </x:row>
    <x:row r="23" ht="23" customHeight="1">
      <x:c r="A23" s="2" t="str">
        <x:v>P01</x:v>
      </x:c>
      <x:c r="B23" s="2" t="str">
        <x:v>デイ</x:v>
      </x:c>
      <x:c r="C23" s="2" t="n">
        <x:f>COUNTIFS('日経_P01'!$B$7:$B$56,B23)</x:f>
        <x:v>25</x:v>
      </x:c>
      <x:c r="D23" s="19" t="n">
        <x:f>SUMIFS('日経_P01'!$C$7:$C$56,'日経_P01'!$B$7:$B$56,B23)</x:f>
        <x:v>4942000</x:v>
      </x:c>
      <x:c r="E23" s="19" t="n">
        <x:f>SUMIFS('日経_P01'!$D$7:$D$56,'日経_P01'!$B$7:$B$56,B23)</x:f>
        <x:v>2429000</x:v>
      </x:c>
      <x:c r="F23" s="19" t="n">
        <x:f>D23-E23</x:f>
        <x:v>2513000</x:v>
      </x:c>
      <x:c r="G23" s="24" t="n">
        <x:f>IF(E23=0,"損失なし",D23/E23)</x:f>
        <x:v>2.0345821325648417</x:v>
      </x:c>
      <x:c r="H23" s="2" t="n">
        <x:f>COUNTIFS('日経_P01'!$B$7:$B$56,B23,'日経_P01'!$E$7:$E$56,"&lt;0")</x:f>
        <x:v>5</x:v>
      </x:c>
      <x:c r="I23" s="19" t="n">
        <x:f>IF(H23=0,0,-SUMIFS('日経_P01'!$E$7:$E$56,'日経_P01'!$B$7:$B$56,B23,'日経_P01'!$E$7:$E$56,"&lt;0")/H23)</x:f>
        <x:v>50200</x:v>
      </x:c>
      <x:c r="J23" s="19" t="n">
        <x:v>105000</x:v>
      </x:c>
      <x:c r="K23" s="2" t="n">
        <x:f>SUMIFS('日経_P01'!$G$7:$G$56,'日経_P01'!$B$7:$B$56,B23)</x:f>
        <x:v>202</x:v>
      </x:c>
    </x:row>
    <x:row r="24" ht="23" customHeight="1">
      <x:c r="A24" s="2" t="str">
        <x:v>P01</x:v>
      </x:c>
      <x:c r="B24" s="2" t="str">
        <x:v>ナイト</x:v>
      </x:c>
      <x:c r="C24" s="2" t="n">
        <x:f>COUNTIFS('日経_P01'!$B$7:$B$56,B24)</x:f>
        <x:v>25</x:v>
      </x:c>
      <x:c r="D24" s="19" t="n">
        <x:f>SUMIFS('日経_P01'!$C$7:$C$56,'日経_P01'!$B$7:$B$56,B24)</x:f>
        <x:v>2198000</x:v>
      </x:c>
      <x:c r="E24" s="19" t="n">
        <x:f>SUMIFS('日経_P01'!$D$7:$D$56,'日経_P01'!$B$7:$B$56,B24)</x:f>
        <x:v>895000</x:v>
      </x:c>
      <x:c r="F24" s="19" t="n">
        <x:f>D24-E24</x:f>
        <x:v>1303000</x:v>
      </x:c>
      <x:c r="G24" s="24" t="n">
        <x:f>IF(E24=0,"損失なし",D24/E24)</x:f>
        <x:v>2.4558659217877095</x:v>
      </x:c>
      <x:c r="H24" s="2" t="n">
        <x:f>COUNTIFS('日経_P01'!$B$7:$B$56,B24,'日経_P01'!$E$7:$E$56,"&lt;0")</x:f>
        <x:v>10</x:v>
      </x:c>
      <x:c r="I24" s="19" t="n">
        <x:f>IF(H24=0,0,-SUMIFS('日経_P01'!$E$7:$E$56,'日経_P01'!$B$7:$B$56,B24,'日経_P01'!$E$7:$E$56,"&lt;0")/H24)</x:f>
        <x:v>32100</x:v>
      </x:c>
      <x:c r="J24" s="19" t="n">
        <x:v>53000</x:v>
      </x:c>
      <x:c r="K24" s="2" t="n">
        <x:f>SUMIFS('日経_P01'!$G$7:$G$56,'日経_P01'!$B$7:$B$56,B24)</x:f>
        <x:v>134</x:v>
      </x:c>
    </x:row>
    <x:row r="25" ht="23" customHeight="1">
      <x:c r="A25" s="2" t="str">
        <x:v>P01</x:v>
      </x:c>
      <x:c r="B25" s="2" t="str">
        <x:v>上昇</x:v>
      </x:c>
      <x:c r="C25" s="2" t="n">
        <x:f>COUNTIFS('日経_P01'!$I$7:$I$56,B25)</x:f>
        <x:v>24</x:v>
      </x:c>
      <x:c r="D25" s="19" t="n">
        <x:f>SUMIFS('日経_P01'!$C$7:$C$56,'日経_P01'!$I$7:$I$56,B25)</x:f>
        <x:v>3420000</x:v>
      </x:c>
      <x:c r="E25" s="19" t="n">
        <x:f>SUMIFS('日経_P01'!$D$7:$D$56,'日経_P01'!$I$7:$I$56,B25)</x:f>
        <x:v>1534000</x:v>
      </x:c>
      <x:c r="F25" s="19" t="n">
        <x:f>D25-E25</x:f>
        <x:v>1886000</x:v>
      </x:c>
      <x:c r="G25" s="24" t="n">
        <x:f>IF(E25=0,"損失なし",D25/E25)</x:f>
        <x:v>2.229465449804433</x:v>
      </x:c>
      <x:c r="H25" s="2" t="n">
        <x:f>COUNTIFS('日経_P01'!$I$7:$I$56,B25,'日経_P01'!$E$7:$E$56,"&lt;0")</x:f>
        <x:v>9</x:v>
      </x:c>
      <x:c r="I25" s="19" t="n">
        <x:f>IF(H25=0,0,-SUMIFS('日経_P01'!$E$7:$E$56,'日経_P01'!$I$7:$I$56,B25,'日経_P01'!$E$7:$E$56,"&lt;0")/H25)</x:f>
        <x:v>35888.88888888889</x:v>
      </x:c>
      <x:c r="J25" s="19" t="n">
        <x:v>63000</x:v>
      </x:c>
      <x:c r="K25" s="2" t="n">
        <x:f>SUMIFS('日経_P01'!$G$7:$G$56,'日経_P01'!$I$7:$I$56,B25)</x:f>
        <x:v>176</x:v>
      </x:c>
    </x:row>
    <x:row r="26" ht="23" customHeight="1">
      <x:c r="A26" s="2" t="str">
        <x:v>P01</x:v>
      </x:c>
      <x:c r="B26" s="2" t="str">
        <x:v>下落</x:v>
      </x:c>
      <x:c r="C26" s="2" t="n">
        <x:f>COUNTIFS('日経_P01'!$I$7:$I$56,B26)</x:f>
        <x:v>26</x:v>
      </x:c>
      <x:c r="D26" s="19" t="n">
        <x:f>SUMIFS('日経_P01'!$C$7:$C$56,'日経_P01'!$I$7:$I$56,B26)</x:f>
        <x:v>3720000</x:v>
      </x:c>
      <x:c r="E26" s="19" t="n">
        <x:f>SUMIFS('日経_P01'!$D$7:$D$56,'日経_P01'!$I$7:$I$56,B26)</x:f>
        <x:v>1790000</x:v>
      </x:c>
      <x:c r="F26" s="19" t="n">
        <x:f>D26-E26</x:f>
        <x:v>1930000</x:v>
      </x:c>
      <x:c r="G26" s="24" t="n">
        <x:f>IF(E26=0,"損失なし",D26/E26)</x:f>
        <x:v>2.078212290502793</x:v>
      </x:c>
      <x:c r="H26" s="2" t="n">
        <x:f>COUNTIFS('日経_P01'!$I$7:$I$56,B26,'日経_P01'!$E$7:$E$56,"&lt;0")</x:f>
        <x:v>6</x:v>
      </x:c>
      <x:c r="I26" s="19" t="n">
        <x:f>IF(H26=0,0,-SUMIFS('日経_P01'!$E$7:$E$56,'日経_P01'!$I$7:$I$56,B26,'日経_P01'!$E$7:$E$56,"&lt;0")/H26)</x:f>
        <x:v>41500</x:v>
      </x:c>
      <x:c r="J26" s="19" t="n">
        <x:v>105000</x:v>
      </x:c>
      <x:c r="K26" s="2" t="n">
        <x:f>SUMIFS('日経_P01'!$G$7:$G$56,'日経_P01'!$I$7:$I$56,B26)</x:f>
        <x:v>160</x:v>
      </x:c>
    </x:row>
    <x:row r="27" ht="23" customHeight="1">
      <x:c r="A27" s="2" t="str">
        <x:v>C02</x:v>
      </x:c>
      <x:c r="B27" s="2" t="str">
        <x:v>デイ</x:v>
      </x:c>
      <x:c r="C27" s="2" t="n">
        <x:f>COUNTIFS('日経_C02'!$B$7:$B$56,B27)</x:f>
        <x:v>25</x:v>
      </x:c>
      <x:c r="D27" s="19" t="n">
        <x:f>SUMIFS('日経_C02'!$C$7:$C$56,'日経_C02'!$B$7:$B$56,B27)</x:f>
        <x:v>4805000</x:v>
      </x:c>
      <x:c r="E27" s="19" t="n">
        <x:f>SUMIFS('日経_C02'!$D$7:$D$56,'日経_C02'!$B$7:$B$56,B27)</x:f>
        <x:v>2281000</x:v>
      </x:c>
      <x:c r="F27" s="19" t="n">
        <x:f>D27-E27</x:f>
        <x:v>2524000</x:v>
      </x:c>
      <x:c r="G27" s="24" t="n">
        <x:f>IF(E27=0,"損失なし",D27/E27)</x:f>
        <x:v>2.106532222709338</x:v>
      </x:c>
      <x:c r="H27" s="2" t="n">
        <x:f>COUNTIFS('日経_C02'!$B$7:$B$56,B27,'日経_C02'!$E$7:$E$56,"&lt;0")</x:f>
        <x:v>4</x:v>
      </x:c>
      <x:c r="I27" s="19" t="n">
        <x:f>IF(H27=0,0,-SUMIFS('日経_C02'!$E$7:$E$56,'日経_C02'!$B$7:$B$56,B27,'日経_C02'!$E$7:$E$56,"&lt;0")/H27)</x:f>
        <x:v>52500</x:v>
      </x:c>
      <x:c r="J27" s="19" t="n">
        <x:v>105000</x:v>
      </x:c>
      <x:c r="K27" s="2" t="n">
        <x:f>SUMIFS('日経_C02'!$G$7:$G$56,'日経_C02'!$B$7:$B$56,B27)</x:f>
        <x:v>188</x:v>
      </x:c>
    </x:row>
    <x:row r="28" ht="23" customHeight="1">
      <x:c r="A28" s="2" t="str">
        <x:v>C02</x:v>
      </x:c>
      <x:c r="B28" s="2" t="str">
        <x:v>ナイト</x:v>
      </x:c>
      <x:c r="C28" s="2" t="n">
        <x:f>COUNTIFS('日経_C02'!$B$7:$B$56,B28)</x:f>
        <x:v>25</x:v>
      </x:c>
      <x:c r="D28" s="19" t="n">
        <x:f>SUMIFS('日経_C02'!$C$7:$C$56,'日経_C02'!$B$7:$B$56,B28)</x:f>
        <x:v>2996000</x:v>
      </x:c>
      <x:c r="E28" s="19" t="n">
        <x:f>SUMIFS('日経_C02'!$D$7:$D$56,'日経_C02'!$B$7:$B$56,B28)</x:f>
        <x:v>1354000</x:v>
      </x:c>
      <x:c r="F28" s="19" t="n">
        <x:f>D28-E28</x:f>
        <x:v>1642000</x:v>
      </x:c>
      <x:c r="G28" s="24" t="n">
        <x:f>IF(E28=0,"損失なし",D28/E28)</x:f>
        <x:v>2.212703101920236</x:v>
      </x:c>
      <x:c r="H28" s="2" t="n">
        <x:f>COUNTIFS('日経_C02'!$B$7:$B$56,B28,'日経_C02'!$E$7:$E$56,"&lt;0")</x:f>
        <x:v>10</x:v>
      </x:c>
      <x:c r="I28" s="19" t="n">
        <x:f>IF(H28=0,0,-SUMIFS('日経_C02'!$E$7:$E$56,'日経_C02'!$B$7:$B$56,B28,'日経_C02'!$E$7:$E$56,"&lt;0")/H28)</x:f>
        <x:v>31900</x:v>
      </x:c>
      <x:c r="J28" s="19" t="n">
        <x:v>89000</x:v>
      </x:c>
      <x:c r="K28" s="2" t="n">
        <x:f>SUMIFS('日経_C02'!$G$7:$G$56,'日経_C02'!$B$7:$B$56,B28)</x:f>
        <x:v>195</x:v>
      </x:c>
    </x:row>
    <x:row r="29" ht="23" customHeight="1">
      <x:c r="A29" s="2" t="str">
        <x:v>C02</x:v>
      </x:c>
      <x:c r="B29" s="2" t="str">
        <x:v>上昇</x:v>
      </x:c>
      <x:c r="C29" s="2" t="n">
        <x:f>COUNTIFS('日経_C02'!$I$7:$I$56,B29)</x:f>
        <x:v>24</x:v>
      </x:c>
      <x:c r="D29" s="19" t="n">
        <x:f>SUMIFS('日経_C02'!$C$7:$C$56,'日経_C02'!$I$7:$I$56,B29)</x:f>
        <x:v>3820000</x:v>
      </x:c>
      <x:c r="E29" s="19" t="n">
        <x:f>SUMIFS('日経_C02'!$D$7:$D$56,'日経_C02'!$I$7:$I$56,B29)</x:f>
        <x:v>1704000</x:v>
      </x:c>
      <x:c r="F29" s="19" t="n">
        <x:f>D29-E29</x:f>
        <x:v>2116000</x:v>
      </x:c>
      <x:c r="G29" s="24" t="n">
        <x:f>IF(E29=0,"損失なし",D29/E29)</x:f>
        <x:v>2.2417840375586855</x:v>
      </x:c>
      <x:c r="H29" s="2" t="n">
        <x:f>COUNTIFS('日経_C02'!$I$7:$I$56,B29,'日経_C02'!$E$7:$E$56,"&lt;0")</x:f>
        <x:v>8</x:v>
      </x:c>
      <x:c r="I29" s="19" t="n">
        <x:f>IF(H29=0,0,-SUMIFS('日経_C02'!$E$7:$E$56,'日経_C02'!$I$7:$I$56,B29,'日経_C02'!$E$7:$E$56,"&lt;0")/H29)</x:f>
        <x:v>28750</x:v>
      </x:c>
      <x:c r="J29" s="19" t="n">
        <x:v>60000</x:v>
      </x:c>
      <x:c r="K29" s="2" t="n">
        <x:f>SUMIFS('日経_C02'!$G$7:$G$56,'日経_C02'!$I$7:$I$56,B29)</x:f>
        <x:v>206</x:v>
      </x:c>
    </x:row>
    <x:row r="30" ht="23" customHeight="1">
      <x:c r="A30" s="2" t="str">
        <x:v>C02</x:v>
      </x:c>
      <x:c r="B30" s="2" t="str">
        <x:v>下落</x:v>
      </x:c>
      <x:c r="C30" s="2" t="n">
        <x:f>COUNTIFS('日経_C02'!$I$7:$I$56,B30)</x:f>
        <x:v>26</x:v>
      </x:c>
      <x:c r="D30" s="19" t="n">
        <x:f>SUMIFS('日経_C02'!$C$7:$C$56,'日経_C02'!$I$7:$I$56,B30)</x:f>
        <x:v>3981000</x:v>
      </x:c>
      <x:c r="E30" s="19" t="n">
        <x:f>SUMIFS('日経_C02'!$D$7:$D$56,'日経_C02'!$I$7:$I$56,B30)</x:f>
        <x:v>1931000</x:v>
      </x:c>
      <x:c r="F30" s="19" t="n">
        <x:f>D30-E30</x:f>
        <x:v>2050000</x:v>
      </x:c>
      <x:c r="G30" s="24" t="n">
        <x:f>IF(E30=0,"損失なし",D30/E30)</x:f>
        <x:v>2.06162610046608</x:v>
      </x:c>
      <x:c r="H30" s="2" t="n">
        <x:f>COUNTIFS('日経_C02'!$I$7:$I$56,B30,'日経_C02'!$E$7:$E$56,"&lt;0")</x:f>
        <x:v>6</x:v>
      </x:c>
      <x:c r="I30" s="19" t="n">
        <x:f>IF(H30=0,0,-SUMIFS('日経_C02'!$E$7:$E$56,'日経_C02'!$I$7:$I$56,B30,'日経_C02'!$E$7:$E$56,"&lt;0")/H30)</x:f>
        <x:v>49833.333333333336</x:v>
      </x:c>
      <x:c r="J30" s="19" t="n">
        <x:v>105000</x:v>
      </x:c>
      <x:c r="K30" s="2" t="n">
        <x:f>SUMIFS('日経_C02'!$G$7:$G$56,'日経_C02'!$I$7:$I$56,B30)</x:f>
        <x:v>177</x:v>
      </x:c>
    </x:row>
    <x:row r="31" ht="23" customHeight="1">
      <x:c r="A31" s="2" t="str">
        <x:v>V16</x:v>
      </x:c>
      <x:c r="B31" s="2" t="str">
        <x:v>デイ</x:v>
      </x:c>
      <x:c r="C31" s="2" t="n">
        <x:f>COUNTIFS('日経_V16'!$B$7:$B$56,B31)</x:f>
        <x:v>25</x:v>
      </x:c>
      <x:c r="D31" s="19" t="n">
        <x:f>SUMIFS('日経_V16'!$C$7:$C$56,'日経_V16'!$B$7:$B$56,B31)</x:f>
        <x:v>5926000</x:v>
      </x:c>
      <x:c r="E31" s="19" t="n">
        <x:f>SUMIFS('日経_V16'!$D$7:$D$56,'日経_V16'!$B$7:$B$56,B31)</x:f>
        <x:v>2879000</x:v>
      </x:c>
      <x:c r="F31" s="19" t="n">
        <x:f>D31-E31</x:f>
        <x:v>3047000</x:v>
      </x:c>
      <x:c r="G31" s="24" t="n">
        <x:f>IF(E31=0,"損失なし",D31/E31)</x:f>
        <x:v>2.0583535949982634</x:v>
      </x:c>
      <x:c r="H31" s="2" t="n">
        <x:f>COUNTIFS('日経_V16'!$B$7:$B$56,B31,'日経_V16'!$E$7:$E$56,"&lt;0")</x:f>
        <x:v>8</x:v>
      </x:c>
      <x:c r="I31" s="19" t="n">
        <x:f>IF(H31=0,0,-SUMIFS('日経_V16'!$E$7:$E$56,'日経_V16'!$B$7:$B$56,B31,'日経_V16'!$E$7:$E$56,"&lt;0")/H31)</x:f>
        <x:v>70125</x:v>
      </x:c>
      <x:c r="J31" s="19" t="n">
        <x:v>179000</x:v>
      </x:c>
      <x:c r="K31" s="2" t="n">
        <x:f>SUMIFS('日経_V16'!$G$7:$G$56,'日経_V16'!$B$7:$B$56,B31)</x:f>
        <x:v>281</x:v>
      </x:c>
    </x:row>
    <x:row r="32" ht="23" customHeight="1">
      <x:c r="A32" s="2" t="str">
        <x:v>V16</x:v>
      </x:c>
      <x:c r="B32" s="2" t="str">
        <x:v>ナイト</x:v>
      </x:c>
      <x:c r="C32" s="2" t="n">
        <x:f>COUNTIFS('日経_V16'!$B$7:$B$56,B32)</x:f>
        <x:v>25</x:v>
      </x:c>
      <x:c r="D32" s="19" t="n">
        <x:f>SUMIFS('日経_V16'!$C$7:$C$56,'日経_V16'!$B$7:$B$56,B32)</x:f>
        <x:v>2791000</x:v>
      </x:c>
      <x:c r="E32" s="19" t="n">
        <x:f>SUMIFS('日経_V16'!$D$7:$D$56,'日経_V16'!$B$7:$B$56,B32)</x:f>
        <x:v>1249000</x:v>
      </x:c>
      <x:c r="F32" s="19" t="n">
        <x:f>D32-E32</x:f>
        <x:v>1542000</x:v>
      </x:c>
      <x:c r="G32" s="24" t="n">
        <x:f>IF(E32=0,"損失なし",D32/E32)</x:f>
        <x:v>2.2345876701361087</x:v>
      </x:c>
      <x:c r="H32" s="2" t="n">
        <x:f>COUNTIFS('日経_V16'!$B$7:$B$56,B32,'日経_V16'!$E$7:$E$56,"&lt;0")</x:f>
        <x:v>9</x:v>
      </x:c>
      <x:c r="I32" s="19" t="n">
        <x:f>IF(H32=0,0,-SUMIFS('日経_V16'!$E$7:$E$56,'日経_V16'!$B$7:$B$56,B32,'日経_V16'!$E$7:$E$56,"&lt;0")/H32)</x:f>
        <x:v>33333.333333333336</x:v>
      </x:c>
      <x:c r="J32" s="19" t="n">
        <x:v>53000</x:v>
      </x:c>
      <x:c r="K32" s="2" t="n">
        <x:f>SUMIFS('日経_V16'!$G$7:$G$56,'日経_V16'!$B$7:$B$56,B32)</x:f>
        <x:v>178</x:v>
      </x:c>
    </x:row>
    <x:row r="33" ht="23" customHeight="1">
      <x:c r="A33" s="2" t="str">
        <x:v>V16</x:v>
      </x:c>
      <x:c r="B33" s="2" t="str">
        <x:v>上昇</x:v>
      </x:c>
      <x:c r="C33" s="2" t="n">
        <x:f>COUNTIFS('日経_V16'!$I$7:$I$56,B33)</x:f>
        <x:v>24</x:v>
      </x:c>
      <x:c r="D33" s="19" t="n">
        <x:f>SUMIFS('日経_V16'!$C$7:$C$56,'日経_V16'!$I$7:$I$56,B33)</x:f>
        <x:v>4147000</x:v>
      </x:c>
      <x:c r="E33" s="19" t="n">
        <x:f>SUMIFS('日経_V16'!$D$7:$D$56,'日経_V16'!$I$7:$I$56,B33)</x:f>
        <x:v>2053000</x:v>
      </x:c>
      <x:c r="F33" s="19" t="n">
        <x:f>D33-E33</x:f>
        <x:v>2094000</x:v>
      </x:c>
      <x:c r="G33" s="24" t="n">
        <x:f>IF(E33=0,"損失なし",D33/E33)</x:f>
        <x:v>2.019970774476376</x:v>
      </x:c>
      <x:c r="H33" s="2" t="n">
        <x:f>COUNTIFS('日経_V16'!$I$7:$I$56,B33,'日経_V16'!$E$7:$E$56,"&lt;0")</x:f>
        <x:v>8</x:v>
      </x:c>
      <x:c r="I33" s="19" t="n">
        <x:f>IF(H33=0,0,-SUMIFS('日経_V16'!$E$7:$E$56,'日経_V16'!$I$7:$I$56,B33,'日経_V16'!$E$7:$E$56,"&lt;0")/H33)</x:f>
        <x:v>66375</x:v>
      </x:c>
      <x:c r="J33" s="19" t="n">
        <x:v>179000</x:v>
      </x:c>
      <x:c r="K33" s="2" t="n">
        <x:f>SUMIFS('日経_V16'!$G$7:$G$56,'日経_V16'!$I$7:$I$56,B33)</x:f>
        <x:v>240</x:v>
      </x:c>
    </x:row>
    <x:row r="34" ht="23" customHeight="1">
      <x:c r="A34" s="2" t="str">
        <x:v>V16</x:v>
      </x:c>
      <x:c r="B34" s="2" t="str">
        <x:v>下落</x:v>
      </x:c>
      <x:c r="C34" s="2" t="n">
        <x:f>COUNTIFS('日経_V16'!$I$7:$I$56,B34)</x:f>
        <x:v>26</x:v>
      </x:c>
      <x:c r="D34" s="19" t="n">
        <x:f>SUMIFS('日経_V16'!$C$7:$C$56,'日経_V16'!$I$7:$I$56,B34)</x:f>
        <x:v>4570000</x:v>
      </x:c>
      <x:c r="E34" s="19" t="n">
        <x:f>SUMIFS('日経_V16'!$D$7:$D$56,'日経_V16'!$I$7:$I$56,B34)</x:f>
        <x:v>2075000</x:v>
      </x:c>
      <x:c r="F34" s="19" t="n">
        <x:f>D34-E34</x:f>
        <x:v>2495000</x:v>
      </x:c>
      <x:c r="G34" s="24" t="n">
        <x:f>IF(E34=0,"損失なし",D34/E34)</x:f>
        <x:v>2.202409638554217</x:v>
      </x:c>
      <x:c r="H34" s="2" t="n">
        <x:f>COUNTIFS('日経_V16'!$I$7:$I$56,B34,'日経_V16'!$E$7:$E$56,"&lt;0")</x:f>
        <x:v>9</x:v>
      </x:c>
      <x:c r="I34" s="19" t="n">
        <x:f>IF(H34=0,0,-SUMIFS('日経_V16'!$E$7:$E$56,'日経_V16'!$I$7:$I$56,B34,'日経_V16'!$E$7:$E$56,"&lt;0")/H34)</x:f>
        <x:v>36666.666666666664</x:v>
      </x:c>
      <x:c r="J34" s="19" t="n">
        <x:v>105000</x:v>
      </x:c>
      <x:c r="K34" s="2" t="n">
        <x:f>SUMIFS('日経_V16'!$G$7:$G$56,'日経_V16'!$I$7:$I$56,B34)</x:f>
        <x:v>219</x:v>
      </x:c>
    </x:row>
    <x:row r="35" ht="23" customHeight="1">
      <x:c r="A35" s="2" t="str">
        <x:v>C01</x:v>
      </x:c>
      <x:c r="B35" s="2" t="str">
        <x:v>デイ</x:v>
      </x:c>
      <x:c r="C35" s="2" t="n">
        <x:f>COUNTIFS('日経_C01'!$B$7:$B$56,B35)</x:f>
        <x:v>25</x:v>
      </x:c>
      <x:c r="D35" s="19" t="n">
        <x:f>SUMIFS('日経_C01'!$C$7:$C$56,'日経_C01'!$B$7:$B$56,B35)</x:f>
        <x:v>4848000</x:v>
      </x:c>
      <x:c r="E35" s="19" t="n">
        <x:f>SUMIFS('日経_C01'!$D$7:$D$56,'日経_C01'!$B$7:$B$56,B35)</x:f>
        <x:v>2613000</x:v>
      </x:c>
      <x:c r="F35" s="19" t="n">
        <x:f>D35-E35</x:f>
        <x:v>2235000</x:v>
      </x:c>
      <x:c r="G35" s="24" t="n">
        <x:f>IF(E35=0,"損失なし",D35/E35)</x:f>
        <x:v>1.8553386911595866</x:v>
      </x:c>
      <x:c r="H35" s="2" t="n">
        <x:f>COUNTIFS('日経_C01'!$B$7:$B$56,B35,'日経_C01'!$E$7:$E$56,"&lt;0")</x:f>
        <x:v>9</x:v>
      </x:c>
      <x:c r="I35" s="19" t="n">
        <x:f>IF(H35=0,0,-SUMIFS('日経_C01'!$E$7:$E$56,'日経_C01'!$B$7:$B$56,B35,'日経_C01'!$E$7:$E$56,"&lt;0")/H35)</x:f>
        <x:v>41222.22222222222</x:v>
      </x:c>
      <x:c r="J35" s="19" t="n">
        <x:v>105000</x:v>
      </x:c>
      <x:c r="K35" s="2" t="n">
        <x:f>SUMIFS('日経_C01'!$G$7:$G$56,'日経_C01'!$B$7:$B$56,B35)</x:f>
        <x:v>229</x:v>
      </x:c>
    </x:row>
    <x:row r="36" ht="23" customHeight="1">
      <x:c r="A36" s="2" t="str">
        <x:v>C01</x:v>
      </x:c>
      <x:c r="B36" s="2" t="str">
        <x:v>ナイト</x:v>
      </x:c>
      <x:c r="C36" s="2" t="n">
        <x:f>COUNTIFS('日経_C01'!$B$7:$B$56,B36)</x:f>
        <x:v>25</x:v>
      </x:c>
      <x:c r="D36" s="19" t="n">
        <x:f>SUMIFS('日経_C01'!$C$7:$C$56,'日経_C01'!$B$7:$B$56,B36)</x:f>
        <x:v>2290000</x:v>
      </x:c>
      <x:c r="E36" s="19" t="n">
        <x:f>SUMIFS('日経_C01'!$D$7:$D$56,'日経_C01'!$B$7:$B$56,B36)</x:f>
        <x:v>940000</x:v>
      </x:c>
      <x:c r="F36" s="19" t="n">
        <x:f>D36-E36</x:f>
        <x:v>1350000</x:v>
      </x:c>
      <x:c r="G36" s="24" t="n">
        <x:f>IF(E36=0,"損失なし",D36/E36)</x:f>
        <x:v>2.4361702127659575</x:v>
      </x:c>
      <x:c r="H36" s="2" t="n">
        <x:f>COUNTIFS('日経_C01'!$B$7:$B$56,B36,'日経_C01'!$E$7:$E$56,"&lt;0")</x:f>
        <x:v>10</x:v>
      </x:c>
      <x:c r="I36" s="19" t="n">
        <x:f>IF(H36=0,0,-SUMIFS('日経_C01'!$E$7:$E$56,'日経_C01'!$B$7:$B$56,B36,'日経_C01'!$E$7:$E$56,"&lt;0")/H36)</x:f>
        <x:v>36100</x:v>
      </x:c>
      <x:c r="J36" s="19" t="n">
        <x:v>53000</x:v>
      </x:c>
      <x:c r="K36" s="2" t="n">
        <x:f>SUMIFS('日経_C01'!$G$7:$G$56,'日経_C01'!$B$7:$B$56,B36)</x:f>
        <x:v>145</x:v>
      </x:c>
    </x:row>
    <x:row r="37" ht="23" customHeight="1">
      <x:c r="A37" s="2" t="str">
        <x:v>C01</x:v>
      </x:c>
      <x:c r="B37" s="2" t="str">
        <x:v>上昇</x:v>
      </x:c>
      <x:c r="C37" s="2" t="n">
        <x:f>COUNTIFS('日経_C01'!$I$7:$I$56,B37)</x:f>
        <x:v>24</x:v>
      </x:c>
      <x:c r="D37" s="19" t="n">
        <x:f>SUMIFS('日経_C01'!$C$7:$C$56,'日経_C01'!$I$7:$I$56,B37)</x:f>
        <x:v>3450000</x:v>
      </x:c>
      <x:c r="E37" s="19" t="n">
        <x:f>SUMIFS('日経_C01'!$D$7:$D$56,'日経_C01'!$I$7:$I$56,B37)</x:f>
        <x:v>1620000</x:v>
      </x:c>
      <x:c r="F37" s="19" t="n">
        <x:f>D37-E37</x:f>
        <x:v>1830000</x:v>
      </x:c>
      <x:c r="G37" s="24" t="n">
        <x:f>IF(E37=0,"損失なし",D37/E37)</x:f>
        <x:v>2.1296296296296298</x:v>
      </x:c>
      <x:c r="H37" s="2" t="n">
        <x:f>COUNTIFS('日経_C01'!$I$7:$I$56,B37,'日経_C01'!$E$7:$E$56,"&lt;0")</x:f>
        <x:v>8</x:v>
      </x:c>
      <x:c r="I37" s="19" t="n">
        <x:f>IF(H37=0,0,-SUMIFS('日経_C01'!$E$7:$E$56,'日経_C01'!$I$7:$I$56,B37,'日経_C01'!$E$7:$E$56,"&lt;0")/H37)</x:f>
        <x:v>35500</x:v>
      </x:c>
      <x:c r="J37" s="19" t="n">
        <x:v>58000</x:v>
      </x:c>
      <x:c r="K37" s="2" t="n">
        <x:f>SUMIFS('日経_C01'!$G$7:$G$56,'日経_C01'!$I$7:$I$56,B37)</x:f>
        <x:v>197</x:v>
      </x:c>
    </x:row>
    <x:row r="38" ht="23" customHeight="1">
      <x:c r="A38" s="2" t="str">
        <x:v>C01</x:v>
      </x:c>
      <x:c r="B38" s="2" t="str">
        <x:v>下落</x:v>
      </x:c>
      <x:c r="C38" s="2" t="n">
        <x:f>COUNTIFS('日経_C01'!$I$7:$I$56,B38)</x:f>
        <x:v>26</x:v>
      </x:c>
      <x:c r="D38" s="19" t="n">
        <x:f>SUMIFS('日経_C01'!$C$7:$C$56,'日経_C01'!$I$7:$I$56,B38)</x:f>
        <x:v>3688000</x:v>
      </x:c>
      <x:c r="E38" s="19" t="n">
        <x:f>SUMIFS('日経_C01'!$D$7:$D$56,'日経_C01'!$I$7:$I$56,B38)</x:f>
        <x:v>1933000</x:v>
      </x:c>
      <x:c r="F38" s="19" t="n">
        <x:f>D38-E38</x:f>
        <x:v>1755000</x:v>
      </x:c>
      <x:c r="G38" s="24" t="n">
        <x:f>IF(E38=0,"損失なし",D38/E38)</x:f>
        <x:v>1.907915157785825</x:v>
      </x:c>
      <x:c r="H38" s="2" t="n">
        <x:f>COUNTIFS('日経_C01'!$I$7:$I$56,B38,'日経_C01'!$E$7:$E$56,"&lt;0")</x:f>
        <x:v>11</x:v>
      </x:c>
      <x:c r="I38" s="19" t="n">
        <x:f>IF(H38=0,0,-SUMIFS('日経_C01'!$E$7:$E$56,'日経_C01'!$I$7:$I$56,B38,'日経_C01'!$E$7:$E$56,"&lt;0")/H38)</x:f>
        <x:v>40727.27272727273</x:v>
      </x:c>
      <x:c r="J38" s="19" t="n">
        <x:v>105000</x:v>
      </x:c>
      <x:c r="K38" s="2" t="n">
        <x:f>SUMIFS('日経_C01'!$G$7:$G$56,'日経_C01'!$I$7:$I$56,B38)</x:f>
        <x:v>177</x:v>
      </x:c>
    </x:row>
    <x:row r="39" ht="23" customHeight="1">
      <x:c r="A39" s="2" t="str">
        <x:v>C03</x:v>
      </x:c>
      <x:c r="B39" s="2" t="str">
        <x:v>デイ</x:v>
      </x:c>
      <x:c r="C39" s="2" t="n">
        <x:f>COUNTIFS('日経_C03'!$B$7:$B$56,B39)</x:f>
        <x:v>25</x:v>
      </x:c>
      <x:c r="D39" s="19" t="n">
        <x:f>SUMIFS('日経_C03'!$C$7:$C$56,'日経_C03'!$B$7:$B$56,B39)</x:f>
        <x:v>4462000</x:v>
      </x:c>
      <x:c r="E39" s="19" t="n">
        <x:f>SUMIFS('日経_C03'!$D$7:$D$56,'日経_C03'!$B$7:$B$56,B39)</x:f>
        <x:v>2645000</x:v>
      </x:c>
      <x:c r="F39" s="19" t="n">
        <x:f>D39-E39</x:f>
        <x:v>1817000</x:v>
      </x:c>
      <x:c r="G39" s="24" t="n">
        <x:f>IF(E39=0,"損失なし",D39/E39)</x:f>
        <x:v>1.6869565217391305</x:v>
      </x:c>
      <x:c r="H39" s="2" t="n">
        <x:f>COUNTIFS('日経_C03'!$B$7:$B$56,B39,'日経_C03'!$E$7:$E$56,"&lt;0")</x:f>
        <x:v>7</x:v>
      </x:c>
      <x:c r="I39" s="19" t="n">
        <x:f>IF(H39=0,0,-SUMIFS('日経_C03'!$E$7:$E$56,'日経_C03'!$B$7:$B$56,B39,'日経_C03'!$E$7:$E$56,"&lt;0")/H39)</x:f>
        <x:v>41428.57142857143</x:v>
      </x:c>
      <x:c r="J39" s="19" t="n">
        <x:v>105000</x:v>
      </x:c>
      <x:c r="K39" s="2" t="n">
        <x:f>SUMIFS('日経_C03'!$G$7:$G$56,'日経_C03'!$B$7:$B$56,B39)</x:f>
        <x:v>218</x:v>
      </x:c>
    </x:row>
    <x:row r="40" ht="23" customHeight="1">
      <x:c r="A40" s="2" t="str">
        <x:v>C03</x:v>
      </x:c>
      <x:c r="B40" s="2" t="str">
        <x:v>ナイト</x:v>
      </x:c>
      <x:c r="C40" s="2" t="n">
        <x:f>COUNTIFS('日経_C03'!$B$7:$B$56,B40)</x:f>
        <x:v>25</x:v>
      </x:c>
      <x:c r="D40" s="19" t="n">
        <x:f>SUMIFS('日経_C03'!$C$7:$C$56,'日経_C03'!$B$7:$B$56,B40)</x:f>
        <x:v>2385000</x:v>
      </x:c>
      <x:c r="E40" s="19" t="n">
        <x:f>SUMIFS('日経_C03'!$D$7:$D$56,'日経_C03'!$B$7:$B$56,B40)</x:f>
        <x:v>1045000</x:v>
      </x:c>
      <x:c r="F40" s="19" t="n">
        <x:f>D40-E40</x:f>
        <x:v>1340000</x:v>
      </x:c>
      <x:c r="G40" s="24" t="n">
        <x:f>IF(E40=0,"損失なし",D40/E40)</x:f>
        <x:v>2.2822966507177034</x:v>
      </x:c>
      <x:c r="H40" s="2" t="n">
        <x:f>COUNTIFS('日経_C03'!$B$7:$B$56,B40,'日経_C03'!$E$7:$E$56,"&lt;0")</x:f>
        <x:v>10</x:v>
      </x:c>
      <x:c r="I40" s="19" t="n">
        <x:f>IF(H40=0,0,-SUMIFS('日経_C03'!$E$7:$E$56,'日経_C03'!$B$7:$B$56,B40,'日経_C03'!$E$7:$E$56,"&lt;0")/H40)</x:f>
        <x:v>32100</x:v>
      </x:c>
      <x:c r="J40" s="19" t="n">
        <x:v>53000</x:v>
      </x:c>
      <x:c r="K40" s="2" t="n">
        <x:f>SUMIFS('日経_C03'!$G$7:$G$56,'日経_C03'!$B$7:$B$56,B40)</x:f>
        <x:v>147</x:v>
      </x:c>
    </x:row>
    <x:row r="41" ht="23" customHeight="1">
      <x:c r="A41" s="2" t="str">
        <x:v>C03</x:v>
      </x:c>
      <x:c r="B41" s="2" t="str">
        <x:v>上昇</x:v>
      </x:c>
      <x:c r="C41" s="2" t="n">
        <x:f>COUNTIFS('日経_C03'!$I$7:$I$56,B41)</x:f>
        <x:v>24</x:v>
      </x:c>
      <x:c r="D41" s="19" t="n">
        <x:f>SUMIFS('日経_C03'!$C$7:$C$56,'日経_C03'!$I$7:$I$56,B41)</x:f>
        <x:v>3256000</x:v>
      </x:c>
      <x:c r="E41" s="19" t="n">
        <x:f>SUMIFS('日経_C03'!$D$7:$D$56,'日経_C03'!$I$7:$I$56,B41)</x:f>
        <x:v>1746000</x:v>
      </x:c>
      <x:c r="F41" s="19" t="n">
        <x:f>D41-E41</x:f>
        <x:v>1510000</x:v>
      </x:c>
      <x:c r="G41" s="24" t="n">
        <x:f>IF(E41=0,"損失なし",D41/E41)</x:f>
        <x:v>1.8648339060710195</x:v>
      </x:c>
      <x:c r="H41" s="2" t="n">
        <x:f>COUNTIFS('日経_C03'!$I$7:$I$56,B41,'日経_C03'!$E$7:$E$56,"&lt;0")</x:f>
        <x:v>10</x:v>
      </x:c>
      <x:c r="I41" s="19" t="n">
        <x:f>IF(H41=0,0,-SUMIFS('日経_C03'!$E$7:$E$56,'日経_C03'!$I$7:$I$56,B41,'日経_C03'!$E$7:$E$56,"&lt;0")/H41)</x:f>
        <x:v>33700</x:v>
      </x:c>
      <x:c r="J41" s="19" t="n">
        <x:v>63000</x:v>
      </x:c>
      <x:c r="K41" s="2" t="n">
        <x:f>SUMIFS('日経_C03'!$G$7:$G$56,'日経_C03'!$I$7:$I$56,B41)</x:f>
        <x:v>194</x:v>
      </x:c>
    </x:row>
    <x:row r="42" ht="23" customHeight="1">
      <x:c r="A42" s="2" t="str">
        <x:v>C03</x:v>
      </x:c>
      <x:c r="B42" s="2" t="str">
        <x:v>下落</x:v>
      </x:c>
      <x:c r="C42" s="2" t="n">
        <x:f>COUNTIFS('日経_C03'!$I$7:$I$56,B42)</x:f>
        <x:v>26</x:v>
      </x:c>
      <x:c r="D42" s="19" t="n">
        <x:f>SUMIFS('日経_C03'!$C$7:$C$56,'日経_C03'!$I$7:$I$56,B42)</x:f>
        <x:v>3591000</x:v>
      </x:c>
      <x:c r="E42" s="19" t="n">
        <x:f>SUMIFS('日経_C03'!$D$7:$D$56,'日経_C03'!$I$7:$I$56,B42)</x:f>
        <x:v>1944000</x:v>
      </x:c>
      <x:c r="F42" s="19" t="n">
        <x:f>D42-E42</x:f>
        <x:v>1647000</x:v>
      </x:c>
      <x:c r="G42" s="24" t="n">
        <x:f>IF(E42=0,"損失なし",D42/E42)</x:f>
        <x:v>1.8472222222222223</x:v>
      </x:c>
      <x:c r="H42" s="2" t="n">
        <x:f>COUNTIFS('日経_C03'!$I$7:$I$56,B42,'日経_C03'!$E$7:$E$56,"&lt;0")</x:f>
        <x:v>7</x:v>
      </x:c>
      <x:c r="I42" s="19" t="n">
        <x:f>IF(H42=0,0,-SUMIFS('日経_C03'!$E$7:$E$56,'日経_C03'!$I$7:$I$56,B42,'日経_C03'!$E$7:$E$56,"&lt;0")/H42)</x:f>
        <x:v>39142.857142857145</x:v>
      </x:c>
      <x:c r="J42" s="19" t="n">
        <x:v>105000</x:v>
      </x:c>
      <x:c r="K42" s="2" t="n">
        <x:f>SUMIFS('日経_C03'!$G$7:$G$56,'日経_C03'!$I$7:$I$56,B42)</x:f>
        <x:v>171</x:v>
      </x:c>
    </x:row>
    <x:row r="43" ht="23" customHeight="1">
      <x:c r="A43" s="2" t="str">
        <x:v>D01</x:v>
      </x:c>
      <x:c r="B43" s="2" t="str">
        <x:v>デイ</x:v>
      </x:c>
      <x:c r="C43" s="2" t="n">
        <x:f>COUNTIFS('日経_D01'!$B$7:$B$56,B43)</x:f>
        <x:v>25</x:v>
      </x:c>
      <x:c r="D43" s="19" t="n">
        <x:f>SUMIFS('日経_D01'!$C$7:$C$56,'日経_D01'!$B$7:$B$56,B43)</x:f>
        <x:v>5109000</x:v>
      </x:c>
      <x:c r="E43" s="19" t="n">
        <x:f>SUMIFS('日経_D01'!$D$7:$D$56,'日経_D01'!$B$7:$B$56,B43)</x:f>
        <x:v>2433000</x:v>
      </x:c>
      <x:c r="F43" s="19" t="n">
        <x:f>D43-E43</x:f>
        <x:v>2676000</x:v>
      </x:c>
      <x:c r="G43" s="24" t="n">
        <x:f>IF(E43=0,"損失なし",D43/E43)</x:f>
        <x:v>2.099876695437731</x:v>
      </x:c>
      <x:c r="H43" s="2" t="n">
        <x:f>COUNTIFS('日経_D01'!$B$7:$B$56,B43,'日経_D01'!$E$7:$E$56,"&lt;0")</x:f>
        <x:v>8</x:v>
      </x:c>
      <x:c r="I43" s="19" t="n">
        <x:f>IF(H43=0,0,-SUMIFS('日経_D01'!$E$7:$E$56,'日経_D01'!$B$7:$B$56,B43,'日経_D01'!$E$7:$E$56,"&lt;0")/H43)</x:f>
        <x:v>55375</x:v>
      </x:c>
      <x:c r="J43" s="19" t="n">
        <x:v>105000</x:v>
      </x:c>
      <x:c r="K43" s="2" t="n">
        <x:f>SUMIFS('日経_D01'!$G$7:$G$56,'日経_D01'!$B$7:$B$56,B43)</x:f>
        <x:v>202</x:v>
      </x:c>
    </x:row>
    <x:row r="44" ht="23" customHeight="1">
      <x:c r="A44" s="2" t="str">
        <x:v>D01</x:v>
      </x:c>
      <x:c r="B44" s="2" t="str">
        <x:v>ナイト</x:v>
      </x:c>
      <x:c r="C44" s="2" t="n">
        <x:f>COUNTIFS('日経_D01'!$B$7:$B$56,B44)</x:f>
        <x:v>25</x:v>
      </x:c>
      <x:c r="D44" s="19" t="n">
        <x:f>SUMIFS('日経_D01'!$C$7:$C$56,'日経_D01'!$B$7:$B$56,B44)</x:f>
        <x:v>2291000</x:v>
      </x:c>
      <x:c r="E44" s="19" t="n">
        <x:f>SUMIFS('日経_D01'!$D$7:$D$56,'日経_D01'!$B$7:$B$56,B44)</x:f>
        <x:v>895000</x:v>
      </x:c>
      <x:c r="F44" s="19" t="n">
        <x:f>D44-E44</x:f>
        <x:v>1396000</x:v>
      </x:c>
      <x:c r="G44" s="24" t="n">
        <x:f>IF(E44=0,"損失なし",D44/E44)</x:f>
        <x:v>2.559776536312849</x:v>
      </x:c>
      <x:c r="H44" s="2" t="n">
        <x:f>COUNTIFS('日経_D01'!$B$7:$B$56,B44,'日経_D01'!$E$7:$E$56,"&lt;0")</x:f>
        <x:v>10</x:v>
      </x:c>
      <x:c r="I44" s="19" t="n">
        <x:f>IF(H44=0,0,-SUMIFS('日経_D01'!$E$7:$E$56,'日経_D01'!$B$7:$B$56,B44,'日経_D01'!$E$7:$E$56,"&lt;0")/H44)</x:f>
        <x:v>30800</x:v>
      </x:c>
      <x:c r="J44" s="19" t="n">
        <x:v>53000</x:v>
      </x:c>
      <x:c r="K44" s="2" t="n">
        <x:f>SUMIFS('日経_D01'!$G$7:$G$56,'日経_D01'!$B$7:$B$56,B44)</x:f>
        <x:v>135</x:v>
      </x:c>
    </x:row>
    <x:row r="45" ht="23" customHeight="1">
      <x:c r="A45" s="2" t="str">
        <x:v>D01</x:v>
      </x:c>
      <x:c r="B45" s="2" t="str">
        <x:v>上昇</x:v>
      </x:c>
      <x:c r="C45" s="2" t="n">
        <x:f>COUNTIFS('日経_D01'!$I$7:$I$56,B45)</x:f>
        <x:v>24</x:v>
      </x:c>
      <x:c r="D45" s="19" t="n">
        <x:f>SUMIFS('日経_D01'!$C$7:$C$56,'日経_D01'!$I$7:$I$56,B45)</x:f>
        <x:v>3695000</x:v>
      </x:c>
      <x:c r="E45" s="19" t="n">
        <x:f>SUMIFS('日経_D01'!$D$7:$D$56,'日経_D01'!$I$7:$I$56,B45)</x:f>
        <x:v>1534000</x:v>
      </x:c>
      <x:c r="F45" s="19" t="n">
        <x:f>D45-E45</x:f>
        <x:v>2161000</x:v>
      </x:c>
      <x:c r="G45" s="24" t="n">
        <x:f>IF(E45=0,"損失なし",D45/E45)</x:f>
        <x:v>2.408735332464146</x:v>
      </x:c>
      <x:c r="H45" s="2" t="n">
        <x:f>COUNTIFS('日経_D01'!$I$7:$I$56,B45,'日経_D01'!$E$7:$E$56,"&lt;0")</x:f>
        <x:v>8</x:v>
      </x:c>
      <x:c r="I45" s="19" t="n">
        <x:f>IF(H45=0,0,-SUMIFS('日経_D01'!$E$7:$E$56,'日経_D01'!$I$7:$I$56,B45,'日経_D01'!$E$7:$E$56,"&lt;0")/H45)</x:f>
        <x:v>42625</x:v>
      </x:c>
      <x:c r="J45" s="19" t="n">
        <x:v>81000</x:v>
      </x:c>
      <x:c r="K45" s="2" t="n">
        <x:f>SUMIFS('日経_D01'!$G$7:$G$56,'日経_D01'!$I$7:$I$56,B45)</x:f>
        <x:v>177</x:v>
      </x:c>
    </x:row>
    <x:row r="46" ht="23" customHeight="1">
      <x:c r="A46" s="2" t="str">
        <x:v>D01</x:v>
      </x:c>
      <x:c r="B46" s="2" t="str">
        <x:v>下落</x:v>
      </x:c>
      <x:c r="C46" s="2" t="n">
        <x:f>COUNTIFS('日経_D01'!$I$7:$I$56,B46)</x:f>
        <x:v>26</x:v>
      </x:c>
      <x:c r="D46" s="19" t="n">
        <x:f>SUMIFS('日経_D01'!$C$7:$C$56,'日経_D01'!$I$7:$I$56,B46)</x:f>
        <x:v>3705000</x:v>
      </x:c>
      <x:c r="E46" s="19" t="n">
        <x:f>SUMIFS('日経_D01'!$D$7:$D$56,'日経_D01'!$I$7:$I$56,B46)</x:f>
        <x:v>1794000</x:v>
      </x:c>
      <x:c r="F46" s="19" t="n">
        <x:f>D46-E46</x:f>
        <x:v>1911000</x:v>
      </x:c>
      <x:c r="G46" s="24" t="n">
        <x:f>IF(E46=0,"損失なし",D46/E46)</x:f>
        <x:v>2.0652173913043477</x:v>
      </x:c>
      <x:c r="H46" s="2" t="n">
        <x:f>COUNTIFS('日経_D01'!$I$7:$I$56,B46,'日経_D01'!$E$7:$E$56,"&lt;0")</x:f>
        <x:v>10</x:v>
      </x:c>
      <x:c r="I46" s="19" t="n">
        <x:f>IF(H46=0,0,-SUMIFS('日経_D01'!$E$7:$E$56,'日経_D01'!$I$7:$I$56,B46,'日経_D01'!$E$7:$E$56,"&lt;0")/H46)</x:f>
        <x:v>41000</x:v>
      </x:c>
      <x:c r="J46" s="19" t="n">
        <x:v>105000</x:v>
      </x:c>
      <x:c r="K46" s="2" t="n">
        <x:f>SUMIFS('日経_D01'!$G$7:$G$56,'日経_D01'!$I$7:$I$56,B46)</x:f>
        <x:v>160</x:v>
      </x:c>
    </x:row>
    <x:row r="47" ht="23" customHeight="1">
      <x:c r="A47" s="2" t="str">
        <x:v>D02</x:v>
      </x:c>
      <x:c r="B47" s="2" t="str">
        <x:v>デイ</x:v>
      </x:c>
      <x:c r="C47" s="2" t="n">
        <x:f>COUNTIFS('日経_D02'!$B$7:$B$56,B47)</x:f>
        <x:v>25</x:v>
      </x:c>
      <x:c r="D47" s="19" t="n">
        <x:f>SUMIFS('日経_D02'!$C$7:$C$56,'日経_D02'!$B$7:$B$56,B47)</x:f>
        <x:v>5055000</x:v>
      </x:c>
      <x:c r="E47" s="19" t="n">
        <x:f>SUMIFS('日経_D02'!$D$7:$D$56,'日経_D02'!$B$7:$B$56,B47)</x:f>
        <x:v>2433000</x:v>
      </x:c>
      <x:c r="F47" s="19" t="n">
        <x:f>D47-E47</x:f>
        <x:v>2622000</x:v>
      </x:c>
      <x:c r="G47" s="24" t="n">
        <x:f>IF(E47=0,"損失なし",D47/E47)</x:f>
        <x:v>2.0776818742293464</x:v>
      </x:c>
      <x:c r="H47" s="2" t="n">
        <x:f>COUNTIFS('日経_D02'!$B$7:$B$56,B47,'日経_D02'!$E$7:$E$56,"&lt;0")</x:f>
        <x:v>8</x:v>
      </x:c>
      <x:c r="I47" s="19" t="n">
        <x:f>IF(H47=0,0,-SUMIFS('日経_D02'!$E$7:$E$56,'日経_D02'!$B$7:$B$56,B47,'日経_D02'!$E$7:$E$56,"&lt;0")/H47)</x:f>
        <x:v>55375</x:v>
      </x:c>
      <x:c r="J47" s="19" t="n">
        <x:v>105000</x:v>
      </x:c>
      <x:c r="K47" s="2" t="n">
        <x:f>SUMIFS('日経_D02'!$G$7:$G$56,'日経_D02'!$B$7:$B$56,B47)</x:f>
        <x:v>202</x:v>
      </x:c>
    </x:row>
    <x:row r="48" ht="23" customHeight="1">
      <x:c r="A48" s="2" t="str">
        <x:v>D02</x:v>
      </x:c>
      <x:c r="B48" s="2" t="str">
        <x:v>ナイト</x:v>
      </x:c>
      <x:c r="C48" s="2" t="n">
        <x:f>COUNTIFS('日経_D02'!$B$7:$B$56,B48)</x:f>
        <x:v>25</x:v>
      </x:c>
      <x:c r="D48" s="19" t="n">
        <x:f>SUMIFS('日経_D02'!$C$7:$C$56,'日経_D02'!$B$7:$B$56,B48)</x:f>
        <x:v>2331000</x:v>
      </x:c>
      <x:c r="E48" s="19" t="n">
        <x:f>SUMIFS('日経_D02'!$D$7:$D$56,'日経_D02'!$B$7:$B$56,B48)</x:f>
        <x:v>895000</x:v>
      </x:c>
      <x:c r="F48" s="19" t="n">
        <x:f>D48-E48</x:f>
        <x:v>1436000</x:v>
      </x:c>
      <x:c r="G48" s="24" t="n">
        <x:f>IF(E48=0,"損失なし",D48/E48)</x:f>
        <x:v>2.6044692737430166</x:v>
      </x:c>
      <x:c r="H48" s="2" t="n">
        <x:f>COUNTIFS('日経_D02'!$B$7:$B$56,B48,'日経_D02'!$E$7:$E$56,"&lt;0")</x:f>
        <x:v>10</x:v>
      </x:c>
      <x:c r="I48" s="19" t="n">
        <x:f>IF(H48=0,0,-SUMIFS('日経_D02'!$E$7:$E$56,'日経_D02'!$B$7:$B$56,B48,'日経_D02'!$E$7:$E$56,"&lt;0")/H48)</x:f>
        <x:v>29700</x:v>
      </x:c>
      <x:c r="J48" s="19" t="n">
        <x:v>53000</x:v>
      </x:c>
      <x:c r="K48" s="2" t="n">
        <x:f>SUMIFS('日経_D02'!$G$7:$G$56,'日経_D02'!$B$7:$B$56,B48)</x:f>
        <x:v>135</x:v>
      </x:c>
    </x:row>
    <x:row r="49" ht="23" customHeight="1">
      <x:c r="A49" s="2" t="str">
        <x:v>D02</x:v>
      </x:c>
      <x:c r="B49" s="2" t="str">
        <x:v>上昇</x:v>
      </x:c>
      <x:c r="C49" s="2" t="n">
        <x:f>COUNTIFS('日経_D02'!$I$7:$I$56,B49)</x:f>
        <x:v>24</x:v>
      </x:c>
      <x:c r="D49" s="19" t="n">
        <x:f>SUMIFS('日経_D02'!$C$7:$C$56,'日経_D02'!$I$7:$I$56,B49)</x:f>
        <x:v>3679000</x:v>
      </x:c>
      <x:c r="E49" s="19" t="n">
        <x:f>SUMIFS('日経_D02'!$D$7:$D$56,'日経_D02'!$I$7:$I$56,B49)</x:f>
        <x:v>1534000</x:v>
      </x:c>
      <x:c r="F49" s="19" t="n">
        <x:f>D49-E49</x:f>
        <x:v>2145000</x:v>
      </x:c>
      <x:c r="G49" s="24" t="n">
        <x:f>IF(E49=0,"損失なし",D49/E49)</x:f>
        <x:v>2.3983050847457625</x:v>
      </x:c>
      <x:c r="H49" s="2" t="n">
        <x:f>COUNTIFS('日経_D02'!$I$7:$I$56,B49,'日経_D02'!$E$7:$E$56,"&lt;0")</x:f>
        <x:v>8</x:v>
      </x:c>
      <x:c r="I49" s="19" t="n">
        <x:f>IF(H49=0,0,-SUMIFS('日経_D02'!$E$7:$E$56,'日経_D02'!$I$7:$I$56,B49,'日経_D02'!$E$7:$E$56,"&lt;0")/H49)</x:f>
        <x:v>41625</x:v>
      </x:c>
      <x:c r="J49" s="19" t="n">
        <x:v>81000</x:v>
      </x:c>
      <x:c r="K49" s="2" t="n">
        <x:f>SUMIFS('日経_D02'!$G$7:$G$56,'日経_D02'!$I$7:$I$56,B49)</x:f>
        <x:v>177</x:v>
      </x:c>
    </x:row>
    <x:row r="50" ht="23" customHeight="1">
      <x:c r="A50" s="2" t="str">
        <x:v>D02</x:v>
      </x:c>
      <x:c r="B50" s="2" t="str">
        <x:v>下落</x:v>
      </x:c>
      <x:c r="C50" s="2" t="n">
        <x:f>COUNTIFS('日経_D02'!$I$7:$I$56,B50)</x:f>
        <x:v>26</x:v>
      </x:c>
      <x:c r="D50" s="19" t="n">
        <x:f>SUMIFS('日経_D02'!$C$7:$C$56,'日経_D02'!$I$7:$I$56,B50)</x:f>
        <x:v>3707000</x:v>
      </x:c>
      <x:c r="E50" s="19" t="n">
        <x:f>SUMIFS('日経_D02'!$D$7:$D$56,'日経_D02'!$I$7:$I$56,B50)</x:f>
        <x:v>1794000</x:v>
      </x:c>
      <x:c r="F50" s="19" t="n">
        <x:f>D50-E50</x:f>
        <x:v>1913000</x:v>
      </x:c>
      <x:c r="G50" s="24" t="n">
        <x:f>IF(E50=0,"損失なし",D50/E50)</x:f>
        <x:v>2.0663322185061315</x:v>
      </x:c>
      <x:c r="H50" s="2" t="n">
        <x:f>COUNTIFS('日経_D02'!$I$7:$I$56,B50,'日経_D02'!$E$7:$E$56,"&lt;0")</x:f>
        <x:v>10</x:v>
      </x:c>
      <x:c r="I50" s="19" t="n">
        <x:f>IF(H50=0,0,-SUMIFS('日経_D02'!$E$7:$E$56,'日経_D02'!$I$7:$I$56,B50,'日経_D02'!$E$7:$E$56,"&lt;0")/H50)</x:f>
        <x:v>40700</x:v>
      </x:c>
      <x:c r="J50" s="19" t="n">
        <x:v>105000</x:v>
      </x:c>
      <x:c r="K50" s="2" t="n">
        <x:f>SUMIFS('日経_D02'!$G$7:$G$56,'日経_D02'!$I$7:$I$56,B50)</x:f>
        <x:v>160</x:v>
      </x:c>
    </x:row>
    <x:row r="51" ht="23" customHeight="1">
      <x:c r="A51" s="2" t="str">
        <x:v>D05</x:v>
      </x:c>
      <x:c r="B51" s="2" t="str">
        <x:v>デイ</x:v>
      </x:c>
      <x:c r="C51" s="2" t="n">
        <x:f>COUNTIFS('日経_D05'!$B$7:$B$56,B51)</x:f>
        <x:v>25</x:v>
      </x:c>
      <x:c r="D51" s="19" t="n">
        <x:f>SUMIFS('日経_D05'!$C$7:$C$56,'日経_D05'!$B$7:$B$56,B51)</x:f>
        <x:v>4805000</x:v>
      </x:c>
      <x:c r="E51" s="19" t="n">
        <x:f>SUMIFS('日経_D05'!$D$7:$D$56,'日経_D05'!$B$7:$B$56,B51)</x:f>
        <x:v>2281000</x:v>
      </x:c>
      <x:c r="F51" s="19" t="n">
        <x:f>D51-E51</x:f>
        <x:v>2524000</x:v>
      </x:c>
      <x:c r="G51" s="24" t="n">
        <x:f>IF(E51=0,"損失なし",D51/E51)</x:f>
        <x:v>2.106532222709338</x:v>
      </x:c>
      <x:c r="H51" s="2" t="n">
        <x:f>COUNTIFS('日経_D05'!$B$7:$B$56,B51,'日経_D05'!$E$7:$E$56,"&lt;0")</x:f>
        <x:v>4</x:v>
      </x:c>
      <x:c r="I51" s="19" t="n">
        <x:f>IF(H51=0,0,-SUMIFS('日経_D05'!$E$7:$E$56,'日経_D05'!$B$7:$B$56,B51,'日経_D05'!$E$7:$E$56,"&lt;0")/H51)</x:f>
        <x:v>52500</x:v>
      </x:c>
      <x:c r="J51" s="19" t="n">
        <x:v>105000</x:v>
      </x:c>
      <x:c r="K51" s="2" t="n">
        <x:f>SUMIFS('日経_D05'!$G$7:$G$56,'日経_D05'!$B$7:$B$56,B51)</x:f>
        <x:v>188</x:v>
      </x:c>
    </x:row>
    <x:row r="52" ht="23" customHeight="1">
      <x:c r="A52" s="2" t="str">
        <x:v>D05</x:v>
      </x:c>
      <x:c r="B52" s="2" t="str">
        <x:v>ナイト</x:v>
      </x:c>
      <x:c r="C52" s="2" t="n">
        <x:f>COUNTIFS('日経_D05'!$B$7:$B$56,B52)</x:f>
        <x:v>25</x:v>
      </x:c>
      <x:c r="D52" s="19" t="n">
        <x:f>SUMIFS('日経_D05'!$C$7:$C$56,'日経_D05'!$B$7:$B$56,B52)</x:f>
        <x:v>2198000</x:v>
      </x:c>
      <x:c r="E52" s="19" t="n">
        <x:f>SUMIFS('日経_D05'!$D$7:$D$56,'日経_D05'!$B$7:$B$56,B52)</x:f>
        <x:v>895000</x:v>
      </x:c>
      <x:c r="F52" s="19" t="n">
        <x:f>D52-E52</x:f>
        <x:v>1303000</x:v>
      </x:c>
      <x:c r="G52" s="24" t="n">
        <x:f>IF(E52=0,"損失なし",D52/E52)</x:f>
        <x:v>2.4558659217877095</x:v>
      </x:c>
      <x:c r="H52" s="2" t="n">
        <x:f>COUNTIFS('日経_D05'!$B$7:$B$56,B52,'日経_D05'!$E$7:$E$56,"&lt;0")</x:f>
        <x:v>10</x:v>
      </x:c>
      <x:c r="I52" s="19" t="n">
        <x:f>IF(H52=0,0,-SUMIFS('日経_D05'!$E$7:$E$56,'日経_D05'!$B$7:$B$56,B52,'日経_D05'!$E$7:$E$56,"&lt;0")/H52)</x:f>
        <x:v>32100</x:v>
      </x:c>
      <x:c r="J52" s="19" t="n">
        <x:v>53000</x:v>
      </x:c>
      <x:c r="K52" s="2" t="n">
        <x:f>SUMIFS('日経_D05'!$G$7:$G$56,'日経_D05'!$B$7:$B$56,B52)</x:f>
        <x:v>134</x:v>
      </x:c>
    </x:row>
    <x:row r="53" ht="23" customHeight="1">
      <x:c r="A53" s="2" t="str">
        <x:v>D05</x:v>
      </x:c>
      <x:c r="B53" s="2" t="str">
        <x:v>上昇</x:v>
      </x:c>
      <x:c r="C53" s="2" t="n">
        <x:f>COUNTIFS('日経_D05'!$I$7:$I$56,B53)</x:f>
        <x:v>24</x:v>
      </x:c>
      <x:c r="D53" s="19" t="n">
        <x:f>SUMIFS('日経_D05'!$C$7:$C$56,'日経_D05'!$I$7:$I$56,B53)</x:f>
        <x:v>3287000</x:v>
      </x:c>
      <x:c r="E53" s="19" t="n">
        <x:f>SUMIFS('日経_D05'!$D$7:$D$56,'日経_D05'!$I$7:$I$56,B53)</x:f>
        <x:v>1429000</x:v>
      </x:c>
      <x:c r="F53" s="19" t="n">
        <x:f>D53-E53</x:f>
        <x:v>1858000</x:v>
      </x:c>
      <x:c r="G53" s="24" t="n">
        <x:f>IF(E53=0,"損失なし",D53/E53)</x:f>
        <x:v>2.300209937018894</x:v>
      </x:c>
      <x:c r="H53" s="2" t="n">
        <x:f>COUNTIFS('日経_D05'!$I$7:$I$56,B53,'日経_D05'!$E$7:$E$56,"&lt;0")</x:f>
        <x:v>9</x:v>
      </x:c>
      <x:c r="I53" s="19" t="n">
        <x:f>IF(H53=0,0,-SUMIFS('日経_D05'!$E$7:$E$56,'日経_D05'!$I$7:$I$56,B53,'日経_D05'!$E$7:$E$56,"&lt;0")/H53)</x:f>
        <x:v>33111.11111111111</x:v>
      </x:c>
      <x:c r="J53" s="19" t="n">
        <x:v>60000</x:v>
      </x:c>
      <x:c r="K53" s="2" t="n">
        <x:f>SUMIFS('日経_D05'!$G$7:$G$56,'日経_D05'!$I$7:$I$56,B53)</x:f>
        <x:v>164</x:v>
      </x:c>
    </x:row>
    <x:row r="54" ht="23" customHeight="1">
      <x:c r="A54" s="2" t="str">
        <x:v>D05</x:v>
      </x:c>
      <x:c r="B54" s="2" t="str">
        <x:v>下落</x:v>
      </x:c>
      <x:c r="C54" s="2" t="n">
        <x:f>COUNTIFS('日経_D05'!$I$7:$I$56,B54)</x:f>
        <x:v>26</x:v>
      </x:c>
      <x:c r="D54" s="19" t="n">
        <x:f>SUMIFS('日経_D05'!$C$7:$C$56,'日経_D05'!$I$7:$I$56,B54)</x:f>
        <x:v>3716000</x:v>
      </x:c>
      <x:c r="E54" s="19" t="n">
        <x:f>SUMIFS('日経_D05'!$D$7:$D$56,'日経_D05'!$I$7:$I$56,B54)</x:f>
        <x:v>1747000</x:v>
      </x:c>
      <x:c r="F54" s="19" t="n">
        <x:f>D54-E54</x:f>
        <x:v>1969000</x:v>
      </x:c>
      <x:c r="G54" s="24" t="n">
        <x:f>IF(E54=0,"損失なし",D54/E54)</x:f>
        <x:v>2.1270749856897537</x:v>
      </x:c>
      <x:c r="H54" s="2" t="n">
        <x:f>COUNTIFS('日経_D05'!$I$7:$I$56,B54,'日経_D05'!$E$7:$E$56,"&lt;0")</x:f>
        <x:v>5</x:v>
      </x:c>
      <x:c r="I54" s="19" t="n">
        <x:f>IF(H54=0,0,-SUMIFS('日経_D05'!$E$7:$E$56,'日経_D05'!$I$7:$I$56,B54,'日経_D05'!$E$7:$E$56,"&lt;0")/H54)</x:f>
        <x:v>46600</x:v>
      </x:c>
      <x:c r="J54" s="19" t="n">
        <x:v>105000</x:v>
      </x:c>
      <x:c r="K54" s="2" t="n">
        <x:f>SUMIFS('日経_D05'!$G$7:$G$56,'日経_D05'!$I$7:$I$56,B54)</x:f>
        <x:v>158</x:v>
      </x:c>
    </x:row>
    <x:row r="55" ht="23" customHeight="1">
      <x:c r="A55" s="2" t="str">
        <x:v>D06</x:v>
      </x:c>
      <x:c r="B55" s="2" t="str">
        <x:v>デイ</x:v>
      </x:c>
      <x:c r="C55" s="2" t="n">
        <x:f>COUNTIFS('日経_D06'!$B$7:$B$56,B55)</x:f>
        <x:v>25</x:v>
      </x:c>
      <x:c r="D55" s="19" t="n">
        <x:f>SUMIFS('日経_D06'!$C$7:$C$56,'日経_D06'!$B$7:$B$56,B55)</x:f>
        <x:v>5835000</x:v>
      </x:c>
      <x:c r="E55" s="19" t="n">
        <x:f>SUMIFS('日経_D06'!$D$7:$D$56,'日経_D06'!$B$7:$B$56,B55)</x:f>
        <x:v>2906000</x:v>
      </x:c>
      <x:c r="F55" s="19" t="n">
        <x:f>D55-E55</x:f>
        <x:v>2929000</x:v>
      </x:c>
      <x:c r="G55" s="24" t="n">
        <x:f>IF(E55=0,"損失なし",D55/E55)</x:f>
        <x:v>2.0079146593255333</x:v>
      </x:c>
      <x:c r="H55" s="2" t="n">
        <x:f>COUNTIFS('日経_D06'!$B$7:$B$56,B55,'日経_D06'!$E$7:$E$56,"&lt;0")</x:f>
        <x:v>10</x:v>
      </x:c>
      <x:c r="I55" s="19" t="n">
        <x:f>IF(H55=0,0,-SUMIFS('日経_D06'!$E$7:$E$56,'日経_D06'!$B$7:$B$56,B55,'日経_D06'!$E$7:$E$56,"&lt;0")/H55)</x:f>
        <x:v>58100</x:v>
      </x:c>
      <x:c r="J55" s="19" t="n">
        <x:v>115000</x:v>
      </x:c>
      <x:c r="K55" s="2" t="n">
        <x:f>SUMIFS('日経_D06'!$G$7:$G$56,'日経_D06'!$B$7:$B$56,B55)</x:f>
        <x:v>249</x:v>
      </x:c>
    </x:row>
    <x:row r="56" ht="23" customHeight="1">
      <x:c r="A56" s="2" t="str">
        <x:v>D06</x:v>
      </x:c>
      <x:c r="B56" s="2" t="str">
        <x:v>ナイト</x:v>
      </x:c>
      <x:c r="C56" s="2" t="n">
        <x:f>COUNTIFS('日経_D06'!$B$7:$B$56,B56)</x:f>
        <x:v>25</x:v>
      </x:c>
      <x:c r="D56" s="19" t="n">
        <x:f>SUMIFS('日経_D06'!$C$7:$C$56,'日経_D06'!$B$7:$B$56,B56)</x:f>
        <x:v>2583000</x:v>
      </x:c>
      <x:c r="E56" s="19" t="n">
        <x:f>SUMIFS('日経_D06'!$D$7:$D$56,'日経_D06'!$B$7:$B$56,B56)</x:f>
        <x:v>1107000</x:v>
      </x:c>
      <x:c r="F56" s="19" t="n">
        <x:f>D56-E56</x:f>
        <x:v>1476000</x:v>
      </x:c>
      <x:c r="G56" s="24" t="n">
        <x:f>IF(E56=0,"損失なし",D56/E56)</x:f>
        <x:v>2.3333333333333335</x:v>
      </x:c>
      <x:c r="H56" s="2" t="n">
        <x:f>COUNTIFS('日経_D06'!$B$7:$B$56,B56,'日経_D06'!$E$7:$E$56,"&lt;0")</x:f>
        <x:v>9</x:v>
      </x:c>
      <x:c r="I56" s="19" t="n">
        <x:f>IF(H56=0,0,-SUMIFS('日経_D06'!$E$7:$E$56,'日経_D06'!$B$7:$B$56,B56,'日経_D06'!$E$7:$E$56,"&lt;0")/H56)</x:f>
        <x:v>34888.88888888889</x:v>
      </x:c>
      <x:c r="J56" s="19" t="n">
        <x:v>53000</x:v>
      </x:c>
      <x:c r="K56" s="2" t="n">
        <x:f>SUMIFS('日経_D06'!$G$7:$G$56,'日経_D06'!$B$7:$B$56,B56)</x:f>
        <x:v>151</x:v>
      </x:c>
    </x:row>
    <x:row r="57" ht="23" customHeight="1">
      <x:c r="A57" s="2" t="str">
        <x:v>D06</x:v>
      </x:c>
      <x:c r="B57" s="2" t="str">
        <x:v>上昇</x:v>
      </x:c>
      <x:c r="C57" s="2" t="n">
        <x:f>COUNTIFS('日経_D06'!$I$7:$I$56,B57)</x:f>
        <x:v>24</x:v>
      </x:c>
      <x:c r="D57" s="19" t="n">
        <x:f>SUMIFS('日経_D06'!$C$7:$C$56,'日経_D06'!$I$7:$I$56,B57)</x:f>
        <x:v>3906000</x:v>
      </x:c>
      <x:c r="E57" s="19" t="n">
        <x:f>SUMIFS('日経_D06'!$D$7:$D$56,'日経_D06'!$I$7:$I$56,B57)</x:f>
        <x:v>1874000</x:v>
      </x:c>
      <x:c r="F57" s="19" t="n">
        <x:f>D57-E57</x:f>
        <x:v>2032000</x:v>
      </x:c>
      <x:c r="G57" s="24" t="n">
        <x:f>IF(E57=0,"損失なし",D57/E57)</x:f>
        <x:v>2.0843116328708646</x:v>
      </x:c>
      <x:c r="H57" s="2" t="n">
        <x:f>COUNTIFS('日経_D06'!$I$7:$I$56,B57,'日経_D06'!$E$7:$E$56,"&lt;0")</x:f>
        <x:v>8</x:v>
      </x:c>
      <x:c r="I57" s="19" t="n">
        <x:f>IF(H57=0,0,-SUMIFS('日経_D06'!$E$7:$E$56,'日経_D06'!$I$7:$I$56,B57,'日経_D06'!$E$7:$E$56,"&lt;0")/H57)</x:f>
        <x:v>53000</x:v>
      </x:c>
      <x:c r="J57" s="19" t="n">
        <x:v>115000</x:v>
      </x:c>
      <x:c r="K57" s="2" t="n">
        <x:f>SUMIFS('日経_D06'!$G$7:$G$56,'日経_D06'!$I$7:$I$56,B57)</x:f>
        <x:v>202</x:v>
      </x:c>
    </x:row>
    <x:row r="58" ht="23" customHeight="1">
      <x:c r="A58" s="2" t="str">
        <x:v>D06</x:v>
      </x:c>
      <x:c r="B58" s="2" t="str">
        <x:v>下落</x:v>
      </x:c>
      <x:c r="C58" s="2" t="n">
        <x:f>COUNTIFS('日経_D06'!$I$7:$I$56,B58)</x:f>
        <x:v>26</x:v>
      </x:c>
      <x:c r="D58" s="19" t="n">
        <x:f>SUMIFS('日経_D06'!$C$7:$C$56,'日経_D06'!$I$7:$I$56,B58)</x:f>
        <x:v>4512000</x:v>
      </x:c>
      <x:c r="E58" s="19" t="n">
        <x:f>SUMIFS('日経_D06'!$D$7:$D$56,'日経_D06'!$I$7:$I$56,B58)</x:f>
        <x:v>2139000</x:v>
      </x:c>
      <x:c r="F58" s="19" t="n">
        <x:f>D58-E58</x:f>
        <x:v>2373000</x:v>
      </x:c>
      <x:c r="G58" s="24" t="n">
        <x:f>IF(E58=0,"損失なし",D58/E58)</x:f>
        <x:v>2.1093969144460027</x:v>
      </x:c>
      <x:c r="H58" s="2" t="n">
        <x:f>COUNTIFS('日経_D06'!$I$7:$I$56,B58,'日経_D06'!$E$7:$E$56,"&lt;0")</x:f>
        <x:v>11</x:v>
      </x:c>
      <x:c r="I58" s="19" t="n">
        <x:f>IF(H58=0,0,-SUMIFS('日経_D06'!$E$7:$E$56,'日経_D06'!$I$7:$I$56,B58,'日経_D06'!$E$7:$E$56,"&lt;0")/H58)</x:f>
        <x:v>42818.181818181816</x:v>
      </x:c>
      <x:c r="J58" s="19" t="n">
        <x:v>105000</x:v>
      </x:c>
      <x:c r="K58" s="2" t="n">
        <x:f>SUMIFS('日経_D06'!$G$7:$G$56,'日経_D06'!$I$7:$I$56,B58)</x:f>
        <x:v>198</x:v>
      </x:c>
    </x:row>
    <x:row r="59" ht="23" customHeight="1">
      <x:c r="A59" s="2" t="str">
        <x:v>D08</x:v>
      </x:c>
      <x:c r="B59" s="2" t="str">
        <x:v>デイ</x:v>
      </x:c>
      <x:c r="C59" s="2" t="n">
        <x:f>COUNTIFS('日経_D08'!$B$7:$B$56,B59)</x:f>
        <x:v>25</x:v>
      </x:c>
      <x:c r="D59" s="19" t="n">
        <x:f>SUMIFS('日経_D08'!$C$7:$C$56,'日経_D08'!$B$7:$B$56,B59)</x:f>
        <x:v>4805000</x:v>
      </x:c>
      <x:c r="E59" s="19" t="n">
        <x:f>SUMIFS('日経_D08'!$D$7:$D$56,'日経_D08'!$B$7:$B$56,B59)</x:f>
        <x:v>2281000</x:v>
      </x:c>
      <x:c r="F59" s="19" t="n">
        <x:f>D59-E59</x:f>
        <x:v>2524000</x:v>
      </x:c>
      <x:c r="G59" s="24" t="n">
        <x:f>IF(E59=0,"損失なし",D59/E59)</x:f>
        <x:v>2.106532222709338</x:v>
      </x:c>
      <x:c r="H59" s="2" t="n">
        <x:f>COUNTIFS('日経_D08'!$B$7:$B$56,B59,'日経_D08'!$E$7:$E$56,"&lt;0")</x:f>
        <x:v>4</x:v>
      </x:c>
      <x:c r="I59" s="19" t="n">
        <x:f>IF(H59=0,0,-SUMIFS('日経_D08'!$E$7:$E$56,'日経_D08'!$B$7:$B$56,B59,'日経_D08'!$E$7:$E$56,"&lt;0")/H59)</x:f>
        <x:v>52500</x:v>
      </x:c>
      <x:c r="J59" s="19" t="n">
        <x:v>105000</x:v>
      </x:c>
      <x:c r="K59" s="2" t="n">
        <x:f>SUMIFS('日経_D08'!$G$7:$G$56,'日経_D08'!$B$7:$B$56,B59)</x:f>
        <x:v>188</x:v>
      </x:c>
    </x:row>
    <x:row r="60" ht="23" customHeight="1">
      <x:c r="A60" s="2" t="str">
        <x:v>D08</x:v>
      </x:c>
      <x:c r="B60" s="2" t="str">
        <x:v>ナイト</x:v>
      </x:c>
      <x:c r="C60" s="2" t="n">
        <x:f>COUNTIFS('日経_D08'!$B$7:$B$56,B60)</x:f>
        <x:v>25</x:v>
      </x:c>
      <x:c r="D60" s="19" t="n">
        <x:f>SUMIFS('日経_D08'!$C$7:$C$56,'日経_D08'!$B$7:$B$56,B60)</x:f>
        <x:v>2884000</x:v>
      </x:c>
      <x:c r="E60" s="19" t="n">
        <x:f>SUMIFS('日経_D08'!$D$7:$D$56,'日経_D08'!$B$7:$B$56,B60)</x:f>
        <x:v>1249000</x:v>
      </x:c>
      <x:c r="F60" s="19" t="n">
        <x:f>D60-E60</x:f>
        <x:v>1635000</x:v>
      </x:c>
      <x:c r="G60" s="24" t="n">
        <x:f>IF(E60=0,"損失なし",D60/E60)</x:f>
        <x:v>2.309047237790232</x:v>
      </x:c>
      <x:c r="H60" s="2" t="n">
        <x:f>COUNTIFS('日経_D08'!$B$7:$B$56,B60,'日経_D08'!$E$7:$E$56,"&lt;0")</x:f>
        <x:v>8</x:v>
      </x:c>
      <x:c r="I60" s="19" t="n">
        <x:f>IF(H60=0,0,-SUMIFS('日経_D08'!$E$7:$E$56,'日経_D08'!$B$7:$B$56,B60,'日経_D08'!$E$7:$E$56,"&lt;0")/H60)</x:f>
        <x:v>32750</x:v>
      </x:c>
      <x:c r="J60" s="19" t="n">
        <x:v>53000</x:v>
      </x:c>
      <x:c r="K60" s="2" t="n">
        <x:f>SUMIFS('日経_D08'!$G$7:$G$56,'日経_D08'!$B$7:$B$56,B60)</x:f>
        <x:v>179</x:v>
      </x:c>
    </x:row>
    <x:row r="61" ht="23" customHeight="1">
      <x:c r="A61" s="2" t="str">
        <x:v>D08</x:v>
      </x:c>
      <x:c r="B61" s="2" t="str">
        <x:v>上昇</x:v>
      </x:c>
      <x:c r="C61" s="2" t="n">
        <x:f>COUNTIFS('日経_D08'!$I$7:$I$56,B61)</x:f>
        <x:v>24</x:v>
      </x:c>
      <x:c r="D61" s="19" t="n">
        <x:f>SUMIFS('日経_D08'!$C$7:$C$56,'日経_D08'!$I$7:$I$56,B61)</x:f>
        <x:v>3830000</x:v>
      </x:c>
      <x:c r="E61" s="19" t="n">
        <x:f>SUMIFS('日経_D08'!$D$7:$D$56,'日経_D08'!$I$7:$I$56,B61)</x:f>
        <x:v>1646000</x:v>
      </x:c>
      <x:c r="F61" s="19" t="n">
        <x:f>D61-E61</x:f>
        <x:v>2184000</x:v>
      </x:c>
      <x:c r="G61" s="24" t="n">
        <x:f>IF(E61=0,"損失なし",D61/E61)</x:f>
        <x:v>2.32685297691373</x:v>
      </x:c>
      <x:c r="H61" s="2" t="n">
        <x:f>COUNTIFS('日経_D08'!$I$7:$I$56,B61,'日経_D08'!$E$7:$E$56,"&lt;0")</x:f>
        <x:v>7</x:v>
      </x:c>
      <x:c r="I61" s="19" t="n">
        <x:f>IF(H61=0,0,-SUMIFS('日経_D08'!$E$7:$E$56,'日経_D08'!$I$7:$I$56,B61,'日経_D08'!$E$7:$E$56,"&lt;0")/H61)</x:f>
        <x:v>34285.71428571428</x:v>
      </x:c>
      <x:c r="J61" s="19" t="n">
        <x:v>60000</x:v>
      </x:c>
      <x:c r="K61" s="2" t="n">
        <x:f>SUMIFS('日経_D08'!$G$7:$G$56,'日経_D08'!$I$7:$I$56,B61)</x:f>
        <x:v>192</x:v>
      </x:c>
    </x:row>
    <x:row r="62" ht="23" customHeight="1">
      <x:c r="A62" s="2" t="str">
        <x:v>D08</x:v>
      </x:c>
      <x:c r="B62" s="2" t="str">
        <x:v>下落</x:v>
      </x:c>
      <x:c r="C62" s="2" t="n">
        <x:f>COUNTIFS('日経_D08'!$I$7:$I$56,B62)</x:f>
        <x:v>26</x:v>
      </x:c>
      <x:c r="D62" s="19" t="n">
        <x:f>SUMIFS('日経_D08'!$C$7:$C$56,'日経_D08'!$I$7:$I$56,B62)</x:f>
        <x:v>3859000</x:v>
      </x:c>
      <x:c r="E62" s="19" t="n">
        <x:f>SUMIFS('日経_D08'!$D$7:$D$56,'日経_D08'!$I$7:$I$56,B62)</x:f>
        <x:v>1884000</x:v>
      </x:c>
      <x:c r="F62" s="19" t="n">
        <x:f>D62-E62</x:f>
        <x:v>1975000</x:v>
      </x:c>
      <x:c r="G62" s="24" t="n">
        <x:f>IF(E62=0,"損失なし",D62/E62)</x:f>
        <x:v>2.048301486199575</x:v>
      </x:c>
      <x:c r="H62" s="2" t="n">
        <x:f>COUNTIFS('日経_D08'!$I$7:$I$56,B62,'日経_D08'!$E$7:$E$56,"&lt;0")</x:f>
        <x:v>5</x:v>
      </x:c>
      <x:c r="I62" s="19" t="n">
        <x:f>IF(H62=0,0,-SUMIFS('日経_D08'!$E$7:$E$56,'日経_D08'!$I$7:$I$56,B62,'日経_D08'!$E$7:$E$56,"&lt;0")/H62)</x:f>
        <x:v>46400</x:v>
      </x:c>
      <x:c r="J62" s="19" t="n">
        <x:v>105000</x:v>
      </x:c>
      <x:c r="K62" s="2" t="n">
        <x:f>SUMIFS('日経_D08'!$G$7:$G$56,'日経_D08'!$I$7:$I$56,B62)</x:f>
        <x:v>175</x:v>
      </x:c>
    </x:row>
    <x:row r="63" ht="23" customHeight="1">
      <x:c r="A63" s="2" t="str">
        <x:v>P02</x:v>
      </x:c>
      <x:c r="B63" s="2" t="str">
        <x:v>デイ</x:v>
      </x:c>
      <x:c r="C63" s="2" t="n">
        <x:f>COUNTIFS('日経_P02'!$B$7:$B$56,B63)</x:f>
        <x:v>25</x:v>
      </x:c>
      <x:c r="D63" s="19" t="n">
        <x:f>SUMIFS('日経_P02'!$C$7:$C$56,'日経_P02'!$B$7:$B$56,B63)</x:f>
        <x:v>4474000</x:v>
      </x:c>
      <x:c r="E63" s="19" t="n">
        <x:f>SUMIFS('日経_P02'!$D$7:$D$56,'日経_P02'!$B$7:$B$56,B63)</x:f>
        <x:v>2429000</x:v>
      </x:c>
      <x:c r="F63" s="19" t="n">
        <x:f>D63-E63</x:f>
        <x:v>2045000</x:v>
      </x:c>
      <x:c r="G63" s="24" t="n">
        <x:f>IF(E63=0,"損失なし",D63/E63)</x:f>
        <x:v>1.8419102511321532</x:v>
      </x:c>
      <x:c r="H63" s="2" t="n">
        <x:f>COUNTIFS('日経_P02'!$B$7:$B$56,B63,'日経_P02'!$E$7:$E$56,"&lt;0")</x:f>
        <x:v>5</x:v>
      </x:c>
      <x:c r="I63" s="19" t="n">
        <x:f>IF(H63=0,0,-SUMIFS('日経_P02'!$E$7:$E$56,'日経_P02'!$B$7:$B$56,B63,'日経_P02'!$E$7:$E$56,"&lt;0")/H63)</x:f>
        <x:v>49600</x:v>
      </x:c>
      <x:c r="J63" s="19" t="n">
        <x:v>105000</x:v>
      </x:c>
      <x:c r="K63" s="2" t="n">
        <x:f>SUMIFS('日経_P02'!$G$7:$G$56,'日経_P02'!$B$7:$B$56,B63)</x:f>
        <x:v>202</x:v>
      </x:c>
    </x:row>
    <x:row r="64" ht="23" customHeight="1">
      <x:c r="A64" s="2" t="str">
        <x:v>P02</x:v>
      </x:c>
      <x:c r="B64" s="2" t="str">
        <x:v>ナイト</x:v>
      </x:c>
      <x:c r="C64" s="2" t="n">
        <x:f>COUNTIFS('日経_P02'!$B$7:$B$56,B64)</x:f>
        <x:v>25</x:v>
      </x:c>
      <x:c r="D64" s="19" t="n">
        <x:f>SUMIFS('日経_P02'!$C$7:$C$56,'日経_P02'!$B$7:$B$56,B64)</x:f>
        <x:v>2198000</x:v>
      </x:c>
      <x:c r="E64" s="19" t="n">
        <x:f>SUMIFS('日経_P02'!$D$7:$D$56,'日経_P02'!$B$7:$B$56,B64)</x:f>
        <x:v>895000</x:v>
      </x:c>
      <x:c r="F64" s="19" t="n">
        <x:f>D64-E64</x:f>
        <x:v>1303000</x:v>
      </x:c>
      <x:c r="G64" s="24" t="n">
        <x:f>IF(E64=0,"損失なし",D64/E64)</x:f>
        <x:v>2.4558659217877095</x:v>
      </x:c>
      <x:c r="H64" s="2" t="n">
        <x:f>COUNTIFS('日経_P02'!$B$7:$B$56,B64,'日経_P02'!$E$7:$E$56,"&lt;0")</x:f>
        <x:v>10</x:v>
      </x:c>
      <x:c r="I64" s="19" t="n">
        <x:f>IF(H64=0,0,-SUMIFS('日経_P02'!$E$7:$E$56,'日経_P02'!$B$7:$B$56,B64,'日経_P02'!$E$7:$E$56,"&lt;0")/H64)</x:f>
        <x:v>32100</x:v>
      </x:c>
      <x:c r="J64" s="19" t="n">
        <x:v>53000</x:v>
      </x:c>
      <x:c r="K64" s="2" t="n">
        <x:f>SUMIFS('日経_P02'!$G$7:$G$56,'日経_P02'!$B$7:$B$56,B64)</x:f>
        <x:v>134</x:v>
      </x:c>
    </x:row>
    <x:row r="65" ht="23" customHeight="1">
      <x:c r="A65" s="2" t="str">
        <x:v>P02</x:v>
      </x:c>
      <x:c r="B65" s="2" t="str">
        <x:v>上昇</x:v>
      </x:c>
      <x:c r="C65" s="2" t="n">
        <x:f>COUNTIFS('日経_P02'!$I$7:$I$56,B65)</x:f>
        <x:v>24</x:v>
      </x:c>
      <x:c r="D65" s="19" t="n">
        <x:f>SUMIFS('日経_P02'!$C$7:$C$56,'日経_P02'!$I$7:$I$56,B65)</x:f>
        <x:v>3240000</x:v>
      </x:c>
      <x:c r="E65" s="19" t="n">
        <x:f>SUMIFS('日経_P02'!$D$7:$D$56,'日経_P02'!$I$7:$I$56,B65)</x:f>
        <x:v>1534000</x:v>
      </x:c>
      <x:c r="F65" s="19" t="n">
        <x:f>D65-E65</x:f>
        <x:v>1706000</x:v>
      </x:c>
      <x:c r="G65" s="24" t="n">
        <x:f>IF(E65=0,"損失なし",D65/E65)</x:f>
        <x:v>2.1121251629726205</x:v>
      </x:c>
      <x:c r="H65" s="2" t="n">
        <x:f>COUNTIFS('日経_P02'!$I$7:$I$56,B65,'日経_P02'!$E$7:$E$56,"&lt;0")</x:f>
        <x:v>9</x:v>
      </x:c>
      <x:c r="I65" s="19" t="n">
        <x:f>IF(H65=0,0,-SUMIFS('日経_P02'!$E$7:$E$56,'日経_P02'!$I$7:$I$56,B65,'日経_P02'!$E$7:$E$56,"&lt;0")/H65)</x:f>
        <x:v>36222.22222222222</x:v>
      </x:c>
      <x:c r="J65" s="19" t="n">
        <x:v>63000</x:v>
      </x:c>
      <x:c r="K65" s="2" t="n">
        <x:f>SUMIFS('日経_P02'!$G$7:$G$56,'日経_P02'!$I$7:$I$56,B65)</x:f>
        <x:v>176</x:v>
      </x:c>
    </x:row>
    <x:row r="66" ht="23" customHeight="1">
      <x:c r="A66" s="2" t="str">
        <x:v>P02</x:v>
      </x:c>
      <x:c r="B66" s="2" t="str">
        <x:v>下落</x:v>
      </x:c>
      <x:c r="C66" s="2" t="n">
        <x:f>COUNTIFS('日経_P02'!$I$7:$I$56,B66)</x:f>
        <x:v>26</x:v>
      </x:c>
      <x:c r="D66" s="19" t="n">
        <x:f>SUMIFS('日経_P02'!$C$7:$C$56,'日経_P02'!$I$7:$I$56,B66)</x:f>
        <x:v>3432000</x:v>
      </x:c>
      <x:c r="E66" s="19" t="n">
        <x:f>SUMIFS('日経_P02'!$D$7:$D$56,'日経_P02'!$I$7:$I$56,B66)</x:f>
        <x:v>1790000</x:v>
      </x:c>
      <x:c r="F66" s="19" t="n">
        <x:f>D66-E66</x:f>
        <x:v>1642000</x:v>
      </x:c>
      <x:c r="G66" s="24" t="n">
        <x:f>IF(E66=0,"損失なし",D66/E66)</x:f>
        <x:v>1.91731843575419</x:v>
      </x:c>
      <x:c r="H66" s="2" t="n">
        <x:f>COUNTIFS('日経_P02'!$I$7:$I$56,B66,'日経_P02'!$E$7:$E$56,"&lt;0")</x:f>
        <x:v>6</x:v>
      </x:c>
      <x:c r="I66" s="19" t="n">
        <x:f>IF(H66=0,0,-SUMIFS('日経_P02'!$E$7:$E$56,'日経_P02'!$I$7:$I$56,B66,'日経_P02'!$E$7:$E$56,"&lt;0")/H66)</x:f>
        <x:v>40500</x:v>
      </x:c>
      <x:c r="J66" s="19" t="n">
        <x:v>105000</x:v>
      </x:c>
      <x:c r="K66" s="2" t="n">
        <x:f>SUMIFS('日経_P02'!$G$7:$G$56,'日経_P02'!$I$7:$I$56,B66)</x:f>
        <x:v>160</x:v>
      </x:c>
    </x:row>
    <x:row r="67" ht="23" customHeight="1">
      <x:c r="A67" s="2" t="str">
        <x:v>P03</x:v>
      </x:c>
      <x:c r="B67" s="2" t="str">
        <x:v>デイ</x:v>
      </x:c>
      <x:c r="C67" s="2" t="n">
        <x:f>COUNTIFS('日経_P03'!$B$7:$B$56,B67)</x:f>
        <x:v>25</x:v>
      </x:c>
      <x:c r="D67" s="19" t="n">
        <x:f>SUMIFS('日経_P03'!$C$7:$C$56,'日経_P03'!$B$7:$B$56,B67)</x:f>
        <x:v>4906000</x:v>
      </x:c>
      <x:c r="E67" s="19" t="n">
        <x:f>SUMIFS('日経_P03'!$D$7:$D$56,'日経_P03'!$B$7:$B$56,B67)</x:f>
        <x:v>2429000</x:v>
      </x:c>
      <x:c r="F67" s="19" t="n">
        <x:f>D67-E67</x:f>
        <x:v>2477000</x:v>
      </x:c>
      <x:c r="G67" s="24" t="n">
        <x:f>IF(E67=0,"損失なし",D67/E67)</x:f>
        <x:v>2.019761218608481</x:v>
      </x:c>
      <x:c r="H67" s="2" t="n">
        <x:f>COUNTIFS('日経_P03'!$B$7:$B$56,B67,'日経_P03'!$E$7:$E$56,"&lt;0")</x:f>
        <x:v>5</x:v>
      </x:c>
      <x:c r="I67" s="19" t="n">
        <x:f>IF(H67=0,0,-SUMIFS('日経_P03'!$E$7:$E$56,'日経_P03'!$B$7:$B$56,B67,'日経_P03'!$E$7:$E$56,"&lt;0")/H67)</x:f>
        <x:v>49000</x:v>
      </x:c>
      <x:c r="J67" s="19" t="n">
        <x:v>105000</x:v>
      </x:c>
      <x:c r="K67" s="2" t="n">
        <x:f>SUMIFS('日経_P03'!$G$7:$G$56,'日経_P03'!$B$7:$B$56,B67)</x:f>
        <x:v>202</x:v>
      </x:c>
    </x:row>
    <x:row r="68" ht="23" customHeight="1">
      <x:c r="A68" s="2" t="str">
        <x:v>P03</x:v>
      </x:c>
      <x:c r="B68" s="2" t="str">
        <x:v>ナイト</x:v>
      </x:c>
      <x:c r="C68" s="2" t="n">
        <x:f>COUNTIFS('日経_P03'!$B$7:$B$56,B68)</x:f>
        <x:v>25</x:v>
      </x:c>
      <x:c r="D68" s="19" t="n">
        <x:f>SUMIFS('日経_P03'!$C$7:$C$56,'日経_P03'!$B$7:$B$56,B68)</x:f>
        <x:v>2198000</x:v>
      </x:c>
      <x:c r="E68" s="19" t="n">
        <x:f>SUMIFS('日経_P03'!$D$7:$D$56,'日経_P03'!$B$7:$B$56,B68)</x:f>
        <x:v>895000</x:v>
      </x:c>
      <x:c r="F68" s="19" t="n">
        <x:f>D68-E68</x:f>
        <x:v>1303000</x:v>
      </x:c>
      <x:c r="G68" s="24" t="n">
        <x:f>IF(E68=0,"損失なし",D68/E68)</x:f>
        <x:v>2.4558659217877095</x:v>
      </x:c>
      <x:c r="H68" s="2" t="n">
        <x:f>COUNTIFS('日経_P03'!$B$7:$B$56,B68,'日経_P03'!$E$7:$E$56,"&lt;0")</x:f>
        <x:v>10</x:v>
      </x:c>
      <x:c r="I68" s="19" t="n">
        <x:f>IF(H68=0,0,-SUMIFS('日経_P03'!$E$7:$E$56,'日経_P03'!$B$7:$B$56,B68,'日経_P03'!$E$7:$E$56,"&lt;0")/H68)</x:f>
        <x:v>32100</x:v>
      </x:c>
      <x:c r="J68" s="19" t="n">
        <x:v>53000</x:v>
      </x:c>
      <x:c r="K68" s="2" t="n">
        <x:f>SUMIFS('日経_P03'!$G$7:$G$56,'日経_P03'!$B$7:$B$56,B68)</x:f>
        <x:v>134</x:v>
      </x:c>
    </x:row>
    <x:row r="69" ht="23" customHeight="1">
      <x:c r="A69" s="2" t="str">
        <x:v>P03</x:v>
      </x:c>
      <x:c r="B69" s="2" t="str">
        <x:v>上昇</x:v>
      </x:c>
      <x:c r="C69" s="2" t="n">
        <x:f>COUNTIFS('日経_P03'!$I$7:$I$56,B69)</x:f>
        <x:v>24</x:v>
      </x:c>
      <x:c r="D69" s="19" t="n">
        <x:f>SUMIFS('日経_P03'!$C$7:$C$56,'日経_P03'!$I$7:$I$56,B69)</x:f>
        <x:v>3426000</x:v>
      </x:c>
      <x:c r="E69" s="19" t="n">
        <x:f>SUMIFS('日経_P03'!$D$7:$D$56,'日経_P03'!$I$7:$I$56,B69)</x:f>
        <x:v>1534000</x:v>
      </x:c>
      <x:c r="F69" s="19" t="n">
        <x:f>D69-E69</x:f>
        <x:v>1892000</x:v>
      </x:c>
      <x:c r="G69" s="24" t="n">
        <x:f>IF(E69=0,"損失なし",D69/E69)</x:f>
        <x:v>2.2333767926988264</x:v>
      </x:c>
      <x:c r="H69" s="2" t="n">
        <x:f>COUNTIFS('日経_P03'!$I$7:$I$56,B69,'日経_P03'!$E$7:$E$56,"&lt;0")</x:f>
        <x:v>9</x:v>
      </x:c>
      <x:c r="I69" s="19" t="n">
        <x:f>IF(H69=0,0,-SUMIFS('日経_P03'!$E$7:$E$56,'日経_P03'!$I$7:$I$56,B69,'日経_P03'!$E$7:$E$56,"&lt;0")/H69)</x:f>
        <x:v>35555.555555555555</x:v>
      </x:c>
      <x:c r="J69" s="19" t="n">
        <x:v>63000</x:v>
      </x:c>
      <x:c r="K69" s="2" t="n">
        <x:f>SUMIFS('日経_P03'!$G$7:$G$56,'日経_P03'!$I$7:$I$56,B69)</x:f>
        <x:v>176</x:v>
      </x:c>
    </x:row>
    <x:row r="70" ht="23" customHeight="1">
      <x:c r="A70" s="2" t="str">
        <x:v>P03</x:v>
      </x:c>
      <x:c r="B70" s="2" t="str">
        <x:v>下落</x:v>
      </x:c>
      <x:c r="C70" s="2" t="n">
        <x:f>COUNTIFS('日経_P03'!$I$7:$I$56,B70)</x:f>
        <x:v>26</x:v>
      </x:c>
      <x:c r="D70" s="19" t="n">
        <x:f>SUMIFS('日経_P03'!$C$7:$C$56,'日経_P03'!$I$7:$I$56,B70)</x:f>
        <x:v>3678000</x:v>
      </x:c>
      <x:c r="E70" s="19" t="n">
        <x:f>SUMIFS('日経_P03'!$D$7:$D$56,'日経_P03'!$I$7:$I$56,B70)</x:f>
        <x:v>1790000</x:v>
      </x:c>
      <x:c r="F70" s="19" t="n">
        <x:f>D70-E70</x:f>
        <x:v>1888000</x:v>
      </x:c>
      <x:c r="G70" s="24" t="n">
        <x:f>IF(E70=0,"損失なし",D70/E70)</x:f>
        <x:v>2.0547486033519555</x:v>
      </x:c>
      <x:c r="H70" s="2" t="n">
        <x:f>COUNTIFS('日経_P03'!$I$7:$I$56,B70,'日経_P03'!$E$7:$E$56,"&lt;0")</x:f>
        <x:v>6</x:v>
      </x:c>
      <x:c r="I70" s="19" t="n">
        <x:f>IF(H70=0,0,-SUMIFS('日経_P03'!$E$7:$E$56,'日経_P03'!$I$7:$I$56,B70,'日経_P03'!$E$7:$E$56,"&lt;0")/H70)</x:f>
        <x:v>41000</x:v>
      </x:c>
      <x:c r="J70" s="19" t="n">
        <x:v>105000</x:v>
      </x:c>
      <x:c r="K70" s="2" t="n">
        <x:f>SUMIFS('日経_P03'!$G$7:$G$56,'日経_P03'!$I$7:$I$56,B70)</x:f>
        <x:v>160</x:v>
      </x:c>
    </x:row>
    <x:row r="71" ht="23" customHeight="1">
      <x:c r="A71" s="2" t="str">
        <x:v>P04</x:v>
      </x:c>
      <x:c r="B71" s="2" t="str">
        <x:v>デイ</x:v>
      </x:c>
      <x:c r="C71" s="2" t="n">
        <x:f>COUNTIFS('日経_P04'!$B$7:$B$56,B71)</x:f>
        <x:v>25</x:v>
      </x:c>
      <x:c r="D71" s="19" t="n">
        <x:f>SUMIFS('日経_P04'!$C$7:$C$56,'日経_P04'!$B$7:$B$56,B71)</x:f>
        <x:v>4478000</x:v>
      </x:c>
      <x:c r="E71" s="19" t="n">
        <x:f>SUMIFS('日経_P04'!$D$7:$D$56,'日経_P04'!$B$7:$B$56,B71)</x:f>
        <x:v>2433000</x:v>
      </x:c>
      <x:c r="F71" s="19" t="n">
        <x:f>D71-E71</x:f>
        <x:v>2045000</x:v>
      </x:c>
      <x:c r="G71" s="24" t="n">
        <x:f>IF(E71=0,"損失なし",D71/E71)</x:f>
        <x:v>1.8405260994656802</x:v>
      </x:c>
      <x:c r="H71" s="2" t="n">
        <x:f>COUNTIFS('日経_P04'!$B$7:$B$56,B71,'日経_P04'!$E$7:$E$56,"&lt;0")</x:f>
        <x:v>6</x:v>
      </x:c>
      <x:c r="I71" s="19" t="n">
        <x:f>IF(H71=0,0,-SUMIFS('日経_P04'!$E$7:$E$56,'日経_P04'!$B$7:$B$56,B71,'日経_P04'!$E$7:$E$56,"&lt;0")/H71)</x:f>
        <x:v>45666.666666666664</x:v>
      </x:c>
      <x:c r="J71" s="19" t="n">
        <x:v>105000</x:v>
      </x:c>
      <x:c r="K71" s="2" t="n">
        <x:f>SUMIFS('日経_P04'!$G$7:$G$56,'日経_P04'!$B$7:$B$56,B71)</x:f>
        <x:v>202</x:v>
      </x:c>
    </x:row>
    <x:row r="72" ht="23" customHeight="1">
      <x:c r="A72" s="2" t="str">
        <x:v>P04</x:v>
      </x:c>
      <x:c r="B72" s="2" t="str">
        <x:v>ナイト</x:v>
      </x:c>
      <x:c r="C72" s="2" t="n">
        <x:f>COUNTIFS('日経_P04'!$B$7:$B$56,B72)</x:f>
        <x:v>25</x:v>
      </x:c>
      <x:c r="D72" s="19" t="n">
        <x:f>SUMIFS('日経_P04'!$C$7:$C$56,'日経_P04'!$B$7:$B$56,B72)</x:f>
        <x:v>2198000</x:v>
      </x:c>
      <x:c r="E72" s="19" t="n">
        <x:f>SUMIFS('日経_P04'!$D$7:$D$56,'日経_P04'!$B$7:$B$56,B72)</x:f>
        <x:v>895000</x:v>
      </x:c>
      <x:c r="F72" s="19" t="n">
        <x:f>D72-E72</x:f>
        <x:v>1303000</x:v>
      </x:c>
      <x:c r="G72" s="24" t="n">
        <x:f>IF(E72=0,"損失なし",D72/E72)</x:f>
        <x:v>2.4558659217877095</x:v>
      </x:c>
      <x:c r="H72" s="2" t="n">
        <x:f>COUNTIFS('日経_P04'!$B$7:$B$56,B72,'日経_P04'!$E$7:$E$56,"&lt;0")</x:f>
        <x:v>10</x:v>
      </x:c>
      <x:c r="I72" s="19" t="n">
        <x:f>IF(H72=0,0,-SUMIFS('日経_P04'!$E$7:$E$56,'日経_P04'!$B$7:$B$56,B72,'日経_P04'!$E$7:$E$56,"&lt;0")/H72)</x:f>
        <x:v>32100</x:v>
      </x:c>
      <x:c r="J72" s="19" t="n">
        <x:v>53000</x:v>
      </x:c>
      <x:c r="K72" s="2" t="n">
        <x:f>SUMIFS('日経_P04'!$G$7:$G$56,'日経_P04'!$B$7:$B$56,B72)</x:f>
        <x:v>134</x:v>
      </x:c>
    </x:row>
    <x:row r="73" ht="23" customHeight="1">
      <x:c r="A73" s="2" t="str">
        <x:v>P04</x:v>
      </x:c>
      <x:c r="B73" s="2" t="str">
        <x:v>上昇</x:v>
      </x:c>
      <x:c r="C73" s="2" t="n">
        <x:f>COUNTIFS('日経_P04'!$I$7:$I$56,B73)</x:f>
        <x:v>24</x:v>
      </x:c>
      <x:c r="D73" s="19" t="n">
        <x:f>SUMIFS('日経_P04'!$C$7:$C$56,'日経_P04'!$I$7:$I$56,B73)</x:f>
        <x:v>3348000</x:v>
      </x:c>
      <x:c r="E73" s="19" t="n">
        <x:f>SUMIFS('日経_P04'!$D$7:$D$56,'日経_P04'!$I$7:$I$56,B73)</x:f>
        <x:v>1534000</x:v>
      </x:c>
      <x:c r="F73" s="19" t="n">
        <x:f>D73-E73</x:f>
        <x:v>1814000</x:v>
      </x:c>
      <x:c r="G73" s="24" t="n">
        <x:f>IF(E73=0,"損失なし",D73/E73)</x:f>
        <x:v>2.182529335071708</x:v>
      </x:c>
      <x:c r="H73" s="2" t="n">
        <x:f>COUNTIFS('日経_P04'!$I$7:$I$56,B73,'日経_P04'!$E$7:$E$56,"&lt;0")</x:f>
        <x:v>9</x:v>
      </x:c>
      <x:c r="I73" s="19" t="n">
        <x:f>IF(H73=0,0,-SUMIFS('日経_P04'!$E$7:$E$56,'日経_P04'!$I$7:$I$56,B73,'日経_P04'!$E$7:$E$56,"&lt;0")/H73)</x:f>
        <x:v>35666.666666666664</x:v>
      </x:c>
      <x:c r="J73" s="19" t="n">
        <x:v>63000</x:v>
      </x:c>
      <x:c r="K73" s="2" t="n">
        <x:f>SUMIFS('日経_P04'!$G$7:$G$56,'日経_P04'!$I$7:$I$56,B73)</x:f>
        <x:v>176</x:v>
      </x:c>
    </x:row>
    <x:row r="74" ht="23" customHeight="1">
      <x:c r="A74" s="2" t="str">
        <x:v>P04</x:v>
      </x:c>
      <x:c r="B74" s="2" t="str">
        <x:v>下落</x:v>
      </x:c>
      <x:c r="C74" s="2" t="n">
        <x:f>COUNTIFS('日経_P04'!$I$7:$I$56,B74)</x:f>
        <x:v>26</x:v>
      </x:c>
      <x:c r="D74" s="19" t="n">
        <x:f>SUMIFS('日経_P04'!$C$7:$C$56,'日経_P04'!$I$7:$I$56,B74)</x:f>
        <x:v>3328000</x:v>
      </x:c>
      <x:c r="E74" s="19" t="n">
        <x:f>SUMIFS('日経_P04'!$D$7:$D$56,'日経_P04'!$I$7:$I$56,B74)</x:f>
        <x:v>1794000</x:v>
      </x:c>
      <x:c r="F74" s="19" t="n">
        <x:f>D74-E74</x:f>
        <x:v>1534000</x:v>
      </x:c>
      <x:c r="G74" s="24" t="n">
        <x:f>IF(E74=0,"損失なし",D74/E74)</x:f>
        <x:v>1.855072463768116</x:v>
      </x:c>
      <x:c r="H74" s="2" t="n">
        <x:f>COUNTIFS('日経_P04'!$I$7:$I$56,B74,'日経_P04'!$E$7:$E$56,"&lt;0")</x:f>
        <x:v>7</x:v>
      </x:c>
      <x:c r="I74" s="19" t="n">
        <x:f>IF(H74=0,0,-SUMIFS('日経_P04'!$E$7:$E$56,'日経_P04'!$I$7:$I$56,B74,'日経_P04'!$E$7:$E$56,"&lt;0")/H74)</x:f>
        <x:v>39142.857142857145</x:v>
      </x:c>
      <x:c r="J74" s="19" t="n">
        <x:v>105000</x:v>
      </x:c>
      <x:c r="K74" s="2" t="n">
        <x:f>SUMIFS('日経_P04'!$G$7:$G$56,'日経_P04'!$I$7:$I$56,B74)</x:f>
        <x:v>160</x:v>
      </x:c>
    </x:row>
    <x:row r="75" ht="23" customHeight="1">
      <x:c r="A75" s="2" t="str">
        <x:v>R01</x:v>
      </x:c>
      <x:c r="B75" s="2" t="str">
        <x:v>デイ</x:v>
      </x:c>
      <x:c r="C75" s="2" t="n">
        <x:f>COUNTIFS('日経_R01'!$B$7:$B$56,B75)</x:f>
        <x:v>25</x:v>
      </x:c>
      <x:c r="D75" s="19" t="n">
        <x:f>SUMIFS('日経_R01'!$C$7:$C$56,'日経_R01'!$B$7:$B$56,B75)</x:f>
        <x:v>4856000</x:v>
      </x:c>
      <x:c r="E75" s="19" t="n">
        <x:f>SUMIFS('日経_R01'!$D$7:$D$56,'日経_R01'!$B$7:$B$56,B75)</x:f>
        <x:v>2681000</x:v>
      </x:c>
      <x:c r="F75" s="19" t="n">
        <x:f>D75-E75</x:f>
        <x:v>2175000</x:v>
      </x:c>
      <x:c r="G75" s="24" t="n">
        <x:f>IF(E75=0,"損失なし",D75/E75)</x:f>
        <x:v>1.8112644535621036</x:v>
      </x:c>
      <x:c r="H75" s="2" t="n">
        <x:f>COUNTIFS('日経_R01'!$B$7:$B$56,B75,'日経_R01'!$E$7:$E$56,"&lt;0")</x:f>
        <x:v>8</x:v>
      </x:c>
      <x:c r="I75" s="19" t="n">
        <x:f>IF(H75=0,0,-SUMIFS('日経_R01'!$E$7:$E$56,'日経_R01'!$B$7:$B$56,B75,'日経_R01'!$E$7:$E$56,"&lt;0")/H75)</x:f>
        <x:v>46000</x:v>
      </x:c>
      <x:c r="J75" s="19" t="n">
        <x:v>105000</x:v>
      </x:c>
      <x:c r="K75" s="2" t="n">
        <x:f>SUMIFS('日経_R01'!$G$7:$G$56,'日経_R01'!$B$7:$B$56,B75)</x:f>
        <x:v>230</x:v>
      </x:c>
    </x:row>
    <x:row r="76" ht="23" customHeight="1">
      <x:c r="A76" s="2" t="str">
        <x:v>R01</x:v>
      </x:c>
      <x:c r="B76" s="2" t="str">
        <x:v>ナイト</x:v>
      </x:c>
      <x:c r="C76" s="2" t="n">
        <x:f>COUNTIFS('日経_R01'!$B$7:$B$56,B76)</x:f>
        <x:v>25</x:v>
      </x:c>
      <x:c r="D76" s="19" t="n">
        <x:f>SUMIFS('日経_R01'!$C$7:$C$56,'日経_R01'!$B$7:$B$56,B76)</x:f>
        <x:v>2275000</x:v>
      </x:c>
      <x:c r="E76" s="19" t="n">
        <x:f>SUMIFS('日経_R01'!$D$7:$D$56,'日経_R01'!$B$7:$B$56,B76)</x:f>
        <x:v>999000</x:v>
      </x:c>
      <x:c r="F76" s="19" t="n">
        <x:f>D76-E76</x:f>
        <x:v>1276000</x:v>
      </x:c>
      <x:c r="G76" s="24" t="n">
        <x:f>IF(E76=0,"損失なし",D76/E76)</x:f>
        <x:v>2.2772772772772774</x:v>
      </x:c>
      <x:c r="H76" s="2" t="n">
        <x:f>COUNTIFS('日経_R01'!$B$7:$B$56,B76,'日経_R01'!$E$7:$E$56,"&lt;0")</x:f>
        <x:v>10</x:v>
      </x:c>
      <x:c r="I76" s="19" t="n">
        <x:f>IF(H76=0,0,-SUMIFS('日経_R01'!$E$7:$E$56,'日経_R01'!$B$7:$B$56,B76,'日経_R01'!$E$7:$E$56,"&lt;0")/H76)</x:f>
        <x:v>32300</x:v>
      </x:c>
      <x:c r="J76" s="19" t="n">
        <x:v>53000</x:v>
      </x:c>
      <x:c r="K76" s="2" t="n">
        <x:f>SUMIFS('日経_R01'!$G$7:$G$56,'日経_R01'!$B$7:$B$56,B76)</x:f>
        <x:v>146</x:v>
      </x:c>
    </x:row>
    <x:row r="77" ht="23" customHeight="1">
      <x:c r="A77" s="2" t="str">
        <x:v>R01</x:v>
      </x:c>
      <x:c r="B77" s="2" t="str">
        <x:v>上昇</x:v>
      </x:c>
      <x:c r="C77" s="2" t="n">
        <x:f>COUNTIFS('日経_R01'!$I$7:$I$56,B77)</x:f>
        <x:v>24</x:v>
      </x:c>
      <x:c r="D77" s="19" t="n">
        <x:f>SUMIFS('日経_R01'!$C$7:$C$56,'日経_R01'!$I$7:$I$56,B77)</x:f>
        <x:v>3433000</x:v>
      </x:c>
      <x:c r="E77" s="19" t="n">
        <x:f>SUMIFS('日経_R01'!$D$7:$D$56,'日経_R01'!$I$7:$I$56,B77)</x:f>
        <x:v>1679000</x:v>
      </x:c>
      <x:c r="F77" s="19" t="n">
        <x:f>D77-E77</x:f>
        <x:v>1754000</x:v>
      </x:c>
      <x:c r="G77" s="24" t="n">
        <x:f>IF(E77=0,"損失なし",D77/E77)</x:f>
        <x:v>2.0446694460988684</x:v>
      </x:c>
      <x:c r="H77" s="2" t="n">
        <x:f>COUNTIFS('日経_R01'!$I$7:$I$56,B77,'日経_R01'!$E$7:$E$56,"&lt;0")</x:f>
        <x:v>8</x:v>
      </x:c>
      <x:c r="I77" s="19" t="n">
        <x:f>IF(H77=0,0,-SUMIFS('日経_R01'!$E$7:$E$56,'日経_R01'!$I$7:$I$56,B77,'日経_R01'!$E$7:$E$56,"&lt;0")/H77)</x:f>
        <x:v>34000</x:v>
      </x:c>
      <x:c r="J77" s="19" t="n">
        <x:v>62000</x:v>
      </x:c>
      <x:c r="K77" s="2" t="n">
        <x:f>SUMIFS('日経_R01'!$G$7:$G$56,'日経_R01'!$I$7:$I$56,B77)</x:f>
        <x:v>192</x:v>
      </x:c>
    </x:row>
    <x:row r="78" ht="23" customHeight="1">
      <x:c r="A78" s="2" t="str">
        <x:v>R01</x:v>
      </x:c>
      <x:c r="B78" s="2" t="str">
        <x:v>下落</x:v>
      </x:c>
      <x:c r="C78" s="2" t="n">
        <x:f>COUNTIFS('日経_R01'!$I$7:$I$56,B78)</x:f>
        <x:v>26</x:v>
      </x:c>
      <x:c r="D78" s="19" t="n">
        <x:f>SUMIFS('日経_R01'!$C$7:$C$56,'日経_R01'!$I$7:$I$56,B78)</x:f>
        <x:v>3698000</x:v>
      </x:c>
      <x:c r="E78" s="19" t="n">
        <x:f>SUMIFS('日経_R01'!$D$7:$D$56,'日経_R01'!$I$7:$I$56,B78)</x:f>
        <x:v>2001000</x:v>
      </x:c>
      <x:c r="F78" s="19" t="n">
        <x:f>D78-E78</x:f>
        <x:v>1697000</x:v>
      </x:c>
      <x:c r="G78" s="24" t="n">
        <x:f>IF(E78=0,"損失なし",D78/E78)</x:f>
        <x:v>1.8480759620189906</x:v>
      </x:c>
      <x:c r="H78" s="2" t="n">
        <x:f>COUNTIFS('日経_R01'!$I$7:$I$56,B78,'日経_R01'!$E$7:$E$56,"&lt;0")</x:f>
        <x:v>10</x:v>
      </x:c>
      <x:c r="I78" s="19" t="n">
        <x:f>IF(H78=0,0,-SUMIFS('日経_R01'!$E$7:$E$56,'日経_R01'!$I$7:$I$56,B78,'日経_R01'!$E$7:$E$56,"&lt;0")/H78)</x:f>
        <x:v>41900</x:v>
      </x:c>
      <x:c r="J78" s="19" t="n">
        <x:v>105000</x:v>
      </x:c>
      <x:c r="K78" s="2" t="n">
        <x:f>SUMIFS('日経_R01'!$G$7:$G$56,'日経_R01'!$I$7:$I$56,B78)</x:f>
        <x:v>184</x:v>
      </x:c>
    </x:row>
    <x:row r="79" ht="23" customHeight="1">
      <x:c r="A79" s="2" t="str">
        <x:v>R02</x:v>
      </x:c>
      <x:c r="B79" s="2" t="str">
        <x:v>デイ</x:v>
      </x:c>
      <x:c r="C79" s="2" t="n">
        <x:f>COUNTIFS('日経_R02'!$B$7:$B$56,B79)</x:f>
        <x:v>25</x:v>
      </x:c>
      <x:c r="D79" s="19" t="n">
        <x:f>SUMIFS('日経_R02'!$C$7:$C$56,'日経_R02'!$B$7:$B$56,B79)</x:f>
        <x:v>4739000</x:v>
      </x:c>
      <x:c r="E79" s="19" t="n">
        <x:f>SUMIFS('日経_R02'!$D$7:$D$56,'日経_R02'!$B$7:$B$56,B79)</x:f>
        <x:v>2503000</x:v>
      </x:c>
      <x:c r="F79" s="19" t="n">
        <x:f>D79-E79</x:f>
        <x:v>2236000</x:v>
      </x:c>
      <x:c r="G79" s="24" t="n">
        <x:f>IF(E79=0,"損失なし",D79/E79)</x:f>
        <x:v>1.8933280063923292</x:v>
      </x:c>
      <x:c r="H79" s="2" t="n">
        <x:f>COUNTIFS('日経_R02'!$B$7:$B$56,B79,'日経_R02'!$E$7:$E$56,"&lt;0")</x:f>
        <x:v>9</x:v>
      </x:c>
      <x:c r="I79" s="19" t="n">
        <x:f>IF(H79=0,0,-SUMIFS('日経_R02'!$E$7:$E$56,'日経_R02'!$B$7:$B$56,B79,'日経_R02'!$E$7:$E$56,"&lt;0")/H79)</x:f>
        <x:v>54444.444444444445</x:v>
      </x:c>
      <x:c r="J79" s="19" t="n">
        <x:v>105000</x:v>
      </x:c>
      <x:c r="K79" s="2" t="n">
        <x:f>SUMIFS('日経_R02'!$G$7:$G$56,'日経_R02'!$B$7:$B$56,B79)</x:f>
        <x:v>210</x:v>
      </x:c>
    </x:row>
    <x:row r="80" ht="23" customHeight="1">
      <x:c r="A80" s="2" t="str">
        <x:v>R02</x:v>
      </x:c>
      <x:c r="B80" s="2" t="str">
        <x:v>ナイト</x:v>
      </x:c>
      <x:c r="C80" s="2" t="n">
        <x:f>COUNTIFS('日経_R02'!$B$7:$B$56,B80)</x:f>
        <x:v>25</x:v>
      </x:c>
      <x:c r="D80" s="19" t="n">
        <x:f>SUMIFS('日経_R02'!$C$7:$C$56,'日経_R02'!$B$7:$B$56,B80)</x:f>
        <x:v>2216000</x:v>
      </x:c>
      <x:c r="E80" s="19" t="n">
        <x:f>SUMIFS('日経_R02'!$D$7:$D$56,'日経_R02'!$B$7:$B$56,B80)</x:f>
        <x:v>895000</x:v>
      </x:c>
      <x:c r="F80" s="19" t="n">
        <x:f>D80-E80</x:f>
        <x:v>1321000</x:v>
      </x:c>
      <x:c r="G80" s="24" t="n">
        <x:f>IF(E80=0,"損失なし",D80/E80)</x:f>
        <x:v>2.475977653631285</x:v>
      </x:c>
      <x:c r="H80" s="2" t="n">
        <x:f>COUNTIFS('日経_R02'!$B$7:$B$56,B80,'日経_R02'!$E$7:$E$56,"&lt;0")</x:f>
        <x:v>11</x:v>
      </x:c>
      <x:c r="I80" s="19" t="n">
        <x:f>IF(H80=0,0,-SUMIFS('日経_R02'!$E$7:$E$56,'日経_R02'!$B$7:$B$56,B80,'日経_R02'!$E$7:$E$56,"&lt;0")/H80)</x:f>
        <x:v>27818.18181818182</x:v>
      </x:c>
      <x:c r="J80" s="19" t="n">
        <x:v>53000</x:v>
      </x:c>
      <x:c r="K80" s="2" t="n">
        <x:f>SUMIFS('日経_R02'!$G$7:$G$56,'日経_R02'!$B$7:$B$56,B80)</x:f>
        <x:v>134</x:v>
      </x:c>
    </x:row>
    <x:row r="81" ht="23" customHeight="1">
      <x:c r="A81" s="2" t="str">
        <x:v>R02</x:v>
      </x:c>
      <x:c r="B81" s="2" t="str">
        <x:v>上昇</x:v>
      </x:c>
      <x:c r="C81" s="2" t="n">
        <x:f>COUNTIFS('日経_R02'!$I$7:$I$56,B81)</x:f>
        <x:v>24</x:v>
      </x:c>
      <x:c r="D81" s="19" t="n">
        <x:f>SUMIFS('日経_R02'!$C$7:$C$56,'日経_R02'!$I$7:$I$56,B81)</x:f>
        <x:v>3338000</x:v>
      </x:c>
      <x:c r="E81" s="19" t="n">
        <x:f>SUMIFS('日経_R02'!$D$7:$D$56,'日経_R02'!$I$7:$I$56,B81)</x:f>
        <x:v>1604000</x:v>
      </x:c>
      <x:c r="F81" s="19" t="n">
        <x:f>D81-E81</x:f>
        <x:v>1734000</x:v>
      </x:c>
      <x:c r="G81" s="24" t="n">
        <x:f>IF(E81=0,"損失なし",D81/E81)</x:f>
        <x:v>2.0810473815461346</x:v>
      </x:c>
      <x:c r="H81" s="2" t="n">
        <x:f>COUNTIFS('日経_R02'!$I$7:$I$56,B81,'日経_R02'!$E$7:$E$56,"&lt;0")</x:f>
        <x:v>10</x:v>
      </x:c>
      <x:c r="I81" s="19" t="n">
        <x:f>IF(H81=0,0,-SUMIFS('日経_R02'!$E$7:$E$56,'日経_R02'!$I$7:$I$56,B81,'日経_R02'!$E$7:$E$56,"&lt;0")/H81)</x:f>
        <x:v>40500</x:v>
      </x:c>
      <x:c r="J81" s="19" t="n">
        <x:v>91000</x:v>
      </x:c>
      <x:c r="K81" s="2" t="n">
        <x:f>SUMIFS('日経_R02'!$G$7:$G$56,'日経_R02'!$I$7:$I$56,B81)</x:f>
        <x:v>183</x:v>
      </x:c>
    </x:row>
    <x:row r="82" ht="23" customHeight="1">
      <x:c r="A82" s="2" t="str">
        <x:v>R02</x:v>
      </x:c>
      <x:c r="B82" s="2" t="str">
        <x:v>下落</x:v>
      </x:c>
      <x:c r="C82" s="2" t="n">
        <x:f>COUNTIFS('日経_R02'!$I$7:$I$56,B82)</x:f>
        <x:v>26</x:v>
      </x:c>
      <x:c r="D82" s="19" t="n">
        <x:f>SUMIFS('日経_R02'!$C$7:$C$56,'日経_R02'!$I$7:$I$56,B82)</x:f>
        <x:v>3617000</x:v>
      </x:c>
      <x:c r="E82" s="19" t="n">
        <x:f>SUMIFS('日経_R02'!$D$7:$D$56,'日経_R02'!$I$7:$I$56,B82)</x:f>
        <x:v>1794000</x:v>
      </x:c>
      <x:c r="F82" s="19" t="n">
        <x:f>D82-E82</x:f>
        <x:v>1823000</x:v>
      </x:c>
      <x:c r="G82" s="24" t="n">
        <x:f>IF(E82=0,"損失なし",D82/E82)</x:f>
        <x:v>2.016164994425864</x:v>
      </x:c>
      <x:c r="H82" s="2" t="n">
        <x:f>COUNTIFS('日経_R02'!$I$7:$I$56,B82,'日経_R02'!$E$7:$E$56,"&lt;0")</x:f>
        <x:v>10</x:v>
      </x:c>
      <x:c r="I82" s="19" t="n">
        <x:f>IF(H82=0,0,-SUMIFS('日経_R02'!$E$7:$E$56,'日経_R02'!$I$7:$I$56,B82,'日経_R02'!$E$7:$E$56,"&lt;0")/H82)</x:f>
        <x:v>39100</x:v>
      </x:c>
      <x:c r="J82" s="19" t="n">
        <x:v>105000</x:v>
      </x:c>
      <x:c r="K82" s="2" t="n">
        <x:f>SUMIFS('日経_R02'!$G$7:$G$56,'日経_R02'!$I$7:$I$56,B82)</x:f>
        <x:v>161</x:v>
      </x:c>
    </x:row>
    <x:row r="83" ht="23" customHeight="1">
      <x:c r="A83" s="2" t="str">
        <x:v>R03</x:v>
      </x:c>
      <x:c r="B83" s="2" t="str">
        <x:v>デイ</x:v>
      </x:c>
      <x:c r="C83" s="2" t="n">
        <x:f>COUNTIFS('日経_R03'!$B$7:$B$56,B83)</x:f>
        <x:v>25</x:v>
      </x:c>
      <x:c r="D83" s="19" t="n">
        <x:f>SUMIFS('日経_R03'!$C$7:$C$56,'日経_R03'!$B$7:$B$56,B83)</x:f>
        <x:v>4940000</x:v>
      </x:c>
      <x:c r="E83" s="19" t="n">
        <x:f>SUMIFS('日経_R03'!$D$7:$D$56,'日経_R03'!$B$7:$B$56,B83)</x:f>
        <x:v>2581000</x:v>
      </x:c>
      <x:c r="F83" s="19" t="n">
        <x:f>D83-E83</x:f>
        <x:v>2359000</x:v>
      </x:c>
      <x:c r="G83" s="24" t="n">
        <x:f>IF(E83=0,"損失なし",D83/E83)</x:f>
        <x:v>1.9139868268113134</x:v>
      </x:c>
      <x:c r="H83" s="2" t="n">
        <x:f>COUNTIFS('日経_R03'!$B$7:$B$56,B83,'日経_R03'!$E$7:$E$56,"&lt;0")</x:f>
        <x:v>9</x:v>
      </x:c>
      <x:c r="I83" s="19" t="n">
        <x:f>IF(H83=0,0,-SUMIFS('日経_R03'!$E$7:$E$56,'日経_R03'!$B$7:$B$56,B83,'日経_R03'!$E$7:$E$56,"&lt;0")/H83)</x:f>
        <x:v>43888.88888888889</x:v>
      </x:c>
      <x:c r="J83" s="19" t="n">
        <x:v>105000</x:v>
      </x:c>
      <x:c r="K83" s="2" t="n">
        <x:f>SUMIFS('日経_R03'!$G$7:$G$56,'日経_R03'!$B$7:$B$56,B83)</x:f>
        <x:v>222</x:v>
      </x:c>
    </x:row>
    <x:row r="84" ht="23" customHeight="1">
      <x:c r="A84" s="2" t="str">
        <x:v>R03</x:v>
      </x:c>
      <x:c r="B84" s="2" t="str">
        <x:v>ナイト</x:v>
      </x:c>
      <x:c r="C84" s="2" t="n">
        <x:f>COUNTIFS('日経_R03'!$B$7:$B$56,B84)</x:f>
        <x:v>25</x:v>
      </x:c>
      <x:c r="D84" s="19" t="n">
        <x:f>SUMIFS('日経_R03'!$C$7:$C$56,'日経_R03'!$B$7:$B$56,B84)</x:f>
        <x:v>2343000</x:v>
      </x:c>
      <x:c r="E84" s="19" t="n">
        <x:f>SUMIFS('日経_R03'!$D$7:$D$56,'日経_R03'!$B$7:$B$56,B84)</x:f>
        <x:v>999000</x:v>
      </x:c>
      <x:c r="F84" s="19" t="n">
        <x:f>D84-E84</x:f>
        <x:v>1344000</x:v>
      </x:c>
      <x:c r="G84" s="24" t="n">
        <x:f>IF(E84=0,"損失なし",D84/E84)</x:f>
        <x:v>2.3453453453453452</x:v>
      </x:c>
      <x:c r="H84" s="2" t="n">
        <x:f>COUNTIFS('日経_R03'!$B$7:$B$56,B84,'日経_R03'!$E$7:$E$56,"&lt;0")</x:f>
        <x:v>10</x:v>
      </x:c>
      <x:c r="I84" s="19" t="n">
        <x:f>IF(H84=0,0,-SUMIFS('日経_R03'!$E$7:$E$56,'日経_R03'!$B$7:$B$56,B84,'日経_R03'!$E$7:$E$56,"&lt;0")/H84)</x:f>
        <x:v>37300</x:v>
      </x:c>
      <x:c r="J84" s="19" t="n">
        <x:v>66000</x:v>
      </x:c>
      <x:c r="K84" s="2" t="n">
        <x:f>SUMIFS('日経_R03'!$G$7:$G$56,'日経_R03'!$B$7:$B$56,B84)</x:f>
        <x:v>145</x:v>
      </x:c>
    </x:row>
    <x:row r="85" ht="23" customHeight="1">
      <x:c r="A85" s="2" t="str">
        <x:v>R03</x:v>
      </x:c>
      <x:c r="B85" s="2" t="str">
        <x:v>上昇</x:v>
      </x:c>
      <x:c r="C85" s="2" t="n">
        <x:f>COUNTIFS('日経_R03'!$I$7:$I$56,B85)</x:f>
        <x:v>24</x:v>
      </x:c>
      <x:c r="D85" s="19" t="n">
        <x:f>SUMIFS('日経_R03'!$C$7:$C$56,'日経_R03'!$I$7:$I$56,B85)</x:f>
        <x:v>3600000</x:v>
      </x:c>
      <x:c r="E85" s="19" t="n">
        <x:f>SUMIFS('日経_R03'!$D$7:$D$56,'日経_R03'!$I$7:$I$56,B85)</x:f>
        <x:v>1637000</x:v>
      </x:c>
      <x:c r="F85" s="19" t="n">
        <x:f>D85-E85</x:f>
        <x:v>1963000</x:v>
      </x:c>
      <x:c r="G85" s="24" t="n">
        <x:f>IF(E85=0,"損失なし",D85/E85)</x:f>
        <x:v>2.1991447770311545</x:v>
      </x:c>
      <x:c r="H85" s="2" t="n">
        <x:f>COUNTIFS('日経_R03'!$I$7:$I$56,B85,'日経_R03'!$E$7:$E$56,"&lt;0")</x:f>
        <x:v>8</x:v>
      </x:c>
      <x:c r="I85" s="19" t="n">
        <x:f>IF(H85=0,0,-SUMIFS('日経_R03'!$E$7:$E$56,'日経_R03'!$I$7:$I$56,B85,'日経_R03'!$E$7:$E$56,"&lt;0")/H85)</x:f>
        <x:v>37125</x:v>
      </x:c>
      <x:c r="J85" s="19" t="n">
        <x:v>54000</x:v>
      </x:c>
      <x:c r="K85" s="2" t="n">
        <x:f>SUMIFS('日経_R03'!$G$7:$G$56,'日経_R03'!$I$7:$I$56,B85)</x:f>
        <x:v>190</x:v>
      </x:c>
    </x:row>
    <x:row r="86" ht="23" customHeight="1">
      <x:c r="A86" s="2" t="str">
        <x:v>R03</x:v>
      </x:c>
      <x:c r="B86" s="2" t="str">
        <x:v>下落</x:v>
      </x:c>
      <x:c r="C86" s="2" t="n">
        <x:f>COUNTIFS('日経_R03'!$I$7:$I$56,B86)</x:f>
        <x:v>26</x:v>
      </x:c>
      <x:c r="D86" s="19" t="n">
        <x:f>SUMIFS('日経_R03'!$C$7:$C$56,'日経_R03'!$I$7:$I$56,B86)</x:f>
        <x:v>3683000</x:v>
      </x:c>
      <x:c r="E86" s="19" t="n">
        <x:f>SUMIFS('日経_R03'!$D$7:$D$56,'日経_R03'!$I$7:$I$56,B86)</x:f>
        <x:v>1943000</x:v>
      </x:c>
      <x:c r="F86" s="19" t="n">
        <x:f>D86-E86</x:f>
        <x:v>1740000</x:v>
      </x:c>
      <x:c r="G86" s="24" t="n">
        <x:f>IF(E86=0,"損失なし",D86/E86)</x:f>
        <x:v>1.8955223880597014</x:v>
      </x:c>
      <x:c r="H86" s="2" t="n">
        <x:f>COUNTIFS('日経_R03'!$I$7:$I$56,B86,'日経_R03'!$E$7:$E$56,"&lt;0")</x:f>
        <x:v>11</x:v>
      </x:c>
      <x:c r="I86" s="19" t="n">
        <x:f>IF(H86=0,0,-SUMIFS('日経_R03'!$E$7:$E$56,'日経_R03'!$I$7:$I$56,B86,'日経_R03'!$E$7:$E$56,"&lt;0")/H86)</x:f>
        <x:v>42818.181818181816</x:v>
      </x:c>
      <x:c r="J86" s="19" t="n">
        <x:v>105000</x:v>
      </x:c>
      <x:c r="K86" s="2" t="n">
        <x:f>SUMIFS('日経_R03'!$G$7:$G$56,'日経_R03'!$I$7:$I$56,B86)</x:f>
        <x:v>177</x:v>
      </x:c>
    </x:row>
    <x:row r="87" ht="23" customHeight="1">
      <x:c r="A87" s="2" t="str">
        <x:v>R04</x:v>
      </x:c>
      <x:c r="B87" s="2" t="str">
        <x:v>デイ</x:v>
      </x:c>
      <x:c r="C87" s="2" t="n">
        <x:f>COUNTIFS('日経_R04'!$B$7:$B$56,B87)</x:f>
        <x:v>25</x:v>
      </x:c>
      <x:c r="D87" s="19" t="n">
        <x:f>SUMIFS('日経_R04'!$C$7:$C$56,'日経_R04'!$B$7:$B$56,B87)</x:f>
        <x:v>4935000</x:v>
      </x:c>
      <x:c r="E87" s="19" t="n">
        <x:f>SUMIFS('日経_R04'!$D$7:$D$56,'日経_R04'!$B$7:$B$56,B87)</x:f>
        <x:v>2535000</x:v>
      </x:c>
      <x:c r="F87" s="19" t="n">
        <x:f>D87-E87</x:f>
        <x:v>2400000</x:v>
      </x:c>
      <x:c r="G87" s="24" t="n">
        <x:f>IF(E87=0,"損失なし",D87/E87)</x:f>
        <x:v>1.9467455621301775</x:v>
      </x:c>
      <x:c r="H87" s="2" t="n">
        <x:f>COUNTIFS('日経_R04'!$B$7:$B$56,B87,'日経_R04'!$E$7:$E$56,"&lt;0")</x:f>
        <x:v>9</x:v>
      </x:c>
      <x:c r="I87" s="19" t="n">
        <x:f>IF(H87=0,0,-SUMIFS('日経_R04'!$E$7:$E$56,'日経_R04'!$B$7:$B$56,B87,'日経_R04'!$E$7:$E$56,"&lt;0")/H87)</x:f>
        <x:v>47666.666666666664</x:v>
      </x:c>
      <x:c r="J87" s="19" t="n">
        <x:v>105000</x:v>
      </x:c>
      <x:c r="K87" s="2" t="n">
        <x:f>SUMIFS('日経_R04'!$G$7:$G$56,'日経_R04'!$B$7:$B$56,B87)</x:f>
        <x:v>217</x:v>
      </x:c>
    </x:row>
    <x:row r="88" ht="23" customHeight="1">
      <x:c r="A88" s="2" t="str">
        <x:v>R04</x:v>
      </x:c>
      <x:c r="B88" s="2" t="str">
        <x:v>ナイト</x:v>
      </x:c>
      <x:c r="C88" s="2" t="n">
        <x:f>COUNTIFS('日経_R04'!$B$7:$B$56,B88)</x:f>
        <x:v>25</x:v>
      </x:c>
      <x:c r="D88" s="19" t="n">
        <x:f>SUMIFS('日経_R04'!$C$7:$C$56,'日経_R04'!$B$7:$B$56,B88)</x:f>
        <x:v>2149000</x:v>
      </x:c>
      <x:c r="E88" s="19" t="n">
        <x:f>SUMIFS('日経_R04'!$D$7:$D$56,'日経_R04'!$B$7:$B$56,B88)</x:f>
        <x:v>902000</x:v>
      </x:c>
      <x:c r="F88" s="19" t="n">
        <x:f>D88-E88</x:f>
        <x:v>1247000</x:v>
      </x:c>
      <x:c r="G88" s="24" t="n">
        <x:f>IF(E88=0,"損失なし",D88/E88)</x:f>
        <x:v>2.382483370288248</x:v>
      </x:c>
      <x:c r="H88" s="2" t="n">
        <x:f>COUNTIFS('日経_R04'!$B$7:$B$56,B88,'日経_R04'!$E$7:$E$56,"&lt;0")</x:f>
        <x:v>11</x:v>
      </x:c>
      <x:c r="I88" s="19" t="n">
        <x:f>IF(H88=0,0,-SUMIFS('日経_R04'!$E$7:$E$56,'日経_R04'!$B$7:$B$56,B88,'日経_R04'!$E$7:$E$56,"&lt;0")/H88)</x:f>
        <x:v>32181.81818181818</x:v>
      </x:c>
      <x:c r="J88" s="19" t="n">
        <x:v>53000</x:v>
      </x:c>
      <x:c r="K88" s="2" t="n">
        <x:f>SUMIFS('日経_R04'!$G$7:$G$56,'日経_R04'!$B$7:$B$56,B88)</x:f>
        <x:v>135</x:v>
      </x:c>
    </x:row>
    <x:row r="89" ht="23" customHeight="1">
      <x:c r="A89" s="2" t="str">
        <x:v>R04</x:v>
      </x:c>
      <x:c r="B89" s="2" t="str">
        <x:v>上昇</x:v>
      </x:c>
      <x:c r="C89" s="2" t="n">
        <x:f>COUNTIFS('日経_R04'!$I$7:$I$56,B89)</x:f>
        <x:v>24</x:v>
      </x:c>
      <x:c r="D89" s="19" t="n">
        <x:f>SUMIFS('日経_R04'!$C$7:$C$56,'日経_R04'!$I$7:$I$56,B89)</x:f>
        <x:v>3369000</x:v>
      </x:c>
      <x:c r="E89" s="19" t="n">
        <x:f>SUMIFS('日経_R04'!$D$7:$D$56,'日経_R04'!$I$7:$I$56,B89)</x:f>
        <x:v>1611000</x:v>
      </x:c>
      <x:c r="F89" s="19" t="n">
        <x:f>D89-E89</x:f>
        <x:v>1758000</x:v>
      </x:c>
      <x:c r="G89" s="24" t="n">
        <x:f>IF(E89=0,"損失なし",D89/E89)</x:f>
        <x:v>2.091247672253259</x:v>
      </x:c>
      <x:c r="H89" s="2" t="n">
        <x:f>COUNTIFS('日経_R04'!$I$7:$I$56,B89,'日経_R04'!$E$7:$E$56,"&lt;0")</x:f>
        <x:v>9</x:v>
      </x:c>
      <x:c r="I89" s="19" t="n">
        <x:f>IF(H89=0,0,-SUMIFS('日経_R04'!$E$7:$E$56,'日経_R04'!$I$7:$I$56,B89,'日経_R04'!$E$7:$E$56,"&lt;0")/H89)</x:f>
        <x:v>37777.77777777778</x:v>
      </x:c>
      <x:c r="J89" s="19" t="n">
        <x:v>72000</x:v>
      </x:c>
      <x:c r="K89" s="2" t="n">
        <x:f>SUMIFS('日経_R04'!$G$7:$G$56,'日経_R04'!$I$7:$I$56,B89)</x:f>
        <x:v>186</x:v>
      </x:c>
    </x:row>
    <x:row r="90" ht="23" customHeight="1">
      <x:c r="A90" s="2" t="str">
        <x:v>R04</x:v>
      </x:c>
      <x:c r="B90" s="2" t="str">
        <x:v>下落</x:v>
      </x:c>
      <x:c r="C90" s="2" t="n">
        <x:f>COUNTIFS('日経_R04'!$I$7:$I$56,B90)</x:f>
        <x:v>26</x:v>
      </x:c>
      <x:c r="D90" s="19" t="n">
        <x:f>SUMIFS('日経_R04'!$C$7:$C$56,'日経_R04'!$I$7:$I$56,B90)</x:f>
        <x:v>3715000</x:v>
      </x:c>
      <x:c r="E90" s="19" t="n">
        <x:f>SUMIFS('日経_R04'!$D$7:$D$56,'日経_R04'!$I$7:$I$56,B90)</x:f>
        <x:v>1826000</x:v>
      </x:c>
      <x:c r="F90" s="19" t="n">
        <x:f>D90-E90</x:f>
        <x:v>1889000</x:v>
      </x:c>
      <x:c r="G90" s="24" t="n">
        <x:f>IF(E90=0,"損失なし",D90/E90)</x:f>
        <x:v>2.034501642935378</x:v>
      </x:c>
      <x:c r="H90" s="2" t="n">
        <x:f>COUNTIFS('日経_R04'!$I$7:$I$56,B90,'日経_R04'!$E$7:$E$56,"&lt;0")</x:f>
        <x:v>11</x:v>
      </x:c>
      <x:c r="I90" s="19" t="n">
        <x:f>IF(H90=0,0,-SUMIFS('日経_R04'!$E$7:$E$56,'日経_R04'!$I$7:$I$56,B90,'日経_R04'!$E$7:$E$56,"&lt;0")/H90)</x:f>
        <x:v>40272.72727272727</x:v>
      </x:c>
      <x:c r="J90" s="19" t="n">
        <x:v>105000</x:v>
      </x:c>
      <x:c r="K90" s="2" t="n">
        <x:f>SUMIFS('日経_R04'!$G$7:$G$56,'日経_R04'!$I$7:$I$56,B90)</x:f>
        <x:v>166</x:v>
      </x:c>
    </x:row>
    <x:row r="91" ht="23" customHeight="1">
      <x:c r="A91" s="2" t="str">
        <x:v>R05</x:v>
      </x:c>
      <x:c r="B91" s="2" t="str">
        <x:v>デイ</x:v>
      </x:c>
      <x:c r="C91" s="2" t="n">
        <x:f>COUNTIFS('日経_R05'!$B$7:$B$56,B91)</x:f>
        <x:v>25</x:v>
      </x:c>
      <x:c r="D91" s="19" t="n">
        <x:f>SUMIFS('日経_R05'!$C$7:$C$56,'日経_R05'!$B$7:$B$56,B91)</x:f>
        <x:v>4954000</x:v>
      </x:c>
      <x:c r="E91" s="19" t="n">
        <x:f>SUMIFS('日経_R05'!$D$7:$D$56,'日経_R05'!$B$7:$B$56,B91)</x:f>
        <x:v>2623000</x:v>
      </x:c>
      <x:c r="F91" s="19" t="n">
        <x:f>D91-E91</x:f>
        <x:v>2331000</x:v>
      </x:c>
      <x:c r="G91" s="24" t="n">
        <x:f>IF(E91=0,"損失なし",D91/E91)</x:f>
        <x:v>1.888677087304613</x:v>
      </x:c>
      <x:c r="H91" s="2" t="n">
        <x:f>COUNTIFS('日経_R05'!$B$7:$B$56,B91,'日経_R05'!$E$7:$E$56,"&lt;0")</x:f>
        <x:v>9</x:v>
      </x:c>
      <x:c r="I91" s="19" t="n">
        <x:f>IF(H91=0,0,-SUMIFS('日経_R05'!$E$7:$E$56,'日経_R05'!$B$7:$B$56,B91,'日経_R05'!$E$7:$E$56,"&lt;0")/H91)</x:f>
        <x:v>44444.444444444445</x:v>
      </x:c>
      <x:c r="J91" s="19" t="n">
        <x:v>105000</x:v>
      </x:c>
      <x:c r="K91" s="2" t="n">
        <x:f>SUMIFS('日経_R05'!$G$7:$G$56,'日経_R05'!$B$7:$B$56,B91)</x:f>
        <x:v>224</x:v>
      </x:c>
    </x:row>
    <x:row r="92" ht="23" customHeight="1">
      <x:c r="A92" s="2" t="str">
        <x:v>R05</x:v>
      </x:c>
      <x:c r="B92" s="2" t="str">
        <x:v>ナイト</x:v>
      </x:c>
      <x:c r="C92" s="2" t="n">
        <x:f>COUNTIFS('日経_R05'!$B$7:$B$56,B92)</x:f>
        <x:v>25</x:v>
      </x:c>
      <x:c r="D92" s="19" t="n">
        <x:f>SUMIFS('日経_R05'!$C$7:$C$56,'日経_R05'!$B$7:$B$56,B92)</x:f>
        <x:v>2259000</x:v>
      </x:c>
      <x:c r="E92" s="19" t="n">
        <x:f>SUMIFS('日経_R05'!$D$7:$D$56,'日経_R05'!$B$7:$B$56,B92)</x:f>
        <x:v>949000</x:v>
      </x:c>
      <x:c r="F92" s="19" t="n">
        <x:f>D92-E92</x:f>
        <x:v>1310000</x:v>
      </x:c>
      <x:c r="G92" s="24" t="n">
        <x:f>IF(E92=0,"損失なし",D92/E92)</x:f>
        <x:v>2.380400421496312</x:v>
      </x:c>
      <x:c r="H92" s="2" t="n">
        <x:f>COUNTIFS('日経_R05'!$B$7:$B$56,B92,'日経_R05'!$E$7:$E$56,"&lt;0")</x:f>
        <x:v>10</x:v>
      </x:c>
      <x:c r="I92" s="19" t="n">
        <x:f>IF(H92=0,0,-SUMIFS('日経_R05'!$E$7:$E$56,'日経_R05'!$B$7:$B$56,B92,'日経_R05'!$E$7:$E$56,"&lt;0")/H92)</x:f>
        <x:v>36400</x:v>
      </x:c>
      <x:c r="J92" s="19" t="n">
        <x:v>54000</x:v>
      </x:c>
      <x:c r="K92" s="2" t="n">
        <x:f>SUMIFS('日経_R05'!$G$7:$G$56,'日経_R05'!$B$7:$B$56,B92)</x:f>
        <x:v>144</x:v>
      </x:c>
    </x:row>
    <x:row r="93" ht="23" customHeight="1">
      <x:c r="A93" s="2" t="str">
        <x:v>R05</x:v>
      </x:c>
      <x:c r="B93" s="2" t="str">
        <x:v>上昇</x:v>
      </x:c>
      <x:c r="C93" s="2" t="n">
        <x:f>COUNTIFS('日経_R05'!$I$7:$I$56,B93)</x:f>
        <x:v>24</x:v>
      </x:c>
      <x:c r="D93" s="19" t="n">
        <x:f>SUMIFS('日経_R05'!$C$7:$C$56,'日経_R05'!$I$7:$I$56,B93)</x:f>
        <x:v>3539000</x:v>
      </x:c>
      <x:c r="E93" s="19" t="n">
        <x:f>SUMIFS('日経_R05'!$D$7:$D$56,'日経_R05'!$I$7:$I$56,B93)</x:f>
        <x:v>1629000</x:v>
      </x:c>
      <x:c r="F93" s="19" t="n">
        <x:f>D93-E93</x:f>
        <x:v>1910000</x:v>
      </x:c>
      <x:c r="G93" s="24" t="n">
        <x:f>IF(E93=0,"損失なし",D93/E93)</x:f>
        <x:v>2.1724984653161448</x:v>
      </x:c>
      <x:c r="H93" s="2" t="n">
        <x:f>COUNTIFS('日経_R05'!$I$7:$I$56,B93,'日経_R05'!$E$7:$E$56,"&lt;0")</x:f>
        <x:v>8</x:v>
      </x:c>
      <x:c r="I93" s="19" t="n">
        <x:f>IF(H93=0,0,-SUMIFS('日経_R05'!$E$7:$E$56,'日経_R05'!$I$7:$I$56,B93,'日経_R05'!$E$7:$E$56,"&lt;0")/H93)</x:f>
        <x:v>39875</x:v>
      </x:c>
      <x:c r="J93" s="19" t="n">
        <x:v>58000</x:v>
      </x:c>
      <x:c r="K93" s="2" t="n">
        <x:f>SUMIFS('日経_R05'!$G$7:$G$56,'日経_R05'!$I$7:$I$56,B93)</x:f>
        <x:v>191</x:v>
      </x:c>
    </x:row>
    <x:row r="94" ht="23" customHeight="1">
      <x:c r="A94" s="2" t="str">
        <x:v>R05</x:v>
      </x:c>
      <x:c r="B94" s="2" t="str">
        <x:v>下落</x:v>
      </x:c>
      <x:c r="C94" s="2" t="n">
        <x:f>COUNTIFS('日経_R05'!$I$7:$I$56,B94)</x:f>
        <x:v>26</x:v>
      </x:c>
      <x:c r="D94" s="19" t="n">
        <x:f>SUMIFS('日経_R05'!$C$7:$C$56,'日経_R05'!$I$7:$I$56,B94)</x:f>
        <x:v>3674000</x:v>
      </x:c>
      <x:c r="E94" s="19" t="n">
        <x:f>SUMIFS('日経_R05'!$D$7:$D$56,'日経_R05'!$I$7:$I$56,B94)</x:f>
        <x:v>1943000</x:v>
      </x:c>
      <x:c r="F94" s="19" t="n">
        <x:f>D94-E94</x:f>
        <x:v>1731000</x:v>
      </x:c>
      <x:c r="G94" s="24" t="n">
        <x:f>IF(E94=0,"損失なし",D94/E94)</x:f>
        <x:v>1.8908903757076685</x:v>
      </x:c>
      <x:c r="H94" s="2" t="n">
        <x:f>COUNTIFS('日経_R05'!$I$7:$I$56,B94,'日経_R05'!$E$7:$E$56,"&lt;0")</x:f>
        <x:v>11</x:v>
      </x:c>
      <x:c r="I94" s="19" t="n">
        <x:f>IF(H94=0,0,-SUMIFS('日経_R05'!$E$7:$E$56,'日経_R05'!$I$7:$I$56,B94,'日経_R05'!$E$7:$E$56,"&lt;0")/H94)</x:f>
        <x:v>40454.545454545456</x:v>
      </x:c>
      <x:c r="J94" s="19" t="n">
        <x:v>105000</x:v>
      </x:c>
      <x:c r="K94" s="2" t="n">
        <x:f>SUMIFS('日経_R05'!$G$7:$G$56,'日経_R05'!$I$7:$I$56,B94)</x:f>
        <x:v>177</x:v>
      </x:c>
    </x:row>
    <x:row r="95" ht="23" customHeight="1">
      <x:c r="A95" s="2" t="str">
        <x:v>R06</x:v>
      </x:c>
      <x:c r="B95" s="2" t="str">
        <x:v>デイ</x:v>
      </x:c>
      <x:c r="C95" s="2" t="n">
        <x:f>COUNTIFS('日経_R06'!$B$7:$B$56,B95)</x:f>
        <x:v>25</x:v>
      </x:c>
      <x:c r="D95" s="19" t="n">
        <x:f>SUMIFS('日経_R06'!$C$7:$C$56,'日経_R06'!$B$7:$B$56,B95)</x:f>
        <x:v>4861000</x:v>
      </x:c>
      <x:c r="E95" s="19" t="n">
        <x:f>SUMIFS('日経_R06'!$D$7:$D$56,'日経_R06'!$B$7:$B$56,B95)</x:f>
        <x:v>2653000</x:v>
      </x:c>
      <x:c r="F95" s="19" t="n">
        <x:f>D95-E95</x:f>
        <x:v>2208000</x:v>
      </x:c>
      <x:c r="G95" s="24" t="n">
        <x:f>IF(E95=0,"損失なし",D95/E95)</x:f>
        <x:v>1.8322653599698455</x:v>
      </x:c>
      <x:c r="H95" s="2" t="n">
        <x:f>COUNTIFS('日経_R06'!$B$7:$B$56,B95,'日経_R06'!$E$7:$E$56,"&lt;0")</x:f>
        <x:v>8</x:v>
      </x:c>
      <x:c r="I95" s="19" t="n">
        <x:f>IF(H95=0,0,-SUMIFS('日経_R06'!$E$7:$E$56,'日経_R06'!$B$7:$B$56,B95,'日経_R06'!$E$7:$E$56,"&lt;0")/H95)</x:f>
        <x:v>55750</x:v>
      </x:c>
      <x:c r="J95" s="19" t="n">
        <x:v>105000</x:v>
      </x:c>
      <x:c r="K95" s="2" t="n">
        <x:f>SUMIFS('日経_R06'!$G$7:$G$56,'日経_R06'!$B$7:$B$56,B95)</x:f>
        <x:v>225</x:v>
      </x:c>
    </x:row>
    <x:row r="96" ht="23" customHeight="1">
      <x:c r="A96" s="2" t="str">
        <x:v>R06</x:v>
      </x:c>
      <x:c r="B96" s="2" t="str">
        <x:v>ナイト</x:v>
      </x:c>
      <x:c r="C96" s="2" t="n">
        <x:f>COUNTIFS('日経_R06'!$B$7:$B$56,B96)</x:f>
        <x:v>25</x:v>
      </x:c>
      <x:c r="D96" s="19" t="n">
        <x:f>SUMIFS('日経_R06'!$C$7:$C$56,'日経_R06'!$B$7:$B$56,B96)</x:f>
        <x:v>2332000</x:v>
      </x:c>
      <x:c r="E96" s="19" t="n">
        <x:f>SUMIFS('日経_R06'!$D$7:$D$56,'日経_R06'!$B$7:$B$56,B96)</x:f>
        <x:v>931000</x:v>
      </x:c>
      <x:c r="F96" s="19" t="n">
        <x:f>D96-E96</x:f>
        <x:v>1401000</x:v>
      </x:c>
      <x:c r="G96" s="24" t="n">
        <x:f>IF(E96=0,"損失なし",D96/E96)</x:f>
        <x:v>2.5048335123523096</x:v>
      </x:c>
      <x:c r="H96" s="2" t="n">
        <x:f>COUNTIFS('日経_R06'!$B$7:$B$56,B96,'日経_R06'!$E$7:$E$56,"&lt;0")</x:f>
        <x:v>10</x:v>
      </x:c>
      <x:c r="I96" s="19" t="n">
        <x:f>IF(H96=0,0,-SUMIFS('日経_R06'!$E$7:$E$56,'日経_R06'!$B$7:$B$56,B96,'日経_R06'!$E$7:$E$56,"&lt;0")/H96)</x:f>
        <x:v>32100</x:v>
      </x:c>
      <x:c r="J96" s="19" t="n">
        <x:v>53000</x:v>
      </x:c>
      <x:c r="K96" s="2" t="n">
        <x:f>SUMIFS('日経_R06'!$G$7:$G$56,'日経_R06'!$B$7:$B$56,B96)</x:f>
        <x:v>143</x:v>
      </x:c>
    </x:row>
    <x:row r="97" ht="23" customHeight="1">
      <x:c r="A97" s="2" t="str">
        <x:v>R06</x:v>
      </x:c>
      <x:c r="B97" s="2" t="str">
        <x:v>上昇</x:v>
      </x:c>
      <x:c r="C97" s="2" t="n">
        <x:f>COUNTIFS('日経_R06'!$I$7:$I$56,B97)</x:f>
        <x:v>24</x:v>
      </x:c>
      <x:c r="D97" s="19" t="n">
        <x:f>SUMIFS('日経_R06'!$C$7:$C$56,'日経_R06'!$I$7:$I$56,B97)</x:f>
        <x:v>3551000</x:v>
      </x:c>
      <x:c r="E97" s="19" t="n">
        <x:f>SUMIFS('日経_R06'!$D$7:$D$56,'日経_R06'!$I$7:$I$56,B97)</x:f>
        <x:v>1613000</x:v>
      </x:c>
      <x:c r="F97" s="19" t="n">
        <x:f>D97-E97</x:f>
        <x:v>1938000</x:v>
      </x:c>
      <x:c r="G97" s="24" t="n">
        <x:f>IF(E97=0,"損失なし",D97/E97)</x:f>
        <x:v>2.2014879107253567</x:v>
      </x:c>
      <x:c r="H97" s="2" t="n">
        <x:f>COUNTIFS('日経_R06'!$I$7:$I$56,B97,'日経_R06'!$E$7:$E$56,"&lt;0")</x:f>
        <x:v>9</x:v>
      </x:c>
      <x:c r="I97" s="19" t="n">
        <x:f>IF(H97=0,0,-SUMIFS('日経_R06'!$E$7:$E$56,'日経_R06'!$I$7:$I$56,B97,'日経_R06'!$E$7:$E$56,"&lt;0")/H97)</x:f>
        <x:v>42111.11111111111</x:v>
      </x:c>
      <x:c r="J97" s="19" t="n">
        <x:v>81000</x:v>
      </x:c>
      <x:c r="K97" s="2" t="n">
        <x:f>SUMIFS('日経_R06'!$G$7:$G$56,'日経_R06'!$I$7:$I$56,B97)</x:f>
        <x:v>188</x:v>
      </x:c>
    </x:row>
    <x:row r="98" ht="23" customHeight="1">
      <x:c r="A98" s="2" t="str">
        <x:v>R06</x:v>
      </x:c>
      <x:c r="B98" s="2" t="str">
        <x:v>下落</x:v>
      </x:c>
      <x:c r="C98" s="2" t="n">
        <x:f>COUNTIFS('日経_R06'!$I$7:$I$56,B98)</x:f>
        <x:v>26</x:v>
      </x:c>
      <x:c r="D98" s="19" t="n">
        <x:f>SUMIFS('日経_R06'!$C$7:$C$56,'日経_R06'!$I$7:$I$56,B98)</x:f>
        <x:v>3642000</x:v>
      </x:c>
      <x:c r="E98" s="19" t="n">
        <x:f>SUMIFS('日経_R06'!$D$7:$D$56,'日経_R06'!$I$7:$I$56,B98)</x:f>
        <x:v>1971000</x:v>
      </x:c>
      <x:c r="F98" s="19" t="n">
        <x:f>D98-E98</x:f>
        <x:v>1671000</x:v>
      </x:c>
      <x:c r="G98" s="24" t="n">
        <x:f>IF(E98=0,"損失なし",D98/E98)</x:f>
        <x:v>1.84779299847793</x:v>
      </x:c>
      <x:c r="H98" s="2" t="n">
        <x:f>COUNTIFS('日経_R06'!$I$7:$I$56,B98,'日経_R06'!$E$7:$E$56,"&lt;0")</x:f>
        <x:v>9</x:v>
      </x:c>
      <x:c r="I98" s="19" t="n">
        <x:f>IF(H98=0,0,-SUMIFS('日経_R06'!$E$7:$E$56,'日経_R06'!$I$7:$I$56,B98,'日経_R06'!$E$7:$E$56,"&lt;0")/H98)</x:f>
        <x:v>43111.11111111111</x:v>
      </x:c>
      <x:c r="J98" s="19" t="n">
        <x:v>105000</x:v>
      </x:c>
      <x:c r="K98" s="2" t="n">
        <x:f>SUMIFS('日経_R06'!$G$7:$G$56,'日経_R06'!$I$7:$I$56,B98)</x:f>
        <x:v>180</x:v>
      </x:c>
    </x:row>
    <x:row r="99" ht="23" customHeight="1">
      <x:c r="A99" s="2" t="str">
        <x:v>R07</x:v>
      </x:c>
      <x:c r="B99" s="2" t="str">
        <x:v>デイ</x:v>
      </x:c>
      <x:c r="C99" s="2" t="n">
        <x:f>COUNTIFS('日経_R07'!$B$7:$B$56,B99)</x:f>
        <x:v>25</x:v>
      </x:c>
      <x:c r="D99" s="19" t="n">
        <x:f>SUMIFS('日経_R07'!$C$7:$C$56,'日経_R07'!$B$7:$B$56,B99)</x:f>
        <x:v>4848000</x:v>
      </x:c>
      <x:c r="E99" s="19" t="n">
        <x:f>SUMIFS('日経_R07'!$D$7:$D$56,'日経_R07'!$B$7:$B$56,B99)</x:f>
        <x:v>2647000</x:v>
      </x:c>
      <x:c r="F99" s="19" t="n">
        <x:f>D99-E99</x:f>
        <x:v>2201000</x:v>
      </x:c>
      <x:c r="G99" s="24" t="n">
        <x:f>IF(E99=0,"損失なし",D99/E99)</x:f>
        <x:v>1.831507366830374</x:v>
      </x:c>
      <x:c r="H99" s="2" t="n">
        <x:f>COUNTIFS('日経_R07'!$B$7:$B$56,B99,'日経_R07'!$E$7:$E$56,"&lt;0")</x:f>
        <x:v>8</x:v>
      </x:c>
      <x:c r="I99" s="19" t="n">
        <x:f>IF(H99=0,0,-SUMIFS('日経_R07'!$E$7:$E$56,'日経_R07'!$B$7:$B$56,B99,'日経_R07'!$E$7:$E$56,"&lt;0")/H99)</x:f>
        <x:v>55750</x:v>
      </x:c>
      <x:c r="J99" s="19" t="n">
        <x:v>105000</x:v>
      </x:c>
      <x:c r="K99" s="2" t="n">
        <x:f>SUMIFS('日経_R07'!$G$7:$G$56,'日経_R07'!$B$7:$B$56,B99)</x:f>
        <x:v>224</x:v>
      </x:c>
    </x:row>
    <x:row r="100" ht="23" customHeight="1">
      <x:c r="A100" s="2" t="str">
        <x:v>R07</x:v>
      </x:c>
      <x:c r="B100" s="2" t="str">
        <x:v>ナイト</x:v>
      </x:c>
      <x:c r="C100" s="2" t="n">
        <x:f>COUNTIFS('日経_R07'!$B$7:$B$56,B100)</x:f>
        <x:v>25</x:v>
      </x:c>
      <x:c r="D100" s="19" t="n">
        <x:f>SUMIFS('日経_R07'!$C$7:$C$56,'日経_R07'!$B$7:$B$56,B100)</x:f>
        <x:v>2331000</x:v>
      </x:c>
      <x:c r="E100" s="19" t="n">
        <x:f>SUMIFS('日経_R07'!$D$7:$D$56,'日経_R07'!$B$7:$B$56,B100)</x:f>
        <x:v>939000</x:v>
      </x:c>
      <x:c r="F100" s="19" t="n">
        <x:f>D100-E100</x:f>
        <x:v>1392000</x:v>
      </x:c>
      <x:c r="G100" s="24" t="n">
        <x:f>IF(E100=0,"損失なし",D100/E100)</x:f>
        <x:v>2.4824281150159746</x:v>
      </x:c>
      <x:c r="H100" s="2" t="n">
        <x:f>COUNTIFS('日経_R07'!$B$7:$B$56,B100,'日経_R07'!$E$7:$E$56,"&lt;0")</x:f>
        <x:v>10</x:v>
      </x:c>
      <x:c r="I100" s="19" t="n">
        <x:f>IF(H100=0,0,-SUMIFS('日経_R07'!$E$7:$E$56,'日経_R07'!$B$7:$B$56,B100,'日経_R07'!$E$7:$E$56,"&lt;0")/H100)</x:f>
        <x:v>32100</x:v>
      </x:c>
      <x:c r="J100" s="19" t="n">
        <x:v>53000</x:v>
      </x:c>
      <x:c r="K100" s="2" t="n">
        <x:f>SUMIFS('日経_R07'!$G$7:$G$56,'日経_R07'!$B$7:$B$56,B100)</x:f>
        <x:v>143</x:v>
      </x:c>
    </x:row>
    <x:row r="101" ht="23" customHeight="1">
      <x:c r="A101" s="2" t="str">
        <x:v>R07</x:v>
      </x:c>
      <x:c r="B101" s="2" t="str">
        <x:v>上昇</x:v>
      </x:c>
      <x:c r="C101" s="2" t="n">
        <x:f>COUNTIFS('日経_R07'!$I$7:$I$56,B101)</x:f>
        <x:v>24</x:v>
      </x:c>
      <x:c r="D101" s="19" t="n">
        <x:f>SUMIFS('日経_R07'!$C$7:$C$56,'日経_R07'!$I$7:$I$56,B101)</x:f>
        <x:v>3550000</x:v>
      </x:c>
      <x:c r="E101" s="19" t="n">
        <x:f>SUMIFS('日経_R07'!$D$7:$D$56,'日経_R07'!$I$7:$I$56,B101)</x:f>
        <x:v>1609000</x:v>
      </x:c>
      <x:c r="F101" s="19" t="n">
        <x:f>D101-E101</x:f>
        <x:v>1941000</x:v>
      </x:c>
      <x:c r="G101" s="24" t="n">
        <x:f>IF(E101=0,"損失なし",D101/E101)</x:f>
        <x:v>2.2063393412057177</x:v>
      </x:c>
      <x:c r="H101" s="2" t="n">
        <x:f>COUNTIFS('日経_R07'!$I$7:$I$56,B101,'日経_R07'!$E$7:$E$56,"&lt;0")</x:f>
        <x:v>9</x:v>
      </x:c>
      <x:c r="I101" s="19" t="n">
        <x:f>IF(H101=0,0,-SUMIFS('日経_R07'!$E$7:$E$56,'日経_R07'!$I$7:$I$56,B101,'日経_R07'!$E$7:$E$56,"&lt;0")/H101)</x:f>
        <x:v>42111.11111111111</x:v>
      </x:c>
      <x:c r="J101" s="19" t="n">
        <x:v>81000</x:v>
      </x:c>
      <x:c r="K101" s="2" t="n">
        <x:f>SUMIFS('日経_R07'!$G$7:$G$56,'日経_R07'!$I$7:$I$56,B101)</x:f>
        <x:v>187</x:v>
      </x:c>
    </x:row>
    <x:row r="102" ht="23" customHeight="1">
      <x:c r="A102" s="2" t="str">
        <x:v>R07</x:v>
      </x:c>
      <x:c r="B102" s="2" t="str">
        <x:v>下落</x:v>
      </x:c>
      <x:c r="C102" s="2" t="n">
        <x:f>COUNTIFS('日経_R07'!$I$7:$I$56,B102)</x:f>
        <x:v>26</x:v>
      </x:c>
      <x:c r="D102" s="19" t="n">
        <x:f>SUMIFS('日経_R07'!$C$7:$C$56,'日経_R07'!$I$7:$I$56,B102)</x:f>
        <x:v>3629000</x:v>
      </x:c>
      <x:c r="E102" s="19" t="n">
        <x:f>SUMIFS('日経_R07'!$D$7:$D$56,'日経_R07'!$I$7:$I$56,B102)</x:f>
        <x:v>1977000</x:v>
      </x:c>
      <x:c r="F102" s="19" t="n">
        <x:f>D102-E102</x:f>
        <x:v>1652000</x:v>
      </x:c>
      <x:c r="G102" s="24" t="n">
        <x:f>IF(E102=0,"損失なし",D102/E102)</x:f>
        <x:v>1.8356095093576126</x:v>
      </x:c>
      <x:c r="H102" s="2" t="n">
        <x:f>COUNTIFS('日経_R07'!$I$7:$I$56,B102,'日経_R07'!$E$7:$E$56,"&lt;0")</x:f>
        <x:v>9</x:v>
      </x:c>
      <x:c r="I102" s="19" t="n">
        <x:f>IF(H102=0,0,-SUMIFS('日経_R07'!$E$7:$E$56,'日経_R07'!$I$7:$I$56,B102,'日経_R07'!$E$7:$E$56,"&lt;0")/H102)</x:f>
        <x:v>43111.11111111111</x:v>
      </x:c>
      <x:c r="J102" s="19" t="n">
        <x:v>105000</x:v>
      </x:c>
      <x:c r="K102" s="2" t="n">
        <x:f>SUMIFS('日経_R07'!$G$7:$G$56,'日経_R07'!$I$7:$I$56,B102)</x:f>
        <x:v>180</x:v>
      </x:c>
    </x:row>
    <x:row r="103" ht="23" customHeight="1">
      <x:c r="A103" s="2" t="str">
        <x:v>R08</x:v>
      </x:c>
      <x:c r="B103" s="2" t="str">
        <x:v>デイ</x:v>
      </x:c>
      <x:c r="C103" s="2" t="n">
        <x:f>COUNTIFS('日経_R08'!$B$7:$B$56,B103)</x:f>
        <x:v>25</x:v>
      </x:c>
      <x:c r="D103" s="19" t="n">
        <x:f>SUMIFS('日経_R08'!$C$7:$C$56,'日経_R08'!$B$7:$B$56,B103)</x:f>
        <x:v>4851000</x:v>
      </x:c>
      <x:c r="E103" s="19" t="n">
        <x:f>SUMIFS('日経_R08'!$D$7:$D$56,'日経_R08'!$B$7:$B$56,B103)</x:f>
        <x:v>2631000</x:v>
      </x:c>
      <x:c r="F103" s="19" t="n">
        <x:f>D103-E103</x:f>
        <x:v>2220000</x:v>
      </x:c>
      <x:c r="G103" s="24" t="n">
        <x:f>IF(E103=0,"損失なし",D103/E103)</x:f>
        <x:v>1.8437856328392246</x:v>
      </x:c>
      <x:c r="H103" s="2" t="n">
        <x:f>COUNTIFS('日経_R08'!$B$7:$B$56,B103,'日経_R08'!$E$7:$E$56,"&lt;0")</x:f>
        <x:v>9</x:v>
      </x:c>
      <x:c r="I103" s="19" t="n">
        <x:f>IF(H103=0,0,-SUMIFS('日経_R08'!$E$7:$E$56,'日経_R08'!$B$7:$B$56,B103,'日経_R08'!$E$7:$E$56,"&lt;0")/H103)</x:f>
        <x:v>50333.333333333336</x:v>
      </x:c>
      <x:c r="J103" s="19" t="n">
        <x:v>105000</x:v>
      </x:c>
      <x:c r="K103" s="2" t="n">
        <x:f>SUMIFS('日経_R08'!$G$7:$G$56,'日経_R08'!$B$7:$B$56,B103)</x:f>
        <x:v>221</x:v>
      </x:c>
    </x:row>
    <x:row r="104" ht="23" customHeight="1">
      <x:c r="A104" s="2" t="str">
        <x:v>R08</x:v>
      </x:c>
      <x:c r="B104" s="2" t="str">
        <x:v>ナイト</x:v>
      </x:c>
      <x:c r="C104" s="2" t="n">
        <x:f>COUNTIFS('日経_R08'!$B$7:$B$56,B104)</x:f>
        <x:v>25</x:v>
      </x:c>
      <x:c r="D104" s="19" t="n">
        <x:f>SUMIFS('日経_R08'!$C$7:$C$56,'日経_R08'!$B$7:$B$56,B104)</x:f>
        <x:v>2315000</x:v>
      </x:c>
      <x:c r="E104" s="19" t="n">
        <x:f>SUMIFS('日経_R08'!$D$7:$D$56,'日経_R08'!$B$7:$B$56,B104)</x:f>
        <x:v>928000</x:v>
      </x:c>
      <x:c r="F104" s="19" t="n">
        <x:f>D104-E104</x:f>
        <x:v>1387000</x:v>
      </x:c>
      <x:c r="G104" s="24" t="n">
        <x:f>IF(E104=0,"損失なし",D104/E104)</x:f>
        <x:v>2.4946120689655173</x:v>
      </x:c>
      <x:c r="H104" s="2" t="n">
        <x:f>COUNTIFS('日経_R08'!$B$7:$B$56,B104,'日経_R08'!$E$7:$E$56,"&lt;0")</x:f>
        <x:v>10</x:v>
      </x:c>
      <x:c r="I104" s="19" t="n">
        <x:f>IF(H104=0,0,-SUMIFS('日経_R08'!$E$7:$E$56,'日経_R08'!$B$7:$B$56,B104,'日経_R08'!$E$7:$E$56,"&lt;0")/H104)</x:f>
        <x:v>32100</x:v>
      </x:c>
      <x:c r="J104" s="19" t="n">
        <x:v>53000</x:v>
      </x:c>
      <x:c r="K104" s="2" t="n">
        <x:f>SUMIFS('日経_R08'!$G$7:$G$56,'日経_R08'!$B$7:$B$56,B104)</x:f>
        <x:v>140</x:v>
      </x:c>
    </x:row>
    <x:row r="105" ht="23" customHeight="1">
      <x:c r="A105" s="2" t="str">
        <x:v>R08</x:v>
      </x:c>
      <x:c r="B105" s="2" t="str">
        <x:v>上昇</x:v>
      </x:c>
      <x:c r="C105" s="2" t="n">
        <x:f>COUNTIFS('日経_R08'!$I$7:$I$56,B105)</x:f>
        <x:v>24</x:v>
      </x:c>
      <x:c r="D105" s="19" t="n">
        <x:f>SUMIFS('日経_R08'!$C$7:$C$56,'日経_R08'!$I$7:$I$56,B105)</x:f>
        <x:v>3534000</x:v>
      </x:c>
      <x:c r="E105" s="19" t="n">
        <x:f>SUMIFS('日経_R08'!$D$7:$D$56,'日経_R08'!$I$7:$I$56,B105)</x:f>
        <x:v>1591000</x:v>
      </x:c>
      <x:c r="F105" s="19" t="n">
        <x:f>D105-E105</x:f>
        <x:v>1943000</x:v>
      </x:c>
      <x:c r="G105" s="24" t="n">
        <x:f>IF(E105=0,"損失なし",D105/E105)</x:f>
        <x:v>2.221244500314268</x:v>
      </x:c>
      <x:c r="H105" s="2" t="n">
        <x:f>COUNTIFS('日経_R08'!$I$7:$I$56,B105,'日経_R08'!$E$7:$E$56,"&lt;0")</x:f>
        <x:v>9</x:v>
      </x:c>
      <x:c r="I105" s="19" t="n">
        <x:f>IF(H105=0,0,-SUMIFS('日経_R08'!$E$7:$E$56,'日経_R08'!$I$7:$I$56,B105,'日経_R08'!$E$7:$E$56,"&lt;0")/H105)</x:f>
        <x:v>42111.11111111111</x:v>
      </x:c>
      <x:c r="J105" s="19" t="n">
        <x:v>81000</x:v>
      </x:c>
      <x:c r="K105" s="2" t="n">
        <x:f>SUMIFS('日経_R08'!$G$7:$G$56,'日経_R08'!$I$7:$I$56,B105)</x:f>
        <x:v>182</x:v>
      </x:c>
    </x:row>
    <x:row r="106" ht="23" customHeight="1">
      <x:c r="A106" s="2" t="str">
        <x:v>R08</x:v>
      </x:c>
      <x:c r="B106" s="2" t="str">
        <x:v>下落</x:v>
      </x:c>
      <x:c r="C106" s="2" t="n">
        <x:f>COUNTIFS('日経_R08'!$I$7:$I$56,B106)</x:f>
        <x:v>26</x:v>
      </x:c>
      <x:c r="D106" s="19" t="n">
        <x:f>SUMIFS('日経_R08'!$C$7:$C$56,'日経_R08'!$I$7:$I$56,B106)</x:f>
        <x:v>3632000</x:v>
      </x:c>
      <x:c r="E106" s="19" t="n">
        <x:f>SUMIFS('日経_R08'!$D$7:$D$56,'日経_R08'!$I$7:$I$56,B106)</x:f>
        <x:v>1968000</x:v>
      </x:c>
      <x:c r="F106" s="19" t="n">
        <x:f>D106-E106</x:f>
        <x:v>1664000</x:v>
      </x:c>
      <x:c r="G106" s="24" t="n">
        <x:f>IF(E106=0,"損失なし",D106/E106)</x:f>
        <x:v>1.8455284552845528</x:v>
      </x:c>
      <x:c r="H106" s="2" t="n">
        <x:f>COUNTIFS('日経_R08'!$I$7:$I$56,B106,'日経_R08'!$E$7:$E$56,"&lt;0")</x:f>
        <x:v>10</x:v>
      </x:c>
      <x:c r="I106" s="19" t="n">
        <x:f>IF(H106=0,0,-SUMIFS('日経_R08'!$E$7:$E$56,'日経_R08'!$I$7:$I$56,B106,'日経_R08'!$E$7:$E$56,"&lt;0")/H106)</x:f>
        <x:v>39500</x:v>
      </x:c>
      <x:c r="J106" s="19" t="n">
        <x:v>105000</x:v>
      </x:c>
      <x:c r="K106" s="2" t="n">
        <x:f>SUMIFS('日経_R08'!$G$7:$G$56,'日経_R08'!$I$7:$I$56,B106)</x:f>
        <x:v>179</x:v>
      </x:c>
    </x:row>
    <x:row r="107" ht="23" customHeight="1">
      <x:c r="A107" s="2" t="str">
        <x:v>R09</x:v>
      </x:c>
      <x:c r="B107" s="2" t="str">
        <x:v>デイ</x:v>
      </x:c>
      <x:c r="C107" s="2" t="n">
        <x:f>COUNTIFS('日経_R09'!$B$7:$B$56,B107)</x:f>
        <x:v>25</x:v>
      </x:c>
      <x:c r="D107" s="19" t="n">
        <x:f>SUMIFS('日経_R09'!$C$7:$C$56,'日経_R09'!$B$7:$B$56,B107)</x:f>
        <x:v>4751000</x:v>
      </x:c>
      <x:c r="E107" s="19" t="n">
        <x:f>SUMIFS('日経_R09'!$D$7:$D$56,'日経_R09'!$B$7:$B$56,B107)</x:f>
        <x:v>2584000</x:v>
      </x:c>
      <x:c r="F107" s="19" t="n">
        <x:f>D107-E107</x:f>
        <x:v>2167000</x:v>
      </x:c>
      <x:c r="G107" s="24" t="n">
        <x:f>IF(E107=0,"損失なし",D107/E107)</x:f>
        <x:v>1.8386222910216719</x:v>
      </x:c>
      <x:c r="H107" s="2" t="n">
        <x:f>COUNTIFS('日経_R09'!$B$7:$B$56,B107,'日経_R09'!$E$7:$E$56,"&lt;0")</x:f>
        <x:v>8</x:v>
      </x:c>
      <x:c r="I107" s="19" t="n">
        <x:f>IF(H107=0,0,-SUMIFS('日経_R09'!$E$7:$E$56,'日経_R09'!$B$7:$B$56,B107,'日経_R09'!$E$7:$E$56,"&lt;0")/H107)</x:f>
        <x:v>55750</x:v>
      </x:c>
      <x:c r="J107" s="19" t="n">
        <x:v>105000</x:v>
      </x:c>
      <x:c r="K107" s="2" t="n">
        <x:f>SUMIFS('日経_R09'!$G$7:$G$56,'日経_R09'!$B$7:$B$56,B107)</x:f>
        <x:v>218</x:v>
      </x:c>
    </x:row>
    <x:row r="108" ht="23" customHeight="1">
      <x:c r="A108" s="2" t="str">
        <x:v>R09</x:v>
      </x:c>
      <x:c r="B108" s="2" t="str">
        <x:v>ナイト</x:v>
      </x:c>
      <x:c r="C108" s="2" t="n">
        <x:f>COUNTIFS('日経_R09'!$B$7:$B$56,B108)</x:f>
        <x:v>25</x:v>
      </x:c>
      <x:c r="D108" s="19" t="n">
        <x:f>SUMIFS('日経_R09'!$C$7:$C$56,'日経_R09'!$B$7:$B$56,B108)</x:f>
        <x:v>2232000</x:v>
      </x:c>
      <x:c r="E108" s="19" t="n">
        <x:f>SUMIFS('日経_R09'!$D$7:$D$56,'日経_R09'!$B$7:$B$56,B108)</x:f>
        <x:v>896000</x:v>
      </x:c>
      <x:c r="F108" s="19" t="n">
        <x:f>D108-E108</x:f>
        <x:v>1336000</x:v>
      </x:c>
      <x:c r="G108" s="24" t="n">
        <x:f>IF(E108=0,"損失なし",D108/E108)</x:f>
        <x:v>2.4910714285714284</x:v>
      </x:c>
      <x:c r="H108" s="2" t="n">
        <x:f>COUNTIFS('日経_R09'!$B$7:$B$56,B108,'日経_R09'!$E$7:$E$56,"&lt;0")</x:f>
        <x:v>10</x:v>
      </x:c>
      <x:c r="I108" s="19" t="n">
        <x:f>IF(H108=0,0,-SUMIFS('日経_R09'!$E$7:$E$56,'日経_R09'!$B$7:$B$56,B108,'日経_R09'!$E$7:$E$56,"&lt;0")/H108)</x:f>
        <x:v>32100</x:v>
      </x:c>
      <x:c r="J108" s="19" t="n">
        <x:v>53000</x:v>
      </x:c>
      <x:c r="K108" s="2" t="n">
        <x:f>SUMIFS('日経_R09'!$G$7:$G$56,'日経_R09'!$B$7:$B$56,B108)</x:f>
        <x:v>137</x:v>
      </x:c>
    </x:row>
    <x:row r="109" ht="23" customHeight="1">
      <x:c r="A109" s="2" t="str">
        <x:v>R09</x:v>
      </x:c>
      <x:c r="B109" s="2" t="str">
        <x:v>上昇</x:v>
      </x:c>
      <x:c r="C109" s="2" t="n">
        <x:f>COUNTIFS('日経_R09'!$I$7:$I$56,B109)</x:f>
        <x:v>24</x:v>
      </x:c>
      <x:c r="D109" s="19" t="n">
        <x:f>SUMIFS('日経_R09'!$C$7:$C$56,'日経_R09'!$I$7:$I$56,B109)</x:f>
        <x:v>3451000</x:v>
      </x:c>
      <x:c r="E109" s="19" t="n">
        <x:f>SUMIFS('日経_R09'!$D$7:$D$56,'日経_R09'!$I$7:$I$56,B109)</x:f>
        <x:v>1591000</x:v>
      </x:c>
      <x:c r="F109" s="19" t="n">
        <x:f>D109-E109</x:f>
        <x:v>1860000</x:v>
      </x:c>
      <x:c r="G109" s="24" t="n">
        <x:f>IF(E109=0,"損失なし",D109/E109)</x:f>
        <x:v>2.1690760527969832</x:v>
      </x:c>
      <x:c r="H109" s="2" t="n">
        <x:f>COUNTIFS('日経_R09'!$I$7:$I$56,B109,'日経_R09'!$E$7:$E$56,"&lt;0")</x:f>
        <x:v>9</x:v>
      </x:c>
      <x:c r="I109" s="19" t="n">
        <x:f>IF(H109=0,0,-SUMIFS('日経_R09'!$E$7:$E$56,'日経_R09'!$I$7:$I$56,B109,'日経_R09'!$E$7:$E$56,"&lt;0")/H109)</x:f>
        <x:v>42111.11111111111</x:v>
      </x:c>
      <x:c r="J109" s="19" t="n">
        <x:v>81000</x:v>
      </x:c>
      <x:c r="K109" s="2" t="n">
        <x:f>SUMIFS('日経_R09'!$G$7:$G$56,'日経_R09'!$I$7:$I$56,B109)</x:f>
        <x:v>181</x:v>
      </x:c>
    </x:row>
    <x:row r="110" ht="23" customHeight="1">
      <x:c r="A110" s="2" t="str">
        <x:v>R09</x:v>
      </x:c>
      <x:c r="B110" s="2" t="str">
        <x:v>下落</x:v>
      </x:c>
      <x:c r="C110" s="2" t="n">
        <x:f>COUNTIFS('日経_R09'!$I$7:$I$56,B110)</x:f>
        <x:v>26</x:v>
      </x:c>
      <x:c r="D110" s="19" t="n">
        <x:f>SUMIFS('日経_R09'!$C$7:$C$56,'日経_R09'!$I$7:$I$56,B110)</x:f>
        <x:v>3532000</x:v>
      </x:c>
      <x:c r="E110" s="19" t="n">
        <x:f>SUMIFS('日経_R09'!$D$7:$D$56,'日経_R09'!$I$7:$I$56,B110)</x:f>
        <x:v>1889000</x:v>
      </x:c>
      <x:c r="F110" s="19" t="n">
        <x:f>D110-E110</x:f>
        <x:v>1643000</x:v>
      </x:c>
      <x:c r="G110" s="24" t="n">
        <x:f>IF(E110=0,"損失なし",D110/E110)</x:f>
        <x:v>1.8697723663313923</x:v>
      </x:c>
      <x:c r="H110" s="2" t="n">
        <x:f>COUNTIFS('日経_R09'!$I$7:$I$56,B110,'日経_R09'!$E$7:$E$56,"&lt;0")</x:f>
        <x:v>9</x:v>
      </x:c>
      <x:c r="I110" s="19" t="n">
        <x:f>IF(H110=0,0,-SUMIFS('日経_R09'!$E$7:$E$56,'日経_R09'!$I$7:$I$56,B110,'日経_R09'!$E$7:$E$56,"&lt;0")/H110)</x:f>
        <x:v>43111.11111111111</x:v>
      </x:c>
      <x:c r="J110" s="19" t="n">
        <x:v>105000</x:v>
      </x:c>
      <x:c r="K110" s="2" t="n">
        <x:f>SUMIFS('日経_R09'!$G$7:$G$56,'日経_R09'!$I$7:$I$56,B110)</x:f>
        <x:v>174</x:v>
      </x:c>
    </x:row>
    <x:row r="111" ht="23" customHeight="1">
      <x:c r="A111" s="2" t="str">
        <x:v>R10</x:v>
      </x:c>
      <x:c r="B111" s="2" t="str">
        <x:v>デイ</x:v>
      </x:c>
      <x:c r="C111" s="2" t="n">
        <x:f>COUNTIFS('日経_R10'!$B$7:$B$56,B111)</x:f>
        <x:v>25</x:v>
      </x:c>
      <x:c r="D111" s="19" t="n">
        <x:f>SUMIFS('日経_R10'!$C$7:$C$56,'日経_R10'!$B$7:$B$56,B111)</x:f>
        <x:v>4841000</x:v>
      </x:c>
      <x:c r="E111" s="19" t="n">
        <x:f>SUMIFS('日経_R10'!$D$7:$D$56,'日経_R10'!$B$7:$B$56,B111)</x:f>
        <x:v>2667000</x:v>
      </x:c>
      <x:c r="F111" s="19" t="n">
        <x:f>D111-E111</x:f>
        <x:v>2174000</x:v>
      </x:c>
      <x:c r="G111" s="24" t="n">
        <x:f>IF(E111=0,"損失なし",D111/E111)</x:f>
        <x:v>1.8151481064866892</x:v>
      </x:c>
      <x:c r="H111" s="2" t="n">
        <x:f>COUNTIFS('日経_R10'!$B$7:$B$56,B111,'日経_R10'!$E$7:$E$56,"&lt;0")</x:f>
        <x:v>9</x:v>
      </x:c>
      <x:c r="I111" s="19" t="n">
        <x:f>IF(H111=0,0,-SUMIFS('日経_R10'!$E$7:$E$56,'日経_R10'!$B$7:$B$56,B111,'日経_R10'!$E$7:$E$56,"&lt;0")/H111)</x:f>
        <x:v>53444.444444444445</x:v>
      </x:c>
      <x:c r="J111" s="19" t="n">
        <x:v>105000</x:v>
      </x:c>
      <x:c r="K111" s="2" t="n">
        <x:f>SUMIFS('日経_R10'!$G$7:$G$56,'日経_R10'!$B$7:$B$56,B111)</x:f>
        <x:v>230</x:v>
      </x:c>
    </x:row>
    <x:row r="112" ht="23" customHeight="1">
      <x:c r="A112" s="2" t="str">
        <x:v>R10</x:v>
      </x:c>
      <x:c r="B112" s="2" t="str">
        <x:v>ナイト</x:v>
      </x:c>
      <x:c r="C112" s="2" t="n">
        <x:f>COUNTIFS('日経_R10'!$B$7:$B$56,B112)</x:f>
        <x:v>25</x:v>
      </x:c>
      <x:c r="D112" s="19" t="n">
        <x:f>SUMIFS('日経_R10'!$C$7:$C$56,'日経_R10'!$B$7:$B$56,B112)</x:f>
        <x:v>2393000</x:v>
      </x:c>
      <x:c r="E112" s="19" t="n">
        <x:f>SUMIFS('日経_R10'!$D$7:$D$56,'日経_R10'!$B$7:$B$56,B112)</x:f>
        <x:v>999000</x:v>
      </x:c>
      <x:c r="F112" s="19" t="n">
        <x:f>D112-E112</x:f>
        <x:v>1394000</x:v>
      </x:c>
      <x:c r="G112" s="24" t="n">
        <x:f>IF(E112=0,"損失なし",D112/E112)</x:f>
        <x:v>2.3953953953953953</x:v>
      </x:c>
      <x:c r="H112" s="2" t="n">
        <x:f>COUNTIFS('日経_R10'!$B$7:$B$56,B112,'日経_R10'!$E$7:$E$56,"&lt;0")</x:f>
        <x:v>10</x:v>
      </x:c>
      <x:c r="I112" s="19" t="n">
        <x:f>IF(H112=0,0,-SUMIFS('日経_R10'!$E$7:$E$56,'日経_R10'!$B$7:$B$56,B112,'日経_R10'!$E$7:$E$56,"&lt;0")/H112)</x:f>
        <x:v>32100</x:v>
      </x:c>
      <x:c r="J112" s="19" t="n">
        <x:v>53000</x:v>
      </x:c>
      <x:c r="K112" s="2" t="n">
        <x:f>SUMIFS('日経_R10'!$G$7:$G$56,'日経_R10'!$B$7:$B$56,B112)</x:f>
        <x:v>146</x:v>
      </x:c>
    </x:row>
    <x:row r="113" ht="23" customHeight="1">
      <x:c r="A113" s="2" t="str">
        <x:v>R10</x:v>
      </x:c>
      <x:c r="B113" s="2" t="str">
        <x:v>上昇</x:v>
      </x:c>
      <x:c r="C113" s="2" t="n">
        <x:f>COUNTIFS('日経_R10'!$I$7:$I$56,B113)</x:f>
        <x:v>24</x:v>
      </x:c>
      <x:c r="D113" s="19" t="n">
        <x:f>SUMIFS('日経_R10'!$C$7:$C$56,'日経_R10'!$I$7:$I$56,B113)</x:f>
        <x:v>3567000</x:v>
      </x:c>
      <x:c r="E113" s="19" t="n">
        <x:f>SUMIFS('日経_R10'!$D$7:$D$56,'日経_R10'!$I$7:$I$56,B113)</x:f>
        <x:v>1681000</x:v>
      </x:c>
      <x:c r="F113" s="19" t="n">
        <x:f>D113-E113</x:f>
        <x:v>1886000</x:v>
      </x:c>
      <x:c r="G113" s="24" t="n">
        <x:f>IF(E113=0,"損失なし",D113/E113)</x:f>
        <x:v>2.1219512195121952</x:v>
      </x:c>
      <x:c r="H113" s="2" t="n">
        <x:f>COUNTIFS('日経_R10'!$I$7:$I$56,B113,'日経_R10'!$E$7:$E$56,"&lt;0")</x:f>
        <x:v>9</x:v>
      </x:c>
      <x:c r="I113" s="19" t="n">
        <x:f>IF(H113=0,0,-SUMIFS('日経_R10'!$E$7:$E$56,'日経_R10'!$I$7:$I$56,B113,'日経_R10'!$E$7:$E$56,"&lt;0")/H113)</x:f>
        <x:v>43777.77777777778</x:v>
      </x:c>
      <x:c r="J113" s="19" t="n">
        <x:v>81000</x:v>
      </x:c>
      <x:c r="K113" s="2" t="n">
        <x:f>SUMIFS('日経_R10'!$G$7:$G$56,'日経_R10'!$I$7:$I$56,B113)</x:f>
        <x:v>192</x:v>
      </x:c>
    </x:row>
    <x:row r="114" ht="23" customHeight="1">
      <x:c r="A114" s="2" t="str">
        <x:v>R10</x:v>
      </x:c>
      <x:c r="B114" s="2" t="str">
        <x:v>下落</x:v>
      </x:c>
      <x:c r="C114" s="2" t="n">
        <x:f>COUNTIFS('日経_R10'!$I$7:$I$56,B114)</x:f>
        <x:v>26</x:v>
      </x:c>
      <x:c r="D114" s="19" t="n">
        <x:f>SUMIFS('日経_R10'!$C$7:$C$56,'日経_R10'!$I$7:$I$56,B114)</x:f>
        <x:v>3667000</x:v>
      </x:c>
      <x:c r="E114" s="19" t="n">
        <x:f>SUMIFS('日経_R10'!$D$7:$D$56,'日経_R10'!$I$7:$I$56,B114)</x:f>
        <x:v>1985000</x:v>
      </x:c>
      <x:c r="F114" s="19" t="n">
        <x:f>D114-E114</x:f>
        <x:v>1682000</x:v>
      </x:c>
      <x:c r="G114" s="24" t="n">
        <x:f>IF(E114=0,"損失なし",D114/E114)</x:f>
        <x:v>1.8473551637279597</x:v>
      </x:c>
      <x:c r="H114" s="2" t="n">
        <x:f>COUNTIFS('日経_R10'!$I$7:$I$56,B114,'日経_R10'!$E$7:$E$56,"&lt;0")</x:f>
        <x:v>10</x:v>
      </x:c>
      <x:c r="I114" s="19" t="n">
        <x:f>IF(H114=0,0,-SUMIFS('日経_R10'!$E$7:$E$56,'日経_R10'!$I$7:$I$56,B114,'日経_R10'!$E$7:$E$56,"&lt;0")/H114)</x:f>
        <x:v>40800</x:v>
      </x:c>
      <x:c r="J114" s="19" t="n">
        <x:v>105000</x:v>
      </x:c>
      <x:c r="K114" s="2" t="n">
        <x:f>SUMIFS('日経_R10'!$G$7:$G$56,'日経_R10'!$I$7:$I$56,B114)</x:f>
        <x:v>184</x:v>
      </x:c>
    </x:row>
    <x:row r="115" ht="23" customHeight="1">
      <x:c r="A115" s="2" t="str">
        <x:v>R11</x:v>
      </x:c>
      <x:c r="B115" s="2" t="str">
        <x:v>デイ</x:v>
      </x:c>
      <x:c r="C115" s="2" t="n">
        <x:f>COUNTIFS('日経_R11'!$B$7:$B$56,B115)</x:f>
        <x:v>25</x:v>
      </x:c>
      <x:c r="D115" s="19" t="n">
        <x:f>SUMIFS('日経_R11'!$C$7:$C$56,'日経_R11'!$B$7:$B$56,B115)</x:f>
        <x:v>4919000</x:v>
      </x:c>
      <x:c r="E115" s="19" t="n">
        <x:f>SUMIFS('日経_R11'!$D$7:$D$56,'日経_R11'!$B$7:$B$56,B115)</x:f>
        <x:v>2665000</x:v>
      </x:c>
      <x:c r="F115" s="19" t="n">
        <x:f>D115-E115</x:f>
        <x:v>2254000</x:v>
      </x:c>
      <x:c r="G115" s="24" t="n">
        <x:f>IF(E115=0,"損失なし",D115/E115)</x:f>
        <x:v>1.84577861163227</x:v>
      </x:c>
      <x:c r="H115" s="2" t="n">
        <x:f>COUNTIFS('日経_R11'!$B$7:$B$56,B115,'日経_R11'!$E$7:$E$56,"&lt;0")</x:f>
        <x:v>9</x:v>
      </x:c>
      <x:c r="I115" s="19" t="n">
        <x:f>IF(H115=0,0,-SUMIFS('日経_R11'!$E$7:$E$56,'日経_R11'!$B$7:$B$56,B115,'日経_R11'!$E$7:$E$56,"&lt;0")/H115)</x:f>
        <x:v>43000</x:v>
      </x:c>
      <x:c r="J115" s="19" t="n">
        <x:v>105000</x:v>
      </x:c>
      <x:c r="K115" s="2" t="n">
        <x:f>SUMIFS('日経_R11'!$G$7:$G$56,'日経_R11'!$B$7:$B$56,B115)</x:f>
        <x:v>228</x:v>
      </x:c>
    </x:row>
    <x:row r="116" ht="23" customHeight="1">
      <x:c r="A116" s="2" t="str">
        <x:v>R11</x:v>
      </x:c>
      <x:c r="B116" s="2" t="str">
        <x:v>ナイト</x:v>
      </x:c>
      <x:c r="C116" s="2" t="n">
        <x:f>COUNTIFS('日経_R11'!$B$7:$B$56,B116)</x:f>
        <x:v>25</x:v>
      </x:c>
      <x:c r="D116" s="19" t="n">
        <x:f>SUMIFS('日経_R11'!$C$7:$C$56,'日経_R11'!$B$7:$B$56,B116)</x:f>
        <x:v>2317000</x:v>
      </x:c>
      <x:c r="E116" s="19" t="n">
        <x:f>SUMIFS('日経_R11'!$D$7:$D$56,'日経_R11'!$B$7:$B$56,B116)</x:f>
        <x:v>949000</x:v>
      </x:c>
      <x:c r="F116" s="19" t="n">
        <x:f>D116-E116</x:f>
        <x:v>1368000</x:v>
      </x:c>
      <x:c r="G116" s="24" t="n">
        <x:f>IF(E116=0,"損失なし",D116/E116)</x:f>
        <x:v>2.4415173867228663</x:v>
      </x:c>
      <x:c r="H116" s="2" t="n">
        <x:f>COUNTIFS('日経_R11'!$B$7:$B$56,B116,'日経_R11'!$E$7:$E$56,"&lt;0")</x:f>
        <x:v>10</x:v>
      </x:c>
      <x:c r="I116" s="19" t="n">
        <x:f>IF(H116=0,0,-SUMIFS('日経_R11'!$E$7:$E$56,'日経_R11'!$B$7:$B$56,B116,'日経_R11'!$E$7:$E$56,"&lt;0")/H116)</x:f>
        <x:v>34700</x:v>
      </x:c>
      <x:c r="J116" s="19" t="n">
        <x:v>53000</x:v>
      </x:c>
      <x:c r="K116" s="2" t="n">
        <x:f>SUMIFS('日経_R11'!$G$7:$G$56,'日経_R11'!$B$7:$B$56,B116)</x:f>
        <x:v>144</x:v>
      </x:c>
    </x:row>
    <x:row r="117" ht="23" customHeight="1">
      <x:c r="A117" s="2" t="str">
        <x:v>R11</x:v>
      </x:c>
      <x:c r="B117" s="2" t="str">
        <x:v>上昇</x:v>
      </x:c>
      <x:c r="C117" s="2" t="n">
        <x:f>COUNTIFS('日経_R11'!$I$7:$I$56,B117)</x:f>
        <x:v>24</x:v>
      </x:c>
      <x:c r="D117" s="19" t="n">
        <x:f>SUMIFS('日経_R11'!$C$7:$C$56,'日経_R11'!$I$7:$I$56,B117)</x:f>
        <x:v>3554000</x:v>
      </x:c>
      <x:c r="E117" s="19" t="n">
        <x:f>SUMIFS('日経_R11'!$D$7:$D$56,'日経_R11'!$I$7:$I$56,B117)</x:f>
        <x:v>1629000</x:v>
      </x:c>
      <x:c r="F117" s="19" t="n">
        <x:f>D117-E117</x:f>
        <x:v>1925000</x:v>
      </x:c>
      <x:c r="G117" s="24" t="n">
        <x:f>IF(E117=0,"損失なし",D117/E117)</x:f>
        <x:v>2.1817065684469</x:v>
      </x:c>
      <x:c r="H117" s="2" t="n">
        <x:f>COUNTIFS('日経_R11'!$I$7:$I$56,B117,'日経_R11'!$E$7:$E$56,"&lt;0")</x:f>
        <x:v>8</x:v>
      </x:c>
      <x:c r="I117" s="19" t="n">
        <x:f>IF(H117=0,0,-SUMIFS('日経_R11'!$E$7:$E$56,'日経_R11'!$I$7:$I$56,B117,'日経_R11'!$E$7:$E$56,"&lt;0")/H117)</x:f>
        <x:v>37625</x:v>
      </x:c>
      <x:c r="J117" s="19" t="n">
        <x:v>53000</x:v>
      </x:c>
      <x:c r="K117" s="2" t="n">
        <x:f>SUMIFS('日経_R11'!$G$7:$G$56,'日経_R11'!$I$7:$I$56,B117)</x:f>
        <x:v>191</x:v>
      </x:c>
    </x:row>
    <x:row r="118" ht="23" customHeight="1">
      <x:c r="A118" s="2" t="str">
        <x:v>R11</x:v>
      </x:c>
      <x:c r="B118" s="2" t="str">
        <x:v>下落</x:v>
      </x:c>
      <x:c r="C118" s="2" t="n">
        <x:f>COUNTIFS('日経_R11'!$I$7:$I$56,B118)</x:f>
        <x:v>26</x:v>
      </x:c>
      <x:c r="D118" s="19" t="n">
        <x:f>SUMIFS('日経_R11'!$C$7:$C$56,'日経_R11'!$I$7:$I$56,B118)</x:f>
        <x:v>3682000</x:v>
      </x:c>
      <x:c r="E118" s="19" t="n">
        <x:f>SUMIFS('日経_R11'!$D$7:$D$56,'日経_R11'!$I$7:$I$56,B118)</x:f>
        <x:v>1985000</x:v>
      </x:c>
      <x:c r="F118" s="19" t="n">
        <x:f>D118-E118</x:f>
        <x:v>1697000</x:v>
      </x:c>
      <x:c r="G118" s="24" t="n">
        <x:f>IF(E118=0,"損失なし",D118/E118)</x:f>
        <x:v>1.854911838790932</x:v>
      </x:c>
      <x:c r="H118" s="2" t="n">
        <x:f>COUNTIFS('日経_R11'!$I$7:$I$56,B118,'日経_R11'!$E$7:$E$56,"&lt;0")</x:f>
        <x:v>11</x:v>
      </x:c>
      <x:c r="I118" s="19" t="n">
        <x:f>IF(H118=0,0,-SUMIFS('日経_R11'!$E$7:$E$56,'日経_R11'!$I$7:$I$56,B118,'日経_R11'!$E$7:$E$56,"&lt;0")/H118)</x:f>
        <x:v>39363.63636363636</x:v>
      </x:c>
      <x:c r="J118" s="19" t="n">
        <x:v>105000</x:v>
      </x:c>
      <x:c r="K118" s="2" t="n">
        <x:f>SUMIFS('日経_R11'!$G$7:$G$56,'日経_R11'!$I$7:$I$56,B118)</x:f>
        <x:v>181</x:v>
      </x:c>
    </x:row>
    <x:row r="119" ht="23" customHeight="1">
      <x:c r="A119" s="2" t="str">
        <x:v>V01</x:v>
      </x:c>
      <x:c r="B119" s="2" t="str">
        <x:v>デイ</x:v>
      </x:c>
      <x:c r="C119" s="2" t="n">
        <x:f>COUNTIFS('日経_V01'!$B$7:$B$56,B119)</x:f>
        <x:v>25</x:v>
      </x:c>
      <x:c r="D119" s="19" t="n">
        <x:f>SUMIFS('日経_V01'!$C$7:$C$56,'日経_V01'!$B$7:$B$56,B119)</x:f>
        <x:v>4742000</x:v>
      </x:c>
      <x:c r="E119" s="19" t="n">
        <x:f>SUMIFS('日経_V01'!$D$7:$D$56,'日経_V01'!$B$7:$B$56,B119)</x:f>
        <x:v>2422000</x:v>
      </x:c>
      <x:c r="F119" s="19" t="n">
        <x:f>D119-E119</x:f>
        <x:v>2320000</x:v>
      </x:c>
      <x:c r="G119" s="24" t="n">
        <x:f>IF(E119=0,"損失なし",D119/E119)</x:f>
        <x:v>1.957886044591247</x:v>
      </x:c>
      <x:c r="H119" s="2" t="n">
        <x:f>COUNTIFS('日経_V01'!$B$7:$B$56,B119,'日経_V01'!$E$7:$E$56,"&lt;0")</x:f>
        <x:v>9</x:v>
      </x:c>
      <x:c r="I119" s="19" t="n">
        <x:f>IF(H119=0,0,-SUMIFS('日経_V01'!$E$7:$E$56,'日経_V01'!$B$7:$B$56,B119,'日経_V01'!$E$7:$E$56,"&lt;0")/H119)</x:f>
        <x:v>50555.555555555555</x:v>
      </x:c>
      <x:c r="J119" s="19" t="n">
        <x:v>105000</x:v>
      </x:c>
      <x:c r="K119" s="2" t="n">
        <x:f>SUMIFS('日経_V01'!$G$7:$G$56,'日経_V01'!$B$7:$B$56,B119)</x:f>
        <x:v>218</x:v>
      </x:c>
    </x:row>
    <x:row r="120" ht="23" customHeight="1">
      <x:c r="A120" s="2" t="str">
        <x:v>V01</x:v>
      </x:c>
      <x:c r="B120" s="2" t="str">
        <x:v>ナイト</x:v>
      </x:c>
      <x:c r="C120" s="2" t="n">
        <x:f>COUNTIFS('日経_V01'!$B$7:$B$56,B120)</x:f>
        <x:v>25</x:v>
      </x:c>
      <x:c r="D120" s="19" t="n">
        <x:f>SUMIFS('日経_V01'!$C$7:$C$56,'日経_V01'!$B$7:$B$56,B120)</x:f>
        <x:v>1867000</x:v>
      </x:c>
      <x:c r="E120" s="19" t="n">
        <x:f>SUMIFS('日経_V01'!$D$7:$D$56,'日経_V01'!$B$7:$B$56,B120)</x:f>
        <x:v>886000</x:v>
      </x:c>
      <x:c r="F120" s="19" t="n">
        <x:f>D120-E120</x:f>
        <x:v>981000</x:v>
      </x:c>
      <x:c r="G120" s="24" t="n">
        <x:f>IF(E120=0,"損失なし",D120/E120)</x:f>
        <x:v>2.1072234762979685</x:v>
      </x:c>
      <x:c r="H120" s="2" t="n">
        <x:f>COUNTIFS('日経_V01'!$B$7:$B$56,B120,'日経_V01'!$E$7:$E$56,"&lt;0")</x:f>
        <x:v>10</x:v>
      </x:c>
      <x:c r="I120" s="19" t="n">
        <x:f>IF(H120=0,0,-SUMIFS('日経_V01'!$E$7:$E$56,'日経_V01'!$B$7:$B$56,B120,'日経_V01'!$E$7:$E$56,"&lt;0")/H120)</x:f>
        <x:v>32100</x:v>
      </x:c>
      <x:c r="J120" s="19" t="n">
        <x:v>53000</x:v>
      </x:c>
      <x:c r="K120" s="2" t="n">
        <x:f>SUMIFS('日経_V01'!$G$7:$G$56,'日経_V01'!$B$7:$B$56,B120)</x:f>
        <x:v>135</x:v>
      </x:c>
    </x:row>
    <x:row r="121" ht="23" customHeight="1">
      <x:c r="A121" s="2" t="str">
        <x:v>V01</x:v>
      </x:c>
      <x:c r="B121" s="2" t="str">
        <x:v>上昇</x:v>
      </x:c>
      <x:c r="C121" s="2" t="n">
        <x:f>COUNTIFS('日経_V01'!$I$7:$I$56,B121)</x:f>
        <x:v>24</x:v>
      </x:c>
      <x:c r="D121" s="19" t="n">
        <x:f>SUMIFS('日経_V01'!$C$7:$C$56,'日経_V01'!$I$7:$I$56,B121)</x:f>
        <x:v>3111000</x:v>
      </x:c>
      <x:c r="E121" s="19" t="n">
        <x:f>SUMIFS('日経_V01'!$D$7:$D$56,'日経_V01'!$I$7:$I$56,B121)</x:f>
        <x:v>1532000</x:v>
      </x:c>
      <x:c r="F121" s="19" t="n">
        <x:f>D121-E121</x:f>
        <x:v>1579000</x:v>
      </x:c>
      <x:c r="G121" s="24" t="n">
        <x:f>IF(E121=0,"損失なし",D121/E121)</x:f>
        <x:v>2.0306788511749345</x:v>
      </x:c>
      <x:c r="H121" s="2" t="n">
        <x:f>COUNTIFS('日経_V01'!$I$7:$I$56,B121,'日経_V01'!$E$7:$E$56,"&lt;0")</x:f>
        <x:v>9</x:v>
      </x:c>
      <x:c r="I121" s="19" t="n">
        <x:f>IF(H121=0,0,-SUMIFS('日経_V01'!$E$7:$E$56,'日経_V01'!$I$7:$I$56,B121,'日経_V01'!$E$7:$E$56,"&lt;0")/H121)</x:f>
        <x:v>37000</x:v>
      </x:c>
      <x:c r="J121" s="19" t="n">
        <x:v>54000</x:v>
      </x:c>
      <x:c r="K121" s="2" t="n">
        <x:f>SUMIFS('日経_V01'!$G$7:$G$56,'日経_V01'!$I$7:$I$56,B121)</x:f>
        <x:v>187</x:v>
      </x:c>
    </x:row>
    <x:row r="122" ht="23" customHeight="1">
      <x:c r="A122" s="2" t="str">
        <x:v>V01</x:v>
      </x:c>
      <x:c r="B122" s="2" t="str">
        <x:v>下落</x:v>
      </x:c>
      <x:c r="C122" s="2" t="n">
        <x:f>COUNTIFS('日経_V01'!$I$7:$I$56,B122)</x:f>
        <x:v>26</x:v>
      </x:c>
      <x:c r="D122" s="19" t="n">
        <x:f>SUMIFS('日経_V01'!$C$7:$C$56,'日経_V01'!$I$7:$I$56,B122)</x:f>
        <x:v>3498000</x:v>
      </x:c>
      <x:c r="E122" s="19" t="n">
        <x:f>SUMIFS('日経_V01'!$D$7:$D$56,'日経_V01'!$I$7:$I$56,B122)</x:f>
        <x:v>1776000</x:v>
      </x:c>
      <x:c r="F122" s="19" t="n">
        <x:f>D122-E122</x:f>
        <x:v>1722000</x:v>
      </x:c>
      <x:c r="G122" s="24" t="n">
        <x:f>IF(E122=0,"損失なし",D122/E122)</x:f>
        <x:v>1.9695945945945945</x:v>
      </x:c>
      <x:c r="H122" s="2" t="n">
        <x:f>COUNTIFS('日経_V01'!$I$7:$I$56,B122,'日経_V01'!$E$7:$E$56,"&lt;0")</x:f>
        <x:v>10</x:v>
      </x:c>
      <x:c r="I122" s="19" t="n">
        <x:f>IF(H122=0,0,-SUMIFS('日経_V01'!$E$7:$E$56,'日経_V01'!$I$7:$I$56,B122,'日経_V01'!$E$7:$E$56,"&lt;0")/H122)</x:f>
        <x:v>44300</x:v>
      </x:c>
      <x:c r="J122" s="19" t="n">
        <x:v>105000</x:v>
      </x:c>
      <x:c r="K122" s="2" t="n">
        <x:f>SUMIFS('日経_V01'!$G$7:$G$56,'日経_V01'!$I$7:$I$56,B122)</x:f>
        <x:v>166</x:v>
      </x:c>
    </x:row>
    <x:row r="123" ht="23" customHeight="1">
      <x:c r="A123" s="2" t="str">
        <x:v>V02</x:v>
      </x:c>
      <x:c r="B123" s="2" t="str">
        <x:v>デイ</x:v>
      </x:c>
      <x:c r="C123" s="2" t="n">
        <x:f>COUNTIFS('日経_V02'!$B$7:$B$56,B123)</x:f>
        <x:v>25</x:v>
      </x:c>
      <x:c r="D123" s="19" t="n">
        <x:f>SUMIFS('日経_V02'!$C$7:$C$56,'日経_V02'!$B$7:$B$56,B123)</x:f>
        <x:v>4824000</x:v>
      </x:c>
      <x:c r="E123" s="19" t="n">
        <x:f>SUMIFS('日経_V02'!$D$7:$D$56,'日経_V02'!$B$7:$B$56,B123)</x:f>
        <x:v>2423000</x:v>
      </x:c>
      <x:c r="F123" s="19" t="n">
        <x:f>D123-E123</x:f>
        <x:v>2401000</x:v>
      </x:c>
      <x:c r="G123" s="24" t="n">
        <x:f>IF(E123=0,"損失なし",D123/E123)</x:f>
        <x:v>1.9909203466776724</x:v>
      </x:c>
      <x:c r="H123" s="2" t="n">
        <x:f>COUNTIFS('日経_V02'!$B$7:$B$56,B123,'日経_V02'!$E$7:$E$56,"&lt;0")</x:f>
        <x:v>8</x:v>
      </x:c>
      <x:c r="I123" s="19" t="n">
        <x:f>IF(H123=0,0,-SUMIFS('日経_V02'!$E$7:$E$56,'日経_V02'!$B$7:$B$56,B123,'日経_V02'!$E$7:$E$56,"&lt;0")/H123)</x:f>
        <x:v>51375</x:v>
      </x:c>
      <x:c r="J123" s="19" t="n">
        <x:v>105000</x:v>
      </x:c>
      <x:c r="K123" s="2" t="n">
        <x:f>SUMIFS('日経_V02'!$G$7:$G$56,'日経_V02'!$B$7:$B$56,B123)</x:f>
        <x:v>206</x:v>
      </x:c>
    </x:row>
    <x:row r="124" ht="23" customHeight="1">
      <x:c r="A124" s="2" t="str">
        <x:v>V02</x:v>
      </x:c>
      <x:c r="B124" s="2" t="str">
        <x:v>ナイト</x:v>
      </x:c>
      <x:c r="C124" s="2" t="n">
        <x:f>COUNTIFS('日経_V02'!$B$7:$B$56,B124)</x:f>
        <x:v>25</x:v>
      </x:c>
      <x:c r="D124" s="19" t="n">
        <x:f>SUMIFS('日経_V02'!$C$7:$C$56,'日経_V02'!$B$7:$B$56,B124)</x:f>
        <x:v>2229000</x:v>
      </x:c>
      <x:c r="E124" s="19" t="n">
        <x:f>SUMIFS('日経_V02'!$D$7:$D$56,'日経_V02'!$B$7:$B$56,B124)</x:f>
        <x:v>886000</x:v>
      </x:c>
      <x:c r="F124" s="19" t="n">
        <x:f>D124-E124</x:f>
        <x:v>1343000</x:v>
      </x:c>
      <x:c r="G124" s="24" t="n">
        <x:f>IF(E124=0,"損失なし",D124/E124)</x:f>
        <x:v>2.515801354401806</x:v>
      </x:c>
      <x:c r="H124" s="2" t="n">
        <x:f>COUNTIFS('日経_V02'!$B$7:$B$56,B124,'日経_V02'!$E$7:$E$56,"&lt;0")</x:f>
        <x:v>10</x:v>
      </x:c>
      <x:c r="I124" s="19" t="n">
        <x:f>IF(H124=0,0,-SUMIFS('日経_V02'!$E$7:$E$56,'日経_V02'!$B$7:$B$56,B124,'日経_V02'!$E$7:$E$56,"&lt;0")/H124)</x:f>
        <x:v>32100</x:v>
      </x:c>
      <x:c r="J124" s="19" t="n">
        <x:v>53000</x:v>
      </x:c>
      <x:c r="K124" s="2" t="n">
        <x:f>SUMIFS('日経_V02'!$G$7:$G$56,'日経_V02'!$B$7:$B$56,B124)</x:f>
        <x:v>135</x:v>
      </x:c>
    </x:row>
    <x:row r="125" ht="23" customHeight="1">
      <x:c r="A125" s="2" t="str">
        <x:v>V02</x:v>
      </x:c>
      <x:c r="B125" s="2" t="str">
        <x:v>上昇</x:v>
      </x:c>
      <x:c r="C125" s="2" t="n">
        <x:f>COUNTIFS('日経_V02'!$I$7:$I$56,B125)</x:f>
        <x:v>24</x:v>
      </x:c>
      <x:c r="D125" s="19" t="n">
        <x:f>SUMIFS('日経_V02'!$C$7:$C$56,'日経_V02'!$I$7:$I$56,B125)</x:f>
        <x:v>3431000</x:v>
      </x:c>
      <x:c r="E125" s="19" t="n">
        <x:f>SUMIFS('日経_V02'!$D$7:$D$56,'日経_V02'!$I$7:$I$56,B125)</x:f>
        <x:v>1525000</x:v>
      </x:c>
      <x:c r="F125" s="19" t="n">
        <x:f>D125-E125</x:f>
        <x:v>1906000</x:v>
      </x:c>
      <x:c r="G125" s="24" t="n">
        <x:f>IF(E125=0,"損失なし",D125/E125)</x:f>
        <x:v>2.2498360655737706</x:v>
      </x:c>
      <x:c r="H125" s="2" t="n">
        <x:f>COUNTIFS('日経_V02'!$I$7:$I$56,B125,'日経_V02'!$E$7:$E$56,"&lt;0")</x:f>
        <x:v>9</x:v>
      </x:c>
      <x:c r="I125" s="19" t="n">
        <x:f>IF(H125=0,0,-SUMIFS('日経_V02'!$E$7:$E$56,'日経_V02'!$I$7:$I$56,B125,'日経_V02'!$E$7:$E$56,"&lt;0")/H125)</x:f>
        <x:v>38222.22222222222</x:v>
      </x:c>
      <x:c r="J125" s="19" t="n">
        <x:v>63000</x:v>
      </x:c>
      <x:c r="K125" s="2" t="n">
        <x:f>SUMIFS('日経_V02'!$G$7:$G$56,'日経_V02'!$I$7:$I$56,B125)</x:f>
        <x:v>182</x:v>
      </x:c>
    </x:row>
    <x:row r="126" ht="23" customHeight="1">
      <x:c r="A126" s="2" t="str">
        <x:v>V02</x:v>
      </x:c>
      <x:c r="B126" s="2" t="str">
        <x:v>下落</x:v>
      </x:c>
      <x:c r="C126" s="2" t="n">
        <x:f>COUNTIFS('日経_V02'!$I$7:$I$56,B126)</x:f>
        <x:v>26</x:v>
      </x:c>
      <x:c r="D126" s="19" t="n">
        <x:f>SUMIFS('日経_V02'!$C$7:$C$56,'日経_V02'!$I$7:$I$56,B126)</x:f>
        <x:v>3622000</x:v>
      </x:c>
      <x:c r="E126" s="19" t="n">
        <x:f>SUMIFS('日経_V02'!$D$7:$D$56,'日経_V02'!$I$7:$I$56,B126)</x:f>
        <x:v>1784000</x:v>
      </x:c>
      <x:c r="F126" s="19" t="n">
        <x:f>D126-E126</x:f>
        <x:v>1838000</x:v>
      </x:c>
      <x:c r="G126" s="24" t="n">
        <x:f>IF(E126=0,"損失なし",D126/E126)</x:f>
        <x:v>2.030269058295964</x:v>
      </x:c>
      <x:c r="H126" s="2" t="n">
        <x:f>COUNTIFS('日経_V02'!$I$7:$I$56,B126,'日経_V02'!$E$7:$E$56,"&lt;0")</x:f>
        <x:v>9</x:v>
      </x:c>
      <x:c r="I126" s="19" t="n">
        <x:f>IF(H126=0,0,-SUMIFS('日経_V02'!$E$7:$E$56,'日経_V02'!$I$7:$I$56,B126,'日経_V02'!$E$7:$E$56,"&lt;0")/H126)</x:f>
        <x:v>43111.11111111111</x:v>
      </x:c>
      <x:c r="J126" s="19" t="n">
        <x:v>105000</x:v>
      </x:c>
      <x:c r="K126" s="2" t="n">
        <x:f>SUMIFS('日経_V02'!$G$7:$G$56,'日経_V02'!$I$7:$I$56,B126)</x:f>
        <x:v>159</x:v>
      </x:c>
    </x:row>
    <x:row r="127" ht="23" customHeight="1">
      <x:c r="A127" s="2" t="str">
        <x:v>V03</x:v>
      </x:c>
      <x:c r="B127" s="2" t="str">
        <x:v>デイ</x:v>
      </x:c>
      <x:c r="C127" s="2" t="n">
        <x:f>COUNTIFS('日経_V03'!$B$7:$B$56,B127)</x:f>
        <x:v>25</x:v>
      </x:c>
      <x:c r="D127" s="19" t="n">
        <x:f>SUMIFS('日経_V03'!$C$7:$C$56,'日経_V03'!$B$7:$B$56,B127)</x:f>
        <x:v>4842000</x:v>
      </x:c>
      <x:c r="E127" s="19" t="n">
        <x:f>SUMIFS('日経_V03'!$D$7:$D$56,'日経_V03'!$B$7:$B$56,B127)</x:f>
        <x:v>2432000</x:v>
      </x:c>
      <x:c r="F127" s="19" t="n">
        <x:f>D127-E127</x:f>
        <x:v>2410000</x:v>
      </x:c>
      <x:c r="G127" s="24" t="n">
        <x:f>IF(E127=0,"損失なし",D127/E127)</x:f>
        <x:v>1.990953947368421</x:v>
      </x:c>
      <x:c r="H127" s="2" t="n">
        <x:f>COUNTIFS('日経_V03'!$B$7:$B$56,B127,'日経_V03'!$E$7:$E$56,"&lt;0")</x:f>
        <x:v>9</x:v>
      </x:c>
      <x:c r="I127" s="19" t="n">
        <x:f>IF(H127=0,0,-SUMIFS('日経_V03'!$E$7:$E$56,'日経_V03'!$B$7:$B$56,B127,'日経_V03'!$E$7:$E$56,"&lt;0")/H127)</x:f>
        <x:v>49777.77777777778</x:v>
      </x:c>
      <x:c r="J127" s="19" t="n">
        <x:v>105000</x:v>
      </x:c>
      <x:c r="K127" s="2" t="n">
        <x:f>SUMIFS('日経_V03'!$G$7:$G$56,'日経_V03'!$B$7:$B$56,B127)</x:f>
        <x:v>216</x:v>
      </x:c>
    </x:row>
    <x:row r="128" ht="23" customHeight="1">
      <x:c r="A128" s="2" t="str">
        <x:v>V03</x:v>
      </x:c>
      <x:c r="B128" s="2" t="str">
        <x:v>ナイト</x:v>
      </x:c>
      <x:c r="C128" s="2" t="n">
        <x:f>COUNTIFS('日経_V03'!$B$7:$B$56,B128)</x:f>
        <x:v>25</x:v>
      </x:c>
      <x:c r="D128" s="19" t="n">
        <x:f>SUMIFS('日経_V03'!$C$7:$C$56,'日経_V03'!$B$7:$B$56,B128)</x:f>
        <x:v>2229000</x:v>
      </x:c>
      <x:c r="E128" s="19" t="n">
        <x:f>SUMIFS('日経_V03'!$D$7:$D$56,'日経_V03'!$B$7:$B$56,B128)</x:f>
        <x:v>886000</x:v>
      </x:c>
      <x:c r="F128" s="19" t="n">
        <x:f>D128-E128</x:f>
        <x:v>1343000</x:v>
      </x:c>
      <x:c r="G128" s="24" t="n">
        <x:f>IF(E128=0,"損失なし",D128/E128)</x:f>
        <x:v>2.515801354401806</x:v>
      </x:c>
      <x:c r="H128" s="2" t="n">
        <x:f>COUNTIFS('日経_V03'!$B$7:$B$56,B128,'日経_V03'!$E$7:$E$56,"&lt;0")</x:f>
        <x:v>10</x:v>
      </x:c>
      <x:c r="I128" s="19" t="n">
        <x:f>IF(H128=0,0,-SUMIFS('日経_V03'!$E$7:$E$56,'日経_V03'!$B$7:$B$56,B128,'日経_V03'!$E$7:$E$56,"&lt;0")/H128)</x:f>
        <x:v>32100</x:v>
      </x:c>
      <x:c r="J128" s="19" t="n">
        <x:v>53000</x:v>
      </x:c>
      <x:c r="K128" s="2" t="n">
        <x:f>SUMIFS('日経_V03'!$G$7:$G$56,'日経_V03'!$B$7:$B$56,B128)</x:f>
        <x:v>135</x:v>
      </x:c>
    </x:row>
    <x:row r="129" ht="23" customHeight="1">
      <x:c r="A129" s="2" t="str">
        <x:v>V03</x:v>
      </x:c>
      <x:c r="B129" s="2" t="str">
        <x:v>上昇</x:v>
      </x:c>
      <x:c r="C129" s="2" t="n">
        <x:f>COUNTIFS('日経_V03'!$I$7:$I$56,B129)</x:f>
        <x:v>24</x:v>
      </x:c>
      <x:c r="D129" s="19" t="n">
        <x:f>SUMIFS('日経_V03'!$C$7:$C$56,'日経_V03'!$I$7:$I$56,B129)</x:f>
        <x:v>3474000</x:v>
      </x:c>
      <x:c r="E129" s="19" t="n">
        <x:f>SUMIFS('日経_V03'!$D$7:$D$56,'日経_V03'!$I$7:$I$56,B129)</x:f>
        <x:v>1477000</x:v>
      </x:c>
      <x:c r="F129" s="19" t="n">
        <x:f>D129-E129</x:f>
        <x:v>1997000</x:v>
      </x:c>
      <x:c r="G129" s="24" t="n">
        <x:f>IF(E129=0,"損失なし",D129/E129)</x:f>
        <x:v>2.3520649966147595</x:v>
      </x:c>
      <x:c r="H129" s="2" t="n">
        <x:f>COUNTIFS('日経_V03'!$I$7:$I$56,B129,'日経_V03'!$E$7:$E$56,"&lt;0")</x:f>
        <x:v>9</x:v>
      </x:c>
      <x:c r="I129" s="19" t="n">
        <x:f>IF(H129=0,0,-SUMIFS('日経_V03'!$E$7:$E$56,'日経_V03'!$I$7:$I$56,B129,'日経_V03'!$E$7:$E$56,"&lt;0")/H129)</x:f>
        <x:v>38222.22222222222</x:v>
      </x:c>
      <x:c r="J129" s="19" t="n">
        <x:v>63000</x:v>
      </x:c>
      <x:c r="K129" s="2" t="n">
        <x:f>SUMIFS('日経_V03'!$G$7:$G$56,'日経_V03'!$I$7:$I$56,B129)</x:f>
        <x:v>190</x:v>
      </x:c>
    </x:row>
    <x:row r="130" ht="23" customHeight="1">
      <x:c r="A130" s="2" t="str">
        <x:v>V03</x:v>
      </x:c>
      <x:c r="B130" s="2" t="str">
        <x:v>下落</x:v>
      </x:c>
      <x:c r="C130" s="2" t="n">
        <x:f>COUNTIFS('日経_V03'!$I$7:$I$56,B130)</x:f>
        <x:v>26</x:v>
      </x:c>
      <x:c r="D130" s="19" t="n">
        <x:f>SUMIFS('日経_V03'!$C$7:$C$56,'日経_V03'!$I$7:$I$56,B130)</x:f>
        <x:v>3597000</x:v>
      </x:c>
      <x:c r="E130" s="19" t="n">
        <x:f>SUMIFS('日経_V03'!$D$7:$D$56,'日経_V03'!$I$7:$I$56,B130)</x:f>
        <x:v>1841000</x:v>
      </x:c>
      <x:c r="F130" s="19" t="n">
        <x:f>D130-E130</x:f>
        <x:v>1756000</x:v>
      </x:c>
      <x:c r="G130" s="24" t="n">
        <x:f>IF(E130=0,"損失なし",D130/E130)</x:f>
        <x:v>1.9538294405214558</x:v>
      </x:c>
      <x:c r="H130" s="2" t="n">
        <x:f>COUNTIFS('日経_V03'!$I$7:$I$56,B130,'日経_V03'!$E$7:$E$56,"&lt;0")</x:f>
        <x:v>10</x:v>
      </x:c>
      <x:c r="I130" s="19" t="n">
        <x:f>IF(H130=0,0,-SUMIFS('日経_V03'!$E$7:$E$56,'日経_V03'!$I$7:$I$56,B130,'日経_V03'!$E$7:$E$56,"&lt;0")/H130)</x:f>
        <x:v>42500</x:v>
      </x:c>
      <x:c r="J130" s="19" t="n">
        <x:v>105000</x:v>
      </x:c>
      <x:c r="K130" s="2" t="n">
        <x:f>SUMIFS('日経_V03'!$G$7:$G$56,'日経_V03'!$I$7:$I$56,B130)</x:f>
        <x:v>161</x:v>
      </x:c>
    </x:row>
    <x:row r="131" ht="23" customHeight="1">
      <x:c r="A131" s="2" t="str">
        <x:v>V04</x:v>
      </x:c>
      <x:c r="B131" s="2" t="str">
        <x:v>デイ</x:v>
      </x:c>
      <x:c r="C131" s="2" t="n">
        <x:f>COUNTIFS('日経_V04'!$B$7:$B$56,B131)</x:f>
        <x:v>25</x:v>
      </x:c>
      <x:c r="D131" s="19" t="n">
        <x:f>SUMIFS('日経_V04'!$C$7:$C$56,'日経_V04'!$B$7:$B$56,B131)</x:f>
        <x:v>4772000</x:v>
      </x:c>
      <x:c r="E131" s="19" t="n">
        <x:f>SUMIFS('日経_V04'!$D$7:$D$56,'日経_V04'!$B$7:$B$56,B131)</x:f>
        <x:v>2262000</x:v>
      </x:c>
      <x:c r="F131" s="19" t="n">
        <x:f>D131-E131</x:f>
        <x:v>2510000</x:v>
      </x:c>
      <x:c r="G131" s="24" t="n">
        <x:f>IF(E131=0,"損失なし",D131/E131)</x:f>
        <x:v>2.109637488947834</x:v>
      </x:c>
      <x:c r="H131" s="2" t="n">
        <x:f>COUNTIFS('日経_V04'!$B$7:$B$56,B131,'日経_V04'!$E$7:$E$56,"&lt;0")</x:f>
        <x:v>8</x:v>
      </x:c>
      <x:c r="I131" s="19" t="n">
        <x:f>IF(H131=0,0,-SUMIFS('日経_V04'!$E$7:$E$56,'日経_V04'!$B$7:$B$56,B131,'日経_V04'!$E$7:$E$56,"&lt;0")/H131)</x:f>
        <x:v>45375</x:v>
      </x:c>
      <x:c r="J131" s="19" t="n">
        <x:v>105000</x:v>
      </x:c>
      <x:c r="K131" s="2" t="n">
        <x:f>SUMIFS('日経_V04'!$G$7:$G$56,'日経_V04'!$B$7:$B$56,B131)</x:f>
        <x:v>182</x:v>
      </x:c>
    </x:row>
    <x:row r="132" ht="23" customHeight="1">
      <x:c r="A132" s="2" t="str">
        <x:v>V04</x:v>
      </x:c>
      <x:c r="B132" s="2" t="str">
        <x:v>ナイト</x:v>
      </x:c>
      <x:c r="C132" s="2" t="n">
        <x:f>COUNTIFS('日経_V04'!$B$7:$B$56,B132)</x:f>
        <x:v>25</x:v>
      </x:c>
      <x:c r="D132" s="19" t="n">
        <x:f>SUMIFS('日経_V04'!$C$7:$C$56,'日経_V04'!$B$7:$B$56,B132)</x:f>
        <x:v>1966000</x:v>
      </x:c>
      <x:c r="E132" s="19" t="n">
        <x:f>SUMIFS('日経_V04'!$D$7:$D$56,'日経_V04'!$B$7:$B$56,B132)</x:f>
        <x:v>895000</x:v>
      </x:c>
      <x:c r="F132" s="19" t="n">
        <x:f>D132-E132</x:f>
        <x:v>1071000</x:v>
      </x:c>
      <x:c r="G132" s="24" t="n">
        <x:f>IF(E132=0,"損失なし",D132/E132)</x:f>
        <x:v>2.1966480446927372</x:v>
      </x:c>
      <x:c r="H132" s="2" t="n">
        <x:f>COUNTIFS('日経_V04'!$B$7:$B$56,B132,'日経_V04'!$E$7:$E$56,"&lt;0")</x:f>
        <x:v>10</x:v>
      </x:c>
      <x:c r="I132" s="19" t="n">
        <x:f>IF(H132=0,0,-SUMIFS('日経_V04'!$E$7:$E$56,'日経_V04'!$B$7:$B$56,B132,'日経_V04'!$E$7:$E$56,"&lt;0")/H132)</x:f>
        <x:v>32100</x:v>
      </x:c>
      <x:c r="J132" s="19" t="n">
        <x:v>53000</x:v>
      </x:c>
      <x:c r="K132" s="2" t="n">
        <x:f>SUMIFS('日経_V04'!$G$7:$G$56,'日経_V04'!$B$7:$B$56,B132)</x:f>
        <x:v>125</x:v>
      </x:c>
    </x:row>
    <x:row r="133" ht="23" customHeight="1">
      <x:c r="A133" s="2" t="str">
        <x:v>V04</x:v>
      </x:c>
      <x:c r="B133" s="2" t="str">
        <x:v>上昇</x:v>
      </x:c>
      <x:c r="C133" s="2" t="n">
        <x:f>COUNTIFS('日経_V04'!$I$7:$I$56,B133)</x:f>
        <x:v>24</x:v>
      </x:c>
      <x:c r="D133" s="19" t="n">
        <x:f>SUMIFS('日経_V04'!$C$7:$C$56,'日経_V04'!$I$7:$I$56,B133)</x:f>
        <x:v>3206000</x:v>
      </x:c>
      <x:c r="E133" s="19" t="n">
        <x:f>SUMIFS('日経_V04'!$D$7:$D$56,'日経_V04'!$I$7:$I$56,B133)</x:f>
        <x:v>1416000</x:v>
      </x:c>
      <x:c r="F133" s="19" t="n">
        <x:f>D133-E133</x:f>
        <x:v>1790000</x:v>
      </x:c>
      <x:c r="G133" s="24" t="n">
        <x:f>IF(E133=0,"損失なし",D133/E133)</x:f>
        <x:v>2.2641242937853105</x:v>
      </x:c>
      <x:c r="H133" s="2" t="n">
        <x:f>COUNTIFS('日経_V04'!$I$7:$I$56,B133,'日経_V04'!$E$7:$E$56,"&lt;0")</x:f>
        <x:v>9</x:v>
      </x:c>
      <x:c r="I133" s="19" t="n">
        <x:f>IF(H133=0,0,-SUMIFS('日経_V04'!$E$7:$E$56,'日経_V04'!$I$7:$I$56,B133,'日経_V04'!$E$7:$E$56,"&lt;0")/H133)</x:f>
        <x:v>38777.77777777778</x:v>
      </x:c>
      <x:c r="J133" s="19" t="n">
        <x:v>80000</x:v>
      </x:c>
      <x:c r="K133" s="2" t="n">
        <x:f>SUMIFS('日経_V04'!$G$7:$G$56,'日経_V04'!$I$7:$I$56,B133)</x:f>
        <x:v>155</x:v>
      </x:c>
    </x:row>
    <x:row r="134" ht="23" customHeight="1">
      <x:c r="A134" s="2" t="str">
        <x:v>V04</x:v>
      </x:c>
      <x:c r="B134" s="2" t="str">
        <x:v>下落</x:v>
      </x:c>
      <x:c r="C134" s="2" t="n">
        <x:f>COUNTIFS('日経_V04'!$I$7:$I$56,B134)</x:f>
        <x:v>26</x:v>
      </x:c>
      <x:c r="D134" s="19" t="n">
        <x:f>SUMIFS('日経_V04'!$C$7:$C$56,'日経_V04'!$I$7:$I$56,B134)</x:f>
        <x:v>3532000</x:v>
      </x:c>
      <x:c r="E134" s="19" t="n">
        <x:f>SUMIFS('日経_V04'!$D$7:$D$56,'日経_V04'!$I$7:$I$56,B134)</x:f>
        <x:v>1741000</x:v>
      </x:c>
      <x:c r="F134" s="19" t="n">
        <x:f>D134-E134</x:f>
        <x:v>1791000</x:v>
      </x:c>
      <x:c r="G134" s="24" t="n">
        <x:f>IF(E134=0,"損失なし",D134/E134)</x:f>
        <x:v>2.028719126938541</x:v>
      </x:c>
      <x:c r="H134" s="2" t="n">
        <x:f>COUNTIFS('日経_V04'!$I$7:$I$56,B134,'日経_V04'!$E$7:$E$56,"&lt;0")</x:f>
        <x:v>9</x:v>
      </x:c>
      <x:c r="I134" s="19" t="n">
        <x:f>IF(H134=0,0,-SUMIFS('日経_V04'!$E$7:$E$56,'日経_V04'!$I$7:$I$56,B134,'日経_V04'!$E$7:$E$56,"&lt;0")/H134)</x:f>
        <x:v>37222.22222222222</x:v>
      </x:c>
      <x:c r="J134" s="19" t="n">
        <x:v>105000</x:v>
      </x:c>
      <x:c r="K134" s="2" t="n">
        <x:f>SUMIFS('日経_V04'!$G$7:$G$56,'日経_V04'!$I$7:$I$56,B134)</x:f>
        <x:v>152</x:v>
      </x:c>
    </x:row>
    <x:row r="135" ht="23" customHeight="1">
      <x:c r="A135" s="2" t="str">
        <x:v>V05</x:v>
      </x:c>
      <x:c r="B135" s="2" t="str">
        <x:v>デイ</x:v>
      </x:c>
      <x:c r="C135" s="2" t="n">
        <x:f>COUNTIFS('日経_V05'!$B$7:$B$56,B135)</x:f>
        <x:v>25</x:v>
      </x:c>
      <x:c r="D135" s="19" t="n">
        <x:f>SUMIFS('日経_V05'!$C$7:$C$56,'日経_V05'!$B$7:$B$56,B135)</x:f>
        <x:v>4793000</x:v>
      </x:c>
      <x:c r="E135" s="19" t="n">
        <x:f>SUMIFS('日経_V05'!$D$7:$D$56,'日経_V05'!$B$7:$B$56,B135)</x:f>
        <x:v>2285000</x:v>
      </x:c>
      <x:c r="F135" s="19" t="n">
        <x:f>D135-E135</x:f>
        <x:v>2508000</x:v>
      </x:c>
      <x:c r="G135" s="24" t="n">
        <x:f>IF(E135=0,"損失なし",D135/E135)</x:f>
        <x:v>2.0975929978118164</x:v>
      </x:c>
      <x:c r="H135" s="2" t="n">
        <x:f>COUNTIFS('日経_V05'!$B$7:$B$56,B135,'日経_V05'!$E$7:$E$56,"&lt;0")</x:f>
        <x:v>8</x:v>
      </x:c>
      <x:c r="I135" s="19" t="n">
        <x:f>IF(H135=0,0,-SUMIFS('日経_V05'!$E$7:$E$56,'日経_V05'!$B$7:$B$56,B135,'日経_V05'!$E$7:$E$56,"&lt;0")/H135)</x:f>
        <x:v>46000</x:v>
      </x:c>
      <x:c r="J135" s="19" t="n">
        <x:v>105000</x:v>
      </x:c>
      <x:c r="K135" s="2" t="n">
        <x:f>SUMIFS('日経_V05'!$G$7:$G$56,'日経_V05'!$B$7:$B$56,B135)</x:f>
        <x:v>187</x:v>
      </x:c>
    </x:row>
    <x:row r="136" ht="23" customHeight="1">
      <x:c r="A136" s="2" t="str">
        <x:v>V05</x:v>
      </x:c>
      <x:c r="B136" s="2" t="str">
        <x:v>ナイト</x:v>
      </x:c>
      <x:c r="C136" s="2" t="n">
        <x:f>COUNTIFS('日経_V05'!$B$7:$B$56,B136)</x:f>
        <x:v>25</x:v>
      </x:c>
      <x:c r="D136" s="19" t="n">
        <x:f>SUMIFS('日経_V05'!$C$7:$C$56,'日経_V05'!$B$7:$B$56,B136)</x:f>
        <x:v>1966000</x:v>
      </x:c>
      <x:c r="E136" s="19" t="n">
        <x:f>SUMIFS('日経_V05'!$D$7:$D$56,'日経_V05'!$B$7:$B$56,B136)</x:f>
        <x:v>895000</x:v>
      </x:c>
      <x:c r="F136" s="19" t="n">
        <x:f>D136-E136</x:f>
        <x:v>1071000</x:v>
      </x:c>
      <x:c r="G136" s="24" t="n">
        <x:f>IF(E136=0,"損失なし",D136/E136)</x:f>
        <x:v>2.1966480446927372</x:v>
      </x:c>
      <x:c r="H136" s="2" t="n">
        <x:f>COUNTIFS('日経_V05'!$B$7:$B$56,B136,'日経_V05'!$E$7:$E$56,"&lt;0")</x:f>
        <x:v>10</x:v>
      </x:c>
      <x:c r="I136" s="19" t="n">
        <x:f>IF(H136=0,0,-SUMIFS('日経_V05'!$E$7:$E$56,'日経_V05'!$B$7:$B$56,B136,'日経_V05'!$E$7:$E$56,"&lt;0")/H136)</x:f>
        <x:v>32100</x:v>
      </x:c>
      <x:c r="J136" s="19" t="n">
        <x:v>53000</x:v>
      </x:c>
      <x:c r="K136" s="2" t="n">
        <x:f>SUMIFS('日経_V05'!$G$7:$G$56,'日経_V05'!$B$7:$B$56,B136)</x:f>
        <x:v>125</x:v>
      </x:c>
    </x:row>
    <x:row r="137" ht="23" customHeight="1">
      <x:c r="A137" s="2" t="str">
        <x:v>V05</x:v>
      </x:c>
      <x:c r="B137" s="2" t="str">
        <x:v>上昇</x:v>
      </x:c>
      <x:c r="C137" s="2" t="n">
        <x:f>COUNTIFS('日経_V05'!$I$7:$I$56,B137)</x:f>
        <x:v>24</x:v>
      </x:c>
      <x:c r="D137" s="19" t="n">
        <x:f>SUMIFS('日経_V05'!$C$7:$C$56,'日経_V05'!$I$7:$I$56,B137)</x:f>
        <x:v>3219000</x:v>
      </x:c>
      <x:c r="E137" s="19" t="n">
        <x:f>SUMIFS('日経_V05'!$D$7:$D$56,'日経_V05'!$I$7:$I$56,B137)</x:f>
        <x:v>1434000</x:v>
      </x:c>
      <x:c r="F137" s="19" t="n">
        <x:f>D137-E137</x:f>
        <x:v>1785000</x:v>
      </x:c>
      <x:c r="G137" s="24" t="n">
        <x:f>IF(E137=0,"損失なし",D137/E137)</x:f>
        <x:v>2.2447698744769875</x:v>
      </x:c>
      <x:c r="H137" s="2" t="n">
        <x:f>COUNTIFS('日経_V05'!$I$7:$I$56,B137,'日経_V05'!$E$7:$E$56,"&lt;0")</x:f>
        <x:v>9</x:v>
      </x:c>
      <x:c r="I137" s="19" t="n">
        <x:f>IF(H137=0,0,-SUMIFS('日経_V05'!$E$7:$E$56,'日経_V05'!$I$7:$I$56,B137,'日経_V05'!$E$7:$E$56,"&lt;0")/H137)</x:f>
        <x:v>39333.333333333336</x:v>
      </x:c>
      <x:c r="J137" s="19" t="n">
        <x:v>92000</x:v>
      </x:c>
      <x:c r="K137" s="2" t="n">
        <x:f>SUMIFS('日経_V05'!$G$7:$G$56,'日経_V05'!$I$7:$I$56,B137)</x:f>
        <x:v>158</x:v>
      </x:c>
    </x:row>
    <x:row r="138" ht="23" customHeight="1">
      <x:c r="A138" s="2" t="str">
        <x:v>V05</x:v>
      </x:c>
      <x:c r="B138" s="2" t="str">
        <x:v>下落</x:v>
      </x:c>
      <x:c r="C138" s="2" t="n">
        <x:f>COUNTIFS('日経_V05'!$I$7:$I$56,B138)</x:f>
        <x:v>26</x:v>
      </x:c>
      <x:c r="D138" s="19" t="n">
        <x:f>SUMIFS('日経_V05'!$C$7:$C$56,'日経_V05'!$I$7:$I$56,B138)</x:f>
        <x:v>3540000</x:v>
      </x:c>
      <x:c r="E138" s="19" t="n">
        <x:f>SUMIFS('日経_V05'!$D$7:$D$56,'日経_V05'!$I$7:$I$56,B138)</x:f>
        <x:v>1746000</x:v>
      </x:c>
      <x:c r="F138" s="19" t="n">
        <x:f>D138-E138</x:f>
        <x:v>1794000</x:v>
      </x:c>
      <x:c r="G138" s="24" t="n">
        <x:f>IF(E138=0,"損失なし",D138/E138)</x:f>
        <x:v>2.027491408934708</x:v>
      </x:c>
      <x:c r="H138" s="2" t="n">
        <x:f>COUNTIFS('日経_V05'!$I$7:$I$56,B138,'日経_V05'!$E$7:$E$56,"&lt;0")</x:f>
        <x:v>9</x:v>
      </x:c>
      <x:c r="I138" s="19" t="n">
        <x:f>IF(H138=0,0,-SUMIFS('日経_V05'!$E$7:$E$56,'日経_V05'!$I$7:$I$56,B138,'日経_V05'!$E$7:$E$56,"&lt;0")/H138)</x:f>
        <x:v>37222.22222222222</x:v>
      </x:c>
      <x:c r="J138" s="19" t="n">
        <x:v>105000</x:v>
      </x:c>
      <x:c r="K138" s="2" t="n">
        <x:f>SUMIFS('日経_V05'!$G$7:$G$56,'日経_V05'!$I$7:$I$56,B138)</x:f>
        <x:v>154</x:v>
      </x:c>
    </x:row>
    <x:row r="139" ht="23" customHeight="1">
      <x:c r="A139" s="2" t="str">
        <x:v>V06</x:v>
      </x:c>
      <x:c r="B139" s="2" t="str">
        <x:v>デイ</x:v>
      </x:c>
      <x:c r="C139" s="2" t="n">
        <x:f>COUNTIFS('日経_V06'!$B$7:$B$56,B139)</x:f>
        <x:v>25</x:v>
      </x:c>
      <x:c r="D139" s="19" t="n">
        <x:f>SUMIFS('日経_V06'!$C$7:$C$56,'日経_V06'!$B$7:$B$56,B139)</x:f>
        <x:v>4918000</x:v>
      </x:c>
      <x:c r="E139" s="19" t="n">
        <x:f>SUMIFS('日経_V06'!$D$7:$D$56,'日経_V06'!$B$7:$B$56,B139)</x:f>
        <x:v>2649000</x:v>
      </x:c>
      <x:c r="F139" s="19" t="n">
        <x:f>D139-E139</x:f>
        <x:v>2269000</x:v>
      </x:c>
      <x:c r="G139" s="24" t="n">
        <x:f>IF(E139=0,"損失なし",D139/E139)</x:f>
        <x:v>1.8565496413741034</x:v>
      </x:c>
      <x:c r="H139" s="2" t="n">
        <x:f>COUNTIFS('日経_V06'!$B$7:$B$56,B139,'日経_V06'!$E$7:$E$56,"&lt;0")</x:f>
        <x:v>8</x:v>
      </x:c>
      <x:c r="I139" s="19" t="n">
        <x:f>IF(H139=0,0,-SUMIFS('日経_V06'!$E$7:$E$56,'日経_V06'!$B$7:$B$56,B139,'日経_V06'!$E$7:$E$56,"&lt;0")/H139)</x:f>
        <x:v>61875</x:v>
      </x:c>
      <x:c r="J139" s="19" t="n">
        <x:v>105000</x:v>
      </x:c>
      <x:c r="K139" s="2" t="n">
        <x:f>SUMIFS('日経_V06'!$G$7:$G$56,'日経_V06'!$B$7:$B$56,B139)</x:f>
        <x:v>217</x:v>
      </x:c>
    </x:row>
    <x:row r="140" ht="23" customHeight="1">
      <x:c r="A140" s="2" t="str">
        <x:v>V06</x:v>
      </x:c>
      <x:c r="B140" s="2" t="str">
        <x:v>ナイト</x:v>
      </x:c>
      <x:c r="C140" s="2" t="n">
        <x:f>COUNTIFS('日経_V06'!$B$7:$B$56,B140)</x:f>
        <x:v>25</x:v>
      </x:c>
      <x:c r="D140" s="19" t="n">
        <x:f>SUMIFS('日経_V06'!$C$7:$C$56,'日経_V06'!$B$7:$B$56,B140)</x:f>
        <x:v>2385000</x:v>
      </x:c>
      <x:c r="E140" s="19" t="n">
        <x:f>SUMIFS('日経_V06'!$D$7:$D$56,'日経_V06'!$B$7:$B$56,B140)</x:f>
        <x:v>1045000</x:v>
      </x:c>
      <x:c r="F140" s="19" t="n">
        <x:f>D140-E140</x:f>
        <x:v>1340000</x:v>
      </x:c>
      <x:c r="G140" s="24" t="n">
        <x:f>IF(E140=0,"損失なし",D140/E140)</x:f>
        <x:v>2.2822966507177034</x:v>
      </x:c>
      <x:c r="H140" s="2" t="n">
        <x:f>COUNTIFS('日経_V06'!$B$7:$B$56,B140,'日経_V06'!$E$7:$E$56,"&lt;0")</x:f>
        <x:v>10</x:v>
      </x:c>
      <x:c r="I140" s="19" t="n">
        <x:f>IF(H140=0,0,-SUMIFS('日経_V06'!$E$7:$E$56,'日経_V06'!$B$7:$B$56,B140,'日経_V06'!$E$7:$E$56,"&lt;0")/H140)</x:f>
        <x:v>32100</x:v>
      </x:c>
      <x:c r="J140" s="19" t="n">
        <x:v>53000</x:v>
      </x:c>
      <x:c r="K140" s="2" t="n">
        <x:f>SUMIFS('日経_V06'!$G$7:$G$56,'日経_V06'!$B$7:$B$56,B140)</x:f>
        <x:v>147</x:v>
      </x:c>
    </x:row>
    <x:row r="141" ht="23" customHeight="1">
      <x:c r="A141" s="2" t="str">
        <x:v>V06</x:v>
      </x:c>
      <x:c r="B141" s="2" t="str">
        <x:v>上昇</x:v>
      </x:c>
      <x:c r="C141" s="2" t="n">
        <x:f>COUNTIFS('日経_V06'!$I$7:$I$56,B141)</x:f>
        <x:v>24</x:v>
      </x:c>
      <x:c r="D141" s="19" t="n">
        <x:f>SUMIFS('日経_V06'!$C$7:$C$56,'日経_V06'!$I$7:$I$56,B141)</x:f>
        <x:v>3536000</x:v>
      </x:c>
      <x:c r="E141" s="19" t="n">
        <x:f>SUMIFS('日経_V06'!$D$7:$D$56,'日経_V06'!$I$7:$I$56,B141)</x:f>
        <x:v>1746000</x:v>
      </x:c>
      <x:c r="F141" s="19" t="n">
        <x:f>D141-E141</x:f>
        <x:v>1790000</x:v>
      </x:c>
      <x:c r="G141" s="24" t="n">
        <x:f>IF(E141=0,"損失なし",D141/E141)</x:f>
        <x:v>2.025200458190149</x:v>
      </x:c>
      <x:c r="H141" s="2" t="n">
        <x:f>COUNTIFS('日経_V06'!$I$7:$I$56,B141,'日経_V06'!$E$7:$E$56,"&lt;0")</x:f>
        <x:v>9</x:v>
      </x:c>
      <x:c r="I141" s="19" t="n">
        <x:f>IF(H141=0,0,-SUMIFS('日経_V06'!$E$7:$E$56,'日経_V06'!$I$7:$I$56,B141,'日経_V06'!$E$7:$E$56,"&lt;0")/H141)</x:f>
        <x:v>43111.11111111111</x:v>
      </x:c>
      <x:c r="J141" s="19" t="n">
        <x:v>81000</x:v>
      </x:c>
      <x:c r="K141" s="2" t="n">
        <x:f>SUMIFS('日経_V06'!$G$7:$G$56,'日経_V06'!$I$7:$I$56,B141)</x:f>
        <x:v>194</x:v>
      </x:c>
    </x:row>
    <x:row r="142" ht="23" customHeight="1">
      <x:c r="A142" s="2" t="str">
        <x:v>V06</x:v>
      </x:c>
      <x:c r="B142" s="2" t="str">
        <x:v>下落</x:v>
      </x:c>
      <x:c r="C142" s="2" t="n">
        <x:f>COUNTIFS('日経_V06'!$I$7:$I$56,B142)</x:f>
        <x:v>26</x:v>
      </x:c>
      <x:c r="D142" s="19" t="n">
        <x:f>SUMIFS('日経_V06'!$C$7:$C$56,'日経_V06'!$I$7:$I$56,B142)</x:f>
        <x:v>3767000</x:v>
      </x:c>
      <x:c r="E142" s="19" t="n">
        <x:f>SUMIFS('日経_V06'!$D$7:$D$56,'日経_V06'!$I$7:$I$56,B142)</x:f>
        <x:v>1948000</x:v>
      </x:c>
      <x:c r="F142" s="19" t="n">
        <x:f>D142-E142</x:f>
        <x:v>1819000</x:v>
      </x:c>
      <x:c r="G142" s="24" t="n">
        <x:f>IF(E142=0,"損失なし",D142/E142)</x:f>
        <x:v>1.9337782340862424</x:v>
      </x:c>
      <x:c r="H142" s="2" t="n">
        <x:f>COUNTIFS('日経_V06'!$I$7:$I$56,B142,'日経_V06'!$E$7:$E$56,"&lt;0")</x:f>
        <x:v>9</x:v>
      </x:c>
      <x:c r="I142" s="19" t="n">
        <x:f>IF(H142=0,0,-SUMIFS('日経_V06'!$E$7:$E$56,'日経_V06'!$I$7:$I$56,B142,'日経_V06'!$E$7:$E$56,"&lt;0")/H142)</x:f>
        <x:v>47555.555555555555</x:v>
      </x:c>
      <x:c r="J142" s="19" t="n">
        <x:v>105000</x:v>
      </x:c>
      <x:c r="K142" s="2" t="n">
        <x:f>SUMIFS('日経_V06'!$G$7:$G$56,'日経_V06'!$I$7:$I$56,B142)</x:f>
        <x:v>170</x:v>
      </x:c>
    </x:row>
    <x:row r="143" ht="23" customHeight="1">
      <x:c r="A143" s="2" t="str">
        <x:v>V07</x:v>
      </x:c>
      <x:c r="B143" s="2" t="str">
        <x:v>デイ</x:v>
      </x:c>
      <x:c r="C143" s="2" t="n">
        <x:f>COUNTIFS('日経_V07'!$B$7:$B$56,B143)</x:f>
        <x:v>25</x:v>
      </x:c>
      <x:c r="D143" s="19" t="n">
        <x:f>SUMIFS('日経_V07'!$C$7:$C$56,'日経_V07'!$B$7:$B$56,B143)</x:f>
        <x:v>4918000</x:v>
      </x:c>
      <x:c r="E143" s="19" t="n">
        <x:f>SUMIFS('日経_V07'!$D$7:$D$56,'日経_V07'!$B$7:$B$56,B143)</x:f>
        <x:v>2631000</x:v>
      </x:c>
      <x:c r="F143" s="19" t="n">
        <x:f>D143-E143</x:f>
        <x:v>2287000</x:v>
      </x:c>
      <x:c r="G143" s="24" t="n">
        <x:f>IF(E143=0,"損失なし",D143/E143)</x:f>
        <x:v>1.8692512352717598</x:v>
      </x:c>
      <x:c r="H143" s="2" t="n">
        <x:f>COUNTIFS('日経_V07'!$B$7:$B$56,B143,'日経_V07'!$E$7:$E$56,"&lt;0")</x:f>
        <x:v>8</x:v>
      </x:c>
      <x:c r="I143" s="19" t="n">
        <x:f>IF(H143=0,0,-SUMIFS('日経_V07'!$E$7:$E$56,'日経_V07'!$B$7:$B$56,B143,'日経_V07'!$E$7:$E$56,"&lt;0")/H143)</x:f>
        <x:v>61875</x:v>
      </x:c>
      <x:c r="J143" s="19" t="n">
        <x:v>105000</x:v>
      </x:c>
      <x:c r="K143" s="2" t="n">
        <x:f>SUMIFS('日経_V07'!$G$7:$G$56,'日経_V07'!$B$7:$B$56,B143)</x:f>
        <x:v>216</x:v>
      </x:c>
    </x:row>
    <x:row r="144" ht="23" customHeight="1">
      <x:c r="A144" s="2" t="str">
        <x:v>V07</x:v>
      </x:c>
      <x:c r="B144" s="2" t="str">
        <x:v>ナイト</x:v>
      </x:c>
      <x:c r="C144" s="2" t="n">
        <x:f>COUNTIFS('日経_V07'!$B$7:$B$56,B144)</x:f>
        <x:v>25</x:v>
      </x:c>
      <x:c r="D144" s="19" t="n">
        <x:f>SUMIFS('日経_V07'!$C$7:$C$56,'日経_V07'!$B$7:$B$56,B144)</x:f>
        <x:v>2385000</x:v>
      </x:c>
      <x:c r="E144" s="19" t="n">
        <x:f>SUMIFS('日経_V07'!$D$7:$D$56,'日経_V07'!$B$7:$B$56,B144)</x:f>
        <x:v>1064000</x:v>
      </x:c>
      <x:c r="F144" s="19" t="n">
        <x:f>D144-E144</x:f>
        <x:v>1321000</x:v>
      </x:c>
      <x:c r="G144" s="24" t="n">
        <x:f>IF(E144=0,"損失なし",D144/E144)</x:f>
        <x:v>2.2415413533834587</x:v>
      </x:c>
      <x:c r="H144" s="2" t="n">
        <x:f>COUNTIFS('日経_V07'!$B$7:$B$56,B144,'日経_V07'!$E$7:$E$56,"&lt;0")</x:f>
        <x:v>10</x:v>
      </x:c>
      <x:c r="I144" s="19" t="n">
        <x:f>IF(H144=0,0,-SUMIFS('日経_V07'!$E$7:$E$56,'日経_V07'!$B$7:$B$56,B144,'日経_V07'!$E$7:$E$56,"&lt;0")/H144)</x:f>
        <x:v>32100</x:v>
      </x:c>
      <x:c r="J144" s="19" t="n">
        <x:v>53000</x:v>
      </x:c>
      <x:c r="K144" s="2" t="n">
        <x:f>SUMIFS('日経_V07'!$G$7:$G$56,'日経_V07'!$B$7:$B$56,B144)</x:f>
        <x:v>147</x:v>
      </x:c>
    </x:row>
    <x:row r="145" ht="23" customHeight="1">
      <x:c r="A145" s="2" t="str">
        <x:v>V07</x:v>
      </x:c>
      <x:c r="B145" s="2" t="str">
        <x:v>上昇</x:v>
      </x:c>
      <x:c r="C145" s="2" t="n">
        <x:f>COUNTIFS('日経_V07'!$I$7:$I$56,B145)</x:f>
        <x:v>24</x:v>
      </x:c>
      <x:c r="D145" s="19" t="n">
        <x:f>SUMIFS('日経_V07'!$C$7:$C$56,'日経_V07'!$I$7:$I$56,B145)</x:f>
        <x:v>3536000</x:v>
      </x:c>
      <x:c r="E145" s="19" t="n">
        <x:f>SUMIFS('日経_V07'!$D$7:$D$56,'日経_V07'!$I$7:$I$56,B145)</x:f>
        <x:v>1765000</x:v>
      </x:c>
      <x:c r="F145" s="19" t="n">
        <x:f>D145-E145</x:f>
        <x:v>1771000</x:v>
      </x:c>
      <x:c r="G145" s="24" t="n">
        <x:f>IF(E145=0,"損失なし",D145/E145)</x:f>
        <x:v>2.003399433427762</x:v>
      </x:c>
      <x:c r="H145" s="2" t="n">
        <x:f>COUNTIFS('日経_V07'!$I$7:$I$56,B145,'日経_V07'!$E$7:$E$56,"&lt;0")</x:f>
        <x:v>9</x:v>
      </x:c>
      <x:c r="I145" s="19" t="n">
        <x:f>IF(H145=0,0,-SUMIFS('日経_V07'!$E$7:$E$56,'日経_V07'!$I$7:$I$56,B145,'日経_V07'!$E$7:$E$56,"&lt;0")/H145)</x:f>
        <x:v>43111.11111111111</x:v>
      </x:c>
      <x:c r="J145" s="19" t="n">
        <x:v>81000</x:v>
      </x:c>
      <x:c r="K145" s="2" t="n">
        <x:f>SUMIFS('日経_V07'!$G$7:$G$56,'日経_V07'!$I$7:$I$56,B145)</x:f>
        <x:v>194</x:v>
      </x:c>
    </x:row>
    <x:row r="146" ht="23" customHeight="1">
      <x:c r="A146" s="2" t="str">
        <x:v>V07</x:v>
      </x:c>
      <x:c r="B146" s="2" t="str">
        <x:v>下落</x:v>
      </x:c>
      <x:c r="C146" s="2" t="n">
        <x:f>COUNTIFS('日経_V07'!$I$7:$I$56,B146)</x:f>
        <x:v>26</x:v>
      </x:c>
      <x:c r="D146" s="19" t="n">
        <x:f>SUMIFS('日経_V07'!$C$7:$C$56,'日経_V07'!$I$7:$I$56,B146)</x:f>
        <x:v>3767000</x:v>
      </x:c>
      <x:c r="E146" s="19" t="n">
        <x:f>SUMIFS('日経_V07'!$D$7:$D$56,'日経_V07'!$I$7:$I$56,B146)</x:f>
        <x:v>1930000</x:v>
      </x:c>
      <x:c r="F146" s="19" t="n">
        <x:f>D146-E146</x:f>
        <x:v>1837000</x:v>
      </x:c>
      <x:c r="G146" s="24" t="n">
        <x:f>IF(E146=0,"損失なし",D146/E146)</x:f>
        <x:v>1.9518134715025908</x:v>
      </x:c>
      <x:c r="H146" s="2" t="n">
        <x:f>COUNTIFS('日経_V07'!$I$7:$I$56,B146,'日経_V07'!$E$7:$E$56,"&lt;0")</x:f>
        <x:v>9</x:v>
      </x:c>
      <x:c r="I146" s="19" t="n">
        <x:f>IF(H146=0,0,-SUMIFS('日経_V07'!$E$7:$E$56,'日経_V07'!$I$7:$I$56,B146,'日経_V07'!$E$7:$E$56,"&lt;0")/H146)</x:f>
        <x:v>47555.555555555555</x:v>
      </x:c>
      <x:c r="J146" s="19" t="n">
        <x:v>105000</x:v>
      </x:c>
      <x:c r="K146" s="2" t="n">
        <x:f>SUMIFS('日経_V07'!$G$7:$G$56,'日経_V07'!$I$7:$I$56,B146)</x:f>
        <x:v>169</x:v>
      </x:c>
    </x:row>
    <x:row r="147" ht="23" customHeight="1">
      <x:c r="A147" s="2" t="str">
        <x:v>V08</x:v>
      </x:c>
      <x:c r="B147" s="2" t="str">
        <x:v>デイ</x:v>
      </x:c>
      <x:c r="C147" s="2" t="n">
        <x:f>COUNTIFS('日経_V08'!$B$7:$B$56,B147)</x:f>
        <x:v>25</x:v>
      </x:c>
      <x:c r="D147" s="19" t="n">
        <x:f>SUMIFS('日経_V08'!$C$7:$C$56,'日経_V08'!$B$7:$B$56,B147)</x:f>
        <x:v>4877000</x:v>
      </x:c>
      <x:c r="E147" s="19" t="n">
        <x:f>SUMIFS('日経_V08'!$D$7:$D$56,'日経_V08'!$B$7:$B$56,B147)</x:f>
        <x:v>2677000</x:v>
      </x:c>
      <x:c r="F147" s="19" t="n">
        <x:f>D147-E147</x:f>
        <x:v>2200000</x:v>
      </x:c>
      <x:c r="G147" s="24" t="n">
        <x:f>IF(E147=0,"損失なし",D147/E147)</x:f>
        <x:v>1.8218154650728426</x:v>
      </x:c>
      <x:c r="H147" s="2" t="n">
        <x:f>COUNTIFS('日経_V08'!$B$7:$B$56,B147,'日経_V08'!$E$7:$E$56,"&lt;0")</x:f>
        <x:v>8</x:v>
      </x:c>
      <x:c r="I147" s="19" t="n">
        <x:f>IF(H147=0,0,-SUMIFS('日経_V08'!$E$7:$E$56,'日経_V08'!$B$7:$B$56,B147,'日経_V08'!$E$7:$E$56,"&lt;0")/H147)</x:f>
        <x:v>61875</x:v>
      </x:c>
      <x:c r="J147" s="19" t="n">
        <x:v>105000</x:v>
      </x:c>
      <x:c r="K147" s="2" t="n">
        <x:f>SUMIFS('日経_V08'!$G$7:$G$56,'日経_V08'!$B$7:$B$56,B147)</x:f>
        <x:v>214</x:v>
      </x:c>
    </x:row>
    <x:row r="148" ht="23" customHeight="1">
      <x:c r="A148" s="2" t="str">
        <x:v>V08</x:v>
      </x:c>
      <x:c r="B148" s="2" t="str">
        <x:v>ナイト</x:v>
      </x:c>
      <x:c r="C148" s="2" t="n">
        <x:f>COUNTIFS('日経_V08'!$B$7:$B$56,B148)</x:f>
        <x:v>25</x:v>
      </x:c>
      <x:c r="D148" s="19" t="n">
        <x:f>SUMIFS('日経_V08'!$C$7:$C$56,'日経_V08'!$B$7:$B$56,B148)</x:f>
        <x:v>2385000</x:v>
      </x:c>
      <x:c r="E148" s="19" t="n">
        <x:f>SUMIFS('日経_V08'!$D$7:$D$56,'日経_V08'!$B$7:$B$56,B148)</x:f>
        <x:v>1064000</x:v>
      </x:c>
      <x:c r="F148" s="19" t="n">
        <x:f>D148-E148</x:f>
        <x:v>1321000</x:v>
      </x:c>
      <x:c r="G148" s="24" t="n">
        <x:f>IF(E148=0,"損失なし",D148/E148)</x:f>
        <x:v>2.2415413533834587</x:v>
      </x:c>
      <x:c r="H148" s="2" t="n">
        <x:f>COUNTIFS('日経_V08'!$B$7:$B$56,B148,'日経_V08'!$E$7:$E$56,"&lt;0")</x:f>
        <x:v>10</x:v>
      </x:c>
      <x:c r="I148" s="19" t="n">
        <x:f>IF(H148=0,0,-SUMIFS('日経_V08'!$E$7:$E$56,'日経_V08'!$B$7:$B$56,B148,'日経_V08'!$E$7:$E$56,"&lt;0")/H148)</x:f>
        <x:v>32100</x:v>
      </x:c>
      <x:c r="J148" s="19" t="n">
        <x:v>53000</x:v>
      </x:c>
      <x:c r="K148" s="2" t="n">
        <x:f>SUMIFS('日経_V08'!$G$7:$G$56,'日経_V08'!$B$7:$B$56,B148)</x:f>
        <x:v>147</x:v>
      </x:c>
    </x:row>
    <x:row r="149" ht="23" customHeight="1">
      <x:c r="A149" s="2" t="str">
        <x:v>V08</x:v>
      </x:c>
      <x:c r="B149" s="2" t="str">
        <x:v>上昇</x:v>
      </x:c>
      <x:c r="C149" s="2" t="n">
        <x:f>COUNTIFS('日経_V08'!$I$7:$I$56,B149)</x:f>
        <x:v>24</x:v>
      </x:c>
      <x:c r="D149" s="19" t="n">
        <x:f>SUMIFS('日経_V08'!$C$7:$C$56,'日経_V08'!$I$7:$I$56,B149)</x:f>
        <x:v>3511000</x:v>
      </x:c>
      <x:c r="E149" s="19" t="n">
        <x:f>SUMIFS('日経_V08'!$D$7:$D$56,'日経_V08'!$I$7:$I$56,B149)</x:f>
        <x:v>1791000</x:v>
      </x:c>
      <x:c r="F149" s="19" t="n">
        <x:f>D149-E149</x:f>
        <x:v>1720000</x:v>
      </x:c>
      <x:c r="G149" s="24" t="n">
        <x:f>IF(E149=0,"損失なし",D149/E149)</x:f>
        <x:v>1.96035734226689</x:v>
      </x:c>
      <x:c r="H149" s="2" t="n">
        <x:f>COUNTIFS('日経_V08'!$I$7:$I$56,B149,'日経_V08'!$E$7:$E$56,"&lt;0")</x:f>
        <x:v>9</x:v>
      </x:c>
      <x:c r="I149" s="19" t="n">
        <x:f>IF(H149=0,0,-SUMIFS('日経_V08'!$E$7:$E$56,'日経_V08'!$I$7:$I$56,B149,'日経_V08'!$E$7:$E$56,"&lt;0")/H149)</x:f>
        <x:v>43111.11111111111</x:v>
      </x:c>
      <x:c r="J149" s="19" t="n">
        <x:v>81000</x:v>
      </x:c>
      <x:c r="K149" s="2" t="n">
        <x:f>SUMIFS('日経_V08'!$G$7:$G$56,'日経_V08'!$I$7:$I$56,B149)</x:f>
        <x:v>193</x:v>
      </x:c>
    </x:row>
    <x:row r="150" ht="23" customHeight="1">
      <x:c r="A150" s="2" t="str">
        <x:v>V08</x:v>
      </x:c>
      <x:c r="B150" s="2" t="str">
        <x:v>下落</x:v>
      </x:c>
      <x:c r="C150" s="2" t="n">
        <x:f>COUNTIFS('日経_V08'!$I$7:$I$56,B150)</x:f>
        <x:v>26</x:v>
      </x:c>
      <x:c r="D150" s="19" t="n">
        <x:f>SUMIFS('日経_V08'!$C$7:$C$56,'日経_V08'!$I$7:$I$56,B150)</x:f>
        <x:v>3751000</x:v>
      </x:c>
      <x:c r="E150" s="19" t="n">
        <x:f>SUMIFS('日経_V08'!$D$7:$D$56,'日経_V08'!$I$7:$I$56,B150)</x:f>
        <x:v>1950000</x:v>
      </x:c>
      <x:c r="F150" s="19" t="n">
        <x:f>D150-E150</x:f>
        <x:v>1801000</x:v>
      </x:c>
      <x:c r="G150" s="24" t="n">
        <x:f>IF(E150=0,"損失なし",D150/E150)</x:f>
        <x:v>1.9235897435897436</x:v>
      </x:c>
      <x:c r="H150" s="2" t="n">
        <x:f>COUNTIFS('日経_V08'!$I$7:$I$56,B150,'日経_V08'!$E$7:$E$56,"&lt;0")</x:f>
        <x:v>9</x:v>
      </x:c>
      <x:c r="I150" s="19" t="n">
        <x:f>IF(H150=0,0,-SUMIFS('日経_V08'!$E$7:$E$56,'日経_V08'!$I$7:$I$56,B150,'日経_V08'!$E$7:$E$56,"&lt;0")/H150)</x:f>
        <x:v>47555.555555555555</x:v>
      </x:c>
      <x:c r="J150" s="19" t="n">
        <x:v>105000</x:v>
      </x:c>
      <x:c r="K150" s="2" t="n">
        <x:f>SUMIFS('日経_V08'!$G$7:$G$56,'日経_V08'!$I$7:$I$56,B150)</x:f>
        <x:v>168</x:v>
      </x:c>
    </x:row>
    <x:row r="151" ht="23" customHeight="1">
      <x:c r="A151" s="2" t="str">
        <x:v>V09</x:v>
      </x:c>
      <x:c r="B151" s="2" t="str">
        <x:v>デイ</x:v>
      </x:c>
      <x:c r="C151" s="2" t="n">
        <x:f>COUNTIFS('日経_V09'!$B$7:$B$56,B151)</x:f>
        <x:v>25</x:v>
      </x:c>
      <x:c r="D151" s="19" t="n">
        <x:f>SUMIFS('日経_V09'!$C$7:$C$56,'日経_V09'!$B$7:$B$56,B151)</x:f>
        <x:v>4799000</x:v>
      </x:c>
      <x:c r="E151" s="19" t="n">
        <x:f>SUMIFS('日経_V09'!$D$7:$D$56,'日経_V09'!$B$7:$B$56,B151)</x:f>
        <x:v>2667000</x:v>
      </x:c>
      <x:c r="F151" s="19" t="n">
        <x:f>D151-E151</x:f>
        <x:v>2132000</x:v>
      </x:c>
      <x:c r="G151" s="24" t="n">
        <x:f>IF(E151=0,"損失なし",D151/E151)</x:f>
        <x:v>1.7994000749906263</x:v>
      </x:c>
      <x:c r="H151" s="2" t="n">
        <x:f>COUNTIFS('日経_V09'!$B$7:$B$56,B151,'日経_V09'!$E$7:$E$56,"&lt;0")</x:f>
        <x:v>8</x:v>
      </x:c>
      <x:c r="I151" s="19" t="n">
        <x:f>IF(H151=0,0,-SUMIFS('日経_V09'!$E$7:$E$56,'日経_V09'!$B$7:$B$56,B151,'日経_V09'!$E$7:$E$56,"&lt;0")/H151)</x:f>
        <x:v>60125</x:v>
      </x:c>
      <x:c r="J151" s="19" t="n">
        <x:v>105000</x:v>
      </x:c>
      <x:c r="K151" s="2" t="n">
        <x:f>SUMIFS('日経_V09'!$G$7:$G$56,'日経_V09'!$B$7:$B$56,B151)</x:f>
        <x:v>212</x:v>
      </x:c>
    </x:row>
    <x:row r="152" ht="23" customHeight="1">
      <x:c r="A152" s="2" t="str">
        <x:v>V09</x:v>
      </x:c>
      <x:c r="B152" s="2" t="str">
        <x:v>ナイト</x:v>
      </x:c>
      <x:c r="C152" s="2" t="n">
        <x:f>COUNTIFS('日経_V09'!$B$7:$B$56,B152)</x:f>
        <x:v>25</x:v>
      </x:c>
      <x:c r="D152" s="19" t="n">
        <x:f>SUMIFS('日経_V09'!$C$7:$C$56,'日経_V09'!$B$7:$B$56,B152)</x:f>
        <x:v>2442000</x:v>
      </x:c>
      <x:c r="E152" s="19" t="n">
        <x:f>SUMIFS('日経_V09'!$D$7:$D$56,'日経_V09'!$B$7:$B$56,B152)</x:f>
        <x:v>1028000</x:v>
      </x:c>
      <x:c r="F152" s="19" t="n">
        <x:f>D152-E152</x:f>
        <x:v>1414000</x:v>
      </x:c>
      <x:c r="G152" s="24" t="n">
        <x:f>IF(E152=0,"損失なし",D152/E152)</x:f>
        <x:v>2.375486381322957</x:v>
      </x:c>
      <x:c r="H152" s="2" t="n">
        <x:f>COUNTIFS('日経_V09'!$B$7:$B$56,B152,'日経_V09'!$E$7:$E$56,"&lt;0")</x:f>
        <x:v>10</x:v>
      </x:c>
      <x:c r="I152" s="19" t="n">
        <x:f>IF(H152=0,0,-SUMIFS('日経_V09'!$E$7:$E$56,'日経_V09'!$B$7:$B$56,B152,'日経_V09'!$E$7:$E$56,"&lt;0")/H152)</x:f>
        <x:v>32100</x:v>
      </x:c>
      <x:c r="J152" s="19" t="n">
        <x:v>53000</x:v>
      </x:c>
      <x:c r="K152" s="2" t="n">
        <x:f>SUMIFS('日経_V09'!$G$7:$G$56,'日経_V09'!$B$7:$B$56,B152)</x:f>
        <x:v>148</x:v>
      </x:c>
    </x:row>
    <x:row r="153" ht="23" customHeight="1">
      <x:c r="A153" s="2" t="str">
        <x:v>V09</x:v>
      </x:c>
      <x:c r="B153" s="2" t="str">
        <x:v>上昇</x:v>
      </x:c>
      <x:c r="C153" s="2" t="n">
        <x:f>COUNTIFS('日経_V09'!$I$7:$I$56,B153)</x:f>
        <x:v>24</x:v>
      </x:c>
      <x:c r="D153" s="19" t="n">
        <x:f>SUMIFS('日経_V09'!$C$7:$C$56,'日経_V09'!$I$7:$I$56,B153)</x:f>
        <x:v>3582000</x:v>
      </x:c>
      <x:c r="E153" s="19" t="n">
        <x:f>SUMIFS('日経_V09'!$D$7:$D$56,'日経_V09'!$I$7:$I$56,B153)</x:f>
        <x:v>1731000</x:v>
      </x:c>
      <x:c r="F153" s="19" t="n">
        <x:f>D153-E153</x:f>
        <x:v>1851000</x:v>
      </x:c>
      <x:c r="G153" s="24" t="n">
        <x:f>IF(E153=0,"損失なし",D153/E153)</x:f>
        <x:v>2.069324090121317</x:v>
      </x:c>
      <x:c r="H153" s="2" t="n">
        <x:f>COUNTIFS('日経_V09'!$I$7:$I$56,B153,'日経_V09'!$E$7:$E$56,"&lt;0")</x:f>
        <x:v>9</x:v>
      </x:c>
      <x:c r="I153" s="19" t="n">
        <x:f>IF(H153=0,0,-SUMIFS('日経_V09'!$E$7:$E$56,'日経_V09'!$I$7:$I$56,B153,'日経_V09'!$E$7:$E$56,"&lt;0")/H153)</x:f>
        <x:v>43111.11111111111</x:v>
      </x:c>
      <x:c r="J153" s="19" t="n">
        <x:v>81000</x:v>
      </x:c>
      <x:c r="K153" s="2" t="n">
        <x:f>SUMIFS('日経_V09'!$G$7:$G$56,'日経_V09'!$I$7:$I$56,B153)</x:f>
        <x:v>191</x:v>
      </x:c>
    </x:row>
    <x:row r="154" ht="23" customHeight="1">
      <x:c r="A154" s="2" t="str">
        <x:v>V09</x:v>
      </x:c>
      <x:c r="B154" s="2" t="str">
        <x:v>下落</x:v>
      </x:c>
      <x:c r="C154" s="2" t="n">
        <x:f>COUNTIFS('日経_V09'!$I$7:$I$56,B154)</x:f>
        <x:v>26</x:v>
      </x:c>
      <x:c r="D154" s="19" t="n">
        <x:f>SUMIFS('日経_V09'!$C$7:$C$56,'日経_V09'!$I$7:$I$56,B154)</x:f>
        <x:v>3659000</x:v>
      </x:c>
      <x:c r="E154" s="19" t="n">
        <x:f>SUMIFS('日経_V09'!$D$7:$D$56,'日経_V09'!$I$7:$I$56,B154)</x:f>
        <x:v>1964000</x:v>
      </x:c>
      <x:c r="F154" s="19" t="n">
        <x:f>D154-E154</x:f>
        <x:v>1695000</x:v>
      </x:c>
      <x:c r="G154" s="24" t="n">
        <x:f>IF(E154=0,"損失なし",D154/E154)</x:f>
        <x:v>1.8630346232179227</x:v>
      </x:c>
      <x:c r="H154" s="2" t="n">
        <x:f>COUNTIFS('日経_V09'!$I$7:$I$56,B154,'日経_V09'!$E$7:$E$56,"&lt;0")</x:f>
        <x:v>9</x:v>
      </x:c>
      <x:c r="I154" s="19" t="n">
        <x:f>IF(H154=0,0,-SUMIFS('日経_V09'!$E$7:$E$56,'日経_V09'!$I$7:$I$56,B154,'日経_V09'!$E$7:$E$56,"&lt;0")/H154)</x:f>
        <x:v>46000</x:v>
      </x:c>
      <x:c r="J154" s="19" t="n">
        <x:v>105000</x:v>
      </x:c>
      <x:c r="K154" s="2" t="n">
        <x:f>SUMIFS('日経_V09'!$G$7:$G$56,'日経_V09'!$I$7:$I$56,B154)</x:f>
        <x:v>169</x:v>
      </x:c>
    </x:row>
    <x:row r="155" ht="23" customHeight="1">
      <x:c r="A155" s="2" t="str">
        <x:v>V10</x:v>
      </x:c>
      <x:c r="B155" s="2" t="str">
        <x:v>デイ</x:v>
      </x:c>
      <x:c r="C155" s="2" t="n">
        <x:f>COUNTIFS('日経_V10'!$B$7:$B$56,B155)</x:f>
        <x:v>25</x:v>
      </x:c>
      <x:c r="D155" s="19" t="n">
        <x:f>SUMIFS('日経_V10'!$C$7:$C$56,'日経_V10'!$B$7:$B$56,B155)</x:f>
        <x:v>5513000</x:v>
      </x:c>
      <x:c r="E155" s="19" t="n">
        <x:f>SUMIFS('日経_V10'!$D$7:$D$56,'日経_V10'!$B$7:$B$56,B155)</x:f>
        <x:v>3805000</x:v>
      </x:c>
      <x:c r="F155" s="19" t="n">
        <x:f>D155-E155</x:f>
        <x:v>1708000</x:v>
      </x:c>
      <x:c r="G155" s="24" t="n">
        <x:f>IF(E155=0,"損失なし",D155/E155)</x:f>
        <x:v>1.4488830486202364</x:v>
      </x:c>
      <x:c r="H155" s="2" t="n">
        <x:f>COUNTIFS('日経_V10'!$B$7:$B$56,B155,'日経_V10'!$E$7:$E$56,"&lt;0")</x:f>
        <x:v>9</x:v>
      </x:c>
      <x:c r="I155" s="19" t="n">
        <x:f>IF(H155=0,0,-SUMIFS('日経_V10'!$E$7:$E$56,'日経_V10'!$B$7:$B$56,B155,'日経_V10'!$E$7:$E$56,"&lt;0")/H155)</x:f>
        <x:v>73333.33333333333</x:v>
      </x:c>
      <x:c r="J155" s="19" t="n">
        <x:v>169000</x:v>
      </x:c>
      <x:c r="K155" s="2" t="n">
        <x:f>SUMIFS('日経_V10'!$G$7:$G$56,'日経_V10'!$B$7:$B$56,B155)</x:f>
        <x:v>316</x:v>
      </x:c>
    </x:row>
    <x:row r="156" ht="23" customHeight="1">
      <x:c r="A156" s="2" t="str">
        <x:v>V10</x:v>
      </x:c>
      <x:c r="B156" s="2" t="str">
        <x:v>ナイト</x:v>
      </x:c>
      <x:c r="C156" s="2" t="n">
        <x:f>COUNTIFS('日経_V10'!$B$7:$B$56,B156)</x:f>
        <x:v>25</x:v>
      </x:c>
      <x:c r="D156" s="19" t="n">
        <x:f>SUMIFS('日経_V10'!$C$7:$C$56,'日経_V10'!$B$7:$B$56,B156)</x:f>
        <x:v>2851000</x:v>
      </x:c>
      <x:c r="E156" s="19" t="n">
        <x:f>SUMIFS('日経_V10'!$D$7:$D$56,'日経_V10'!$B$7:$B$56,B156)</x:f>
        <x:v>1250000</x:v>
      </x:c>
      <x:c r="F156" s="19" t="n">
        <x:f>D156-E156</x:f>
        <x:v>1601000</x:v>
      </x:c>
      <x:c r="G156" s="24" t="n">
        <x:f>IF(E156=0,"損失なし",D156/E156)</x:f>
        <x:v>2.2808</x:v>
      </x:c>
      <x:c r="H156" s="2" t="n">
        <x:f>COUNTIFS('日経_V10'!$B$7:$B$56,B156,'日経_V10'!$E$7:$E$56,"&lt;0")</x:f>
        <x:v>10</x:v>
      </x:c>
      <x:c r="I156" s="19" t="n">
        <x:f>IF(H156=0,0,-SUMIFS('日経_V10'!$E$7:$E$56,'日経_V10'!$B$7:$B$56,B156,'日経_V10'!$E$7:$E$56,"&lt;0")/H156)</x:f>
        <x:v>26900</x:v>
      </x:c>
      <x:c r="J156" s="19" t="n">
        <x:v>53000</x:v>
      </x:c>
      <x:c r="K156" s="2" t="n">
        <x:f>SUMIFS('日経_V10'!$G$7:$G$56,'日経_V10'!$B$7:$B$56,B156)</x:f>
        <x:v>184</x:v>
      </x:c>
    </x:row>
    <x:row r="157" ht="23" customHeight="1">
      <x:c r="A157" s="2" t="str">
        <x:v>V10</x:v>
      </x:c>
      <x:c r="B157" s="2" t="str">
        <x:v>上昇</x:v>
      </x:c>
      <x:c r="C157" s="2" t="n">
        <x:f>COUNTIFS('日経_V10'!$I$7:$I$56,B157)</x:f>
        <x:v>24</x:v>
      </x:c>
      <x:c r="D157" s="19" t="n">
        <x:f>SUMIFS('日経_V10'!$C$7:$C$56,'日経_V10'!$I$7:$I$56,B157)</x:f>
        <x:v>4015000</x:v>
      </x:c>
      <x:c r="E157" s="19" t="n">
        <x:f>SUMIFS('日経_V10'!$D$7:$D$56,'日経_V10'!$I$7:$I$56,B157)</x:f>
        <x:v>2298000</x:v>
      </x:c>
      <x:c r="F157" s="19" t="n">
        <x:f>D157-E157</x:f>
        <x:v>1717000</x:v>
      </x:c>
      <x:c r="G157" s="24" t="n">
        <x:f>IF(E157=0,"損失なし",D157/E157)</x:f>
        <x:v>1.747171453437772</x:v>
      </x:c>
      <x:c r="H157" s="2" t="n">
        <x:f>COUNTIFS('日経_V10'!$I$7:$I$56,B157,'日経_V10'!$E$7:$E$56,"&lt;0")</x:f>
        <x:v>7</x:v>
      </x:c>
      <x:c r="I157" s="19" t="n">
        <x:f>IF(H157=0,0,-SUMIFS('日経_V10'!$E$7:$E$56,'日経_V10'!$I$7:$I$56,B157,'日経_V10'!$E$7:$E$56,"&lt;0")/H157)</x:f>
        <x:v>59142.857142857145</x:v>
      </x:c>
      <x:c r="J157" s="19" t="n">
        <x:v>142000</x:v>
      </x:c>
      <x:c r="K157" s="2" t="n">
        <x:f>SUMIFS('日経_V10'!$G$7:$G$56,'日経_V10'!$I$7:$I$56,B157)</x:f>
        <x:v>255</x:v>
      </x:c>
    </x:row>
    <x:row r="158" ht="23" customHeight="1">
      <x:c r="A158" s="2" t="str">
        <x:v>V10</x:v>
      </x:c>
      <x:c r="B158" s="2" t="str">
        <x:v>下落</x:v>
      </x:c>
      <x:c r="C158" s="2" t="n">
        <x:f>COUNTIFS('日経_V10'!$I$7:$I$56,B158)</x:f>
        <x:v>26</x:v>
      </x:c>
      <x:c r="D158" s="19" t="n">
        <x:f>SUMIFS('日経_V10'!$C$7:$C$56,'日経_V10'!$I$7:$I$56,B158)</x:f>
        <x:v>4349000</x:v>
      </x:c>
      <x:c r="E158" s="19" t="n">
        <x:f>SUMIFS('日経_V10'!$D$7:$D$56,'日経_V10'!$I$7:$I$56,B158)</x:f>
        <x:v>2757000</x:v>
      </x:c>
      <x:c r="F158" s="19" t="n">
        <x:f>D158-E158</x:f>
        <x:v>1592000</x:v>
      </x:c>
      <x:c r="G158" s="24" t="n">
        <x:f>IF(E158=0,"損失なし",D158/E158)</x:f>
        <x:v>1.5774392455567645</x:v>
      </x:c>
      <x:c r="H158" s="2" t="n">
        <x:f>COUNTIFS('日経_V10'!$I$7:$I$56,B158,'日経_V10'!$E$7:$E$56,"&lt;0")</x:f>
        <x:v>12</x:v>
      </x:c>
      <x:c r="I158" s="19" t="n">
        <x:f>IF(H158=0,0,-SUMIFS('日経_V10'!$E$7:$E$56,'日経_V10'!$I$7:$I$56,B158,'日経_V10'!$E$7:$E$56,"&lt;0")/H158)</x:f>
        <x:v>42916.666666666664</x:v>
      </x:c>
      <x:c r="J158" s="19" t="n">
        <x:v>169000</x:v>
      </x:c>
      <x:c r="K158" s="2" t="n">
        <x:f>SUMIFS('日経_V10'!$G$7:$G$56,'日経_V10'!$I$7:$I$56,B158)</x:f>
        <x:v>245</x:v>
      </x:c>
    </x:row>
    <x:row r="159" ht="23" customHeight="1">
      <x:c r="A159" s="2" t="str">
        <x:v>V11</x:v>
      </x:c>
      <x:c r="B159" s="2" t="str">
        <x:v>デイ</x:v>
      </x:c>
      <x:c r="C159" s="2" t="n">
        <x:f>COUNTIFS('日経_V11'!$B$7:$B$56,B159)</x:f>
        <x:v>25</x:v>
      </x:c>
      <x:c r="D159" s="19" t="n">
        <x:f>SUMIFS('日経_V11'!$C$7:$C$56,'日経_V11'!$B$7:$B$56,B159)</x:f>
        <x:v>5656000</x:v>
      </x:c>
      <x:c r="E159" s="19" t="n">
        <x:f>SUMIFS('日経_V11'!$D$7:$D$56,'日経_V11'!$B$7:$B$56,B159)</x:f>
        <x:v>2906000</x:v>
      </x:c>
      <x:c r="F159" s="19" t="n">
        <x:f>D159-E159</x:f>
        <x:v>2750000</x:v>
      </x:c>
      <x:c r="G159" s="24" t="n">
        <x:f>IF(E159=0,"損失なし",D159/E159)</x:f>
        <x:v>1.9463179628355127</x:v>
      </x:c>
      <x:c r="H159" s="2" t="n">
        <x:f>COUNTIFS('日経_V11'!$B$7:$B$56,B159,'日経_V11'!$E$7:$E$56,"&lt;0")</x:f>
        <x:v>10</x:v>
      </x:c>
      <x:c r="I159" s="19" t="n">
        <x:f>IF(H159=0,0,-SUMIFS('日経_V11'!$E$7:$E$56,'日経_V11'!$B$7:$B$56,B159,'日経_V11'!$E$7:$E$56,"&lt;0")/H159)</x:f>
        <x:v>59400</x:v>
      </x:c>
      <x:c r="J159" s="19" t="n">
        <x:v>115000</x:v>
      </x:c>
      <x:c r="K159" s="2" t="n">
        <x:f>SUMIFS('日経_V11'!$G$7:$G$56,'日経_V11'!$B$7:$B$56,B159)</x:f>
        <x:v>248</x:v>
      </x:c>
    </x:row>
    <x:row r="160" ht="23" customHeight="1">
      <x:c r="A160" s="2" t="str">
        <x:v>V11</x:v>
      </x:c>
      <x:c r="B160" s="2" t="str">
        <x:v>ナイト</x:v>
      </x:c>
      <x:c r="C160" s="2" t="n">
        <x:f>COUNTIFS('日経_V11'!$B$7:$B$56,B160)</x:f>
        <x:v>25</x:v>
      </x:c>
      <x:c r="D160" s="19" t="n">
        <x:f>SUMIFS('日経_V11'!$C$7:$C$56,'日経_V11'!$B$7:$B$56,B160)</x:f>
        <x:v>2490000</x:v>
      </x:c>
      <x:c r="E160" s="19" t="n">
        <x:f>SUMIFS('日経_V11'!$D$7:$D$56,'日経_V11'!$B$7:$B$56,B160)</x:f>
        <x:v>1107000</x:v>
      </x:c>
      <x:c r="F160" s="19" t="n">
        <x:f>D160-E160</x:f>
        <x:v>1383000</x:v>
      </x:c>
      <x:c r="G160" s="24" t="n">
        <x:f>IF(E160=0,"損失なし",D160/E160)</x:f>
        <x:v>2.2493224932249323</x:v>
      </x:c>
      <x:c r="H160" s="2" t="n">
        <x:f>COUNTIFS('日経_V11'!$B$7:$B$56,B160,'日経_V11'!$E$7:$E$56,"&lt;0")</x:f>
        <x:v>10</x:v>
      </x:c>
      <x:c r="I160" s="19" t="n">
        <x:f>IF(H160=0,0,-SUMIFS('日経_V11'!$E$7:$E$56,'日経_V11'!$B$7:$B$56,B160,'日経_V11'!$E$7:$E$56,"&lt;0")/H160)</x:f>
        <x:v>29000</x:v>
      </x:c>
      <x:c r="J160" s="19" t="n">
        <x:v>53000</x:v>
      </x:c>
      <x:c r="K160" s="2" t="n">
        <x:f>SUMIFS('日経_V11'!$G$7:$G$56,'日経_V11'!$B$7:$B$56,B160)</x:f>
        <x:v>150</x:v>
      </x:c>
    </x:row>
    <x:row r="161" ht="23" customHeight="1">
      <x:c r="A161" s="2" t="str">
        <x:v>V11</x:v>
      </x:c>
      <x:c r="B161" s="2" t="str">
        <x:v>上昇</x:v>
      </x:c>
      <x:c r="C161" s="2" t="n">
        <x:f>COUNTIFS('日経_V11'!$I$7:$I$56,B161)</x:f>
        <x:v>24</x:v>
      </x:c>
      <x:c r="D161" s="19" t="n">
        <x:f>SUMIFS('日経_V11'!$C$7:$C$56,'日経_V11'!$I$7:$I$56,B161)</x:f>
        <x:v>3731000</x:v>
      </x:c>
      <x:c r="E161" s="19" t="n">
        <x:f>SUMIFS('日経_V11'!$D$7:$D$56,'日経_V11'!$I$7:$I$56,B161)</x:f>
        <x:v>1874000</x:v>
      </x:c>
      <x:c r="F161" s="19" t="n">
        <x:f>D161-E161</x:f>
        <x:v>1857000</x:v>
      </x:c>
      <x:c r="G161" s="24" t="n">
        <x:f>IF(E161=0,"損失なし",D161/E161)</x:f>
        <x:v>1.9909284951974386</x:v>
      </x:c>
      <x:c r="H161" s="2" t="n">
        <x:f>COUNTIFS('日経_V11'!$I$7:$I$56,B161,'日経_V11'!$E$7:$E$56,"&lt;0")</x:f>
        <x:v>9</x:v>
      </x:c>
      <x:c r="I161" s="19" t="n">
        <x:f>IF(H161=0,0,-SUMIFS('日経_V11'!$E$7:$E$56,'日経_V11'!$I$7:$I$56,B161,'日経_V11'!$E$7:$E$56,"&lt;0")/H161)</x:f>
        <x:v>49222.22222222222</x:v>
      </x:c>
      <x:c r="J161" s="19" t="n">
        <x:v>115000</x:v>
      </x:c>
      <x:c r="K161" s="2" t="n">
        <x:f>SUMIFS('日経_V11'!$G$7:$G$56,'日経_V11'!$I$7:$I$56,B161)</x:f>
        <x:v>201</x:v>
      </x:c>
    </x:row>
    <x:row r="162" ht="23" customHeight="1">
      <x:c r="A162" s="2" t="str">
        <x:v>V11</x:v>
      </x:c>
      <x:c r="B162" s="2" t="str">
        <x:v>下落</x:v>
      </x:c>
      <x:c r="C162" s="2" t="n">
        <x:f>COUNTIFS('日経_V11'!$I$7:$I$56,B162)</x:f>
        <x:v>26</x:v>
      </x:c>
      <x:c r="D162" s="19" t="n">
        <x:f>SUMIFS('日経_V11'!$C$7:$C$56,'日経_V11'!$I$7:$I$56,B162)</x:f>
        <x:v>4415000</x:v>
      </x:c>
      <x:c r="E162" s="19" t="n">
        <x:f>SUMIFS('日経_V11'!$D$7:$D$56,'日経_V11'!$I$7:$I$56,B162)</x:f>
        <x:v>2139000</x:v>
      </x:c>
      <x:c r="F162" s="19" t="n">
        <x:f>D162-E162</x:f>
        <x:v>2276000</x:v>
      </x:c>
      <x:c r="G162" s="24" t="n">
        <x:f>IF(E162=0,"損失なし",D162/E162)</x:f>
        <x:v>2.064048620850865</x:v>
      </x:c>
      <x:c r="H162" s="2" t="n">
        <x:f>COUNTIFS('日経_V11'!$I$7:$I$56,B162,'日経_V11'!$E$7:$E$56,"&lt;0")</x:f>
        <x:v>11</x:v>
      </x:c>
      <x:c r="I162" s="19" t="n">
        <x:f>IF(H162=0,0,-SUMIFS('日経_V11'!$E$7:$E$56,'日経_V11'!$I$7:$I$56,B162,'日経_V11'!$E$7:$E$56,"&lt;0")/H162)</x:f>
        <x:v>40090.90909090909</x:v>
      </x:c>
      <x:c r="J162" s="19" t="n">
        <x:v>105000</x:v>
      </x:c>
      <x:c r="K162" s="2" t="n">
        <x:f>SUMIFS('日経_V11'!$G$7:$G$56,'日経_V11'!$I$7:$I$56,B162)</x:f>
        <x:v>197</x:v>
      </x:c>
    </x:row>
    <x:row r="163" ht="23" customHeight="1">
      <x:c r="A163" s="2" t="str">
        <x:v>V12</x:v>
      </x:c>
      <x:c r="B163" s="2" t="str">
        <x:v>デイ</x:v>
      </x:c>
      <x:c r="C163" s="2" t="n">
        <x:f>COUNTIFS('日経_V12'!$B$7:$B$56,B163)</x:f>
        <x:v>25</x:v>
      </x:c>
      <x:c r="D163" s="19" t="n">
        <x:f>SUMIFS('日経_V12'!$C$7:$C$56,'日経_V12'!$B$7:$B$56,B163)</x:f>
        <x:v>4777000</x:v>
      </x:c>
      <x:c r="E163" s="19" t="n">
        <x:f>SUMIFS('日経_V12'!$D$7:$D$56,'日経_V12'!$B$7:$B$56,B163)</x:f>
        <x:v>2457000</x:v>
      </x:c>
      <x:c r="F163" s="19" t="n">
        <x:f>D163-E163</x:f>
        <x:v>2320000</x:v>
      </x:c>
      <x:c r="G163" s="24" t="n">
        <x:f>IF(E163=0,"損失なし",D163/E163)</x:f>
        <x:v>1.9442409442409443</x:v>
      </x:c>
      <x:c r="H163" s="2" t="n">
        <x:f>COUNTIFS('日経_V12'!$B$7:$B$56,B163,'日経_V12'!$E$7:$E$56,"&lt;0")</x:f>
        <x:v>8</x:v>
      </x:c>
      <x:c r="I163" s="19" t="n">
        <x:f>IF(H163=0,0,-SUMIFS('日経_V12'!$E$7:$E$56,'日経_V12'!$B$7:$B$56,B163,'日経_V12'!$E$7:$E$56,"&lt;0")/H163)</x:f>
        <x:v>48000</x:v>
      </x:c>
      <x:c r="J163" s="19" t="n">
        <x:v>105000</x:v>
      </x:c>
      <x:c r="K163" s="2" t="n">
        <x:f>SUMIFS('日経_V12'!$G$7:$G$56,'日経_V12'!$B$7:$B$56,B163)</x:f>
        <x:v>211</x:v>
      </x:c>
    </x:row>
    <x:row r="164" ht="23" customHeight="1">
      <x:c r="A164" s="2" t="str">
        <x:v>V12</x:v>
      </x:c>
      <x:c r="B164" s="2" t="str">
        <x:v>ナイト</x:v>
      </x:c>
      <x:c r="C164" s="2" t="n">
        <x:f>COUNTIFS('日経_V12'!$B$7:$B$56,B164)</x:f>
        <x:v>25</x:v>
      </x:c>
      <x:c r="D164" s="19" t="n">
        <x:f>SUMIFS('日経_V12'!$C$7:$C$56,'日経_V12'!$B$7:$B$56,B164)</x:f>
        <x:v>2147000</x:v>
      </x:c>
      <x:c r="E164" s="19" t="n">
        <x:f>SUMIFS('日経_V12'!$D$7:$D$56,'日経_V12'!$B$7:$B$56,B164)</x:f>
        <x:v>885000</x:v>
      </x:c>
      <x:c r="F164" s="19" t="n">
        <x:f>D164-E164</x:f>
        <x:v>1262000</x:v>
      </x:c>
      <x:c r="G164" s="24" t="n">
        <x:f>IF(E164=0,"損失なし",D164/E164)</x:f>
        <x:v>2.4259887005649716</x:v>
      </x:c>
      <x:c r="H164" s="2" t="n">
        <x:f>COUNTIFS('日経_V12'!$B$7:$B$56,B164,'日経_V12'!$E$7:$E$56,"&lt;0")</x:f>
        <x:v>10</x:v>
      </x:c>
      <x:c r="I164" s="19" t="n">
        <x:f>IF(H164=0,0,-SUMIFS('日経_V12'!$E$7:$E$56,'日経_V12'!$B$7:$B$56,B164,'日経_V12'!$E$7:$E$56,"&lt;0")/H164)</x:f>
        <x:v>32100</x:v>
      </x:c>
      <x:c r="J164" s="19" t="n">
        <x:v>53000</x:v>
      </x:c>
      <x:c r="K164" s="2" t="n">
        <x:f>SUMIFS('日経_V12'!$G$7:$G$56,'日経_V12'!$B$7:$B$56,B164)</x:f>
        <x:v>135</x:v>
      </x:c>
    </x:row>
    <x:row r="165" ht="23" customHeight="1">
      <x:c r="A165" s="2" t="str">
        <x:v>V12</x:v>
      </x:c>
      <x:c r="B165" s="2" t="str">
        <x:v>上昇</x:v>
      </x:c>
      <x:c r="C165" s="2" t="n">
        <x:f>COUNTIFS('日経_V12'!$I$7:$I$56,B165)</x:f>
        <x:v>24</x:v>
      </x:c>
      <x:c r="D165" s="19" t="n">
        <x:f>SUMIFS('日経_V12'!$C$7:$C$56,'日経_V12'!$I$7:$I$56,B165)</x:f>
        <x:v>3376000</x:v>
      </x:c>
      <x:c r="E165" s="19" t="n">
        <x:f>SUMIFS('日経_V12'!$D$7:$D$56,'日経_V12'!$I$7:$I$56,B165)</x:f>
        <x:v>1558000</x:v>
      </x:c>
      <x:c r="F165" s="19" t="n">
        <x:f>D165-E165</x:f>
        <x:v>1818000</x:v>
      </x:c>
      <x:c r="G165" s="24" t="n">
        <x:f>IF(E165=0,"損失なし",D165/E165)</x:f>
        <x:v>2.166880616174583</x:v>
      </x:c>
      <x:c r="H165" s="2" t="n">
        <x:f>COUNTIFS('日経_V12'!$I$7:$I$56,B165,'日経_V12'!$E$7:$E$56,"&lt;0")</x:f>
        <x:v>9</x:v>
      </x:c>
      <x:c r="I165" s="19" t="n">
        <x:f>IF(H165=0,0,-SUMIFS('日経_V12'!$E$7:$E$56,'日経_V12'!$I$7:$I$56,B165,'日経_V12'!$E$7:$E$56,"&lt;0")/H165)</x:f>
        <x:v>34888.88888888889</x:v>
      </x:c>
      <x:c r="J165" s="19" t="n">
        <x:v>63000</x:v>
      </x:c>
      <x:c r="K165" s="2" t="n">
        <x:f>SUMIFS('日経_V12'!$G$7:$G$56,'日経_V12'!$I$7:$I$56,B165)</x:f>
        <x:v>185</x:v>
      </x:c>
    </x:row>
    <x:row r="166" ht="23" customHeight="1">
      <x:c r="A166" s="2" t="str">
        <x:v>V12</x:v>
      </x:c>
      <x:c r="B166" s="2" t="str">
        <x:v>下落</x:v>
      </x:c>
      <x:c r="C166" s="2" t="n">
        <x:f>COUNTIFS('日経_V12'!$I$7:$I$56,B166)</x:f>
        <x:v>26</x:v>
      </x:c>
      <x:c r="D166" s="19" t="n">
        <x:f>SUMIFS('日経_V12'!$C$7:$C$56,'日経_V12'!$I$7:$I$56,B166)</x:f>
        <x:v>3548000</x:v>
      </x:c>
      <x:c r="E166" s="19" t="n">
        <x:f>SUMIFS('日経_V12'!$D$7:$D$56,'日経_V12'!$I$7:$I$56,B166)</x:f>
        <x:v>1784000</x:v>
      </x:c>
      <x:c r="F166" s="19" t="n">
        <x:f>D166-E166</x:f>
        <x:v>1764000</x:v>
      </x:c>
      <x:c r="G166" s="24" t="n">
        <x:f>IF(E166=0,"損失なし",D166/E166)</x:f>
        <x:v>1.9887892376681615</x:v>
      </x:c>
      <x:c r="H166" s="2" t="n">
        <x:f>COUNTIFS('日経_V12'!$I$7:$I$56,B166,'日経_V12'!$E$7:$E$56,"&lt;0")</x:f>
        <x:v>9</x:v>
      </x:c>
      <x:c r="I166" s="19" t="n">
        <x:f>IF(H166=0,0,-SUMIFS('日経_V12'!$E$7:$E$56,'日経_V12'!$I$7:$I$56,B166,'日経_V12'!$E$7:$E$56,"&lt;0")/H166)</x:f>
        <x:v>43444.444444444445</x:v>
      </x:c>
      <x:c r="J166" s="19" t="n">
        <x:v>105000</x:v>
      </x:c>
      <x:c r="K166" s="2" t="n">
        <x:f>SUMIFS('日経_V12'!$G$7:$G$56,'日経_V12'!$I$7:$I$56,B166)</x:f>
        <x:v>161</x:v>
      </x:c>
    </x:row>
    <x:row r="167" ht="23" customHeight="1">
      <x:c r="A167" s="2" t="str">
        <x:v>V13</x:v>
      </x:c>
      <x:c r="B167" s="2" t="str">
        <x:v>デイ</x:v>
      </x:c>
      <x:c r="C167" s="2" t="n">
        <x:f>COUNTIFS('日経_V13'!$B$7:$B$56,B167)</x:f>
        <x:v>25</x:v>
      </x:c>
      <x:c r="D167" s="19" t="n">
        <x:f>SUMIFS('日経_V13'!$C$7:$C$56,'日経_V13'!$B$7:$B$56,B167)</x:f>
        <x:v>4930000</x:v>
      </x:c>
      <x:c r="E167" s="19" t="n">
        <x:f>SUMIFS('日経_V13'!$D$7:$D$56,'日経_V13'!$B$7:$B$56,B167)</x:f>
        <x:v>2433000</x:v>
      </x:c>
      <x:c r="F167" s="19" t="n">
        <x:f>D167-E167</x:f>
        <x:v>2497000</x:v>
      </x:c>
      <x:c r="G167" s="24" t="n">
        <x:f>IF(E167=0,"損失なし",D167/E167)</x:f>
        <x:v>2.0263049732840117</x:v>
      </x:c>
      <x:c r="H167" s="2" t="n">
        <x:f>COUNTIFS('日経_V13'!$B$7:$B$56,B167,'日経_V13'!$E$7:$E$56,"&lt;0")</x:f>
        <x:v>8</x:v>
      </x:c>
      <x:c r="I167" s="19" t="n">
        <x:f>IF(H167=0,0,-SUMIFS('日経_V13'!$E$7:$E$56,'日経_V13'!$B$7:$B$56,B167,'日経_V13'!$E$7:$E$56,"&lt;0")/H167)</x:f>
        <x:v>55750</x:v>
      </x:c>
      <x:c r="J167" s="19" t="n">
        <x:v>105000</x:v>
      </x:c>
      <x:c r="K167" s="2" t="n">
        <x:f>SUMIFS('日経_V13'!$G$7:$G$56,'日経_V13'!$B$7:$B$56,B167)</x:f>
        <x:v>201</x:v>
      </x:c>
    </x:row>
    <x:row r="168" ht="23" customHeight="1">
      <x:c r="A168" s="2" t="str">
        <x:v>V13</x:v>
      </x:c>
      <x:c r="B168" s="2" t="str">
        <x:v>ナイト</x:v>
      </x:c>
      <x:c r="C168" s="2" t="n">
        <x:f>COUNTIFS('日経_V13'!$B$7:$B$56,B168)</x:f>
        <x:v>25</x:v>
      </x:c>
      <x:c r="D168" s="19" t="n">
        <x:f>SUMIFS('日経_V13'!$C$7:$C$56,'日経_V13'!$B$7:$B$56,B168)</x:f>
        <x:v>2198000</x:v>
      </x:c>
      <x:c r="E168" s="19" t="n">
        <x:f>SUMIFS('日経_V13'!$D$7:$D$56,'日経_V13'!$B$7:$B$56,B168)</x:f>
        <x:v>895000</x:v>
      </x:c>
      <x:c r="F168" s="19" t="n">
        <x:f>D168-E168</x:f>
        <x:v>1303000</x:v>
      </x:c>
      <x:c r="G168" s="24" t="n">
        <x:f>IF(E168=0,"損失なし",D168/E168)</x:f>
        <x:v>2.4558659217877095</x:v>
      </x:c>
      <x:c r="H168" s="2" t="n">
        <x:f>COUNTIFS('日経_V13'!$B$7:$B$56,B168,'日経_V13'!$E$7:$E$56,"&lt;0")</x:f>
        <x:v>10</x:v>
      </x:c>
      <x:c r="I168" s="19" t="n">
        <x:f>IF(H168=0,0,-SUMIFS('日経_V13'!$E$7:$E$56,'日経_V13'!$B$7:$B$56,B168,'日経_V13'!$E$7:$E$56,"&lt;0")/H168)</x:f>
        <x:v>32100</x:v>
      </x:c>
      <x:c r="J168" s="19" t="n">
        <x:v>53000</x:v>
      </x:c>
      <x:c r="K168" s="2" t="n">
        <x:f>SUMIFS('日経_V13'!$G$7:$G$56,'日経_V13'!$B$7:$B$56,B168)</x:f>
        <x:v>134</x:v>
      </x:c>
    </x:row>
    <x:row r="169" ht="23" customHeight="1">
      <x:c r="A169" s="2" t="str">
        <x:v>V13</x:v>
      </x:c>
      <x:c r="B169" s="2" t="str">
        <x:v>上昇</x:v>
      </x:c>
      <x:c r="C169" s="2" t="n">
        <x:f>COUNTIFS('日経_V13'!$I$7:$I$56,B169)</x:f>
        <x:v>24</x:v>
      </x:c>
      <x:c r="D169" s="19" t="n">
        <x:f>SUMIFS('日経_V13'!$C$7:$C$56,'日経_V13'!$I$7:$I$56,B169)</x:f>
        <x:v>3520000</x:v>
      </x:c>
      <x:c r="E169" s="19" t="n">
        <x:f>SUMIFS('日経_V13'!$D$7:$D$56,'日経_V13'!$I$7:$I$56,B169)</x:f>
        <x:v>1534000</x:v>
      </x:c>
      <x:c r="F169" s="19" t="n">
        <x:f>D169-E169</x:f>
        <x:v>1986000</x:v>
      </x:c>
      <x:c r="G169" s="24" t="n">
        <x:f>IF(E169=0,"損失なし",D169/E169)</x:f>
        <x:v>2.2946544980443284</x:v>
      </x:c>
      <x:c r="H169" s="2" t="n">
        <x:f>COUNTIFS('日経_V13'!$I$7:$I$56,B169,'日経_V13'!$E$7:$E$56,"&lt;0")</x:f>
        <x:v>9</x:v>
      </x:c>
      <x:c r="I169" s="19" t="n">
        <x:f>IF(H169=0,0,-SUMIFS('日経_V13'!$E$7:$E$56,'日経_V13'!$I$7:$I$56,B169,'日経_V13'!$E$7:$E$56,"&lt;0")/H169)</x:f>
        <x:v>42111.11111111111</x:v>
      </x:c>
      <x:c r="J169" s="19" t="n">
        <x:v>81000</x:v>
      </x:c>
      <x:c r="K169" s="2" t="n">
        <x:f>SUMIFS('日経_V13'!$G$7:$G$56,'日経_V13'!$I$7:$I$56,B169)</x:f>
        <x:v>176</x:v>
      </x:c>
    </x:row>
    <x:row r="170" ht="23" customHeight="1">
      <x:c r="A170" s="2" t="str">
        <x:v>V13</x:v>
      </x:c>
      <x:c r="B170" s="2" t="str">
        <x:v>下落</x:v>
      </x:c>
      <x:c r="C170" s="2" t="n">
        <x:f>COUNTIFS('日経_V13'!$I$7:$I$56,B170)</x:f>
        <x:v>26</x:v>
      </x:c>
      <x:c r="D170" s="19" t="n">
        <x:f>SUMIFS('日経_V13'!$C$7:$C$56,'日経_V13'!$I$7:$I$56,B170)</x:f>
        <x:v>3608000</x:v>
      </x:c>
      <x:c r="E170" s="19" t="n">
        <x:f>SUMIFS('日経_V13'!$D$7:$D$56,'日経_V13'!$I$7:$I$56,B170)</x:f>
        <x:v>1794000</x:v>
      </x:c>
      <x:c r="F170" s="19" t="n">
        <x:f>D170-E170</x:f>
        <x:v>1814000</x:v>
      </x:c>
      <x:c r="G170" s="24" t="n">
        <x:f>IF(E170=0,"損失なし",D170/E170)</x:f>
        <x:v>2.011148272017837</x:v>
      </x:c>
      <x:c r="H170" s="2" t="n">
        <x:f>COUNTIFS('日経_V13'!$I$7:$I$56,B170,'日経_V13'!$E$7:$E$56,"&lt;0")</x:f>
        <x:v>9</x:v>
      </x:c>
      <x:c r="I170" s="19" t="n">
        <x:f>IF(H170=0,0,-SUMIFS('日経_V13'!$E$7:$E$56,'日経_V13'!$I$7:$I$56,B170,'日経_V13'!$E$7:$E$56,"&lt;0")/H170)</x:f>
        <x:v>43111.11111111111</x:v>
      </x:c>
      <x:c r="J170" s="19" t="n">
        <x:v>105000</x:v>
      </x:c>
      <x:c r="K170" s="2" t="n">
        <x:f>SUMIFS('日経_V13'!$G$7:$G$56,'日経_V13'!$I$7:$I$56,B170)</x:f>
        <x:v>159</x:v>
      </x:c>
    </x:row>
    <x:row r="171" ht="23" customHeight="1">
      <x:c r="A171" s="2" t="str">
        <x:v>V14</x:v>
      </x:c>
      <x:c r="B171" s="2" t="str">
        <x:v>デイ</x:v>
      </x:c>
      <x:c r="C171" s="2" t="n">
        <x:f>COUNTIFS('日経_V14'!$B$7:$B$56,B171)</x:f>
        <x:v>25</x:v>
      </x:c>
      <x:c r="D171" s="19" t="n">
        <x:f>SUMIFS('日経_V14'!$C$7:$C$56,'日経_V14'!$B$7:$B$56,B171)</x:f>
        <x:v>4772000</x:v>
      </x:c>
      <x:c r="E171" s="19" t="n">
        <x:f>SUMIFS('日経_V14'!$D$7:$D$56,'日経_V14'!$B$7:$B$56,B171)</x:f>
        <x:v>2282000</x:v>
      </x:c>
      <x:c r="F171" s="19" t="n">
        <x:f>D171-E171</x:f>
        <x:v>2490000</x:v>
      </x:c>
      <x:c r="G171" s="24" t="n">
        <x:f>IF(E171=0,"損失なし",D171/E171)</x:f>
        <x:v>2.091148115687993</x:v>
      </x:c>
      <x:c r="H171" s="2" t="n">
        <x:f>COUNTIFS('日経_V14'!$B$7:$B$56,B171,'日経_V14'!$E$7:$E$56,"&lt;0")</x:f>
        <x:v>8</x:v>
      </x:c>
      <x:c r="I171" s="19" t="n">
        <x:f>IF(H171=0,0,-SUMIFS('日経_V14'!$E$7:$E$56,'日経_V14'!$B$7:$B$56,B171,'日経_V14'!$E$7:$E$56,"&lt;0")/H171)</x:f>
        <x:v>47125</x:v>
      </x:c>
      <x:c r="J171" s="19" t="n">
        <x:v>105000</x:v>
      </x:c>
      <x:c r="K171" s="2" t="n">
        <x:f>SUMIFS('日経_V14'!$G$7:$G$56,'日経_V14'!$B$7:$B$56,B171)</x:f>
        <x:v>186</x:v>
      </x:c>
    </x:row>
    <x:row r="172" ht="23" customHeight="1">
      <x:c r="A172" s="2" t="str">
        <x:v>V14</x:v>
      </x:c>
      <x:c r="B172" s="2" t="str">
        <x:v>ナイト</x:v>
      </x:c>
      <x:c r="C172" s="2" t="n">
        <x:f>COUNTIFS('日経_V14'!$B$7:$B$56,B172)</x:f>
        <x:v>25</x:v>
      </x:c>
      <x:c r="D172" s="19" t="n">
        <x:f>SUMIFS('日経_V14'!$C$7:$C$56,'日経_V14'!$B$7:$B$56,B172)</x:f>
        <x:v>1966000</x:v>
      </x:c>
      <x:c r="E172" s="19" t="n">
        <x:f>SUMIFS('日経_V14'!$D$7:$D$56,'日経_V14'!$B$7:$B$56,B172)</x:f>
        <x:v>895000</x:v>
      </x:c>
      <x:c r="F172" s="19" t="n">
        <x:f>D172-E172</x:f>
        <x:v>1071000</x:v>
      </x:c>
      <x:c r="G172" s="24" t="n">
        <x:f>IF(E172=0,"損失なし",D172/E172)</x:f>
        <x:v>2.1966480446927372</x:v>
      </x:c>
      <x:c r="H172" s="2" t="n">
        <x:f>COUNTIFS('日経_V14'!$B$7:$B$56,B172,'日経_V14'!$E$7:$E$56,"&lt;0")</x:f>
        <x:v>10</x:v>
      </x:c>
      <x:c r="I172" s="19" t="n">
        <x:f>IF(H172=0,0,-SUMIFS('日経_V14'!$E$7:$E$56,'日経_V14'!$B$7:$B$56,B172,'日経_V14'!$E$7:$E$56,"&lt;0")/H172)</x:f>
        <x:v>32100</x:v>
      </x:c>
      <x:c r="J172" s="19" t="n">
        <x:v>53000</x:v>
      </x:c>
      <x:c r="K172" s="2" t="n">
        <x:f>SUMIFS('日経_V14'!$G$7:$G$56,'日経_V14'!$B$7:$B$56,B172)</x:f>
        <x:v>125</x:v>
      </x:c>
    </x:row>
    <x:row r="173" ht="23" customHeight="1">
      <x:c r="A173" s="2" t="str">
        <x:v>V14</x:v>
      </x:c>
      <x:c r="B173" s="2" t="str">
        <x:v>上昇</x:v>
      </x:c>
      <x:c r="C173" s="2" t="n">
        <x:f>COUNTIFS('日経_V14'!$I$7:$I$56,B173)</x:f>
        <x:v>24</x:v>
      </x:c>
      <x:c r="D173" s="19" t="n">
        <x:f>SUMIFS('日経_V14'!$C$7:$C$56,'日経_V14'!$I$7:$I$56,B173)</x:f>
        <x:v>3207000</x:v>
      </x:c>
      <x:c r="E173" s="19" t="n">
        <x:f>SUMIFS('日経_V14'!$D$7:$D$56,'日経_V14'!$I$7:$I$56,B173)</x:f>
        <x:v>1431000</x:v>
      </x:c>
      <x:c r="F173" s="19" t="n">
        <x:f>D173-E173</x:f>
        <x:v>1776000</x:v>
      </x:c>
      <x:c r="G173" s="24" t="n">
        <x:f>IF(E173=0,"損失なし",D173/E173)</x:f>
        <x:v>2.241090146750524</x:v>
      </x:c>
      <x:c r="H173" s="2" t="n">
        <x:f>COUNTIFS('日経_V14'!$I$7:$I$56,B173,'日経_V14'!$E$7:$E$56,"&lt;0")</x:f>
        <x:v>9</x:v>
      </x:c>
      <x:c r="I173" s="19" t="n">
        <x:f>IF(H173=0,0,-SUMIFS('日経_V14'!$E$7:$E$56,'日経_V14'!$I$7:$I$56,B173,'日経_V14'!$E$7:$E$56,"&lt;0")/H173)</x:f>
        <x:v>40333.333333333336</x:v>
      </x:c>
      <x:c r="J173" s="19" t="n">
        <x:v>92000</x:v>
      </x:c>
      <x:c r="K173" s="2" t="n">
        <x:f>SUMIFS('日経_V14'!$G$7:$G$56,'日経_V14'!$I$7:$I$56,B173)</x:f>
        <x:v>158</x:v>
      </x:c>
    </x:row>
    <x:row r="174" ht="23" customHeight="1">
      <x:c r="A174" s="2" t="str">
        <x:v>V14</x:v>
      </x:c>
      <x:c r="B174" s="2" t="str">
        <x:v>下落</x:v>
      </x:c>
      <x:c r="C174" s="2" t="n">
        <x:f>COUNTIFS('日経_V14'!$I$7:$I$56,B174)</x:f>
        <x:v>26</x:v>
      </x:c>
      <x:c r="D174" s="19" t="n">
        <x:f>SUMIFS('日経_V14'!$C$7:$C$56,'日経_V14'!$I$7:$I$56,B174)</x:f>
        <x:v>3531000</x:v>
      </x:c>
      <x:c r="E174" s="19" t="n">
        <x:f>SUMIFS('日経_V14'!$D$7:$D$56,'日経_V14'!$I$7:$I$56,B174)</x:f>
        <x:v>1746000</x:v>
      </x:c>
      <x:c r="F174" s="19" t="n">
        <x:f>D174-E174</x:f>
        <x:v>1785000</x:v>
      </x:c>
      <x:c r="G174" s="24" t="n">
        <x:f>IF(E174=0,"損失なし",D174/E174)</x:f>
        <x:v>2.02233676975945</x:v>
      </x:c>
      <x:c r="H174" s="2" t="n">
        <x:f>COUNTIFS('日経_V14'!$I$7:$I$56,B174,'日経_V14'!$E$7:$E$56,"&lt;0")</x:f>
        <x:v>9</x:v>
      </x:c>
      <x:c r="I174" s="19" t="n">
        <x:f>IF(H174=0,0,-SUMIFS('日経_V14'!$E$7:$E$56,'日経_V14'!$I$7:$I$56,B174,'日経_V14'!$E$7:$E$56,"&lt;0")/H174)</x:f>
        <x:v>37222.22222222222</x:v>
      </x:c>
      <x:c r="J174" s="19" t="n">
        <x:v>105000</x:v>
      </x:c>
      <x:c r="K174" s="2" t="n">
        <x:f>SUMIFS('日経_V14'!$G$7:$G$56,'日経_V14'!$I$7:$I$56,B174)</x:f>
        <x:v>153</x:v>
      </x:c>
    </x:row>
    <x:row r="175" ht="23" customHeight="1">
      <x:c r="A175" s="2" t="str">
        <x:v>V15</x:v>
      </x:c>
      <x:c r="B175" s="2" t="str">
        <x:v>デイ</x:v>
      </x:c>
      <x:c r="C175" s="2" t="n">
        <x:f>COUNTIFS('日経_V15'!$B$7:$B$56,B175)</x:f>
        <x:v>25</x:v>
      </x:c>
      <x:c r="D175" s="19" t="n">
        <x:f>SUMIFS('日経_V15'!$C$7:$C$56,'日経_V15'!$B$7:$B$56,B175)</x:f>
        <x:v>5539000</x:v>
      </x:c>
      <x:c r="E175" s="19" t="n">
        <x:f>SUMIFS('日経_V15'!$D$7:$D$56,'日経_V15'!$B$7:$B$56,B175)</x:f>
        <x:v>2906000</x:v>
      </x:c>
      <x:c r="F175" s="19" t="n">
        <x:f>D175-E175</x:f>
        <x:v>2633000</x:v>
      </x:c>
      <x:c r="G175" s="24" t="n">
        <x:f>IF(E175=0,"損失なし",D175/E175)</x:f>
        <x:v>1.9060564349621474</x:v>
      </x:c>
      <x:c r="H175" s="2" t="n">
        <x:f>COUNTIFS('日経_V15'!$B$7:$B$56,B175,'日経_V15'!$E$7:$E$56,"&lt;0")</x:f>
        <x:v>10</x:v>
      </x:c>
      <x:c r="I175" s="19" t="n">
        <x:f>IF(H175=0,0,-SUMIFS('日経_V15'!$E$7:$E$56,'日経_V15'!$B$7:$B$56,B175,'日経_V15'!$E$7:$E$56,"&lt;0")/H175)</x:f>
        <x:v>59400</x:v>
      </x:c>
      <x:c r="J175" s="19" t="n">
        <x:v>115000</x:v>
      </x:c>
      <x:c r="K175" s="2" t="n">
        <x:f>SUMIFS('日経_V15'!$G$7:$G$56,'日経_V15'!$B$7:$B$56,B175)</x:f>
        <x:v>247</x:v>
      </x:c>
    </x:row>
    <x:row r="176" ht="23" customHeight="1">
      <x:c r="A176" s="2" t="str">
        <x:v>V15</x:v>
      </x:c>
      <x:c r="B176" s="2" t="str">
        <x:v>ナイト</x:v>
      </x:c>
      <x:c r="C176" s="2" t="n">
        <x:f>COUNTIFS('日経_V15'!$B$7:$B$56,B176)</x:f>
        <x:v>25</x:v>
      </x:c>
      <x:c r="D176" s="19" t="n">
        <x:f>SUMIFS('日経_V15'!$C$7:$C$56,'日経_V15'!$B$7:$B$56,B176)</x:f>
        <x:v>2376000</x:v>
      </x:c>
      <x:c r="E176" s="19" t="n">
        <x:f>SUMIFS('日経_V15'!$D$7:$D$56,'日経_V15'!$B$7:$B$56,B176)</x:f>
        <x:v>1107000</x:v>
      </x:c>
      <x:c r="F176" s="19" t="n">
        <x:f>D176-E176</x:f>
        <x:v>1269000</x:v>
      </x:c>
      <x:c r="G176" s="24" t="n">
        <x:f>IF(E176=0,"損失なし",D176/E176)</x:f>
        <x:v>2.1463414634146343</x:v>
      </x:c>
      <x:c r="H176" s="2" t="n">
        <x:f>COUNTIFS('日経_V15'!$B$7:$B$56,B176,'日経_V15'!$E$7:$E$56,"&lt;0")</x:f>
        <x:v>10</x:v>
      </x:c>
      <x:c r="I176" s="19" t="n">
        <x:f>IF(H176=0,0,-SUMIFS('日経_V15'!$E$7:$E$56,'日経_V15'!$B$7:$B$56,B176,'日経_V15'!$E$7:$E$56,"&lt;0")/H176)</x:f>
        <x:v>29000</x:v>
      </x:c>
      <x:c r="J176" s="19" t="n">
        <x:v>53000</x:v>
      </x:c>
      <x:c r="K176" s="2" t="n">
        <x:f>SUMIFS('日経_V15'!$G$7:$G$56,'日経_V15'!$B$7:$B$56,B176)</x:f>
        <x:v>149</x:v>
      </x:c>
    </x:row>
    <x:row r="177" ht="23" customHeight="1">
      <x:c r="A177" s="2" t="str">
        <x:v>V15</x:v>
      </x:c>
      <x:c r="B177" s="2" t="str">
        <x:v>上昇</x:v>
      </x:c>
      <x:c r="C177" s="2" t="n">
        <x:f>COUNTIFS('日経_V15'!$I$7:$I$56,B177)</x:f>
        <x:v>24</x:v>
      </x:c>
      <x:c r="D177" s="19" t="n">
        <x:f>SUMIFS('日経_V15'!$C$7:$C$56,'日経_V15'!$I$7:$I$56,B177)</x:f>
        <x:v>3614000</x:v>
      </x:c>
      <x:c r="E177" s="19" t="n">
        <x:f>SUMIFS('日経_V15'!$D$7:$D$56,'日経_V15'!$I$7:$I$56,B177)</x:f>
        <x:v>1874000</x:v>
      </x:c>
      <x:c r="F177" s="19" t="n">
        <x:f>D177-E177</x:f>
        <x:v>1740000</x:v>
      </x:c>
      <x:c r="G177" s="24" t="n">
        <x:f>IF(E177=0,"損失なし",D177/E177)</x:f>
        <x:v>1.928495197438634</x:v>
      </x:c>
      <x:c r="H177" s="2" t="n">
        <x:f>COUNTIFS('日経_V15'!$I$7:$I$56,B177,'日経_V15'!$E$7:$E$56,"&lt;0")</x:f>
        <x:v>9</x:v>
      </x:c>
      <x:c r="I177" s="19" t="n">
        <x:f>IF(H177=0,0,-SUMIFS('日経_V15'!$E$7:$E$56,'日経_V15'!$I$7:$I$56,B177,'日経_V15'!$E$7:$E$56,"&lt;0")/H177)</x:f>
        <x:v>49222.22222222222</x:v>
      </x:c>
      <x:c r="J177" s="19" t="n">
        <x:v>115000</x:v>
      </x:c>
      <x:c r="K177" s="2" t="n">
        <x:f>SUMIFS('日経_V15'!$G$7:$G$56,'日経_V15'!$I$7:$I$56,B177)</x:f>
        <x:v>200</x:v>
      </x:c>
    </x:row>
    <x:row r="178" ht="23" customHeight="1">
      <x:c r="A178" s="2" t="str">
        <x:v>V15</x:v>
      </x:c>
      <x:c r="B178" s="2" t="str">
        <x:v>下落</x:v>
      </x:c>
      <x:c r="C178" s="2" t="n">
        <x:f>COUNTIFS('日経_V15'!$I$7:$I$56,B178)</x:f>
        <x:v>26</x:v>
      </x:c>
      <x:c r="D178" s="19" t="n">
        <x:f>SUMIFS('日経_V15'!$C$7:$C$56,'日経_V15'!$I$7:$I$56,B178)</x:f>
        <x:v>4301000</x:v>
      </x:c>
      <x:c r="E178" s="19" t="n">
        <x:f>SUMIFS('日経_V15'!$D$7:$D$56,'日経_V15'!$I$7:$I$56,B178)</x:f>
        <x:v>2139000</x:v>
      </x:c>
      <x:c r="F178" s="19" t="n">
        <x:f>D178-E178</x:f>
        <x:v>2162000</x:v>
      </x:c>
      <x:c r="G178" s="24" t="n">
        <x:f>IF(E178=0,"損失なし",D178/E178)</x:f>
        <x:v>2.010752688172043</x:v>
      </x:c>
      <x:c r="H178" s="2" t="n">
        <x:f>COUNTIFS('日経_V15'!$I$7:$I$56,B178,'日経_V15'!$E$7:$E$56,"&lt;0")</x:f>
        <x:v>11</x:v>
      </x:c>
      <x:c r="I178" s="19" t="n">
        <x:f>IF(H178=0,0,-SUMIFS('日経_V15'!$E$7:$E$56,'日経_V15'!$I$7:$I$56,B178,'日経_V15'!$E$7:$E$56,"&lt;0")/H178)</x:f>
        <x:v>40090.90909090909</x:v>
      </x:c>
      <x:c r="J178" s="19" t="n">
        <x:v>105000</x:v>
      </x:c>
      <x:c r="K178" s="2" t="n">
        <x:f>SUMIFS('日経_V15'!$G$7:$G$56,'日経_V15'!$I$7:$I$56,B178)</x:f>
        <x:v>196</x:v>
      </x:c>
    </x:row>
    <x:row r="179" ht="23" customHeight="1">
      <x:c r="A179" s="2" t="str">
        <x:v>V17</x:v>
      </x:c>
      <x:c r="B179" s="2" t="str">
        <x:v>デイ</x:v>
      </x:c>
      <x:c r="C179" s="2" t="n">
        <x:f>COUNTIFS('日経_V17'!$B$7:$B$56,B179)</x:f>
        <x:v>25</x:v>
      </x:c>
      <x:c r="D179" s="19" t="n">
        <x:f>SUMIFS('日経_V17'!$C$7:$C$56,'日経_V17'!$B$7:$B$56,B179)</x:f>
        <x:v>5926000</x:v>
      </x:c>
      <x:c r="E179" s="19" t="n">
        <x:f>SUMIFS('日経_V17'!$D$7:$D$56,'日経_V17'!$B$7:$B$56,B179)</x:f>
        <x:v>2879000</x:v>
      </x:c>
      <x:c r="F179" s="19" t="n">
        <x:f>D179-E179</x:f>
        <x:v>3047000</x:v>
      </x:c>
      <x:c r="G179" s="24" t="n">
        <x:f>IF(E179=0,"損失なし",D179/E179)</x:f>
        <x:v>2.0583535949982634</x:v>
      </x:c>
      <x:c r="H179" s="2" t="n">
        <x:f>COUNTIFS('日経_V17'!$B$7:$B$56,B179,'日経_V17'!$E$7:$E$56,"&lt;0")</x:f>
        <x:v>8</x:v>
      </x:c>
      <x:c r="I179" s="19" t="n">
        <x:f>IF(H179=0,0,-SUMIFS('日経_V17'!$E$7:$E$56,'日経_V17'!$B$7:$B$56,B179,'日経_V17'!$E$7:$E$56,"&lt;0")/H179)</x:f>
        <x:v>70125</x:v>
      </x:c>
      <x:c r="J179" s="19" t="n">
        <x:v>179000</x:v>
      </x:c>
      <x:c r="K179" s="2" t="n">
        <x:f>SUMIFS('日経_V17'!$G$7:$G$56,'日経_V17'!$B$7:$B$56,B179)</x:f>
        <x:v>281</x:v>
      </x:c>
    </x:row>
    <x:row r="180" ht="23" customHeight="1">
      <x:c r="A180" s="2" t="str">
        <x:v>V17</x:v>
      </x:c>
      <x:c r="B180" s="2" t="str">
        <x:v>ナイト</x:v>
      </x:c>
      <x:c r="C180" s="2" t="n">
        <x:f>COUNTIFS('日経_V17'!$B$7:$B$56,B180)</x:f>
        <x:v>25</x:v>
      </x:c>
      <x:c r="D180" s="19" t="n">
        <x:f>SUMIFS('日経_V17'!$C$7:$C$56,'日経_V17'!$B$7:$B$56,B180)</x:f>
        <x:v>2791000</x:v>
      </x:c>
      <x:c r="E180" s="19" t="n">
        <x:f>SUMIFS('日経_V17'!$D$7:$D$56,'日経_V17'!$B$7:$B$56,B180)</x:f>
        <x:v>1249000</x:v>
      </x:c>
      <x:c r="F180" s="19" t="n">
        <x:f>D180-E180</x:f>
        <x:v>1542000</x:v>
      </x:c>
      <x:c r="G180" s="24" t="n">
        <x:f>IF(E180=0,"損失なし",D180/E180)</x:f>
        <x:v>2.2345876701361087</x:v>
      </x:c>
      <x:c r="H180" s="2" t="n">
        <x:f>COUNTIFS('日経_V17'!$B$7:$B$56,B180,'日経_V17'!$E$7:$E$56,"&lt;0")</x:f>
        <x:v>9</x:v>
      </x:c>
      <x:c r="I180" s="19" t="n">
        <x:f>IF(H180=0,0,-SUMIFS('日経_V17'!$E$7:$E$56,'日経_V17'!$B$7:$B$56,B180,'日経_V17'!$E$7:$E$56,"&lt;0")/H180)</x:f>
        <x:v>33333.333333333336</x:v>
      </x:c>
      <x:c r="J180" s="19" t="n">
        <x:v>53000</x:v>
      </x:c>
      <x:c r="K180" s="2" t="n">
        <x:f>SUMIFS('日経_V17'!$G$7:$G$56,'日経_V17'!$B$7:$B$56,B180)</x:f>
        <x:v>178</x:v>
      </x:c>
    </x:row>
    <x:row r="181" ht="23" customHeight="1">
      <x:c r="A181" s="2" t="str">
        <x:v>V17</x:v>
      </x:c>
      <x:c r="B181" s="2" t="str">
        <x:v>上昇</x:v>
      </x:c>
      <x:c r="C181" s="2" t="n">
        <x:f>COUNTIFS('日経_V17'!$I$7:$I$56,B181)</x:f>
        <x:v>24</x:v>
      </x:c>
      <x:c r="D181" s="19" t="n">
        <x:f>SUMIFS('日経_V17'!$C$7:$C$56,'日経_V17'!$I$7:$I$56,B181)</x:f>
        <x:v>4147000</x:v>
      </x:c>
      <x:c r="E181" s="19" t="n">
        <x:f>SUMIFS('日経_V17'!$D$7:$D$56,'日経_V17'!$I$7:$I$56,B181)</x:f>
        <x:v>2053000</x:v>
      </x:c>
      <x:c r="F181" s="19" t="n">
        <x:f>D181-E181</x:f>
        <x:v>2094000</x:v>
      </x:c>
      <x:c r="G181" s="24" t="n">
        <x:f>IF(E181=0,"損失なし",D181/E181)</x:f>
        <x:v>2.019970774476376</x:v>
      </x:c>
      <x:c r="H181" s="2" t="n">
        <x:f>COUNTIFS('日経_V17'!$I$7:$I$56,B181,'日経_V17'!$E$7:$E$56,"&lt;0")</x:f>
        <x:v>8</x:v>
      </x:c>
      <x:c r="I181" s="19" t="n">
        <x:f>IF(H181=0,0,-SUMIFS('日経_V17'!$E$7:$E$56,'日経_V17'!$I$7:$I$56,B181,'日経_V17'!$E$7:$E$56,"&lt;0")/H181)</x:f>
        <x:v>66375</x:v>
      </x:c>
      <x:c r="J181" s="19" t="n">
        <x:v>179000</x:v>
      </x:c>
      <x:c r="K181" s="2" t="n">
        <x:f>SUMIFS('日経_V17'!$G$7:$G$56,'日経_V17'!$I$7:$I$56,B181)</x:f>
        <x:v>240</x:v>
      </x:c>
    </x:row>
    <x:row r="182" ht="23" customHeight="1">
      <x:c r="A182" s="2" t="str">
        <x:v>V17</x:v>
      </x:c>
      <x:c r="B182" s="2" t="str">
        <x:v>下落</x:v>
      </x:c>
      <x:c r="C182" s="2" t="n">
        <x:f>COUNTIFS('日経_V17'!$I$7:$I$56,B182)</x:f>
        <x:v>26</x:v>
      </x:c>
      <x:c r="D182" s="19" t="n">
        <x:f>SUMIFS('日経_V17'!$C$7:$C$56,'日経_V17'!$I$7:$I$56,B182)</x:f>
        <x:v>4570000</x:v>
      </x:c>
      <x:c r="E182" s="19" t="n">
        <x:f>SUMIFS('日経_V17'!$D$7:$D$56,'日経_V17'!$I$7:$I$56,B182)</x:f>
        <x:v>2075000</x:v>
      </x:c>
      <x:c r="F182" s="19" t="n">
        <x:f>D182-E182</x:f>
        <x:v>2495000</x:v>
      </x:c>
      <x:c r="G182" s="24" t="n">
        <x:f>IF(E182=0,"損失なし",D182/E182)</x:f>
        <x:v>2.202409638554217</x:v>
      </x:c>
      <x:c r="H182" s="2" t="n">
        <x:f>COUNTIFS('日経_V17'!$I$7:$I$56,B182,'日経_V17'!$E$7:$E$56,"&lt;0")</x:f>
        <x:v>9</x:v>
      </x:c>
      <x:c r="I182" s="19" t="n">
        <x:f>IF(H182=0,0,-SUMIFS('日経_V17'!$E$7:$E$56,'日経_V17'!$I$7:$I$56,B182,'日経_V17'!$E$7:$E$56,"&lt;0")/H182)</x:f>
        <x:v>36666.666666666664</x:v>
      </x:c>
      <x:c r="J182" s="19" t="n">
        <x:v>105000</x:v>
      </x:c>
      <x:c r="K182" s="2" t="n">
        <x:f>SUMIFS('日経_V17'!$G$7:$G$56,'日経_V17'!$I$7:$I$56,B182)</x:f>
        <x:v>219</x:v>
      </x:c>
    </x:row>
  </x:sheetData>
  <x:conditionalFormatting sqref="D7:F182">
    <x:cfRule type="cellIs" dxfId="46" priority="1" operator="lessThan">
      <x:formula>0</x:formula>
    </x:cfRule>
  </x:conditionalFormatting>
  <x:conditionalFormatting sqref="I7:J182">
    <x:cfRule type="cellIs" dxfId="47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ebb2abedee471e"/>
  </x:tableParts>
</x:worksheet>
</file>

<file path=xl/worksheets/sheet3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TG04Z　TG04基準・手数料0で再生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基本5枚・追加3枚・別入口2枚。元の売買条件を費用0で再生した比較基準。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-29000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-33000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107000</x:v>
      </x:c>
      <x:c r="D13" s="19" t="n">
        <x:v>60000</x:v>
      </x:c>
      <x:c r="E13" s="19" t="n">
        <x:f>C13-D13</x:f>
        <x:v>47000</x:v>
      </x:c>
      <x:c r="F13" s="19" t="n">
        <x:f>SUM($E$7:E13)</x:f>
        <x:v>-22000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-2000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157000</x:v>
      </x:c>
      <x:c r="D15" s="19" t="n">
        <x:v>46000</x:v>
      </x:c>
      <x:c r="E15" s="19" t="n">
        <x:f>C15-D15</x:f>
        <x:v>111000</x:v>
      </x:c>
      <x:c r="F15" s="19" t="n">
        <x:f>SUM($E$7:E15)</x:f>
        <x:v>109000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105000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331000</x:v>
      </x:c>
      <x:c r="D17" s="19" t="n">
        <x:v>151000</x:v>
      </x:c>
      <x:c r="E17" s="19" t="n">
        <x:f>C17-D17</x:f>
        <x:v>180000</x:v>
      </x:c>
      <x:c r="F17" s="19" t="n">
        <x:f>SUM($E$7:E17)</x:f>
        <x:v>285000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246000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129000</x:v>
      </x:c>
      <x:c r="D19" s="19" t="n">
        <x:v>127000</x:v>
      </x:c>
      <x:c r="E19" s="19" t="n">
        <x:f>C19-D19</x:f>
        <x:v>2000</x:v>
      </x:c>
      <x:c r="F19" s="19" t="n">
        <x:f>SUM($E$7:E19)</x:f>
        <x:v>248000</x:v>
      </x:c>
      <x:c r="G19" s="20" t="n">
        <x:v>8</x:v>
      </x:c>
      <x:c r="H19" s="20" t="n">
        <x:v>5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299000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374000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401000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472000</x:v>
      </x:c>
      <x:c r="D23" s="19" t="n">
        <x:v>84000</x:v>
      </x:c>
      <x:c r="E23" s="19" t="n">
        <x:f>C23-D23</x:f>
        <x:v>388000</x:v>
      </x:c>
      <x:c r="F23" s="19" t="n">
        <x:f>SUM($E$7:E23)</x:f>
        <x:v>789000</x:v>
      </x:c>
      <x:c r="G23" s="20" t="n">
        <x:v>5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146000</x:v>
      </x:c>
      <x:c r="D24" s="19" t="n">
        <x:v>85000</x:v>
      </x:c>
      <x:c r="E24" s="19" t="n">
        <x:f>C24-D24</x:f>
        <x:v>61000</x:v>
      </x:c>
      <x:c r="F24" s="19" t="n">
        <x:f>SUM($E$7:E24)</x:f>
        <x:v>850000</x:v>
      </x:c>
      <x:c r="G24" s="20" t="n">
        <x:v>12</x:v>
      </x:c>
      <x:c r="H24" s="20" t="n">
        <x:v>8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65000</x:v>
      </x:c>
      <x:c r="D25" s="19" t="n">
        <x:v>107000</x:v>
      </x:c>
      <x:c r="E25" s="19" t="n">
        <x:f>C25-D25</x:f>
        <x:v>-42000</x:v>
      </x:c>
      <x:c r="F25" s="19" t="n">
        <x:f>SUM($E$7:E25)</x:f>
        <x:v>808000</x:v>
      </x:c>
      <x:c r="G25" s="20" t="n">
        <x:v>9</x:v>
      </x:c>
      <x:c r="H25" s="20" t="n">
        <x:v>5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182000</x:v>
      </x:c>
      <x:c r="D26" s="19" t="n">
        <x:v>0</x:v>
      </x:c>
      <x:c r="E26" s="19" t="n">
        <x:f>C26-D26</x:f>
        <x:v>182000</x:v>
      </x:c>
      <x:c r="F26" s="19" t="n">
        <x:f>SUM($E$7:E26)</x:f>
        <x:v>990000</x:v>
      </x:c>
      <x:c r="G26" s="20" t="n">
        <x:v>11</x:v>
      </x:c>
      <x:c r="H26" s="20" t="n">
        <x:v>6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85000</x:v>
      </x:c>
      <x:c r="D27" s="19" t="n">
        <x:v>148000</x:v>
      </x:c>
      <x:c r="E27" s="19" t="n">
        <x:f>C27-D27</x:f>
        <x:v>-63000</x:v>
      </x:c>
      <x:c r="F27" s="19" t="n">
        <x:f>SUM($E$7:E27)</x:f>
        <x:v>927000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94000</x:v>
      </x:c>
      <x:c r="D28" s="19" t="n">
        <x:v>20000</x:v>
      </x:c>
      <x:c r="E28" s="19" t="n">
        <x:f>C28-D28</x:f>
        <x:v>74000</x:v>
      </x:c>
      <x:c r="F28" s="19" t="n">
        <x:f>SUM($E$7:E28)</x:f>
        <x:v>1001000</x:v>
      </x:c>
      <x:c r="G28" s="20" t="n">
        <x:v>5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267000</x:v>
      </x:c>
      <x:c r="D29" s="19" t="n">
        <x:v>138000</x:v>
      </x:c>
      <x:c r="E29" s="19" t="n">
        <x:f>C29-D29</x:f>
        <x:v>129000</x:v>
      </x:c>
      <x:c r="F29" s="19" t="n">
        <x:f>SUM($E$7:E29)</x:f>
        <x:v>1130000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1120000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96000</x:v>
      </x:c>
      <x:c r="D31" s="19" t="n">
        <x:v>42000</x:v>
      </x:c>
      <x:c r="E31" s="19" t="n">
        <x:f>C31-D31</x:f>
        <x:v>54000</x:v>
      </x:c>
      <x:c r="F31" s="19" t="n">
        <x:f>SUM($E$7:E31)</x:f>
        <x:v>1174000</x:v>
      </x:c>
      <x:c r="G31" s="20" t="n">
        <x:v>7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1131000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181000</x:v>
      </x:c>
      <x:c r="D33" s="19" t="n">
        <x:v>130000</x:v>
      </x:c>
      <x:c r="E33" s="19" t="n">
        <x:f>C33-D33</x:f>
        <x:v>51000</x:v>
      </x:c>
      <x:c r="F33" s="19" t="n">
        <x:f>SUM($E$7:E33)</x:f>
        <x:v>1182000</x:v>
      </x:c>
      <x:c r="G33" s="20" t="n">
        <x:v>10</x:v>
      </x:c>
      <x:c r="H33" s="20" t="n">
        <x:v>8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144000</x:v>
      </x:c>
      <x:c r="D34" s="19" t="n">
        <x:v>0</x:v>
      </x:c>
      <x:c r="E34" s="19" t="n">
        <x:f>C34-D34</x:f>
        <x:v>144000</x:v>
      </x:c>
      <x:c r="F34" s="19" t="n">
        <x:f>SUM($E$7:E34)</x:f>
        <x:v>1326000</x:v>
      </x:c>
      <x:c r="G34" s="20" t="n">
        <x:v>8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134000</x:v>
      </x:c>
      <x:c r="D35" s="19" t="n">
        <x:v>68000</x:v>
      </x:c>
      <x:c r="E35" s="19" t="n">
        <x:f>C35-D35</x:f>
        <x:v>66000</x:v>
      </x:c>
      <x:c r="F35" s="19" t="n">
        <x:f>SUM($E$7:E35)</x:f>
        <x:v>1392000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1406000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1386000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1493000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83000</x:v>
      </x:c>
      <x:c r="D39" s="19" t="n">
        <x:v>165000</x:v>
      </x:c>
      <x:c r="E39" s="19" t="n">
        <x:f>C39-D39</x:f>
        <x:v>-82000</x:v>
      </x:c>
      <x:c r="F39" s="19" t="n">
        <x:f>SUM($E$7:E39)</x:f>
        <x:v>1411000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1358000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1435000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1610000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502000</x:v>
      </x:c>
      <x:c r="D43" s="19" t="n">
        <x:v>66000</x:v>
      </x:c>
      <x:c r="E43" s="19" t="n">
        <x:f>C43-D43</x:f>
        <x:v>436000</x:v>
      </x:c>
      <x:c r="F43" s="19" t="n">
        <x:f>SUM($E$7:E43)</x:f>
        <x:v>2046000</x:v>
      </x:c>
      <x:c r="G43" s="20" t="n">
        <x:v>8</x:v>
      </x:c>
      <x:c r="H43" s="20" t="n">
        <x:v>5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2026000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87000</x:v>
      </x:c>
      <x:c r="D45" s="19" t="n">
        <x:v>168000</x:v>
      </x:c>
      <x:c r="E45" s="19" t="n">
        <x:f>C45-D45</x:f>
        <x:v>-81000</x:v>
      </x:c>
      <x:c r="F45" s="19" t="n">
        <x:f>SUM($E$7:E45)</x:f>
        <x:v>1945000</x:v>
      </x:c>
      <x:c r="G45" s="20" t="n">
        <x:v>15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160000</x:v>
      </x:c>
      <x:c r="D46" s="19" t="n">
        <x:v>142000</x:v>
      </x:c>
      <x:c r="E46" s="19" t="n">
        <x:f>C46-D46</x:f>
        <x:v>18000</x:v>
      </x:c>
      <x:c r="F46" s="19" t="n">
        <x:f>SUM($E$7:E46)</x:f>
        <x:v>1963000</x:v>
      </x:c>
      <x:c r="G46" s="20" t="n">
        <x:v>14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420000</x:v>
      </x:c>
      <x:c r="D47" s="19" t="n">
        <x:v>16000</x:v>
      </x:c>
      <x:c r="E47" s="19" t="n">
        <x:f>C47-D47</x:f>
        <x:v>404000</x:v>
      </x:c>
      <x:c r="F47" s="19" t="n">
        <x:f>SUM($E$7:E47)</x:f>
        <x:v>2367000</x:v>
      </x:c>
      <x:c r="G47" s="20" t="n">
        <x:v>12</x:v>
      </x:c>
      <x:c r="H47" s="20" t="n">
        <x:v>7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95000</x:v>
      </x:c>
      <x:c r="D48" s="19" t="n">
        <x:v>34000</x:v>
      </x:c>
      <x:c r="E48" s="19" t="n">
        <x:f>C48-D48</x:f>
        <x:v>61000</x:v>
      </x:c>
      <x:c r="F48" s="19" t="n">
        <x:f>SUM($E$7:E48)</x:f>
        <x:v>2428000</x:v>
      </x:c>
      <x:c r="G48" s="20" t="n">
        <x:v>9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165000</x:v>
      </x:c>
      <x:c r="D49" s="19" t="n">
        <x:v>214000</x:v>
      </x:c>
      <x:c r="E49" s="19" t="n">
        <x:f>C49-D49</x:f>
        <x:v>-49000</x:v>
      </x:c>
      <x:c r="F49" s="19" t="n">
        <x:f>SUM($E$7:E49)</x:f>
        <x:v>2379000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520000</x:v>
      </x:c>
      <x:c r="D50" s="19" t="n">
        <x:v>0</x:v>
      </x:c>
      <x:c r="E50" s="19" t="n">
        <x:f>C50-D50</x:f>
        <x:v>520000</x:v>
      </x:c>
      <x:c r="F50" s="19" t="n">
        <x:f>SUM($E$7:E50)</x:f>
        <x:v>2899000</x:v>
      </x:c>
      <x:c r="G50" s="20" t="n">
        <x:v>11</x:v>
      </x:c>
      <x:c r="H50" s="20" t="n">
        <x:v>6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242000</x:v>
      </x:c>
      <x:c r="D51" s="19" t="n">
        <x:v>200000</x:v>
      </x:c>
      <x:c r="E51" s="19" t="n">
        <x:f>C51-D51</x:f>
        <x:v>42000</x:v>
      </x:c>
      <x:c r="F51" s="19" t="n">
        <x:f>SUM($E$7:E51)</x:f>
        <x:v>2941000</x:v>
      </x:c>
      <x:c r="G51" s="20" t="n">
        <x:v>12</x:v>
      </x:c>
      <x:c r="H51" s="20" t="n">
        <x:v>9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2901000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727000</x:v>
      </x:c>
      <x:c r="D53" s="19" t="n">
        <x:v>70000</x:v>
      </x:c>
      <x:c r="E53" s="19" t="n">
        <x:f>C53-D53</x:f>
        <x:v>657000</x:v>
      </x:c>
      <x:c r="F53" s="19" t="n">
        <x:f>SUM($E$7:E53)</x:f>
        <x:v>3558000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164000</x:v>
      </x:c>
      <x:c r="D54" s="19" t="n">
        <x:v>10000</x:v>
      </x:c>
      <x:c r="E54" s="19" t="n">
        <x:f>C54-D54</x:f>
        <x:v>154000</x:v>
      </x:c>
      <x:c r="F54" s="19" t="n">
        <x:f>SUM($E$7:E54)</x:f>
        <x:v>3712000</x:v>
      </x:c>
      <x:c r="G54" s="20" t="n">
        <x:v>4</x:v>
      </x:c>
      <x:c r="H54" s="20" t="n">
        <x:v>3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218000</x:v>
      </x:c>
      <x:c r="D55" s="19" t="n">
        <x:v>99000</x:v>
      </x:c>
      <x:c r="E55" s="19" t="n">
        <x:f>C55-D55</x:f>
        <x:v>119000</x:v>
      </x:c>
      <x:c r="F55" s="19" t="n">
        <x:f>SUM($E$7:E55)</x:f>
        <x:v>3831000</x:v>
      </x:c>
      <x:c r="G55" s="20" t="n">
        <x:v>7</x:v>
      </x:c>
      <x:c r="H55" s="20" t="n">
        <x:v>5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3800000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7128000</x:v>
      </x:c>
      <x:c r="D57" s="21" t="n">
        <x:f>SUM(D7:D56)</x:f>
        <x:v>3328000</x:v>
      </x:c>
      <x:c r="E57" s="21" t="n">
        <x:f>SUM(E7:E56)</x:f>
        <x:v>3800000</x:v>
      </x:c>
      <x:c r="F57" s="21" t="n">
        <x:f>F56</x:f>
        <x:v>3800000</x:v>
      </x:c>
      <x:c r="G57" s="22" t="n">
        <x:f>SUM(G7:G56)</x:f>
        <x:v>335</x:v>
      </x:c>
      <x:c r="H57" s="22" t="n">
        <x:f>SUM(H7:H56)</x:f>
        <x:v>244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a20fa6ecf64d92"/>
  </x:tableParts>
</x:worksheet>
</file>

<file path=xl/worksheets/sheet4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D07　昼は分割回収・夜は長短確認ドテン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昼：一部利確後の残玉を保護し、押し戻りで追加玉を取り直す。夜：基本の残玉を160pt以内で追尾、ドテンは40分方向も確認。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30000</x:v>
      </x:c>
      <x:c r="D7" s="19" t="n">
        <x:v>0</x:v>
      </x:c>
      <x:c r="E7" s="19" t="n">
        <x:f>C7-D7</x:f>
        <x:v>30000</x:v>
      </x:c>
      <x:c r="F7" s="19" t="n">
        <x:f>SUM($E$7:E7)</x:f>
        <x:v>30000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-15000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-120000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24000</x:v>
      </x:c>
      <x:c r="D10" s="19" t="n">
        <x:v>0</x:v>
      </x:c>
      <x:c r="E10" s="19" t="n">
        <x:f>C10-D10</x:f>
        <x:v>24000</x:v>
      </x:c>
      <x:c r="F10" s="19" t="n">
        <x:f>SUM($E$7:E10)</x:f>
        <x:v>-96000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50000</x:v>
      </x:c>
      <x:c r="D11" s="19" t="n">
        <x:v>0</x:v>
      </x:c>
      <x:c r="E11" s="19" t="n">
        <x:f>C11-D11</x:f>
        <x:v>50000</x:v>
      </x:c>
      <x:c r="F11" s="19" t="n">
        <x:f>SUM($E$7:E11)</x:f>
        <x:v>-46000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-82000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137000</x:v>
      </x:c>
      <x:c r="D13" s="19" t="n">
        <x:v>60000</x:v>
      </x:c>
      <x:c r="E13" s="19" t="n">
        <x:f>C13-D13</x:f>
        <x:v>77000</x:v>
      </x:c>
      <x:c r="F13" s="19" t="n">
        <x:f>SUM($E$7:E13)</x:f>
        <x:v>-5000</x:v>
      </x:c>
      <x:c r="G13" s="20" t="n">
        <x:v>5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15000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65000</x:v>
      </x:c>
      <x:c r="D15" s="19" t="n">
        <x:v>48000</x:v>
      </x:c>
      <x:c r="E15" s="19" t="n">
        <x:f>C15-D15</x:f>
        <x:v>17000</x:v>
      </x:c>
      <x:c r="F15" s="19" t="n">
        <x:f>SUM($E$7:E15)</x:f>
        <x:v>32000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17000</x:v>
      </x:c>
      <x:c r="D16" s="19" t="n">
        <x:v>16000</x:v>
      </x:c>
      <x:c r="E16" s="19" t="n">
        <x:f>C16-D16</x:f>
        <x:v>1000</x:v>
      </x:c>
      <x:c r="F16" s="19" t="n">
        <x:f>SUM($E$7:E16)</x:f>
        <x:v>33000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175000</x:v>
      </x:c>
      <x:c r="D17" s="19" t="n">
        <x:v>151000</x:v>
      </x:c>
      <x:c r="E17" s="19" t="n">
        <x:f>C17-D17</x:f>
        <x:v>24000</x:v>
      </x:c>
      <x:c r="F17" s="19" t="n">
        <x:f>SUM($E$7:E17)</x:f>
        <x:v>57000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10000</x:v>
      </x:c>
      <x:c r="D18" s="19" t="n">
        <x:v>48000</x:v>
      </x:c>
      <x:c r="E18" s="19" t="n">
        <x:f>C18-D18</x:f>
        <x:v>-38000</x:v>
      </x:c>
      <x:c r="F18" s="19" t="n">
        <x:f>SUM($E$7:E18)</x:f>
        <x:v>19000</x:v>
      </x:c>
      <x:c r="G18" s="20" t="n">
        <x:v>6</x:v>
      </x:c>
      <x:c r="H18" s="20" t="n">
        <x:v>5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191000</x:v>
      </x:c>
      <x:c r="D19" s="19" t="n">
        <x:v>127000</x:v>
      </x:c>
      <x:c r="E19" s="19" t="n">
        <x:f>C19-D19</x:f>
        <x:v>64000</x:v>
      </x:c>
      <x:c r="F19" s="19" t="n">
        <x:f>SUM($E$7:E19)</x:f>
        <x:v>83000</x:v>
      </x:c>
      <x:c r="G19" s="20" t="n">
        <x:v>9</x:v>
      </x:c>
      <x:c r="H19" s="20" t="n">
        <x:v>6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87000</x:v>
      </x:c>
      <x:c r="D20" s="19" t="n">
        <x:v>22000</x:v>
      </x:c>
      <x:c r="E20" s="19" t="n">
        <x:f>C20-D20</x:f>
        <x:v>65000</x:v>
      </x:c>
      <x:c r="F20" s="19" t="n">
        <x:f>SUM($E$7:E20)</x:f>
        <x:v>148000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223000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43000</x:v>
      </x:c>
      <x:c r="D22" s="19" t="n">
        <x:v>0</x:v>
      </x:c>
      <x:c r="E22" s="19" t="n">
        <x:f>C22-D22</x:f>
        <x:v>43000</x:v>
      </x:c>
      <x:c r="F22" s="19" t="n">
        <x:f>SUM($E$7:E22)</x:f>
        <x:v>266000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355000</x:v>
      </x:c>
      <x:c r="D23" s="19" t="n">
        <x:v>84000</x:v>
      </x:c>
      <x:c r="E23" s="19" t="n">
        <x:f>C23-D23</x:f>
        <x:v>271000</x:v>
      </x:c>
      <x:c r="F23" s="19" t="n">
        <x:f>SUM($E$7:E23)</x:f>
        <x:v>537000</x:v>
      </x:c>
      <x:c r="G23" s="20" t="n">
        <x:v>4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237000</x:v>
      </x:c>
      <x:c r="D24" s="19" t="n">
        <x:v>129000</x:v>
      </x:c>
      <x:c r="E24" s="19" t="n">
        <x:f>C24-D24</x:f>
        <x:v>108000</x:v>
      </x:c>
      <x:c r="F24" s="19" t="n">
        <x:f>SUM($E$7:E24)</x:f>
        <x:v>645000</x:v>
      </x:c>
      <x:c r="G24" s="20" t="n">
        <x:v>17</x:v>
      </x:c>
      <x:c r="H24" s="20" t="n">
        <x:v>12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64000</x:v>
      </x:c>
      <x:c r="D25" s="19" t="n">
        <x:v>73000</x:v>
      </x:c>
      <x:c r="E25" s="19" t="n">
        <x:f>C25-D25</x:f>
        <x:v>-9000</x:v>
      </x:c>
      <x:c r="F25" s="19" t="n">
        <x:f>SUM($E$7:E25)</x:f>
        <x:v>636000</x:v>
      </x:c>
      <x:c r="G25" s="20" t="n">
        <x:v>9</x:v>
      </x:c>
      <x:c r="H25" s="20" t="n">
        <x:v>4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403000</x:v>
      </x:c>
      <x:c r="D26" s="19" t="n">
        <x:v>65000</x:v>
      </x:c>
      <x:c r="E26" s="19" t="n">
        <x:f>C26-D26</x:f>
        <x:v>338000</x:v>
      </x:c>
      <x:c r="F26" s="19" t="n">
        <x:f>SUM($E$7:E26)</x:f>
        <x:v>974000</x:v>
      </x:c>
      <x:c r="G26" s="20" t="n">
        <x:v>22</x:v>
      </x:c>
      <x:c r="H26" s="20" t="n">
        <x:v>13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88000</x:v>
      </x:c>
      <x:c r="D27" s="19" t="n">
        <x:v>148000</x:v>
      </x:c>
      <x:c r="E27" s="19" t="n">
        <x:f>C27-D27</x:f>
        <x:v>-60000</x:v>
      </x:c>
      <x:c r="F27" s="19" t="n">
        <x:f>SUM($E$7:E27)</x:f>
        <x:v>914000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98000</x:v>
      </x:c>
      <x:c r="D28" s="19" t="n">
        <x:v>64000</x:v>
      </x:c>
      <x:c r="E28" s="19" t="n">
        <x:f>C28-D28</x:f>
        <x:v>34000</x:v>
      </x:c>
      <x:c r="F28" s="19" t="n">
        <x:f>SUM($E$7:E28)</x:f>
        <x:v>948000</x:v>
      </x:c>
      <x:c r="G28" s="20" t="n">
        <x:v>7</x:v>
      </x:c>
      <x:c r="H28" s="20" t="n">
        <x:v>5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269000</x:v>
      </x:c>
      <x:c r="D29" s="19" t="n">
        <x:v>122000</x:v>
      </x:c>
      <x:c r="E29" s="19" t="n">
        <x:f>C29-D29</x:f>
        <x:v>147000</x:v>
      </x:c>
      <x:c r="F29" s="19" t="n">
        <x:f>SUM($E$7:E29)</x:f>
        <x:v>1095000</x:v>
      </x:c>
      <x:c r="G29" s="20" t="n">
        <x:v>10</x:v>
      </x:c>
      <x:c r="H29" s="20" t="n">
        <x:v>7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1085000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144000</x:v>
      </x:c>
      <x:c r="D31" s="19" t="n">
        <x:v>47000</x:v>
      </x:c>
      <x:c r="E31" s="19" t="n">
        <x:f>C31-D31</x:f>
        <x:v>97000</x:v>
      </x:c>
      <x:c r="F31" s="19" t="n">
        <x:f>SUM($E$7:E31)</x:f>
        <x:v>1182000</x:v>
      </x:c>
      <x:c r="G31" s="20" t="n">
        <x:v>8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1139000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153000</x:v>
      </x:c>
      <x:c r="D33" s="19" t="n">
        <x:v>130000</x:v>
      </x:c>
      <x:c r="E33" s="19" t="n">
        <x:f>C33-D33</x:f>
        <x:v>23000</x:v>
      </x:c>
      <x:c r="F33" s="19" t="n">
        <x:f>SUM($E$7:E33)</x:f>
        <x:v>1162000</x:v>
      </x:c>
      <x:c r="G33" s="20" t="n">
        <x:v>10</x:v>
      </x:c>
      <x:c r="H33" s="20" t="n">
        <x:v>8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335000</x:v>
      </x:c>
      <x:c r="D34" s="19" t="n">
        <x:v>20000</x:v>
      </x:c>
      <x:c r="E34" s="19" t="n">
        <x:f>C34-D34</x:f>
        <x:v>315000</x:v>
      </x:c>
      <x:c r="F34" s="19" t="n">
        <x:f>SUM($E$7:E34)</x:f>
        <x:v>1477000</x:v>
      </x:c>
      <x:c r="G34" s="20" t="n">
        <x:v>17</x:v>
      </x:c>
      <x:c r="H34" s="20" t="n">
        <x:v>10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111000</x:v>
      </x:c>
      <x:c r="D35" s="19" t="n">
        <x:v>68000</x:v>
      </x:c>
      <x:c r="E35" s="19" t="n">
        <x:f>C35-D35</x:f>
        <x:v>43000</x:v>
      </x:c>
      <x:c r="F35" s="19" t="n">
        <x:f>SUM($E$7:E35)</x:f>
        <x:v>1520000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1534000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61000</x:v>
      </x:c>
      <x:c r="D37" s="19" t="n">
        <x:v>53000</x:v>
      </x:c>
      <x:c r="E37" s="19" t="n">
        <x:f>C37-D37</x:f>
        <x:v>8000</x:v>
      </x:c>
      <x:c r="F37" s="19" t="n">
        <x:f>SUM($E$7:E37)</x:f>
        <x:v>1542000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82000</x:v>
      </x:c>
      <x:c r="D38" s="19" t="n">
        <x:v>0</x:v>
      </x:c>
      <x:c r="E38" s="19" t="n">
        <x:f>C38-D38</x:f>
        <x:v>82000</x:v>
      </x:c>
      <x:c r="F38" s="19" t="n">
        <x:f>SUM($E$7:E38)</x:f>
        <x:v>1624000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181000</x:v>
      </x:c>
      <x:c r="D39" s="19" t="n">
        <x:v>117000</x:v>
      </x:c>
      <x:c r="E39" s="19" t="n">
        <x:f>C39-D39</x:f>
        <x:v>64000</x:v>
      </x:c>
      <x:c r="F39" s="19" t="n">
        <x:f>SUM($E$7:E39)</x:f>
        <x:v>1688000</x:v>
      </x:c>
      <x:c r="G39" s="20" t="n">
        <x:v>12</x:v>
      </x:c>
      <x:c r="H39" s="20" t="n">
        <x:v>9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1635000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1712000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197000</x:v>
      </x:c>
      <x:c r="D42" s="19" t="n">
        <x:v>61000</x:v>
      </x:c>
      <x:c r="E42" s="19" t="n">
        <x:f>C42-D42</x:f>
        <x:v>136000</x:v>
      </x:c>
      <x:c r="F42" s="19" t="n">
        <x:f>SUM($E$7:E42)</x:f>
        <x:v>1848000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488000</x:v>
      </x:c>
      <x:c r="D43" s="19" t="n">
        <x:v>66000</x:v>
      </x:c>
      <x:c r="E43" s="19" t="n">
        <x:f>C43-D43</x:f>
        <x:v>422000</x:v>
      </x:c>
      <x:c r="F43" s="19" t="n">
        <x:f>SUM($E$7:E43)</x:f>
        <x:v>2270000</x:v>
      </x:c>
      <x:c r="G43" s="20" t="n">
        <x:v>8</x:v>
      </x:c>
      <x:c r="H43" s="20" t="n">
        <x:v>5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216000</x:v>
      </x:c>
      <x:c r="D44" s="19" t="n">
        <x:v>120000</x:v>
      </x:c>
      <x:c r="E44" s="19" t="n">
        <x:f>C44-D44</x:f>
        <x:v>96000</x:v>
      </x:c>
      <x:c r="F44" s="19" t="n">
        <x:f>SUM($E$7:E44)</x:f>
        <x:v>2366000</x:v>
      </x:c>
      <x:c r="G44" s="20" t="n">
        <x:v>13</x:v>
      </x:c>
      <x:c r="H44" s="20" t="n">
        <x:v>9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145000</x:v>
      </x:c>
      <x:c r="D45" s="19" t="n">
        <x:v>181000</x:v>
      </x:c>
      <x:c r="E45" s="19" t="n">
        <x:f>C45-D45</x:f>
        <x:v>-36000</x:v>
      </x:c>
      <x:c r="F45" s="19" t="n">
        <x:f>SUM($E$7:E45)</x:f>
        <x:v>2330000</x:v>
      </x:c>
      <x:c r="G45" s="20" t="n">
        <x:v>16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159000</x:v>
      </x:c>
      <x:c r="D46" s="19" t="n">
        <x:v>142000</x:v>
      </x:c>
      <x:c r="E46" s="19" t="n">
        <x:f>C46-D46</x:f>
        <x:v>17000</x:v>
      </x:c>
      <x:c r="F46" s="19" t="n">
        <x:f>SUM($E$7:E46)</x:f>
        <x:v>2347000</x:v>
      </x:c>
      <x:c r="G46" s="20" t="n">
        <x:v>15</x:v>
      </x:c>
      <x:c r="H46" s="20" t="n">
        <x:v>12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393000</x:v>
      </x:c>
      <x:c r="D47" s="19" t="n">
        <x:v>0</x:v>
      </x:c>
      <x:c r="E47" s="19" t="n">
        <x:f>C47-D47</x:f>
        <x:v>393000</x:v>
      </x:c>
      <x:c r="F47" s="19" t="n">
        <x:f>SUM($E$7:E47)</x:f>
        <x:v>2740000</x:v>
      </x:c>
      <x:c r="G47" s="20" t="n">
        <x:v>4</x:v>
      </x:c>
      <x:c r="H47" s="20" t="n">
        <x:v>3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108000</x:v>
      </x:c>
      <x:c r="D48" s="19" t="n">
        <x:v>93000</x:v>
      </x:c>
      <x:c r="E48" s="19" t="n">
        <x:f>C48-D48</x:f>
        <x:v>15000</x:v>
      </x:c>
      <x:c r="F48" s="19" t="n">
        <x:f>SUM($E$7:E48)</x:f>
        <x:v>2755000</x:v>
      </x:c>
      <x:c r="G48" s="20" t="n">
        <x:v>14</x:v>
      </x:c>
      <x:c r="H48" s="20" t="n">
        <x:v>9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216000</x:v>
      </x:c>
      <x:c r="D49" s="19" t="n">
        <x:v>214000</x:v>
      </x:c>
      <x:c r="E49" s="19" t="n">
        <x:f>C49-D49</x:f>
        <x:v>2000</x:v>
      </x:c>
      <x:c r="F49" s="19" t="n">
        <x:f>SUM($E$7:E49)</x:f>
        <x:v>2757000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536000</x:v>
      </x:c>
      <x:c r="D50" s="19" t="n">
        <x:v>24000</x:v>
      </x:c>
      <x:c r="E50" s="19" t="n">
        <x:f>C50-D50</x:f>
        <x:v>512000</x:v>
      </x:c>
      <x:c r="F50" s="19" t="n">
        <x:f>SUM($E$7:E50)</x:f>
        <x:v>3269000</x:v>
      </x:c>
      <x:c r="G50" s="20" t="n">
        <x:v>12</x:v>
      </x:c>
      <x:c r="H50" s="20" t="n">
        <x:v>7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208000</x:v>
      </x:c>
      <x:c r="D51" s="19" t="n">
        <x:v>200000</x:v>
      </x:c>
      <x:c r="E51" s="19" t="n">
        <x:f>C51-D51</x:f>
        <x:v>8000</x:v>
      </x:c>
      <x:c r="F51" s="19" t="n">
        <x:f>SUM($E$7:E51)</x:f>
        <x:v>3277000</x:v>
      </x:c>
      <x:c r="G51" s="20" t="n">
        <x:v>12</x:v>
      </x:c>
      <x:c r="H51" s="20" t="n">
        <x:v>9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61000</x:v>
      </x:c>
      <x:c r="D52" s="19" t="n">
        <x:v>85000</x:v>
      </x:c>
      <x:c r="E52" s="19" t="n">
        <x:f>C52-D52</x:f>
        <x:v>-24000</x:v>
      </x:c>
      <x:c r="F52" s="19" t="n">
        <x:f>SUM($E$7:E52)</x:f>
        <x:v>3253000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700000</x:v>
      </x:c>
      <x:c r="D53" s="19" t="n">
        <x:v>70000</x:v>
      </x:c>
      <x:c r="E53" s="19" t="n">
        <x:f>C53-D53</x:f>
        <x:v>630000</x:v>
      </x:c>
      <x:c r="F53" s="19" t="n">
        <x:f>SUM($E$7:E53)</x:f>
        <x:v>3883000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160000</x:v>
      </x:c>
      <x:c r="D54" s="19" t="n">
        <x:v>83000</x:v>
      </x:c>
      <x:c r="E54" s="19" t="n">
        <x:f>C54-D54</x:f>
        <x:v>77000</x:v>
      </x:c>
      <x:c r="F54" s="19" t="n">
        <x:f>SUM($E$7:E54)</x:f>
        <x:v>3960000</x:v>
      </x:c>
      <x:c r="G54" s="20" t="n">
        <x:v>7</x:v>
      </x:c>
      <x:c r="H54" s="20" t="n">
        <x:v>6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257000</x:v>
      </x:c>
      <x:c r="D55" s="19" t="n">
        <x:v>45000</x:v>
      </x:c>
      <x:c r="E55" s="19" t="n">
        <x:f>C55-D55</x:f>
        <x:v>212000</x:v>
      </x:c>
      <x:c r="F55" s="19" t="n">
        <x:f>SUM($E$7:E55)</x:f>
        <x:v>4172000</x:v>
      </x:c>
      <x:c r="G55" s="20" t="n">
        <x:v>4</x:v>
      </x:c>
      <x:c r="H55" s="20" t="n">
        <x:v>3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40000</x:v>
      </x:c>
      <x:c r="D56" s="19" t="n">
        <x:v>53000</x:v>
      </x:c>
      <x:c r="E56" s="19" t="n">
        <x:f>C56-D56</x:f>
        <x:v>-13000</x:v>
      </x:c>
      <x:c r="F56" s="19" t="n">
        <x:f>SUM($E$7:E56)</x:f>
        <x:v>4159000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7689000</x:v>
      </x:c>
      <x:c r="D57" s="21" t="n">
        <x:f>SUM(D7:D56)</x:f>
        <x:v>3530000</x:v>
      </x:c>
      <x:c r="E57" s="21" t="n">
        <x:f>SUM(E7:E56)</x:f>
        <x:v>4159000</x:v>
      </x:c>
      <x:c r="F57" s="21" t="n">
        <x:f>F56</x:f>
        <x:v>4159000</x:v>
      </x:c>
      <x:c r="G57" s="22" t="n">
        <x:f>SUM(G7:G56)</x:f>
        <x:v>367</x:v>
      </x:c>
      <x:c r="H57" s="22" t="n">
        <x:f>SUM(H7:H56)</x:f>
        <x:v>266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d6e720fa04f4f66"/>
  </x:tableParts>
</x:worksheet>
</file>

<file path=xl/worksheets/sheet5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D03　昼は分割回収・夜は短期確認ドテン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Day: 主P01・追加V05・別R00 / Night: 主R05・追加V10・別R00。担当ごとの上限5・3・2枚を固定。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30000</x:v>
      </x:c>
      <x:c r="D7" s="19" t="n">
        <x:v>0</x:v>
      </x:c>
      <x:c r="E7" s="19" t="n">
        <x:f>C7-D7</x:f>
        <x:v>30000</x:v>
      </x:c>
      <x:c r="F7" s="19" t="n">
        <x:f>SUM($E$7:E7)</x:f>
        <x:v>30000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-15000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-120000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24000</x:v>
      </x:c>
      <x:c r="D10" s="19" t="n">
        <x:v>0</x:v>
      </x:c>
      <x:c r="E10" s="19" t="n">
        <x:f>C10-D10</x:f>
        <x:v>24000</x:v>
      </x:c>
      <x:c r="F10" s="19" t="n">
        <x:f>SUM($E$7:E10)</x:f>
        <x:v>-96000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50000</x:v>
      </x:c>
      <x:c r="D11" s="19" t="n">
        <x:v>0</x:v>
      </x:c>
      <x:c r="E11" s="19" t="n">
        <x:f>C11-D11</x:f>
        <x:v>50000</x:v>
      </x:c>
      <x:c r="F11" s="19" t="n">
        <x:f>SUM($E$7:E11)</x:f>
        <x:v>-46000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-82000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137000</x:v>
      </x:c>
      <x:c r="D13" s="19" t="n">
        <x:v>60000</x:v>
      </x:c>
      <x:c r="E13" s="19" t="n">
        <x:f>C13-D13</x:f>
        <x:v>77000</x:v>
      </x:c>
      <x:c r="F13" s="19" t="n">
        <x:f>SUM($E$7:E13)</x:f>
        <x:v>-5000</x:v>
      </x:c>
      <x:c r="G13" s="20" t="n">
        <x:v>5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15000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65000</x:v>
      </x:c>
      <x:c r="D15" s="19" t="n">
        <x:v>48000</x:v>
      </x:c>
      <x:c r="E15" s="19" t="n">
        <x:f>C15-D15</x:f>
        <x:v>17000</x:v>
      </x:c>
      <x:c r="F15" s="19" t="n">
        <x:f>SUM($E$7:E15)</x:f>
        <x:v>32000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17000</x:v>
      </x:c>
      <x:c r="D16" s="19" t="n">
        <x:v>16000</x:v>
      </x:c>
      <x:c r="E16" s="19" t="n">
        <x:f>C16-D16</x:f>
        <x:v>1000</x:v>
      </x:c>
      <x:c r="F16" s="19" t="n">
        <x:f>SUM($E$7:E16)</x:f>
        <x:v>33000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175000</x:v>
      </x:c>
      <x:c r="D17" s="19" t="n">
        <x:v>151000</x:v>
      </x:c>
      <x:c r="E17" s="19" t="n">
        <x:f>C17-D17</x:f>
        <x:v>24000</x:v>
      </x:c>
      <x:c r="F17" s="19" t="n">
        <x:f>SUM($E$7:E17)</x:f>
        <x:v>57000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46000</x:v>
      </x:c>
      <x:c r="D18" s="19" t="n">
        <x:v>48000</x:v>
      </x:c>
      <x:c r="E18" s="19" t="n">
        <x:f>C18-D18</x:f>
        <x:v>-2000</x:v>
      </x:c>
      <x:c r="F18" s="19" t="n">
        <x:f>SUM($E$7:E18)</x:f>
        <x:v>55000</x:v>
      </x:c>
      <x:c r="G18" s="20" t="n">
        <x:v>7</x:v>
      </x:c>
      <x:c r="H18" s="20" t="n">
        <x:v>6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191000</x:v>
      </x:c>
      <x:c r="D19" s="19" t="n">
        <x:v>127000</x:v>
      </x:c>
      <x:c r="E19" s="19" t="n">
        <x:f>C19-D19</x:f>
        <x:v>64000</x:v>
      </x:c>
      <x:c r="F19" s="19" t="n">
        <x:f>SUM($E$7:E19)</x:f>
        <x:v>119000</x:v>
      </x:c>
      <x:c r="G19" s="20" t="n">
        <x:v>9</x:v>
      </x:c>
      <x:c r="H19" s="20" t="n">
        <x:v>6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87000</x:v>
      </x:c>
      <x:c r="D20" s="19" t="n">
        <x:v>22000</x:v>
      </x:c>
      <x:c r="E20" s="19" t="n">
        <x:f>C20-D20</x:f>
        <x:v>65000</x:v>
      </x:c>
      <x:c r="F20" s="19" t="n">
        <x:f>SUM($E$7:E20)</x:f>
        <x:v>184000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259000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43000</x:v>
      </x:c>
      <x:c r="D22" s="19" t="n">
        <x:v>0</x:v>
      </x:c>
      <x:c r="E22" s="19" t="n">
        <x:f>C22-D22</x:f>
        <x:v>43000</x:v>
      </x:c>
      <x:c r="F22" s="19" t="n">
        <x:f>SUM($E$7:E22)</x:f>
        <x:v>302000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355000</x:v>
      </x:c>
      <x:c r="D23" s="19" t="n">
        <x:v>84000</x:v>
      </x:c>
      <x:c r="E23" s="19" t="n">
        <x:f>C23-D23</x:f>
        <x:v>271000</x:v>
      </x:c>
      <x:c r="F23" s="19" t="n">
        <x:f>SUM($E$7:E23)</x:f>
        <x:v>573000</x:v>
      </x:c>
      <x:c r="G23" s="20" t="n">
        <x:v>4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166000</x:v>
      </x:c>
      <x:c r="D24" s="19" t="n">
        <x:v>154000</x:v>
      </x:c>
      <x:c r="E24" s="19" t="n">
        <x:f>C24-D24</x:f>
        <x:v>12000</x:v>
      </x:c>
      <x:c r="F24" s="19" t="n">
        <x:f>SUM($E$7:E24)</x:f>
        <x:v>585000</x:v>
      </x:c>
      <x:c r="G24" s="20" t="n">
        <x:v>19</x:v>
      </x:c>
      <x:c r="H24" s="20" t="n">
        <x:v>13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64000</x:v>
      </x:c>
      <x:c r="D25" s="19" t="n">
        <x:v>73000</x:v>
      </x:c>
      <x:c r="E25" s="19" t="n">
        <x:f>C25-D25</x:f>
        <x:v>-9000</x:v>
      </x:c>
      <x:c r="F25" s="19" t="n">
        <x:f>SUM($E$7:E25)</x:f>
        <x:v>576000</x:v>
      </x:c>
      <x:c r="G25" s="20" t="n">
        <x:v>9</x:v>
      </x:c>
      <x:c r="H25" s="20" t="n">
        <x:v>4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372000</x:v>
      </x:c>
      <x:c r="D26" s="19" t="n">
        <x:v>61000</x:v>
      </x:c>
      <x:c r="E26" s="19" t="n">
        <x:f>C26-D26</x:f>
        <x:v>311000</x:v>
      </x:c>
      <x:c r="F26" s="19" t="n">
        <x:f>SUM($E$7:E26)</x:f>
        <x:v>887000</x:v>
      </x:c>
      <x:c r="G26" s="20" t="n">
        <x:v>25</x:v>
      </x:c>
      <x:c r="H26" s="20" t="n">
        <x:v>15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88000</x:v>
      </x:c>
      <x:c r="D27" s="19" t="n">
        <x:v>148000</x:v>
      </x:c>
      <x:c r="E27" s="19" t="n">
        <x:f>C27-D27</x:f>
        <x:v>-60000</x:v>
      </x:c>
      <x:c r="F27" s="19" t="n">
        <x:f>SUM($E$7:E27)</x:f>
        <x:v>827000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98000</x:v>
      </x:c>
      <x:c r="D28" s="19" t="n">
        <x:v>64000</x:v>
      </x:c>
      <x:c r="E28" s="19" t="n">
        <x:f>C28-D28</x:f>
        <x:v>34000</x:v>
      </x:c>
      <x:c r="F28" s="19" t="n">
        <x:f>SUM($E$7:E28)</x:f>
        <x:v>861000</x:v>
      </x:c>
      <x:c r="G28" s="20" t="n">
        <x:v>7</x:v>
      </x:c>
      <x:c r="H28" s="20" t="n">
        <x:v>5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269000</x:v>
      </x:c>
      <x:c r="D29" s="19" t="n">
        <x:v>122000</x:v>
      </x:c>
      <x:c r="E29" s="19" t="n">
        <x:f>C29-D29</x:f>
        <x:v>147000</x:v>
      </x:c>
      <x:c r="F29" s="19" t="n">
        <x:f>SUM($E$7:E29)</x:f>
        <x:v>1008000</x:v>
      </x:c>
      <x:c r="G29" s="20" t="n">
        <x:v>10</x:v>
      </x:c>
      <x:c r="H29" s="20" t="n">
        <x:v>7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998000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144000</x:v>
      </x:c>
      <x:c r="D31" s="19" t="n">
        <x:v>47000</x:v>
      </x:c>
      <x:c r="E31" s="19" t="n">
        <x:f>C31-D31</x:f>
        <x:v>97000</x:v>
      </x:c>
      <x:c r="F31" s="19" t="n">
        <x:f>SUM($E$7:E31)</x:f>
        <x:v>1095000</x:v>
      </x:c>
      <x:c r="G31" s="20" t="n">
        <x:v>8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1052000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153000</x:v>
      </x:c>
      <x:c r="D33" s="19" t="n">
        <x:v>130000</x:v>
      </x:c>
      <x:c r="E33" s="19" t="n">
        <x:f>C33-D33</x:f>
        <x:v>23000</x:v>
      </x:c>
      <x:c r="F33" s="19" t="n">
        <x:f>SUM($E$7:E33)</x:f>
        <x:v>1075000</x:v>
      </x:c>
      <x:c r="G33" s="20" t="n">
        <x:v>10</x:v>
      </x:c>
      <x:c r="H33" s="20" t="n">
        <x:v>8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436000</x:v>
      </x:c>
      <x:c r="D34" s="19" t="n">
        <x:v>17000</x:v>
      </x:c>
      <x:c r="E34" s="19" t="n">
        <x:f>C34-D34</x:f>
        <x:v>419000</x:v>
      </x:c>
      <x:c r="F34" s="19" t="n">
        <x:f>SUM($E$7:E34)</x:f>
        <x:v>1494000</x:v>
      </x:c>
      <x:c r="G34" s="20" t="n">
        <x:v>14</x:v>
      </x:c>
      <x:c r="H34" s="20" t="n">
        <x:v>9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111000</x:v>
      </x:c>
      <x:c r="D35" s="19" t="n">
        <x:v>68000</x:v>
      </x:c>
      <x:c r="E35" s="19" t="n">
        <x:f>C35-D35</x:f>
        <x:v>43000</x:v>
      </x:c>
      <x:c r="F35" s="19" t="n">
        <x:f>SUM($E$7:E35)</x:f>
        <x:v>1537000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1551000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61000</x:v>
      </x:c>
      <x:c r="D37" s="19" t="n">
        <x:v>53000</x:v>
      </x:c>
      <x:c r="E37" s="19" t="n">
        <x:f>C37-D37</x:f>
        <x:v>8000</x:v>
      </x:c>
      <x:c r="F37" s="19" t="n">
        <x:f>SUM($E$7:E37)</x:f>
        <x:v>1559000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82000</x:v>
      </x:c>
      <x:c r="D38" s="19" t="n">
        <x:v>0</x:v>
      </x:c>
      <x:c r="E38" s="19" t="n">
        <x:f>C38-D38</x:f>
        <x:v>82000</x:v>
      </x:c>
      <x:c r="F38" s="19" t="n">
        <x:f>SUM($E$7:E38)</x:f>
        <x:v>1641000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181000</x:v>
      </x:c>
      <x:c r="D39" s="19" t="n">
        <x:v>117000</x:v>
      </x:c>
      <x:c r="E39" s="19" t="n">
        <x:f>C39-D39</x:f>
        <x:v>64000</x:v>
      </x:c>
      <x:c r="F39" s="19" t="n">
        <x:f>SUM($E$7:E39)</x:f>
        <x:v>1705000</x:v>
      </x:c>
      <x:c r="G39" s="20" t="n">
        <x:v>12</x:v>
      </x:c>
      <x:c r="H39" s="20" t="n">
        <x:v>9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1652000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1729000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197000</x:v>
      </x:c>
      <x:c r="D42" s="19" t="n">
        <x:v>61000</x:v>
      </x:c>
      <x:c r="E42" s="19" t="n">
        <x:f>C42-D42</x:f>
        <x:v>136000</x:v>
      </x:c>
      <x:c r="F42" s="19" t="n">
        <x:f>SUM($E$7:E42)</x:f>
        <x:v>1865000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488000</x:v>
      </x:c>
      <x:c r="D43" s="19" t="n">
        <x:v>66000</x:v>
      </x:c>
      <x:c r="E43" s="19" t="n">
        <x:f>C43-D43</x:f>
        <x:v>422000</x:v>
      </x:c>
      <x:c r="F43" s="19" t="n">
        <x:f>SUM($E$7:E43)</x:f>
        <x:v>2287000</x:v>
      </x:c>
      <x:c r="G43" s="20" t="n">
        <x:v>8</x:v>
      </x:c>
      <x:c r="H43" s="20" t="n">
        <x:v>5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248000</x:v>
      </x:c>
      <x:c r="D44" s="19" t="n">
        <x:v>111000</x:v>
      </x:c>
      <x:c r="E44" s="19" t="n">
        <x:f>C44-D44</x:f>
        <x:v>137000</x:v>
      </x:c>
      <x:c r="F44" s="19" t="n">
        <x:f>SUM($E$7:E44)</x:f>
        <x:v>2424000</x:v>
      </x:c>
      <x:c r="G44" s="20" t="n">
        <x:v>14</x:v>
      </x:c>
      <x:c r="H44" s="20" t="n">
        <x:v>9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145000</x:v>
      </x:c>
      <x:c r="D45" s="19" t="n">
        <x:v>181000</x:v>
      </x:c>
      <x:c r="E45" s="19" t="n">
        <x:f>C45-D45</x:f>
        <x:v>-36000</x:v>
      </x:c>
      <x:c r="F45" s="19" t="n">
        <x:f>SUM($E$7:E45)</x:f>
        <x:v>2388000</x:v>
      </x:c>
      <x:c r="G45" s="20" t="n">
        <x:v>16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115000</x:v>
      </x:c>
      <x:c r="D46" s="19" t="n">
        <x:v>163000</x:v>
      </x:c>
      <x:c r="E46" s="19" t="n">
        <x:f>C46-D46</x:f>
        <x:v>-48000</x:v>
      </x:c>
      <x:c r="F46" s="19" t="n">
        <x:f>SUM($E$7:E46)</x:f>
        <x:v>2340000</x:v>
      </x:c>
      <x:c r="G46" s="20" t="n">
        <x:v>15</x:v>
      </x:c>
      <x:c r="H46" s="20" t="n">
        <x:v>12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393000</x:v>
      </x:c>
      <x:c r="D47" s="19" t="n">
        <x:v>0</x:v>
      </x:c>
      <x:c r="E47" s="19" t="n">
        <x:f>C47-D47</x:f>
        <x:v>393000</x:v>
      </x:c>
      <x:c r="F47" s="19" t="n">
        <x:f>SUM($E$7:E47)</x:f>
        <x:v>2733000</x:v>
      </x:c>
      <x:c r="G47" s="20" t="n">
        <x:v>4</x:v>
      </x:c>
      <x:c r="H47" s="20" t="n">
        <x:v>3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158000</x:v>
      </x:c>
      <x:c r="D48" s="19" t="n">
        <x:v>39000</x:v>
      </x:c>
      <x:c r="E48" s="19" t="n">
        <x:f>C48-D48</x:f>
        <x:v>119000</x:v>
      </x:c>
      <x:c r="F48" s="19" t="n">
        <x:f>SUM($E$7:E48)</x:f>
        <x:v>2852000</x:v>
      </x:c>
      <x:c r="G48" s="20" t="n">
        <x:v>16</x:v>
      </x:c>
      <x:c r="H48" s="20" t="n">
        <x:v>9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216000</x:v>
      </x:c>
      <x:c r="D49" s="19" t="n">
        <x:v>214000</x:v>
      </x:c>
      <x:c r="E49" s="19" t="n">
        <x:f>C49-D49</x:f>
        <x:v>2000</x:v>
      </x:c>
      <x:c r="F49" s="19" t="n">
        <x:f>SUM($E$7:E49)</x:f>
        <x:v>2854000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523000</x:v>
      </x:c>
      <x:c r="D50" s="19" t="n">
        <x:v>49000</x:v>
      </x:c>
      <x:c r="E50" s="19" t="n">
        <x:f>C50-D50</x:f>
        <x:v>474000</x:v>
      </x:c>
      <x:c r="F50" s="19" t="n">
        <x:f>SUM($E$7:E50)</x:f>
        <x:v>3328000</x:v>
      </x:c>
      <x:c r="G50" s="20" t="n">
        <x:v>12</x:v>
      </x:c>
      <x:c r="H50" s="20" t="n">
        <x:v>8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208000</x:v>
      </x:c>
      <x:c r="D51" s="19" t="n">
        <x:v>200000</x:v>
      </x:c>
      <x:c r="E51" s="19" t="n">
        <x:f>C51-D51</x:f>
        <x:v>8000</x:v>
      </x:c>
      <x:c r="F51" s="19" t="n">
        <x:f>SUM($E$7:E51)</x:f>
        <x:v>3336000</x:v>
      </x:c>
      <x:c r="G51" s="20" t="n">
        <x:v>12</x:v>
      </x:c>
      <x:c r="H51" s="20" t="n">
        <x:v>9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61000</x:v>
      </x:c>
      <x:c r="D52" s="19" t="n">
        <x:v>85000</x:v>
      </x:c>
      <x:c r="E52" s="19" t="n">
        <x:f>C52-D52</x:f>
        <x:v>-24000</x:v>
      </x:c>
      <x:c r="F52" s="19" t="n">
        <x:f>SUM($E$7:E52)</x:f>
        <x:v>3312000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700000</x:v>
      </x:c>
      <x:c r="D53" s="19" t="n">
        <x:v>70000</x:v>
      </x:c>
      <x:c r="E53" s="19" t="n">
        <x:f>C53-D53</x:f>
        <x:v>630000</x:v>
      </x:c>
      <x:c r="F53" s="19" t="n">
        <x:f>SUM($E$7:E53)</x:f>
        <x:v>3942000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160000</x:v>
      </x:c>
      <x:c r="D54" s="19" t="n">
        <x:v>83000</x:v>
      </x:c>
      <x:c r="E54" s="19" t="n">
        <x:f>C54-D54</x:f>
        <x:v>77000</x:v>
      </x:c>
      <x:c r="F54" s="19" t="n">
        <x:f>SUM($E$7:E54)</x:f>
        <x:v>4019000</x:v>
      </x:c>
      <x:c r="G54" s="20" t="n">
        <x:v>7</x:v>
      </x:c>
      <x:c r="H54" s="20" t="n">
        <x:v>6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257000</x:v>
      </x:c>
      <x:c r="D55" s="19" t="n">
        <x:v>45000</x:v>
      </x:c>
      <x:c r="E55" s="19" t="n">
        <x:f>C55-D55</x:f>
        <x:v>212000</x:v>
      </x:c>
      <x:c r="F55" s="19" t="n">
        <x:f>SUM($E$7:E55)</x:f>
        <x:v>4231000</x:v>
      </x:c>
      <x:c r="G55" s="20" t="n">
        <x:v>4</x:v>
      </x:c>
      <x:c r="H55" s="20" t="n">
        <x:v>3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40000</x:v>
      </x:c>
      <x:c r="D56" s="19" t="n">
        <x:v>53000</x:v>
      </x:c>
      <x:c r="E56" s="19" t="n">
        <x:f>C56-D56</x:f>
        <x:v>-13000</x:v>
      </x:c>
      <x:c r="F56" s="19" t="n">
        <x:f>SUM($E$7:E56)</x:f>
        <x:v>4218000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7749000</x:v>
      </x:c>
      <x:c r="D57" s="21" t="n">
        <x:f>SUM(D7:D56)</x:f>
        <x:v>3531000</x:v>
      </x:c>
      <x:c r="E57" s="21" t="n">
        <x:f>SUM(E7:E56)</x:f>
        <x:v>4218000</x:v>
      </x:c>
      <x:c r="F57" s="21" t="n">
        <x:f>F56</x:f>
        <x:v>4218000</x:v>
      </x:c>
      <x:c r="G57" s="22" t="n">
        <x:f>SUM(G7:G56)</x:f>
        <x:v>373</x:v>
      </x:c>
      <x:c r="H57" s="22" t="n">
        <x:f>SUM(H7:H56)</x:f>
        <x:v>270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c209a2b07146db"/>
  </x:tableParts>
</x:worksheet>
</file>

<file path=xl/worksheets/sheet6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D04　昼は分割回収・夜は同方向再参加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Day: 主P01・追加V05・別R00 / Night: 主R05・追加V06・別R00。担当ごとの上限5・3・2枚を固定。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30000</x:v>
      </x:c>
      <x:c r="D7" s="19" t="n">
        <x:v>0</x:v>
      </x:c>
      <x:c r="E7" s="19" t="n">
        <x:f>C7-D7</x:f>
        <x:v>30000</x:v>
      </x:c>
      <x:c r="F7" s="19" t="n">
        <x:f>SUM($E$7:E7)</x:f>
        <x:v>30000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-15000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-120000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24000</x:v>
      </x:c>
      <x:c r="D10" s="19" t="n">
        <x:v>0</x:v>
      </x:c>
      <x:c r="E10" s="19" t="n">
        <x:f>C10-D10</x:f>
        <x:v>24000</x:v>
      </x:c>
      <x:c r="F10" s="19" t="n">
        <x:f>SUM($E$7:E10)</x:f>
        <x:v>-96000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50000</x:v>
      </x:c>
      <x:c r="D11" s="19" t="n">
        <x:v>0</x:v>
      </x:c>
      <x:c r="E11" s="19" t="n">
        <x:f>C11-D11</x:f>
        <x:v>50000</x:v>
      </x:c>
      <x:c r="F11" s="19" t="n">
        <x:f>SUM($E$7:E11)</x:f>
        <x:v>-46000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-82000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137000</x:v>
      </x:c>
      <x:c r="D13" s="19" t="n">
        <x:v>60000</x:v>
      </x:c>
      <x:c r="E13" s="19" t="n">
        <x:f>C13-D13</x:f>
        <x:v>77000</x:v>
      </x:c>
      <x:c r="F13" s="19" t="n">
        <x:f>SUM($E$7:E13)</x:f>
        <x:v>-5000</x:v>
      </x:c>
      <x:c r="G13" s="20" t="n">
        <x:v>5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15000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65000</x:v>
      </x:c>
      <x:c r="D15" s="19" t="n">
        <x:v>48000</x:v>
      </x:c>
      <x:c r="E15" s="19" t="n">
        <x:f>C15-D15</x:f>
        <x:v>17000</x:v>
      </x:c>
      <x:c r="F15" s="19" t="n">
        <x:f>SUM($E$7:E15)</x:f>
        <x:v>32000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17000</x:v>
      </x:c>
      <x:c r="D16" s="19" t="n">
        <x:v>16000</x:v>
      </x:c>
      <x:c r="E16" s="19" t="n">
        <x:f>C16-D16</x:f>
        <x:v>1000</x:v>
      </x:c>
      <x:c r="F16" s="19" t="n">
        <x:f>SUM($E$7:E16)</x:f>
        <x:v>33000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175000</x:v>
      </x:c>
      <x:c r="D17" s="19" t="n">
        <x:v>151000</x:v>
      </x:c>
      <x:c r="E17" s="19" t="n">
        <x:f>C17-D17</x:f>
        <x:v>24000</x:v>
      </x:c>
      <x:c r="F17" s="19" t="n">
        <x:f>SUM($E$7:E17)</x:f>
        <x:v>57000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18000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191000</x:v>
      </x:c>
      <x:c r="D19" s="19" t="n">
        <x:v>127000</x:v>
      </x:c>
      <x:c r="E19" s="19" t="n">
        <x:f>C19-D19</x:f>
        <x:v>64000</x:v>
      </x:c>
      <x:c r="F19" s="19" t="n">
        <x:f>SUM($E$7:E19)</x:f>
        <x:v>82000</x:v>
      </x:c>
      <x:c r="G19" s="20" t="n">
        <x:v>9</x:v>
      </x:c>
      <x:c r="H19" s="20" t="n">
        <x:v>6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87000</x:v>
      </x:c>
      <x:c r="D20" s="19" t="n">
        <x:v>22000</x:v>
      </x:c>
      <x:c r="E20" s="19" t="n">
        <x:f>C20-D20</x:f>
        <x:v>65000</x:v>
      </x:c>
      <x:c r="F20" s="19" t="n">
        <x:f>SUM($E$7:E20)</x:f>
        <x:v>147000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222000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43000</x:v>
      </x:c>
      <x:c r="D22" s="19" t="n">
        <x:v>0</x:v>
      </x:c>
      <x:c r="E22" s="19" t="n">
        <x:f>C22-D22</x:f>
        <x:v>43000</x:v>
      </x:c>
      <x:c r="F22" s="19" t="n">
        <x:f>SUM($E$7:E22)</x:f>
        <x:v>265000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355000</x:v>
      </x:c>
      <x:c r="D23" s="19" t="n">
        <x:v>84000</x:v>
      </x:c>
      <x:c r="E23" s="19" t="n">
        <x:f>C23-D23</x:f>
        <x:v>271000</x:v>
      </x:c>
      <x:c r="F23" s="19" t="n">
        <x:f>SUM($E$7:E23)</x:f>
        <x:v>536000</x:v>
      </x:c>
      <x:c r="G23" s="20" t="n">
        <x:v>4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129000</x:v>
      </x:c>
      <x:c r="D24" s="19" t="n">
        <x:v>103000</x:v>
      </x:c>
      <x:c r="E24" s="19" t="n">
        <x:f>C24-D24</x:f>
        <x:v>26000</x:v>
      </x:c>
      <x:c r="F24" s="19" t="n">
        <x:f>SUM($E$7:E24)</x:f>
        <x:v>562000</x:v>
      </x:c>
      <x:c r="G24" s="20" t="n">
        <x:v>13</x:v>
      </x:c>
      <x:c r="H24" s="20" t="n">
        <x:v>9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64000</x:v>
      </x:c>
      <x:c r="D25" s="19" t="n">
        <x:v>73000</x:v>
      </x:c>
      <x:c r="E25" s="19" t="n">
        <x:f>C25-D25</x:f>
        <x:v>-9000</x:v>
      </x:c>
      <x:c r="F25" s="19" t="n">
        <x:f>SUM($E$7:E25)</x:f>
        <x:v>553000</x:v>
      </x:c>
      <x:c r="G25" s="20" t="n">
        <x:v>9</x:v>
      </x:c>
      <x:c r="H25" s="20" t="n">
        <x:v>4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349000</x:v>
      </x:c>
      <x:c r="D26" s="19" t="n">
        <x:v>38000</x:v>
      </x:c>
      <x:c r="E26" s="19" t="n">
        <x:f>C26-D26</x:f>
        <x:v>311000</x:v>
      </x:c>
      <x:c r="F26" s="19" t="n">
        <x:f>SUM($E$7:E26)</x:f>
        <x:v>864000</x:v>
      </x:c>
      <x:c r="G26" s="20" t="n">
        <x:v>14</x:v>
      </x:c>
      <x:c r="H26" s="20" t="n">
        <x:v>9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88000</x:v>
      </x:c>
      <x:c r="D27" s="19" t="n">
        <x:v>148000</x:v>
      </x:c>
      <x:c r="E27" s="19" t="n">
        <x:f>C27-D27</x:f>
        <x:v>-60000</x:v>
      </x:c>
      <x:c r="F27" s="19" t="n">
        <x:f>SUM($E$7:E27)</x:f>
        <x:v>804000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98000</x:v>
      </x:c>
      <x:c r="D28" s="19" t="n">
        <x:v>36000</x:v>
      </x:c>
      <x:c r="E28" s="19" t="n">
        <x:f>C28-D28</x:f>
        <x:v>62000</x:v>
      </x:c>
      <x:c r="F28" s="19" t="n">
        <x:f>SUM($E$7:E28)</x:f>
        <x:v>866000</x:v>
      </x:c>
      <x:c r="G28" s="20" t="n">
        <x:v>6</x:v>
      </x:c>
      <x:c r="H28" s="20" t="n">
        <x:v>4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269000</x:v>
      </x:c>
      <x:c r="D29" s="19" t="n">
        <x:v>122000</x:v>
      </x:c>
      <x:c r="E29" s="19" t="n">
        <x:f>C29-D29</x:f>
        <x:v>147000</x:v>
      </x:c>
      <x:c r="F29" s="19" t="n">
        <x:f>SUM($E$7:E29)</x:f>
        <x:v>1013000</x:v>
      </x:c>
      <x:c r="G29" s="20" t="n">
        <x:v>10</x:v>
      </x:c>
      <x:c r="H29" s="20" t="n">
        <x:v>7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1003000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144000</x:v>
      </x:c>
      <x:c r="D31" s="19" t="n">
        <x:v>47000</x:v>
      </x:c>
      <x:c r="E31" s="19" t="n">
        <x:f>C31-D31</x:f>
        <x:v>97000</x:v>
      </x:c>
      <x:c r="F31" s="19" t="n">
        <x:f>SUM($E$7:E31)</x:f>
        <x:v>1100000</x:v>
      </x:c>
      <x:c r="G31" s="20" t="n">
        <x:v>8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1057000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153000</x:v>
      </x:c>
      <x:c r="D33" s="19" t="n">
        <x:v>130000</x:v>
      </x:c>
      <x:c r="E33" s="19" t="n">
        <x:f>C33-D33</x:f>
        <x:v>23000</x:v>
      </x:c>
      <x:c r="F33" s="19" t="n">
        <x:f>SUM($E$7:E33)</x:f>
        <x:v>1080000</x:v>
      </x:c>
      <x:c r="G33" s="20" t="n">
        <x:v>10</x:v>
      </x:c>
      <x:c r="H33" s="20" t="n">
        <x:v>8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163000</x:v>
      </x:c>
      <x:c r="D34" s="19" t="n">
        <x:v>22000</x:v>
      </x:c>
      <x:c r="E34" s="19" t="n">
        <x:f>C34-D34</x:f>
        <x:v>141000</x:v>
      </x:c>
      <x:c r="F34" s="19" t="n">
        <x:f>SUM($E$7:E34)</x:f>
        <x:v>1221000</x:v>
      </x:c>
      <x:c r="G34" s="20" t="n">
        <x:v>9</x:v>
      </x:c>
      <x:c r="H34" s="20" t="n">
        <x:v>6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111000</x:v>
      </x:c>
      <x:c r="D35" s="19" t="n">
        <x:v>68000</x:v>
      </x:c>
      <x:c r="E35" s="19" t="n">
        <x:f>C35-D35</x:f>
        <x:v>43000</x:v>
      </x:c>
      <x:c r="F35" s="19" t="n">
        <x:f>SUM($E$7:E35)</x:f>
        <x:v>1264000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1278000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61000</x:v>
      </x:c>
      <x:c r="D37" s="19" t="n">
        <x:v>53000</x:v>
      </x:c>
      <x:c r="E37" s="19" t="n">
        <x:f>C37-D37</x:f>
        <x:v>8000</x:v>
      </x:c>
      <x:c r="F37" s="19" t="n">
        <x:f>SUM($E$7:E37)</x:f>
        <x:v>1286000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82000</x:v>
      </x:c>
      <x:c r="D38" s="19" t="n">
        <x:v>0</x:v>
      </x:c>
      <x:c r="E38" s="19" t="n">
        <x:f>C38-D38</x:f>
        <x:v>82000</x:v>
      </x:c>
      <x:c r="F38" s="19" t="n">
        <x:f>SUM($E$7:E38)</x:f>
        <x:v>1368000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181000</x:v>
      </x:c>
      <x:c r="D39" s="19" t="n">
        <x:v>117000</x:v>
      </x:c>
      <x:c r="E39" s="19" t="n">
        <x:f>C39-D39</x:f>
        <x:v>64000</x:v>
      </x:c>
      <x:c r="F39" s="19" t="n">
        <x:f>SUM($E$7:E39)</x:f>
        <x:v>1432000</x:v>
      </x:c>
      <x:c r="G39" s="20" t="n">
        <x:v>12</x:v>
      </x:c>
      <x:c r="H39" s="20" t="n">
        <x:v>9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1379000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1456000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197000</x:v>
      </x:c>
      <x:c r="D42" s="19" t="n">
        <x:v>61000</x:v>
      </x:c>
      <x:c r="E42" s="19" t="n">
        <x:f>C42-D42</x:f>
        <x:v>136000</x:v>
      </x:c>
      <x:c r="F42" s="19" t="n">
        <x:f>SUM($E$7:E42)</x:f>
        <x:v>1592000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488000</x:v>
      </x:c>
      <x:c r="D43" s="19" t="n">
        <x:v>66000</x:v>
      </x:c>
      <x:c r="E43" s="19" t="n">
        <x:f>C43-D43</x:f>
        <x:v>422000</x:v>
      </x:c>
      <x:c r="F43" s="19" t="n">
        <x:f>SUM($E$7:E43)</x:f>
        <x:v>2014000</x:v>
      </x:c>
      <x:c r="G43" s="20" t="n">
        <x:v>8</x:v>
      </x:c>
      <x:c r="H43" s="20" t="n">
        <x:v>5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1994000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145000</x:v>
      </x:c>
      <x:c r="D45" s="19" t="n">
        <x:v>181000</x:v>
      </x:c>
      <x:c r="E45" s="19" t="n">
        <x:f>C45-D45</x:f>
        <x:v>-36000</x:v>
      </x:c>
      <x:c r="F45" s="19" t="n">
        <x:f>SUM($E$7:E45)</x:f>
        <x:v>1958000</x:v>
      </x:c>
      <x:c r="G45" s="20" t="n">
        <x:v>16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164000</x:v>
      </x:c>
      <x:c r="D46" s="19" t="n">
        <x:v>142000</x:v>
      </x:c>
      <x:c r="E46" s="19" t="n">
        <x:f>C46-D46</x:f>
        <x:v>22000</x:v>
      </x:c>
      <x:c r="F46" s="19" t="n">
        <x:f>SUM($E$7:E46)</x:f>
        <x:v>1980000</x:v>
      </x:c>
      <x:c r="G46" s="20" t="n">
        <x:v>15</x:v>
      </x:c>
      <x:c r="H46" s="20" t="n">
        <x:v>12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393000</x:v>
      </x:c>
      <x:c r="D47" s="19" t="n">
        <x:v>0</x:v>
      </x:c>
      <x:c r="E47" s="19" t="n">
        <x:f>C47-D47</x:f>
        <x:v>393000</x:v>
      </x:c>
      <x:c r="F47" s="19" t="n">
        <x:f>SUM($E$7:E47)</x:f>
        <x:v>2373000</x:v>
      </x:c>
      <x:c r="G47" s="20" t="n">
        <x:v>4</x:v>
      </x:c>
      <x:c r="H47" s="20" t="n">
        <x:v>3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162000</x:v>
      </x:c>
      <x:c r="D48" s="19" t="n">
        <x:v>61000</x:v>
      </x:c>
      <x:c r="E48" s="19" t="n">
        <x:f>C48-D48</x:f>
        <x:v>101000</x:v>
      </x:c>
      <x:c r="F48" s="19" t="n">
        <x:f>SUM($E$7:E48)</x:f>
        <x:v>2474000</x:v>
      </x:c>
      <x:c r="G48" s="20" t="n">
        <x:v>13</x:v>
      </x:c>
      <x:c r="H48" s="20" t="n">
        <x:v>8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216000</x:v>
      </x:c>
      <x:c r="D49" s="19" t="n">
        <x:v>214000</x:v>
      </x:c>
      <x:c r="E49" s="19" t="n">
        <x:f>C49-D49</x:f>
        <x:v>2000</x:v>
      </x:c>
      <x:c r="F49" s="19" t="n">
        <x:f>SUM($E$7:E49)</x:f>
        <x:v>2476000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536000</x:v>
      </x:c>
      <x:c r="D50" s="19" t="n">
        <x:v>5000</x:v>
      </x:c>
      <x:c r="E50" s="19" t="n">
        <x:f>C50-D50</x:f>
        <x:v>531000</x:v>
      </x:c>
      <x:c r="F50" s="19" t="n">
        <x:f>SUM($E$7:E50)</x:f>
        <x:v>3007000</x:v>
      </x:c>
      <x:c r="G50" s="20" t="n">
        <x:v>12</x:v>
      </x:c>
      <x:c r="H50" s="20" t="n">
        <x:v>7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208000</x:v>
      </x:c>
      <x:c r="D51" s="19" t="n">
        <x:v>200000</x:v>
      </x:c>
      <x:c r="E51" s="19" t="n">
        <x:f>C51-D51</x:f>
        <x:v>8000</x:v>
      </x:c>
      <x:c r="F51" s="19" t="n">
        <x:f>SUM($E$7:E51)</x:f>
        <x:v>3015000</x:v>
      </x:c>
      <x:c r="G51" s="20" t="n">
        <x:v>12</x:v>
      </x:c>
      <x:c r="H51" s="20" t="n">
        <x:v>9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61000</x:v>
      </x:c>
      <x:c r="D52" s="19" t="n">
        <x:v>85000</x:v>
      </x:c>
      <x:c r="E52" s="19" t="n">
        <x:f>C52-D52</x:f>
        <x:v>-24000</x:v>
      </x:c>
      <x:c r="F52" s="19" t="n">
        <x:f>SUM($E$7:E52)</x:f>
        <x:v>2991000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700000</x:v>
      </x:c>
      <x:c r="D53" s="19" t="n">
        <x:v>70000</x:v>
      </x:c>
      <x:c r="E53" s="19" t="n">
        <x:f>C53-D53</x:f>
        <x:v>630000</x:v>
      </x:c>
      <x:c r="F53" s="19" t="n">
        <x:f>SUM($E$7:E53)</x:f>
        <x:v>3621000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171000</x:v>
      </x:c>
      <x:c r="D54" s="19" t="n">
        <x:v>34000</x:v>
      </x:c>
      <x:c r="E54" s="19" t="n">
        <x:f>C54-D54</x:f>
        <x:v>137000</x:v>
      </x:c>
      <x:c r="F54" s="19" t="n">
        <x:f>SUM($E$7:E54)</x:f>
        <x:v>3758000</x:v>
      </x:c>
      <x:c r="G54" s="20" t="n">
        <x:v>6</x:v>
      </x:c>
      <x:c r="H54" s="20" t="n">
        <x:v>5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257000</x:v>
      </x:c>
      <x:c r="D55" s="19" t="n">
        <x:v>45000</x:v>
      </x:c>
      <x:c r="E55" s="19" t="n">
        <x:f>C55-D55</x:f>
        <x:v>212000</x:v>
      </x:c>
      <x:c r="F55" s="19" t="n">
        <x:f>SUM($E$7:E55)</x:f>
        <x:v>3970000</x:v>
      </x:c>
      <x:c r="G55" s="20" t="n">
        <x:v>4</x:v>
      </x:c>
      <x:c r="H55" s="20" t="n">
        <x:v>3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40000</x:v>
      </x:c>
      <x:c r="D56" s="19" t="n">
        <x:v>53000</x:v>
      </x:c>
      <x:c r="E56" s="19" t="n">
        <x:f>C56-D56</x:f>
        <x:v>-13000</x:v>
      </x:c>
      <x:c r="F56" s="19" t="n">
        <x:f>SUM($E$7:E56)</x:f>
        <x:v>3957000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7283000</x:v>
      </x:c>
      <x:c r="D57" s="21" t="n">
        <x:f>SUM(D7:D56)</x:f>
        <x:v>3326000</x:v>
      </x:c>
      <x:c r="E57" s="21" t="n">
        <x:f>SUM(E7:E56)</x:f>
        <x:v>3957000</x:v>
      </x:c>
      <x:c r="F57" s="21" t="n">
        <x:f>F56</x:f>
        <x:v>3957000</x:v>
      </x:c>
      <x:c r="G57" s="22" t="n">
        <x:f>SUM(G7:G56)</x:f>
        <x:v>336</x:v>
      </x:c>
      <x:c r="H57" s="22" t="n">
        <x:f>SUM(H7:H56)</x:f>
        <x:v>247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c2fdf00a2644e70"/>
  </x:tableParts>
</x:worksheet>
</file>

<file path=xl/worksheets/sheet7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P01　部分利確後ピークの50%戻りで残全返済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基本担当の部分利確後だけを変更。部分利確後ピークの50%戻りで残全返済。追加担当は基準と同じ。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30000</x:v>
      </x:c>
      <x:c r="D7" s="19" t="n">
        <x:v>0</x:v>
      </x:c>
      <x:c r="E7" s="19" t="n">
        <x:f>C7-D7</x:f>
        <x:v>30000</x:v>
      </x:c>
      <x:c r="F7" s="19" t="n">
        <x:f>SUM($E$7:E7)</x:f>
        <x:v>30000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-15000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-120000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-104000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50000</x:v>
      </x:c>
      <x:c r="D11" s="19" t="n">
        <x:v>0</x:v>
      </x:c>
      <x:c r="E11" s="19" t="n">
        <x:f>C11-D11</x:f>
        <x:v>50000</x:v>
      </x:c>
      <x:c r="F11" s="19" t="n">
        <x:f>SUM($E$7:E11)</x:f>
        <x:v>-54000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-90000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107000</x:v>
      </x:c>
      <x:c r="D13" s="19" t="n">
        <x:v>60000</x:v>
      </x:c>
      <x:c r="E13" s="19" t="n">
        <x:f>C13-D13</x:f>
        <x:v>47000</x:v>
      </x:c>
      <x:c r="F13" s="19" t="n">
        <x:f>SUM($E$7:E13)</x:f>
        <x:v>-43000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-23000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76000</x:v>
      </x:c>
      <x:c r="D15" s="19" t="n">
        <x:v>46000</x:v>
      </x:c>
      <x:c r="E15" s="19" t="n">
        <x:f>C15-D15</x:f>
        <x:v>30000</x:v>
      </x:c>
      <x:c r="F15" s="19" t="n">
        <x:f>SUM($E$7:E15)</x:f>
        <x:v>7000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3000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175000</x:v>
      </x:c>
      <x:c r="D17" s="19" t="n">
        <x:v>151000</x:v>
      </x:c>
      <x:c r="E17" s="19" t="n">
        <x:f>C17-D17</x:f>
        <x:v>24000</x:v>
      </x:c>
      <x:c r="F17" s="19" t="n">
        <x:f>SUM($E$7:E17)</x:f>
        <x:v>27000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-12000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191000</x:v>
      </x:c>
      <x:c r="D19" s="19" t="n">
        <x:v>127000</x:v>
      </x:c>
      <x:c r="E19" s="19" t="n">
        <x:f>C19-D19</x:f>
        <x:v>64000</x:v>
      </x:c>
      <x:c r="F19" s="19" t="n">
        <x:f>SUM($E$7:E19)</x:f>
        <x:v>52000</x:v>
      </x:c>
      <x:c r="G19" s="20" t="n">
        <x:v>9</x:v>
      </x:c>
      <x:c r="H19" s="20" t="n">
        <x:v>6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103000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178000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205000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472000</x:v>
      </x:c>
      <x:c r="D23" s="19" t="n">
        <x:v>84000</x:v>
      </x:c>
      <x:c r="E23" s="19" t="n">
        <x:f>C23-D23</x:f>
        <x:v>388000</x:v>
      </x:c>
      <x:c r="F23" s="19" t="n">
        <x:f>SUM($E$7:E23)</x:f>
        <x:v>593000</x:v>
      </x:c>
      <x:c r="G23" s="20" t="n">
        <x:v>5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146000</x:v>
      </x:c>
      <x:c r="D24" s="19" t="n">
        <x:v>85000</x:v>
      </x:c>
      <x:c r="E24" s="19" t="n">
        <x:f>C24-D24</x:f>
        <x:v>61000</x:v>
      </x:c>
      <x:c r="F24" s="19" t="n">
        <x:f>SUM($E$7:E24)</x:f>
        <x:v>654000</x:v>
      </x:c>
      <x:c r="G24" s="20" t="n">
        <x:v>12</x:v>
      </x:c>
      <x:c r="H24" s="20" t="n">
        <x:v>8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65000</x:v>
      </x:c>
      <x:c r="D25" s="19" t="n">
        <x:v>107000</x:v>
      </x:c>
      <x:c r="E25" s="19" t="n">
        <x:f>C25-D25</x:f>
        <x:v>-42000</x:v>
      </x:c>
      <x:c r="F25" s="19" t="n">
        <x:f>SUM($E$7:E25)</x:f>
        <x:v>612000</x:v>
      </x:c>
      <x:c r="G25" s="20" t="n">
        <x:v>9</x:v>
      </x:c>
      <x:c r="H25" s="20" t="n">
        <x:v>5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182000</x:v>
      </x:c>
      <x:c r="D26" s="19" t="n">
        <x:v>0</x:v>
      </x:c>
      <x:c r="E26" s="19" t="n">
        <x:f>C26-D26</x:f>
        <x:v>182000</x:v>
      </x:c>
      <x:c r="F26" s="19" t="n">
        <x:f>SUM($E$7:E26)</x:f>
        <x:v>794000</x:v>
      </x:c>
      <x:c r="G26" s="20" t="n">
        <x:v>11</x:v>
      </x:c>
      <x:c r="H26" s="20" t="n">
        <x:v>6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85000</x:v>
      </x:c>
      <x:c r="D27" s="19" t="n">
        <x:v>148000</x:v>
      </x:c>
      <x:c r="E27" s="19" t="n">
        <x:f>C27-D27</x:f>
        <x:v>-63000</x:v>
      </x:c>
      <x:c r="F27" s="19" t="n">
        <x:f>SUM($E$7:E27)</x:f>
        <x:v>731000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94000</x:v>
      </x:c>
      <x:c r="D28" s="19" t="n">
        <x:v>20000</x:v>
      </x:c>
      <x:c r="E28" s="19" t="n">
        <x:f>C28-D28</x:f>
        <x:v>74000</x:v>
      </x:c>
      <x:c r="F28" s="19" t="n">
        <x:f>SUM($E$7:E28)</x:f>
        <x:v>805000</x:v>
      </x:c>
      <x:c r="G28" s="20" t="n">
        <x:v>5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267000</x:v>
      </x:c>
      <x:c r="D29" s="19" t="n">
        <x:v>138000</x:v>
      </x:c>
      <x:c r="E29" s="19" t="n">
        <x:f>C29-D29</x:f>
        <x:v>129000</x:v>
      </x:c>
      <x:c r="F29" s="19" t="n">
        <x:f>SUM($E$7:E29)</x:f>
        <x:v>934000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924000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96000</x:v>
      </x:c>
      <x:c r="D31" s="19" t="n">
        <x:v>42000</x:v>
      </x:c>
      <x:c r="E31" s="19" t="n">
        <x:f>C31-D31</x:f>
        <x:v>54000</x:v>
      </x:c>
      <x:c r="F31" s="19" t="n">
        <x:f>SUM($E$7:E31)</x:f>
        <x:v>978000</x:v>
      </x:c>
      <x:c r="G31" s="20" t="n">
        <x:v>7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935000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181000</x:v>
      </x:c>
      <x:c r="D33" s="19" t="n">
        <x:v>130000</x:v>
      </x:c>
      <x:c r="E33" s="19" t="n">
        <x:f>C33-D33</x:f>
        <x:v>51000</x:v>
      </x:c>
      <x:c r="F33" s="19" t="n">
        <x:f>SUM($E$7:E33)</x:f>
        <x:v>986000</x:v>
      </x:c>
      <x:c r="G33" s="20" t="n">
        <x:v>10</x:v>
      </x:c>
      <x:c r="H33" s="20" t="n">
        <x:v>8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144000</x:v>
      </x:c>
      <x:c r="D34" s="19" t="n">
        <x:v>0</x:v>
      </x:c>
      <x:c r="E34" s="19" t="n">
        <x:f>C34-D34</x:f>
        <x:v>144000</x:v>
      </x:c>
      <x:c r="F34" s="19" t="n">
        <x:f>SUM($E$7:E34)</x:f>
        <x:v>1130000</x:v>
      </x:c>
      <x:c r="G34" s="20" t="n">
        <x:v>8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134000</x:v>
      </x:c>
      <x:c r="D35" s="19" t="n">
        <x:v>68000</x:v>
      </x:c>
      <x:c r="E35" s="19" t="n">
        <x:f>C35-D35</x:f>
        <x:v>66000</x:v>
      </x:c>
      <x:c r="F35" s="19" t="n">
        <x:f>SUM($E$7:E35)</x:f>
        <x:v>1196000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1210000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61000</x:v>
      </x:c>
      <x:c r="D37" s="19" t="n">
        <x:v>53000</x:v>
      </x:c>
      <x:c r="E37" s="19" t="n">
        <x:f>C37-D37</x:f>
        <x:v>8000</x:v>
      </x:c>
      <x:c r="F37" s="19" t="n">
        <x:f>SUM($E$7:E37)</x:f>
        <x:v>1218000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1325000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149000</x:v>
      </x:c>
      <x:c r="D39" s="19" t="n">
        <x:v>165000</x:v>
      </x:c>
      <x:c r="E39" s="19" t="n">
        <x:f>C39-D39</x:f>
        <x:v>-16000</x:v>
      </x:c>
      <x:c r="F39" s="19" t="n">
        <x:f>SUM($E$7:E39)</x:f>
        <x:v>1309000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1256000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1333000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1508000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502000</x:v>
      </x:c>
      <x:c r="D43" s="19" t="n">
        <x:v>66000</x:v>
      </x:c>
      <x:c r="E43" s="19" t="n">
        <x:f>C43-D43</x:f>
        <x:v>436000</x:v>
      </x:c>
      <x:c r="F43" s="19" t="n">
        <x:f>SUM($E$7:E43)</x:f>
        <x:v>1944000</x:v>
      </x:c>
      <x:c r="G43" s="20" t="n">
        <x:v>8</x:v>
      </x:c>
      <x:c r="H43" s="20" t="n">
        <x:v>5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1924000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143000</x:v>
      </x:c>
      <x:c r="D45" s="19" t="n">
        <x:v>168000</x:v>
      </x:c>
      <x:c r="E45" s="19" t="n">
        <x:f>C45-D45</x:f>
        <x:v>-25000</x:v>
      </x:c>
      <x:c r="F45" s="19" t="n">
        <x:f>SUM($E$7:E45)</x:f>
        <x:v>1899000</x:v>
      </x:c>
      <x:c r="G45" s="20" t="n">
        <x:v>15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160000</x:v>
      </x:c>
      <x:c r="D46" s="19" t="n">
        <x:v>142000</x:v>
      </x:c>
      <x:c r="E46" s="19" t="n">
        <x:f>C46-D46</x:f>
        <x:v>18000</x:v>
      </x:c>
      <x:c r="F46" s="19" t="n">
        <x:f>SUM($E$7:E46)</x:f>
        <x:v>1917000</x:v>
      </x:c>
      <x:c r="G46" s="20" t="n">
        <x:v>14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420000</x:v>
      </x:c>
      <x:c r="D47" s="19" t="n">
        <x:v>16000</x:v>
      </x:c>
      <x:c r="E47" s="19" t="n">
        <x:f>C47-D47</x:f>
        <x:v>404000</x:v>
      </x:c>
      <x:c r="F47" s="19" t="n">
        <x:f>SUM($E$7:E47)</x:f>
        <x:v>2321000</x:v>
      </x:c>
      <x:c r="G47" s="20" t="n">
        <x:v>12</x:v>
      </x:c>
      <x:c r="H47" s="20" t="n">
        <x:v>7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95000</x:v>
      </x:c>
      <x:c r="D48" s="19" t="n">
        <x:v>34000</x:v>
      </x:c>
      <x:c r="E48" s="19" t="n">
        <x:f>C48-D48</x:f>
        <x:v>61000</x:v>
      </x:c>
      <x:c r="F48" s="19" t="n">
        <x:f>SUM($E$7:E48)</x:f>
        <x:v>2382000</x:v>
      </x:c>
      <x:c r="G48" s="20" t="n">
        <x:v>9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243000</x:v>
      </x:c>
      <x:c r="D49" s="19" t="n">
        <x:v>214000</x:v>
      </x:c>
      <x:c r="E49" s="19" t="n">
        <x:f>C49-D49</x:f>
        <x:v>29000</x:v>
      </x:c>
      <x:c r="F49" s="19" t="n">
        <x:f>SUM($E$7:E49)</x:f>
        <x:v>2411000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520000</x:v>
      </x:c>
      <x:c r="D50" s="19" t="n">
        <x:v>0</x:v>
      </x:c>
      <x:c r="E50" s="19" t="n">
        <x:f>C50-D50</x:f>
        <x:v>520000</x:v>
      </x:c>
      <x:c r="F50" s="19" t="n">
        <x:f>SUM($E$7:E50)</x:f>
        <x:v>2931000</x:v>
      </x:c>
      <x:c r="G50" s="20" t="n">
        <x:v>11</x:v>
      </x:c>
      <x:c r="H50" s="20" t="n">
        <x:v>6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226000</x:v>
      </x:c>
      <x:c r="D51" s="19" t="n">
        <x:v>200000</x:v>
      </x:c>
      <x:c r="E51" s="19" t="n">
        <x:f>C51-D51</x:f>
        <x:v>26000</x:v>
      </x:c>
      <x:c r="F51" s="19" t="n">
        <x:f>SUM($E$7:E51)</x:f>
        <x:v>2957000</x:v>
      </x:c>
      <x:c r="G51" s="20" t="n">
        <x:v>12</x:v>
      </x:c>
      <x:c r="H51" s="20" t="n">
        <x:v>9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2917000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727000</x:v>
      </x:c>
      <x:c r="D53" s="19" t="n">
        <x:v>70000</x:v>
      </x:c>
      <x:c r="E53" s="19" t="n">
        <x:f>C53-D53</x:f>
        <x:v>657000</x:v>
      </x:c>
      <x:c r="F53" s="19" t="n">
        <x:f>SUM($E$7:E53)</x:f>
        <x:v>3574000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164000</x:v>
      </x:c>
      <x:c r="D54" s="19" t="n">
        <x:v>10000</x:v>
      </x:c>
      <x:c r="E54" s="19" t="n">
        <x:f>C54-D54</x:f>
        <x:v>154000</x:v>
      </x:c>
      <x:c r="F54" s="19" t="n">
        <x:f>SUM($E$7:E54)</x:f>
        <x:v>3728000</x:v>
      </x:c>
      <x:c r="G54" s="20" t="n">
        <x:v>4</x:v>
      </x:c>
      <x:c r="H54" s="20" t="n">
        <x:v>3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218000</x:v>
      </x:c>
      <x:c r="D55" s="19" t="n">
        <x:v>99000</x:v>
      </x:c>
      <x:c r="E55" s="19" t="n">
        <x:f>C55-D55</x:f>
        <x:v>119000</x:v>
      </x:c>
      <x:c r="F55" s="19" t="n">
        <x:f>SUM($E$7:E55)</x:f>
        <x:v>3847000</x:v>
      </x:c>
      <x:c r="G55" s="20" t="n">
        <x:v>7</x:v>
      </x:c>
      <x:c r="H55" s="20" t="n">
        <x:v>5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3816000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7140000</x:v>
      </x:c>
      <x:c r="D57" s="21" t="n">
        <x:f>SUM(D7:D56)</x:f>
        <x:v>3324000</x:v>
      </x:c>
      <x:c r="E57" s="21" t="n">
        <x:f>SUM(E7:E56)</x:f>
        <x:v>3816000</x:v>
      </x:c>
      <x:c r="F57" s="21" t="n">
        <x:f>F56</x:f>
        <x:v>3816000</x:v>
      </x:c>
      <x:c r="G57" s="22" t="n">
        <x:f>SUM(G7:G56)</x:f>
        <x:v>336</x:v>
      </x:c>
      <x:c r="H57" s="22" t="n">
        <x:f>SUM(H7:H56)</x:f>
        <x:v>245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8b7ad217d1948d5"/>
  </x:tableParts>
</x:worksheet>
</file>

<file path=xl/worksheets/sheet8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C02　昼夜別に前半30場で固定した組合せ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Day P01＋V05 / Night R03＋V10。同じ期間の事後選抜を新しい期間の実績と混同しない。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30000</x:v>
      </x:c>
      <x:c r="D7" s="19" t="n">
        <x:v>0</x:v>
      </x:c>
      <x:c r="E7" s="19" t="n">
        <x:f>C7-D7</x:f>
        <x:v>30000</x:v>
      </x:c>
      <x:c r="F7" s="19" t="n">
        <x:f>SUM($E$7:E7)</x:f>
        <x:v>30000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-15000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-120000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32000</x:v>
      </x:c>
      <x:c r="D10" s="19" t="n">
        <x:v>0</x:v>
      </x:c>
      <x:c r="E10" s="19" t="n">
        <x:f>C10-D10</x:f>
        <x:v>32000</x:v>
      </x:c>
      <x:c r="F10" s="19" t="n">
        <x:f>SUM($E$7:E10)</x:f>
        <x:v>-88000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50000</x:v>
      </x:c>
      <x:c r="D11" s="19" t="n">
        <x:v>0</x:v>
      </x:c>
      <x:c r="E11" s="19" t="n">
        <x:f>C11-D11</x:f>
        <x:v>50000</x:v>
      </x:c>
      <x:c r="F11" s="19" t="n">
        <x:f>SUM($E$7:E11)</x:f>
        <x:v>-38000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-74000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137000</x:v>
      </x:c>
      <x:c r="D13" s="19" t="n">
        <x:v>60000</x:v>
      </x:c>
      <x:c r="E13" s="19" t="n">
        <x:f>C13-D13</x:f>
        <x:v>77000</x:v>
      </x:c>
      <x:c r="F13" s="19" t="n">
        <x:f>SUM($E$7:E13)</x:f>
        <x:v>3000</x:v>
      </x:c>
      <x:c r="G13" s="20" t="n">
        <x:v>5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30000</x:v>
      </x:c>
      <x:c r="D14" s="19" t="n">
        <x:v>0</x:v>
      </x:c>
      <x:c r="E14" s="19" t="n">
        <x:f>C14-D14</x:f>
        <x:v>30000</x:v>
      </x:c>
      <x:c r="F14" s="19" t="n">
        <x:f>SUM($E$7:E14)</x:f>
        <x:v>33000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65000</x:v>
      </x:c>
      <x:c r="D15" s="19" t="n">
        <x:v>48000</x:v>
      </x:c>
      <x:c r="E15" s="19" t="n">
        <x:f>C15-D15</x:f>
        <x:v>17000</x:v>
      </x:c>
      <x:c r="F15" s="19" t="n">
        <x:f>SUM($E$7:E15)</x:f>
        <x:v>50000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25000</x:v>
      </x:c>
      <x:c r="D16" s="19" t="n">
        <x:v>16000</x:v>
      </x:c>
      <x:c r="E16" s="19" t="n">
        <x:f>C16-D16</x:f>
        <x:v>9000</x:v>
      </x:c>
      <x:c r="F16" s="19" t="n">
        <x:f>SUM($E$7:E16)</x:f>
        <x:v>59000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175000</x:v>
      </x:c>
      <x:c r="D17" s="19" t="n">
        <x:v>151000</x:v>
      </x:c>
      <x:c r="E17" s="19" t="n">
        <x:f>C17-D17</x:f>
        <x:v>24000</x:v>
      </x:c>
      <x:c r="F17" s="19" t="n">
        <x:f>SUM($E$7:E17)</x:f>
        <x:v>83000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46000</x:v>
      </x:c>
      <x:c r="D18" s="19" t="n">
        <x:v>48000</x:v>
      </x:c>
      <x:c r="E18" s="19" t="n">
        <x:f>C18-D18</x:f>
        <x:v>-2000</x:v>
      </x:c>
      <x:c r="F18" s="19" t="n">
        <x:f>SUM($E$7:E18)</x:f>
        <x:v>81000</x:v>
      </x:c>
      <x:c r="G18" s="20" t="n">
        <x:v>7</x:v>
      </x:c>
      <x:c r="H18" s="20" t="n">
        <x:v>6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191000</x:v>
      </x:c>
      <x:c r="D19" s="19" t="n">
        <x:v>127000</x:v>
      </x:c>
      <x:c r="E19" s="19" t="n">
        <x:f>C19-D19</x:f>
        <x:v>64000</x:v>
      </x:c>
      <x:c r="F19" s="19" t="n">
        <x:f>SUM($E$7:E19)</x:f>
        <x:v>145000</x:v>
      </x:c>
      <x:c r="G19" s="20" t="n">
        <x:v>9</x:v>
      </x:c>
      <x:c r="H19" s="20" t="n">
        <x:v>6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100000</x:v>
      </x:c>
      <x:c r="D20" s="19" t="n">
        <x:v>72000</x:v>
      </x:c>
      <x:c r="E20" s="19" t="n">
        <x:f>C20-D20</x:f>
        <x:v>28000</x:v>
      </x:c>
      <x:c r="F20" s="19" t="n">
        <x:f>SUM($E$7:E20)</x:f>
        <x:v>173000</x:v>
      </x:c>
      <x:c r="G20" s="20" t="n">
        <x:v>7</x:v>
      </x:c>
      <x:c r="H20" s="20" t="n">
        <x:v>6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248000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47000</x:v>
      </x:c>
      <x:c r="D22" s="19" t="n">
        <x:v>0</x:v>
      </x:c>
      <x:c r="E22" s="19" t="n">
        <x:f>C22-D22</x:f>
        <x:v>47000</x:v>
      </x:c>
      <x:c r="F22" s="19" t="n">
        <x:f>SUM($E$7:E22)</x:f>
        <x:v>295000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355000</x:v>
      </x:c>
      <x:c r="D23" s="19" t="n">
        <x:v>84000</x:v>
      </x:c>
      <x:c r="E23" s="19" t="n">
        <x:f>C23-D23</x:f>
        <x:v>271000</x:v>
      </x:c>
      <x:c r="F23" s="19" t="n">
        <x:f>SUM($E$7:E23)</x:f>
        <x:v>566000</x:v>
      </x:c>
      <x:c r="G23" s="20" t="n">
        <x:v>4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151000</x:v>
      </x:c>
      <x:c r="D24" s="19" t="n">
        <x:v>154000</x:v>
      </x:c>
      <x:c r="E24" s="19" t="n">
        <x:f>C24-D24</x:f>
        <x:v>-3000</x:v>
      </x:c>
      <x:c r="F24" s="19" t="n">
        <x:f>SUM($E$7:E24)</x:f>
        <x:v>563000</x:v>
      </x:c>
      <x:c r="G24" s="20" t="n">
        <x:v>20</x:v>
      </x:c>
      <x:c r="H24" s="20" t="n">
        <x:v>14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64000</x:v>
      </x:c>
      <x:c r="D25" s="19" t="n">
        <x:v>73000</x:v>
      </x:c>
      <x:c r="E25" s="19" t="n">
        <x:f>C25-D25</x:f>
        <x:v>-9000</x:v>
      </x:c>
      <x:c r="F25" s="19" t="n">
        <x:f>SUM($E$7:E25)</x:f>
        <x:v>554000</x:v>
      </x:c>
      <x:c r="G25" s="20" t="n">
        <x:v>9</x:v>
      </x:c>
      <x:c r="H25" s="20" t="n">
        <x:v>4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365000</x:v>
      </x:c>
      <x:c r="D26" s="19" t="n">
        <x:v>86000</x:v>
      </x:c>
      <x:c r="E26" s="19" t="n">
        <x:f>C26-D26</x:f>
        <x:v>279000</x:v>
      </x:c>
      <x:c r="F26" s="19" t="n">
        <x:f>SUM($E$7:E26)</x:f>
        <x:v>833000</x:v>
      </x:c>
      <x:c r="G26" s="20" t="n">
        <x:v>27</x:v>
      </x:c>
      <x:c r="H26" s="20" t="n">
        <x:v>17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88000</x:v>
      </x:c>
      <x:c r="D27" s="19" t="n">
        <x:v>148000</x:v>
      </x:c>
      <x:c r="E27" s="19" t="n">
        <x:f>C27-D27</x:f>
        <x:v>-60000</x:v>
      </x:c>
      <x:c r="F27" s="19" t="n">
        <x:f>SUM($E$7:E27)</x:f>
        <x:v>773000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113000</x:v>
      </x:c>
      <x:c r="D28" s="19" t="n">
        <x:v>64000</x:v>
      </x:c>
      <x:c r="E28" s="19" t="n">
        <x:f>C28-D28</x:f>
        <x:v>49000</x:v>
      </x:c>
      <x:c r="F28" s="19" t="n">
        <x:f>SUM($E$7:E28)</x:f>
        <x:v>822000</x:v>
      </x:c>
      <x:c r="G28" s="20" t="n">
        <x:v>7</x:v>
      </x:c>
      <x:c r="H28" s="20" t="n">
        <x:v>5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269000</x:v>
      </x:c>
      <x:c r="D29" s="19" t="n">
        <x:v>122000</x:v>
      </x:c>
      <x:c r="E29" s="19" t="n">
        <x:f>C29-D29</x:f>
        <x:v>147000</x:v>
      </x:c>
      <x:c r="F29" s="19" t="n">
        <x:f>SUM($E$7:E29)</x:f>
        <x:v>969000</x:v>
      </x:c>
      <x:c r="G29" s="20" t="n">
        <x:v>10</x:v>
      </x:c>
      <x:c r="H29" s="20" t="n">
        <x:v>7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19000</x:v>
      </x:c>
      <x:c r="D30" s="19" t="n">
        <x:v>43000</x:v>
      </x:c>
      <x:c r="E30" s="19" t="n">
        <x:f>C30-D30</x:f>
        <x:v>-24000</x:v>
      </x:c>
      <x:c r="F30" s="19" t="n">
        <x:f>SUM($E$7:E30)</x:f>
        <x:v>945000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144000</x:v>
      </x:c>
      <x:c r="D31" s="19" t="n">
        <x:v>47000</x:v>
      </x:c>
      <x:c r="E31" s="19" t="n">
        <x:f>C31-D31</x:f>
        <x:v>97000</x:v>
      </x:c>
      <x:c r="F31" s="19" t="n">
        <x:f>SUM($E$7:E31)</x:f>
        <x:v>1042000</x:v>
      </x:c>
      <x:c r="G31" s="20" t="n">
        <x:v>8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999000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153000</x:v>
      </x:c>
      <x:c r="D33" s="19" t="n">
        <x:v>130000</x:v>
      </x:c>
      <x:c r="E33" s="19" t="n">
        <x:f>C33-D33</x:f>
        <x:v>23000</x:v>
      </x:c>
      <x:c r="F33" s="19" t="n">
        <x:f>SUM($E$7:E33)</x:f>
        <x:v>1022000</x:v>
      </x:c>
      <x:c r="G33" s="20" t="n">
        <x:v>10</x:v>
      </x:c>
      <x:c r="H33" s="20" t="n">
        <x:v>8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460000</x:v>
      </x:c>
      <x:c r="D34" s="19" t="n">
        <x:v>17000</x:v>
      </x:c>
      <x:c r="E34" s="19" t="n">
        <x:f>C34-D34</x:f>
        <x:v>443000</x:v>
      </x:c>
      <x:c r="F34" s="19" t="n">
        <x:f>SUM($E$7:E34)</x:f>
        <x:v>1465000</x:v>
      </x:c>
      <x:c r="G34" s="20" t="n">
        <x:v>14</x:v>
      </x:c>
      <x:c r="H34" s="20" t="n">
        <x:v>9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111000</x:v>
      </x:c>
      <x:c r="D35" s="19" t="n">
        <x:v>68000</x:v>
      </x:c>
      <x:c r="E35" s="19" t="n">
        <x:f>C35-D35</x:f>
        <x:v>43000</x:v>
      </x:c>
      <x:c r="F35" s="19" t="n">
        <x:f>SUM($E$7:E35)</x:f>
        <x:v>1508000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13000</x:v>
      </x:c>
      <x:c r="D36" s="19" t="n">
        <x:v>0</x:v>
      </x:c>
      <x:c r="E36" s="19" t="n">
        <x:f>C36-D36</x:f>
        <x:v>13000</x:v>
      </x:c>
      <x:c r="F36" s="19" t="n">
        <x:f>SUM($E$7:E36)</x:f>
        <x:v>1521000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61000</x:v>
      </x:c>
      <x:c r="D37" s="19" t="n">
        <x:v>53000</x:v>
      </x:c>
      <x:c r="E37" s="19" t="n">
        <x:f>C37-D37</x:f>
        <x:v>8000</x:v>
      </x:c>
      <x:c r="F37" s="19" t="n">
        <x:f>SUM($E$7:E37)</x:f>
        <x:v>1529000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88000</x:v>
      </x:c>
      <x:c r="D38" s="19" t="n">
        <x:v>0</x:v>
      </x:c>
      <x:c r="E38" s="19" t="n">
        <x:f>C38-D38</x:f>
        <x:v>88000</x:v>
      </x:c>
      <x:c r="F38" s="19" t="n">
        <x:f>SUM($E$7:E38)</x:f>
        <x:v>1617000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181000</x:v>
      </x:c>
      <x:c r="D39" s="19" t="n">
        <x:v>117000</x:v>
      </x:c>
      <x:c r="E39" s="19" t="n">
        <x:f>C39-D39</x:f>
        <x:v>64000</x:v>
      </x:c>
      <x:c r="F39" s="19" t="n">
        <x:f>SUM($E$7:E39)</x:f>
        <x:v>1681000</x:v>
      </x:c>
      <x:c r="G39" s="20" t="n">
        <x:v>12</x:v>
      </x:c>
      <x:c r="H39" s="20" t="n">
        <x:v>9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1628000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1705000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200000</x:v>
      </x:c>
      <x:c r="D42" s="19" t="n">
        <x:v>61000</x:v>
      </x:c>
      <x:c r="E42" s="19" t="n">
        <x:f>C42-D42</x:f>
        <x:v>139000</x:v>
      </x:c>
      <x:c r="F42" s="19" t="n">
        <x:f>SUM($E$7:E42)</x:f>
        <x:v>1844000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488000</x:v>
      </x:c>
      <x:c r="D43" s="19" t="n">
        <x:v>66000</x:v>
      </x:c>
      <x:c r="E43" s="19" t="n">
        <x:f>C43-D43</x:f>
        <x:v>422000</x:v>
      </x:c>
      <x:c r="F43" s="19" t="n">
        <x:f>SUM($E$7:E43)</x:f>
        <x:v>2266000</x:v>
      </x:c>
      <x:c r="G43" s="20" t="n">
        <x:v>8</x:v>
      </x:c>
      <x:c r="H43" s="20" t="n">
        <x:v>5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225000</x:v>
      </x:c>
      <x:c r="D44" s="19" t="n">
        <x:v>111000</x:v>
      </x:c>
      <x:c r="E44" s="19" t="n">
        <x:f>C44-D44</x:f>
        <x:v>114000</x:v>
      </x:c>
      <x:c r="F44" s="19" t="n">
        <x:f>SUM($E$7:E44)</x:f>
        <x:v>2380000</x:v>
      </x:c>
      <x:c r="G44" s="20" t="n">
        <x:v>14</x:v>
      </x:c>
      <x:c r="H44" s="20" t="n">
        <x:v>9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145000</x:v>
      </x:c>
      <x:c r="D45" s="19" t="n">
        <x:v>181000</x:v>
      </x:c>
      <x:c r="E45" s="19" t="n">
        <x:f>C45-D45</x:f>
        <x:v>-36000</x:v>
      </x:c>
      <x:c r="F45" s="19" t="n">
        <x:f>SUM($E$7:E45)</x:f>
        <x:v>2344000</x:v>
      </x:c>
      <x:c r="G45" s="20" t="n">
        <x:v>16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74000</x:v>
      </x:c>
      <x:c r="D46" s="19" t="n">
        <x:v>163000</x:v>
      </x:c>
      <x:c r="E46" s="19" t="n">
        <x:f>C46-D46</x:f>
        <x:v>-89000</x:v>
      </x:c>
      <x:c r="F46" s="19" t="n">
        <x:f>SUM($E$7:E46)</x:f>
        <x:v>2255000</x:v>
      </x:c>
      <x:c r="G46" s="20" t="n">
        <x:v>15</x:v>
      </x:c>
      <x:c r="H46" s="20" t="n">
        <x:v>12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393000</x:v>
      </x:c>
      <x:c r="D47" s="19" t="n">
        <x:v>0</x:v>
      </x:c>
      <x:c r="E47" s="19" t="n">
        <x:f>C47-D47</x:f>
        <x:v>393000</x:v>
      </x:c>
      <x:c r="F47" s="19" t="n">
        <x:f>SUM($E$7:E47)</x:f>
        <x:v>2648000</x:v>
      </x:c>
      <x:c r="G47" s="20" t="n">
        <x:v>4</x:v>
      </x:c>
      <x:c r="H47" s="20" t="n">
        <x:v>3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164000</x:v>
      </x:c>
      <x:c r="D48" s="19" t="n">
        <x:v>39000</x:v>
      </x:c>
      <x:c r="E48" s="19" t="n">
        <x:f>C48-D48</x:f>
        <x:v>125000</x:v>
      </x:c>
      <x:c r="F48" s="19" t="n">
        <x:f>SUM($E$7:E48)</x:f>
        <x:v>2773000</x:v>
      </x:c>
      <x:c r="G48" s="20" t="n">
        <x:v>16</x:v>
      </x:c>
      <x:c r="H48" s="20" t="n">
        <x:v>9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216000</x:v>
      </x:c>
      <x:c r="D49" s="19" t="n">
        <x:v>214000</x:v>
      </x:c>
      <x:c r="E49" s="19" t="n">
        <x:f>C49-D49</x:f>
        <x:v>2000</x:v>
      </x:c>
      <x:c r="F49" s="19" t="n">
        <x:f>SUM($E$7:E49)</x:f>
        <x:v>2775000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543000</x:v>
      </x:c>
      <x:c r="D50" s="19" t="n">
        <x:v>49000</x:v>
      </x:c>
      <x:c r="E50" s="19" t="n">
        <x:f>C50-D50</x:f>
        <x:v>494000</x:v>
      </x:c>
      <x:c r="F50" s="19" t="n">
        <x:f>SUM($E$7:E50)</x:f>
        <x:v>3269000</x:v>
      </x:c>
      <x:c r="G50" s="20" t="n">
        <x:v>14</x:v>
      </x:c>
      <x:c r="H50" s="20" t="n">
        <x:v>9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208000</x:v>
      </x:c>
      <x:c r="D51" s="19" t="n">
        <x:v>200000</x:v>
      </x:c>
      <x:c r="E51" s="19" t="n">
        <x:f>C51-D51</x:f>
        <x:v>8000</x:v>
      </x:c>
      <x:c r="F51" s="19" t="n">
        <x:f>SUM($E$7:E51)</x:f>
        <x:v>3277000</x:v>
      </x:c>
      <x:c r="G51" s="20" t="n">
        <x:v>12</x:v>
      </x:c>
      <x:c r="H51" s="20" t="n">
        <x:v>9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67000</x:v>
      </x:c>
      <x:c r="D52" s="19" t="n">
        <x:v>85000</x:v>
      </x:c>
      <x:c r="E52" s="19" t="n">
        <x:f>C52-D52</x:f>
        <x:v>-18000</x:v>
      </x:c>
      <x:c r="F52" s="19" t="n">
        <x:f>SUM($E$7:E52)</x:f>
        <x:v>3259000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700000</x:v>
      </x:c>
      <x:c r="D53" s="19" t="n">
        <x:v>70000</x:v>
      </x:c>
      <x:c r="E53" s="19" t="n">
        <x:f>C53-D53</x:f>
        <x:v>630000</x:v>
      </x:c>
      <x:c r="F53" s="19" t="n">
        <x:f>SUM($E$7:E53)</x:f>
        <x:v>3889000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183000</x:v>
      </x:c>
      <x:c r="D54" s="19" t="n">
        <x:v>112000</x:v>
      </x:c>
      <x:c r="E54" s="19" t="n">
        <x:f>C54-D54</x:f>
        <x:v>71000</x:v>
      </x:c>
      <x:c r="F54" s="19" t="n">
        <x:f>SUM($E$7:E54)</x:f>
        <x:v>3960000</x:v>
      </x:c>
      <x:c r="G54" s="20" t="n">
        <x:v>11</x:v>
      </x:c>
      <x:c r="H54" s="20" t="n">
        <x:v>8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257000</x:v>
      </x:c>
      <x:c r="D55" s="19" t="n">
        <x:v>45000</x:v>
      </x:c>
      <x:c r="E55" s="19" t="n">
        <x:f>C55-D55</x:f>
        <x:v>212000</x:v>
      </x:c>
      <x:c r="F55" s="19" t="n">
        <x:f>SUM($E$7:E55)</x:f>
        <x:v>4172000</x:v>
      </x:c>
      <x:c r="G55" s="20" t="n">
        <x:v>4</x:v>
      </x:c>
      <x:c r="H55" s="20" t="n">
        <x:v>3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47000</x:v>
      </x:c>
      <x:c r="D56" s="19" t="n">
        <x:v>53000</x:v>
      </x:c>
      <x:c r="E56" s="19" t="n">
        <x:f>C56-D56</x:f>
        <x:v>-6000</x:v>
      </x:c>
      <x:c r="F56" s="19" t="n">
        <x:f>SUM($E$7:E56)</x:f>
        <x:v>4166000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7801000</x:v>
      </x:c>
      <x:c r="D57" s="21" t="n">
        <x:f>SUM(D7:D56)</x:f>
        <x:v>3635000</x:v>
      </x:c>
      <x:c r="E57" s="21" t="n">
        <x:f>SUM(E7:E56)</x:f>
        <x:v>4166000</x:v>
      </x:c>
      <x:c r="F57" s="21" t="n">
        <x:f>F56</x:f>
        <x:v>4166000</x:v>
      </x:c>
      <x:c r="G57" s="22" t="n">
        <x:f>SUM(G7:G56)</x:f>
        <x:v>383</x:v>
      </x:c>
      <x:c r="H57" s="22" t="n">
        <x:f>SUM(H7:H56)</x:f>
        <x:v>277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ce3d82c643403f"/>
  </x:tableParts>
</x:worksheet>
</file>

<file path=xl/worksheets/sheet9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V16　V10の確認ドテンに40分差の方向一致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V10のドテンだけに公開40分の支持を追加。通常の入口・数量・出口は同じ。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-29000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-33000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148000</x:v>
      </x:c>
      <x:c r="D13" s="19" t="n">
        <x:v>96000</x:v>
      </x:c>
      <x:c r="E13" s="19" t="n">
        <x:f>C13-D13</x:f>
        <x:v>52000</x:v>
      </x:c>
      <x:c r="F13" s="19" t="n">
        <x:f>SUM($E$7:E13)</x:f>
        <x:v>-17000</x:v>
      </x:c>
      <x:c r="G13" s="20" t="n">
        <x:v>11</x:v>
      </x:c>
      <x:c r="H13" s="20" t="n">
        <x:v>7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3000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224000</x:v>
      </x:c>
      <x:c r="D15" s="19" t="n">
        <x:v>62000</x:v>
      </x:c>
      <x:c r="E15" s="19" t="n">
        <x:f>C15-D15</x:f>
        <x:v>162000</x:v>
      </x:c>
      <x:c r="F15" s="19" t="n">
        <x:f>SUM($E$7:E15)</x:f>
        <x:v>165000</x:v>
      </x:c>
      <x:c r="G15" s="20" t="n">
        <x:v>11</x:v>
      </x:c>
      <x:c r="H15" s="20" t="n">
        <x:v>8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161000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397000</x:v>
      </x:c>
      <x:c r="D17" s="19" t="n">
        <x:v>170000</x:v>
      </x:c>
      <x:c r="E17" s="19" t="n">
        <x:f>C17-D17</x:f>
        <x:v>227000</x:v>
      </x:c>
      <x:c r="F17" s="19" t="n">
        <x:f>SUM($E$7:E17)</x:f>
        <x:v>388000</x:v>
      </x:c>
      <x:c r="G17" s="20" t="n">
        <x:v>11</x:v>
      </x:c>
      <x:c r="H17" s="20" t="n">
        <x:v>8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10000</x:v>
      </x:c>
      <x:c r="D18" s="19" t="n">
        <x:v>48000</x:v>
      </x:c>
      <x:c r="E18" s="19" t="n">
        <x:f>C18-D18</x:f>
        <x:v>-38000</x:v>
      </x:c>
      <x:c r="F18" s="19" t="n">
        <x:f>SUM($E$7:E18)</x:f>
        <x:v>350000</x:v>
      </x:c>
      <x:c r="G18" s="20" t="n">
        <x:v>6</x:v>
      </x:c>
      <x:c r="H18" s="20" t="n">
        <x:v>5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339000</x:v>
      </x:c>
      <x:c r="D19" s="19" t="n">
        <x:v>134000</x:v>
      </x:c>
      <x:c r="E19" s="19" t="n">
        <x:f>C19-D19</x:f>
        <x:v>205000</x:v>
      </x:c>
      <x:c r="F19" s="19" t="n">
        <x:f>SUM($E$7:E19)</x:f>
        <x:v>555000</x:v>
      </x:c>
      <x:c r="G19" s="20" t="n">
        <x:v>15</x:v>
      </x:c>
      <x:c r="H19" s="20" t="n">
        <x:v>10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606000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681000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708000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305000</x:v>
      </x:c>
      <x:c r="D23" s="19" t="n">
        <x:v>100000</x:v>
      </x:c>
      <x:c r="E23" s="19" t="n">
        <x:f>C23-D23</x:f>
        <x:v>205000</x:v>
      </x:c>
      <x:c r="F23" s="19" t="n">
        <x:f>SUM($E$7:E23)</x:f>
        <x:v>913000</x:v>
      </x:c>
      <x:c r="G23" s="20" t="n">
        <x:v>8</x:v>
      </x:c>
      <x:c r="H23" s="20" t="n">
        <x:v>6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256000</x:v>
      </x:c>
      <x:c r="D24" s="19" t="n">
        <x:v>129000</x:v>
      </x:c>
      <x:c r="E24" s="19" t="n">
        <x:f>C24-D24</x:f>
        <x:v>127000</x:v>
      </x:c>
      <x:c r="F24" s="19" t="n">
        <x:f>SUM($E$7:E24)</x:f>
        <x:v>1040000</x:v>
      </x:c>
      <x:c r="G24" s="20" t="n">
        <x:v>17</x:v>
      </x:c>
      <x:c r="H24" s="20" t="n">
        <x:v>12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56000</x:v>
      </x:c>
      <x:c r="D25" s="19" t="n">
        <x:v>196000</x:v>
      </x:c>
      <x:c r="E25" s="19" t="n">
        <x:f>C25-D25</x:f>
        <x:v>-140000</x:v>
      </x:c>
      <x:c r="F25" s="19" t="n">
        <x:f>SUM($E$7:E25)</x:f>
        <x:v>900000</x:v>
      </x:c>
      <x:c r="G25" s="20" t="n">
        <x:v>13</x:v>
      </x:c>
      <x:c r="H25" s="20" t="n">
        <x:v>10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289000</x:v>
      </x:c>
      <x:c r="D26" s="19" t="n">
        <x:v>65000</x:v>
      </x:c>
      <x:c r="E26" s="19" t="n">
        <x:f>C26-D26</x:f>
        <x:v>224000</x:v>
      </x:c>
      <x:c r="F26" s="19" t="n">
        <x:f>SUM($E$7:E26)</x:f>
        <x:v>1124000</x:v>
      </x:c>
      <x:c r="G26" s="20" t="n">
        <x:v>21</x:v>
      </x:c>
      <x:c r="H26" s="20" t="n">
        <x:v>12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127000</x:v>
      </x:c>
      <x:c r="D27" s="19" t="n">
        <x:v>166000</x:v>
      </x:c>
      <x:c r="E27" s="19" t="n">
        <x:f>C27-D27</x:f>
        <x:v>-39000</x:v>
      </x:c>
      <x:c r="F27" s="19" t="n">
        <x:f>SUM($E$7:E27)</x:f>
        <x:v>1085000</x:v>
      </x:c>
      <x:c r="G27" s="20" t="n">
        <x:v>18</x:v>
      </x:c>
      <x:c r="H27" s="20" t="n">
        <x:v>13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98000</x:v>
      </x:c>
      <x:c r="D28" s="19" t="n">
        <x:v>64000</x:v>
      </x:c>
      <x:c r="E28" s="19" t="n">
        <x:f>C28-D28</x:f>
        <x:v>34000</x:v>
      </x:c>
      <x:c r="F28" s="19" t="n">
        <x:f>SUM($E$7:E28)</x:f>
        <x:v>1119000</x:v>
      </x:c>
      <x:c r="G28" s="20" t="n">
        <x:v>7</x:v>
      </x:c>
      <x:c r="H28" s="20" t="n">
        <x:v>5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281000</x:v>
      </x:c>
      <x:c r="D29" s="19" t="n">
        <x:v>138000</x:v>
      </x:c>
      <x:c r="E29" s="19" t="n">
        <x:f>C29-D29</x:f>
        <x:v>143000</x:v>
      </x:c>
      <x:c r="F29" s="19" t="n">
        <x:f>SUM($E$7:E29)</x:f>
        <x:v>1262000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1252000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116000</x:v>
      </x:c>
      <x:c r="D31" s="19" t="n">
        <x:v>72000</x:v>
      </x:c>
      <x:c r="E31" s="19" t="n">
        <x:f>C31-D31</x:f>
        <x:v>44000</x:v>
      </x:c>
      <x:c r="F31" s="19" t="n">
        <x:f>SUM($E$7:E31)</x:f>
        <x:v>1296000</x:v>
      </x:c>
      <x:c r="G31" s="20" t="n">
        <x:v>10</x:v>
      </x:c>
      <x:c r="H31" s="20" t="n">
        <x:v>8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1253000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201000</x:v>
      </x:c>
      <x:c r="D33" s="19" t="n">
        <x:v>130000</x:v>
      </x:c>
      <x:c r="E33" s="19" t="n">
        <x:f>C33-D33</x:f>
        <x:v>71000</x:v>
      </x:c>
      <x:c r="F33" s="19" t="n">
        <x:f>SUM($E$7:E33)</x:f>
        <x:v>1324000</x:v>
      </x:c>
      <x:c r="G33" s="20" t="n">
        <x:v>11</x:v>
      </x:c>
      <x:c r="H33" s="20" t="n">
        <x:v>9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319000</x:v>
      </x:c>
      <x:c r="D34" s="19" t="n">
        <x:v>20000</x:v>
      </x:c>
      <x:c r="E34" s="19" t="n">
        <x:f>C34-D34</x:f>
        <x:v>299000</x:v>
      </x:c>
      <x:c r="F34" s="19" t="n">
        <x:f>SUM($E$7:E34)</x:f>
        <x:v>1623000</x:v>
      </x:c>
      <x:c r="G34" s="20" t="n">
        <x:v>17</x:v>
      </x:c>
      <x:c r="H34" s="20" t="n">
        <x:v>10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339000</x:v>
      </x:c>
      <x:c r="D35" s="19" t="n">
        <x:v>25000</x:v>
      </x:c>
      <x:c r="E35" s="19" t="n">
        <x:f>C35-D35</x:f>
        <x:v>314000</x:v>
      </x:c>
      <x:c r="F35" s="19" t="n">
        <x:f>SUM($E$7:E35)</x:f>
        <x:v>1937000</x:v>
      </x:c>
      <x:c r="G35" s="20" t="n">
        <x:v>10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1951000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1931000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2038000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103000</x:v>
      </x:c>
      <x:c r="D39" s="19" t="n">
        <x:v>141000</x:v>
      </x:c>
      <x:c r="E39" s="19" t="n">
        <x:f>C39-D39</x:f>
        <x:v>-38000</x:v>
      </x:c>
      <x:c r="F39" s="19" t="n">
        <x:f>SUM($E$7:E39)</x:f>
        <x:v>2000000</x:v>
      </x:c>
      <x:c r="G39" s="20" t="n">
        <x:v>15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1947000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281000</x:v>
      </x:c>
      <x:c r="D41" s="19" t="n">
        <x:v>116000</x:v>
      </x:c>
      <x:c r="E41" s="19" t="n">
        <x:f>C41-D41</x:f>
        <x:v>165000</x:v>
      </x:c>
      <x:c r="F41" s="19" t="n">
        <x:f>SUM($E$7:E41)</x:f>
        <x:v>2112000</x:v>
      </x:c>
      <x:c r="G41" s="20" t="n">
        <x:v>14</x:v>
      </x:c>
      <x:c r="H41" s="20" t="n">
        <x:v>10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2287000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746000</x:v>
      </x:c>
      <x:c r="D43" s="19" t="n">
        <x:v>100000</x:v>
      </x:c>
      <x:c r="E43" s="19" t="n">
        <x:f>C43-D43</x:f>
        <x:v>646000</x:v>
      </x:c>
      <x:c r="F43" s="19" t="n">
        <x:f>SUM($E$7:E43)</x:f>
        <x:v>2933000</x:v>
      </x:c>
      <x:c r="G43" s="20" t="n">
        <x:v>15</x:v>
      </x:c>
      <x:c r="H43" s="20" t="n">
        <x:v>9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216000</x:v>
      </x:c>
      <x:c r="D44" s="19" t="n">
        <x:v>120000</x:v>
      </x:c>
      <x:c r="E44" s="19" t="n">
        <x:f>C44-D44</x:f>
        <x:v>96000</x:v>
      </x:c>
      <x:c r="F44" s="19" t="n">
        <x:f>SUM($E$7:E44)</x:f>
        <x:v>3029000</x:v>
      </x:c>
      <x:c r="G44" s="20" t="n">
        <x:v>13</x:v>
      </x:c>
      <x:c r="H44" s="20" t="n">
        <x:v>9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93000</x:v>
      </x:c>
      <x:c r="D45" s="19" t="n">
        <x:v>272000</x:v>
      </x:c>
      <x:c r="E45" s="19" t="n">
        <x:f>C45-D45</x:f>
        <x:v>-179000</x:v>
      </x:c>
      <x:c r="F45" s="19" t="n">
        <x:f>SUM($E$7:E45)</x:f>
        <x:v>2850000</x:v>
      </x:c>
      <x:c r="G45" s="20" t="n">
        <x:v>19</x:v>
      </x:c>
      <x:c r="H45" s="20" t="n">
        <x:v>14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202000</x:v>
      </x:c>
      <x:c r="D46" s="19" t="n">
        <x:v>142000</x:v>
      </x:c>
      <x:c r="E46" s="19" t="n">
        <x:f>C46-D46</x:f>
        <x:v>60000</x:v>
      </x:c>
      <x:c r="F46" s="19" t="n">
        <x:f>SUM($E$7:E46)</x:f>
        <x:v>2910000</x:v>
      </x:c>
      <x:c r="G46" s="20" t="n">
        <x:v>15</x:v>
      </x:c>
      <x:c r="H46" s="20" t="n">
        <x:v>12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356000</x:v>
      </x:c>
      <x:c r="D47" s="19" t="n">
        <x:v>98000</x:v>
      </x:c>
      <x:c r="E47" s="19" t="n">
        <x:f>C47-D47</x:f>
        <x:v>258000</x:v>
      </x:c>
      <x:c r="F47" s="19" t="n">
        <x:f>SUM($E$7:E47)</x:f>
        <x:v>3168000</x:v>
      </x:c>
      <x:c r="G47" s="20" t="n">
        <x:v>15</x:v>
      </x:c>
      <x:c r="H47" s="20" t="n">
        <x:v>10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96000</x:v>
      </x:c>
      <x:c r="D48" s="19" t="n">
        <x:v>93000</x:v>
      </x:c>
      <x:c r="E48" s="19" t="n">
        <x:f>C48-D48</x:f>
        <x:v>3000</x:v>
      </x:c>
      <x:c r="F48" s="19" t="n">
        <x:f>SUM($E$7:E48)</x:f>
        <x:v>3171000</x:v>
      </x:c>
      <x:c r="G48" s="20" t="n">
        <x:v>14</x:v>
      </x:c>
      <x:c r="H48" s="20" t="n">
        <x:v>9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196000</x:v>
      </x:c>
      <x:c r="D49" s="19" t="n">
        <x:v>232000</x:v>
      </x:c>
      <x:c r="E49" s="19" t="n">
        <x:f>C49-D49</x:f>
        <x:v>-36000</x:v>
      </x:c>
      <x:c r="F49" s="19" t="n">
        <x:f>SUM($E$7:E49)</x:f>
        <x:v>3135000</x:v>
      </x:c>
      <x:c r="G49" s="20" t="n">
        <x:v>21</x:v>
      </x:c>
      <x:c r="H49" s="20" t="n">
        <x:v>15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528000</x:v>
      </x:c>
      <x:c r="D50" s="19" t="n">
        <x:v>24000</x:v>
      </x:c>
      <x:c r="E50" s="19" t="n">
        <x:f>C50-D50</x:f>
        <x:v>504000</x:v>
      </x:c>
      <x:c r="F50" s="19" t="n">
        <x:f>SUM($E$7:E50)</x:f>
        <x:v>3639000</x:v>
      </x:c>
      <x:c r="G50" s="20" t="n">
        <x:v>12</x:v>
      </x:c>
      <x:c r="H50" s="20" t="n">
        <x:v>7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298000</x:v>
      </x:c>
      <x:c r="D51" s="19" t="n">
        <x:v>204000</x:v>
      </x:c>
      <x:c r="E51" s="19" t="n">
        <x:f>C51-D51</x:f>
        <x:v>94000</x:v>
      </x:c>
      <x:c r="F51" s="19" t="n">
        <x:f>SUM($E$7:E51)</x:f>
        <x:v>3733000</x:v>
      </x:c>
      <x:c r="G51" s="20" t="n">
        <x:v>17</x:v>
      </x:c>
      <x:c r="H51" s="20" t="n">
        <x:v>12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3693000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755000</x:v>
      </x:c>
      <x:c r="D53" s="19" t="n">
        <x:v>90000</x:v>
      </x:c>
      <x:c r="E53" s="19" t="n">
        <x:f>C53-D53</x:f>
        <x:v>665000</x:v>
      </x:c>
      <x:c r="F53" s="19" t="n">
        <x:f>SUM($E$7:E53)</x:f>
        <x:v>4358000</x:v>
      </x:c>
      <x:c r="G53" s="20" t="n">
        <x:v>12</x:v>
      </x:c>
      <x:c r="H53" s="20" t="n">
        <x:v>8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168000</x:v>
      </x:c>
      <x:c r="D54" s="19" t="n">
        <x:v>83000</x:v>
      </x:c>
      <x:c r="E54" s="19" t="n">
        <x:f>C54-D54</x:f>
        <x:v>85000</x:v>
      </x:c>
      <x:c r="F54" s="19" t="n">
        <x:f>SUM($E$7:E54)</x:f>
        <x:v>4443000</x:v>
      </x:c>
      <x:c r="G54" s="20" t="n">
        <x:v>7</x:v>
      </x:c>
      <x:c r="H54" s="20" t="n">
        <x:v>6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252000</x:v>
      </x:c>
      <x:c r="D55" s="19" t="n">
        <x:v>75000</x:v>
      </x:c>
      <x:c r="E55" s="19" t="n">
        <x:f>C55-D55</x:f>
        <x:v>177000</x:v>
      </x:c>
      <x:c r="F55" s="19" t="n">
        <x:f>SUM($E$7:E55)</x:f>
        <x:v>4620000</x:v>
      </x:c>
      <x:c r="G55" s="20" t="n">
        <x:v>8</x:v>
      </x:c>
      <x:c r="H55" s="20" t="n">
        <x:v>5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4589000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8717000</x:v>
      </x:c>
      <x:c r="D57" s="21" t="n">
        <x:f>SUM(D7:D56)</x:f>
        <x:v>4128000</x:v>
      </x:c>
      <x:c r="E57" s="21" t="n">
        <x:f>SUM(E7:E56)</x:f>
        <x:v>4589000</x:v>
      </x:c>
      <x:c r="F57" s="21" t="n">
        <x:f>F56</x:f>
        <x:v>4589000</x:v>
      </x:c>
      <x:c r="G57" s="22" t="n">
        <x:f>SUM(G7:G56)</x:f>
        <x:v>459</x:v>
      </x:c>
      <x:c r="H57" s="22" t="n">
        <x:f>SUM(H7:H56)</x:f>
        <x:v>325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349f9d0a8548e4"/>
  </x:tableParts>
</x:worksheet>
</file>

<file path=xl/worksheets/sheet10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C01　前半30場で固定した組合せ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全場 R05＋V02。同じ期間の事後選抜を新しい期間の実績と混同しない。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24000</x:v>
      </x:c>
      <x:c r="D10" s="19" t="n">
        <x:v>0</x:v>
      </x:c>
      <x:c r="E10" s="19" t="n">
        <x:f>C10-D10</x:f>
        <x:v>24000</x:v>
      </x:c>
      <x:c r="F10" s="19" t="n">
        <x:f>SUM($E$7:E10)</x:f>
        <x:v>-21000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-25000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-61000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160000</x:v>
      </x:c>
      <x:c r="D13" s="19" t="n">
        <x:v>60000</x:v>
      </x:c>
      <x:c r="E13" s="19" t="n">
        <x:f>C13-D13</x:f>
        <x:v>100000</x:v>
      </x:c>
      <x:c r="F13" s="19" t="n">
        <x:f>SUM($E$7:E13)</x:f>
        <x:v>39000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28000</x:v>
      </x:c>
      <x:c r="D14" s="19" t="n">
        <x:v>0</x:v>
      </x:c>
      <x:c r="E14" s="19" t="n">
        <x:f>C14-D14</x:f>
        <x:v>28000</x:v>
      </x:c>
      <x:c r="F14" s="19" t="n">
        <x:f>SUM($E$7:E14)</x:f>
        <x:v>67000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157000</x:v>
      </x:c>
      <x:c r="D15" s="19" t="n">
        <x:v>46000</x:v>
      </x:c>
      <x:c r="E15" s="19" t="n">
        <x:f>C15-D15</x:f>
        <x:v>111000</x:v>
      </x:c>
      <x:c r="F15" s="19" t="n">
        <x:f>SUM($E$7:E15)</x:f>
        <x:v>178000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17000</x:v>
      </x:c>
      <x:c r="D16" s="19" t="n">
        <x:v>16000</x:v>
      </x:c>
      <x:c r="E16" s="19" t="n">
        <x:f>C16-D16</x:f>
        <x:v>1000</x:v>
      </x:c>
      <x:c r="F16" s="19" t="n">
        <x:f>SUM($E$7:E16)</x:f>
        <x:v>179000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281000</x:v>
      </x:c>
      <x:c r="D17" s="19" t="n">
        <x:v>151000</x:v>
      </x:c>
      <x:c r="E17" s="19" t="n">
        <x:f>C17-D17</x:f>
        <x:v>130000</x:v>
      </x:c>
      <x:c r="F17" s="19" t="n">
        <x:f>SUM($E$7:E17)</x:f>
        <x:v>309000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270000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276000</x:v>
      </x:c>
      <x:c r="D19" s="19" t="n">
        <x:v>127000</x:v>
      </x:c>
      <x:c r="E19" s="19" t="n">
        <x:f>C19-D19</x:f>
        <x:v>149000</x:v>
      </x:c>
      <x:c r="F19" s="19" t="n">
        <x:f>SUM($E$7:E19)</x:f>
        <x:v>419000</x:v>
      </x:c>
      <x:c r="G19" s="20" t="n">
        <x:v>9</x:v>
      </x:c>
      <x:c r="H19" s="20" t="n">
        <x:v>6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93000</x:v>
      </x:c>
      <x:c r="D20" s="19" t="n">
        <x:v>22000</x:v>
      </x:c>
      <x:c r="E20" s="19" t="n">
        <x:f>C20-D20</x:f>
        <x:v>71000</x:v>
      </x:c>
      <x:c r="F20" s="19" t="n">
        <x:f>SUM($E$7:E20)</x:f>
        <x:v>490000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157000</x:v>
      </x:c>
      <x:c r="D21" s="19" t="n">
        <x:v>100000</x:v>
      </x:c>
      <x:c r="E21" s="19" t="n">
        <x:f>C21-D21</x:f>
        <x:v>57000</x:v>
      </x:c>
      <x:c r="F21" s="19" t="n">
        <x:f>SUM($E$7:E21)</x:f>
        <x:v>547000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43000</x:v>
      </x:c>
      <x:c r="D22" s="19" t="n">
        <x:v>0</x:v>
      </x:c>
      <x:c r="E22" s="19" t="n">
        <x:f>C22-D22</x:f>
        <x:v>43000</x:v>
      </x:c>
      <x:c r="F22" s="19" t="n">
        <x:f>SUM($E$7:E22)</x:f>
        <x:v>590000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323000</x:v>
      </x:c>
      <x:c r="D23" s="19" t="n">
        <x:v>84000</x:v>
      </x:c>
      <x:c r="E23" s="19" t="n">
        <x:f>C23-D23</x:f>
        <x:v>239000</x:v>
      </x:c>
      <x:c r="F23" s="19" t="n">
        <x:f>SUM($E$7:E23)</x:f>
        <x:v>829000</x:v>
      </x:c>
      <x:c r="G23" s="20" t="n">
        <x:v>7</x:v>
      </x:c>
      <x:c r="H23" s="20" t="n">
        <x:v>5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99000</x:v>
      </x:c>
      <x:c r="D24" s="19" t="n">
        <x:v>85000</x:v>
      </x:c>
      <x:c r="E24" s="19" t="n">
        <x:f>C24-D24</x:f>
        <x:v>14000</x:v>
      </x:c>
      <x:c r="F24" s="19" t="n">
        <x:f>SUM($E$7:E24)</x:f>
        <x:v>843000</x:v>
      </x:c>
      <x:c r="G24" s="20" t="n">
        <x:v>13</x:v>
      </x:c>
      <x:c r="H24" s="20" t="n">
        <x:v>9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67000</x:v>
      </x:c>
      <x:c r="D25" s="19" t="n">
        <x:v>97000</x:v>
      </x:c>
      <x:c r="E25" s="19" t="n">
        <x:f>C25-D25</x:f>
        <x:v>-30000</x:v>
      </x:c>
      <x:c r="F25" s="19" t="n">
        <x:f>SUM($E$7:E25)</x:f>
        <x:v>813000</x:v>
      </x:c>
      <x:c r="G25" s="20" t="n">
        <x:v>11</x:v>
      </x:c>
      <x:c r="H25" s="20" t="n">
        <x:v>7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277000</x:v>
      </x:c>
      <x:c r="D26" s="19" t="n">
        <x:v>25000</x:v>
      </x:c>
      <x:c r="E26" s="19" t="n">
        <x:f>C26-D26</x:f>
        <x:v>252000</x:v>
      </x:c>
      <x:c r="F26" s="19" t="n">
        <x:f>SUM($E$7:E26)</x:f>
        <x:v>1065000</x:v>
      </x:c>
      <x:c r="G26" s="20" t="n">
        <x:v>14</x:v>
      </x:c>
      <x:c r="H26" s="20" t="n">
        <x:v>9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90000</x:v>
      </x:c>
      <x:c r="D27" s="19" t="n">
        <x:v>148000</x:v>
      </x:c>
      <x:c r="E27" s="19" t="n">
        <x:f>C27-D27</x:f>
        <x:v>-58000</x:v>
      </x:c>
      <x:c r="F27" s="19" t="n">
        <x:f>SUM($E$7:E27)</x:f>
        <x:v>1007000</x:v>
      </x:c>
      <x:c r="G27" s="20" t="n">
        <x:v>13</x:v>
      </x:c>
      <x:c r="H27" s="20" t="n">
        <x:v>10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105000</x:v>
      </x:c>
      <x:c r="D28" s="19" t="n">
        <x:v>20000</x:v>
      </x:c>
      <x:c r="E28" s="19" t="n">
        <x:f>C28-D28</x:f>
        <x:v>85000</x:v>
      </x:c>
      <x:c r="F28" s="19" t="n">
        <x:f>SUM($E$7:E28)</x:f>
        <x:v>1092000</x:v>
      </x:c>
      <x:c r="G28" s="20" t="n">
        <x:v>5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267000</x:v>
      </x:c>
      <x:c r="D29" s="19" t="n">
        <x:v>138000</x:v>
      </x:c>
      <x:c r="E29" s="19" t="n">
        <x:f>C29-D29</x:f>
        <x:v>129000</x:v>
      </x:c>
      <x:c r="F29" s="19" t="n">
        <x:f>SUM($E$7:E29)</x:f>
        <x:v>1221000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1211000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96000</x:v>
      </x:c>
      <x:c r="D31" s="19" t="n">
        <x:v>42000</x:v>
      </x:c>
      <x:c r="E31" s="19" t="n">
        <x:f>C31-D31</x:f>
        <x:v>54000</x:v>
      </x:c>
      <x:c r="F31" s="19" t="n">
        <x:f>SUM($E$7:E31)</x:f>
        <x:v>1265000</x:v>
      </x:c>
      <x:c r="G31" s="20" t="n">
        <x:v>7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1222000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197000</x:v>
      </x:c>
      <x:c r="D33" s="19" t="n">
        <x:v>130000</x:v>
      </x:c>
      <x:c r="E33" s="19" t="n">
        <x:f>C33-D33</x:f>
        <x:v>67000</x:v>
      </x:c>
      <x:c r="F33" s="19" t="n">
        <x:f>SUM($E$7:E33)</x:f>
        <x:v>1289000</x:v>
      </x:c>
      <x:c r="G33" s="20" t="n">
        <x:v>10</x:v>
      </x:c>
      <x:c r="H33" s="20" t="n">
        <x:v>8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190000</x:v>
      </x:c>
      <x:c r="D34" s="19" t="n">
        <x:v>0</x:v>
      </x:c>
      <x:c r="E34" s="19" t="n">
        <x:f>C34-D34</x:f>
        <x:v>190000</x:v>
      </x:c>
      <x:c r="F34" s="19" t="n">
        <x:f>SUM($E$7:E34)</x:f>
        <x:v>1479000</x:v>
      </x:c>
      <x:c r="G34" s="20" t="n">
        <x:v>8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134000</x:v>
      </x:c>
      <x:c r="D35" s="19" t="n">
        <x:v>68000</x:v>
      </x:c>
      <x:c r="E35" s="19" t="n">
        <x:f>C35-D35</x:f>
        <x:v>66000</x:v>
      </x:c>
      <x:c r="F35" s="19" t="n">
        <x:f>SUM($E$7:E35)</x:f>
        <x:v>1545000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1559000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1539000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82000</x:v>
      </x:c>
      <x:c r="D38" s="19" t="n">
        <x:v>0</x:v>
      </x:c>
      <x:c r="E38" s="19" t="n">
        <x:f>C38-D38</x:f>
        <x:v>82000</x:v>
      </x:c>
      <x:c r="F38" s="19" t="n">
        <x:f>SUM($E$7:E38)</x:f>
        <x:v>1621000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83000</x:v>
      </x:c>
      <x:c r="D39" s="19" t="n">
        <x:v>165000</x:v>
      </x:c>
      <x:c r="E39" s="19" t="n">
        <x:f>C39-D39</x:f>
        <x:v>-82000</x:v>
      </x:c>
      <x:c r="F39" s="19" t="n">
        <x:f>SUM($E$7:E39)</x:f>
        <x:v>1539000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1486000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166000</x:v>
      </x:c>
      <x:c r="D41" s="19" t="n">
        <x:v>72000</x:v>
      </x:c>
      <x:c r="E41" s="19" t="n">
        <x:f>C41-D41</x:f>
        <x:v>94000</x:v>
      </x:c>
      <x:c r="F41" s="19" t="n">
        <x:f>SUM($E$7:E41)</x:f>
        <x:v>1580000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197000</x:v>
      </x:c>
      <x:c r="D42" s="19" t="n">
        <x:v>61000</x:v>
      </x:c>
      <x:c r="E42" s="19" t="n">
        <x:f>C42-D42</x:f>
        <x:v>136000</x:v>
      </x:c>
      <x:c r="F42" s="19" t="n">
        <x:f>SUM($E$7:E42)</x:f>
        <x:v>1716000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511000</x:v>
      </x:c>
      <x:c r="D43" s="19" t="n">
        <x:v>154000</x:v>
      </x:c>
      <x:c r="E43" s="19" t="n">
        <x:f>C43-D43</x:f>
        <x:v>357000</x:v>
      </x:c>
      <x:c r="F43" s="19" t="n">
        <x:f>SUM($E$7:E43)</x:f>
        <x:v>2073000</x:v>
      </x:c>
      <x:c r="G43" s="20" t="n">
        <x:v>17</x:v>
      </x:c>
      <x:c r="H43" s="20" t="n">
        <x:v>11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49000</x:v>
      </x:c>
      <x:c r="D44" s="19" t="n">
        <x:v>95000</x:v>
      </x:c>
      <x:c r="E44" s="19" t="n">
        <x:f>C44-D44</x:f>
        <x:v>-46000</x:v>
      </x:c>
      <x:c r="F44" s="19" t="n">
        <x:f>SUM($E$7:E44)</x:f>
        <x:v>2027000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154000</x:v>
      </x:c>
      <x:c r="D45" s="19" t="n">
        <x:v>168000</x:v>
      </x:c>
      <x:c r="E45" s="19" t="n">
        <x:f>C45-D45</x:f>
        <x:v>-14000</x:v>
      </x:c>
      <x:c r="F45" s="19" t="n">
        <x:f>SUM($E$7:E45)</x:f>
        <x:v>2013000</x:v>
      </x:c>
      <x:c r="G45" s="20" t="n">
        <x:v>16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91000</x:v>
      </x:c>
      <x:c r="D46" s="19" t="n">
        <x:v>142000</x:v>
      </x:c>
      <x:c r="E46" s="19" t="n">
        <x:f>C46-D46</x:f>
        <x:v>-51000</x:v>
      </x:c>
      <x:c r="F46" s="19" t="n">
        <x:f>SUM($E$7:E46)</x:f>
        <x:v>1962000</x:v>
      </x:c>
      <x:c r="G46" s="20" t="n">
        <x:v>14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347000</x:v>
      </x:c>
      <x:c r="D47" s="19" t="n">
        <x:v>58000</x:v>
      </x:c>
      <x:c r="E47" s="19" t="n">
        <x:f>C47-D47</x:f>
        <x:v>289000</x:v>
      </x:c>
      <x:c r="F47" s="19" t="n">
        <x:f>SUM($E$7:E47)</x:f>
        <x:v>2251000</x:v>
      </x:c>
      <x:c r="G47" s="20" t="n">
        <x:v>14</x:v>
      </x:c>
      <x:c r="H47" s="20" t="n">
        <x:v>9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108000</x:v>
      </x:c>
      <x:c r="D48" s="19" t="n">
        <x:v>35000</x:v>
      </x:c>
      <x:c r="E48" s="19" t="n">
        <x:f>C48-D48</x:f>
        <x:v>73000</x:v>
      </x:c>
      <x:c r="F48" s="19" t="n">
        <x:f>SUM($E$7:E48)</x:f>
        <x:v>2324000</x:v>
      </x:c>
      <x:c r="G48" s="20" t="n">
        <x:v>10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168000</x:v>
      </x:c>
      <x:c r="D49" s="19" t="n">
        <x:v>214000</x:v>
      </x:c>
      <x:c r="E49" s="19" t="n">
        <x:f>C49-D49</x:f>
        <x:v>-46000</x:v>
      </x:c>
      <x:c r="F49" s="19" t="n">
        <x:f>SUM($E$7:E49)</x:f>
        <x:v>2278000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556000</x:v>
      </x:c>
      <x:c r="D50" s="19" t="n">
        <x:v>0</x:v>
      </x:c>
      <x:c r="E50" s="19" t="n">
        <x:f>C50-D50</x:f>
        <x:v>556000</x:v>
      </x:c>
      <x:c r="F50" s="19" t="n">
        <x:f>SUM($E$7:E50)</x:f>
        <x:v>2834000</x:v>
      </x:c>
      <x:c r="G50" s="20" t="n">
        <x:v>13</x:v>
      </x:c>
      <x:c r="H50" s="20" t="n">
        <x:v>7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220000</x:v>
      </x:c>
      <x:c r="D51" s="19" t="n">
        <x:v>232000</x:v>
      </x:c>
      <x:c r="E51" s="19" t="n">
        <x:f>C51-D51</x:f>
        <x:v>-12000</x:v>
      </x:c>
      <x:c r="F51" s="19" t="n">
        <x:f>SUM($E$7:E51)</x:f>
        <x:v>2822000</x:v>
      </x:c>
      <x:c r="G51" s="20" t="n">
        <x:v>16</x:v>
      </x:c>
      <x:c r="H51" s="20" t="n">
        <x:v>12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61000</x:v>
      </x:c>
      <x:c r="D52" s="19" t="n">
        <x:v>85000</x:v>
      </x:c>
      <x:c r="E52" s="19" t="n">
        <x:f>C52-D52</x:f>
        <x:v>-24000</x:v>
      </x:c>
      <x:c r="F52" s="19" t="n">
        <x:f>SUM($E$7:E52)</x:f>
        <x:v>2798000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696000</x:v>
      </x:c>
      <x:c r="D53" s="19" t="n">
        <x:v>70000</x:v>
      </x:c>
      <x:c r="E53" s="19" t="n">
        <x:f>C53-D53</x:f>
        <x:v>626000</x:v>
      </x:c>
      <x:c r="F53" s="19" t="n">
        <x:f>SUM($E$7:E53)</x:f>
        <x:v>3424000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171000</x:v>
      </x:c>
      <x:c r="D54" s="19" t="n">
        <x:v>29000</x:v>
      </x:c>
      <x:c r="E54" s="19" t="n">
        <x:f>C54-D54</x:f>
        <x:v>142000</x:v>
      </x:c>
      <x:c r="F54" s="19" t="n">
        <x:f>SUM($E$7:E54)</x:f>
        <x:v>3566000</x:v>
      </x:c>
      <x:c r="G54" s="20" t="n">
        <x:v>8</x:v>
      </x:c>
      <x:c r="H54" s="20" t="n">
        <x:v>5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160000</x:v>
      </x:c>
      <x:c r="D55" s="19" t="n">
        <x:v>127000</x:v>
      </x:c>
      <x:c r="E55" s="19" t="n">
        <x:f>C55-D55</x:f>
        <x:v>33000</x:v>
      </x:c>
      <x:c r="F55" s="19" t="n">
        <x:f>SUM($E$7:E55)</x:f>
        <x:v>3599000</x:v>
      </x:c>
      <x:c r="G55" s="20" t="n">
        <x:v>12</x:v>
      </x:c>
      <x:c r="H55" s="20" t="n">
        <x:v>9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39000</x:v>
      </x:c>
      <x:c r="D56" s="19" t="n">
        <x:v>53000</x:v>
      </x:c>
      <x:c r="E56" s="19" t="n">
        <x:f>C56-D56</x:f>
        <x:v>-14000</x:v>
      </x:c>
      <x:c r="F56" s="19" t="n">
        <x:f>SUM($E$7:E56)</x:f>
        <x:v>3585000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7138000</x:v>
      </x:c>
      <x:c r="D57" s="21" t="n">
        <x:f>SUM(D7:D56)</x:f>
        <x:v>3553000</x:v>
      </x:c>
      <x:c r="E57" s="21" t="n">
        <x:f>SUM(E7:E56)</x:f>
        <x:v>3585000</x:v>
      </x:c>
      <x:c r="F57" s="21" t="n">
        <x:f>F56</x:f>
        <x:v>3585000</x:v>
      </x:c>
      <x:c r="G57" s="22" t="n">
        <x:f>SUM(G7:G56)</x:f>
        <x:v>374</x:v>
      </x:c>
      <x:c r="H57" s="22" t="n">
        <x:f>SUM(H7:H56)</x:f>
        <x:v>271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5d306288be48ba"/>
  </x:tableParts>
</x:worksheet>
</file>

<file path=xl/worksheets/sheet11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C03　全50場から選んだ開発用組合せ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全場 P02＋V06。同じ期間の事後選抜を新しい期間の実績と混同しない。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33000</x:v>
      </x:c>
      <x:c r="D7" s="19" t="n">
        <x:v>0</x:v>
      </x:c>
      <x:c r="E7" s="19" t="n">
        <x:f>C7-D7</x:f>
        <x:v>33000</x:v>
      </x:c>
      <x:c r="F7" s="19" t="n">
        <x:f>SUM($E$7:E7)</x:f>
        <x:v>33000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-12000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-117000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-101000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59000</x:v>
      </x:c>
      <x:c r="D11" s="19" t="n">
        <x:v>0</x:v>
      </x:c>
      <x:c r="E11" s="19" t="n">
        <x:f>C11-D11</x:f>
        <x:v>59000</x:v>
      </x:c>
      <x:c r="F11" s="19" t="n">
        <x:f>SUM($E$7:E11)</x:f>
        <x:v>-42000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-78000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113000</x:v>
      </x:c>
      <x:c r="D13" s="19" t="n">
        <x:v>60000</x:v>
      </x:c>
      <x:c r="E13" s="19" t="n">
        <x:f>C13-D13</x:f>
        <x:v>53000</x:v>
      </x:c>
      <x:c r="F13" s="19" t="n">
        <x:f>SUM($E$7:E13)</x:f>
        <x:v>-25000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-5000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64000</x:v>
      </x:c>
      <x:c r="D15" s="19" t="n">
        <x:v>66000</x:v>
      </x:c>
      <x:c r="E15" s="19" t="n">
        <x:f>C15-D15</x:f>
        <x:v>-2000</x:v>
      </x:c>
      <x:c r="F15" s="19" t="n">
        <x:f>SUM($E$7:E15)</x:f>
        <x:v>-7000</x:v>
      </x:c>
      <x:c r="G15" s="20" t="n">
        <x:v>6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-11000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190000</x:v>
      </x:c>
      <x:c r="D17" s="19" t="n">
        <x:v>151000</x:v>
      </x:c>
      <x:c r="E17" s="19" t="n">
        <x:f>C17-D17</x:f>
        <x:v>39000</x:v>
      </x:c>
      <x:c r="F17" s="19" t="n">
        <x:f>SUM($E$7:E17)</x:f>
        <x:v>28000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-11000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206000</x:v>
      </x:c>
      <x:c r="D19" s="19" t="n">
        <x:v>127000</x:v>
      </x:c>
      <x:c r="E19" s="19" t="n">
        <x:f>C19-D19</x:f>
        <x:v>79000</x:v>
      </x:c>
      <x:c r="F19" s="19" t="n">
        <x:f>SUM($E$7:E19)</x:f>
        <x:v>68000</x:v>
      </x:c>
      <x:c r="G19" s="20" t="n">
        <x:v>9</x:v>
      </x:c>
      <x:c r="H19" s="20" t="n">
        <x:v>6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119000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72000</x:v>
      </x:c>
      <x:c r="D21" s="19" t="n">
        <x:v>100000</x:v>
      </x:c>
      <x:c r="E21" s="19" t="n">
        <x:f>C21-D21</x:f>
        <x:v>-28000</x:v>
      </x:c>
      <x:c r="F21" s="19" t="n">
        <x:f>SUM($E$7:E21)</x:f>
        <x:v>91000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118000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241000</x:v>
      </x:c>
      <x:c r="D23" s="19" t="n">
        <x:v>84000</x:v>
      </x:c>
      <x:c r="E23" s="19" t="n">
        <x:f>C23-D23</x:f>
        <x:v>157000</x:v>
      </x:c>
      <x:c r="F23" s="19" t="n">
        <x:f>SUM($E$7:E23)</x:f>
        <x:v>275000</x:v>
      </x:c>
      <x:c r="G23" s="20" t="n">
        <x:v>7</x:v>
      </x:c>
      <x:c r="H23" s="20" t="n">
        <x:v>5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148000</x:v>
      </x:c>
      <x:c r="D24" s="19" t="n">
        <x:v>103000</x:v>
      </x:c>
      <x:c r="E24" s="19" t="n">
        <x:f>C24-D24</x:f>
        <x:v>45000</x:v>
      </x:c>
      <x:c r="F24" s="19" t="n">
        <x:f>SUM($E$7:E24)</x:f>
        <x:v>320000</x:v>
      </x:c>
      <x:c r="G24" s="20" t="n">
        <x:v>13</x:v>
      </x:c>
      <x:c r="H24" s="20" t="n">
        <x:v>9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62000</x:v>
      </x:c>
      <x:c r="D25" s="19" t="n">
        <x:v>113000</x:v>
      </x:c>
      <x:c r="E25" s="19" t="n">
        <x:f>C25-D25</x:f>
        <x:v>-51000</x:v>
      </x:c>
      <x:c r="F25" s="19" t="n">
        <x:f>SUM($E$7:E25)</x:f>
        <x:v>269000</x:v>
      </x:c>
      <x:c r="G25" s="20" t="n">
        <x:v>12</x:v>
      </x:c>
      <x:c r="H25" s="20" t="n">
        <x:v>8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235000</x:v>
      </x:c>
      <x:c r="D26" s="19" t="n">
        <x:v>38000</x:v>
      </x:c>
      <x:c r="E26" s="19" t="n">
        <x:f>C26-D26</x:f>
        <x:v>197000</x:v>
      </x:c>
      <x:c r="F26" s="19" t="n">
        <x:f>SUM($E$7:E26)</x:f>
        <x:v>466000</x:v>
      </x:c>
      <x:c r="G26" s="20" t="n">
        <x:v>13</x:v>
      </x:c>
      <x:c r="H26" s="20" t="n">
        <x:v>8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85000</x:v>
      </x:c>
      <x:c r="D27" s="19" t="n">
        <x:v>148000</x:v>
      </x:c>
      <x:c r="E27" s="19" t="n">
        <x:f>C27-D27</x:f>
        <x:v>-63000</x:v>
      </x:c>
      <x:c r="F27" s="19" t="n">
        <x:f>SUM($E$7:E27)</x:f>
        <x:v>403000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98000</x:v>
      </x:c>
      <x:c r="D28" s="19" t="n">
        <x:v>36000</x:v>
      </x:c>
      <x:c r="E28" s="19" t="n">
        <x:f>C28-D28</x:f>
        <x:v>62000</x:v>
      </x:c>
      <x:c r="F28" s="19" t="n">
        <x:f>SUM($E$7:E28)</x:f>
        <x:v>465000</x:v>
      </x:c>
      <x:c r="G28" s="20" t="n">
        <x:v>6</x:v>
      </x:c>
      <x:c r="H28" s="20" t="n">
        <x:v>4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267000</x:v>
      </x:c>
      <x:c r="D29" s="19" t="n">
        <x:v>138000</x:v>
      </x:c>
      <x:c r="E29" s="19" t="n">
        <x:f>C29-D29</x:f>
        <x:v>129000</x:v>
      </x:c>
      <x:c r="F29" s="19" t="n">
        <x:f>SUM($E$7:E29)</x:f>
        <x:v>594000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584000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93000</x:v>
      </x:c>
      <x:c r="D31" s="19" t="n">
        <x:v>42000</x:v>
      </x:c>
      <x:c r="E31" s="19" t="n">
        <x:f>C31-D31</x:f>
        <x:v>51000</x:v>
      </x:c>
      <x:c r="F31" s="19" t="n">
        <x:f>SUM($E$7:E31)</x:f>
        <x:v>635000</x:v>
      </x:c>
      <x:c r="G31" s="20" t="n">
        <x:v>9</x:v>
      </x:c>
      <x:c r="H31" s="20" t="n">
        <x:v>6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592000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201000</x:v>
      </x:c>
      <x:c r="D33" s="19" t="n">
        <x:v>130000</x:v>
      </x:c>
      <x:c r="E33" s="19" t="n">
        <x:f>C33-D33</x:f>
        <x:v>71000</x:v>
      </x:c>
      <x:c r="F33" s="19" t="n">
        <x:f>SUM($E$7:E33)</x:f>
        <x:v>663000</x:v>
      </x:c>
      <x:c r="G33" s="20" t="n">
        <x:v>11</x:v>
      </x:c>
      <x:c r="H33" s="20" t="n">
        <x:v>9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147000</x:v>
      </x:c>
      <x:c r="D34" s="19" t="n">
        <x:v>22000</x:v>
      </x:c>
      <x:c r="E34" s="19" t="n">
        <x:f>C34-D34</x:f>
        <x:v>125000</x:v>
      </x:c>
      <x:c r="F34" s="19" t="n">
        <x:f>SUM($E$7:E34)</x:f>
        <x:v>788000</x:v>
      </x:c>
      <x:c r="G34" s="20" t="n">
        <x:v>9</x:v>
      </x:c>
      <x:c r="H34" s="20" t="n">
        <x:v>6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134000</x:v>
      </x:c>
      <x:c r="D35" s="19" t="n">
        <x:v>114000</x:v>
      </x:c>
      <x:c r="E35" s="19" t="n">
        <x:f>C35-D35</x:f>
        <x:v>20000</x:v>
      </x:c>
      <x:c r="F35" s="19" t="n">
        <x:f>SUM($E$7:E35)</x:f>
        <x:v>808000</x:v>
      </x:c>
      <x:c r="G35" s="20" t="n">
        <x:v>10</x:v>
      </x:c>
      <x:c r="H35" s="20" t="n">
        <x:v>7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822000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67000</x:v>
      </x:c>
      <x:c r="D37" s="19" t="n">
        <x:v>53000</x:v>
      </x:c>
      <x:c r="E37" s="19" t="n">
        <x:f>C37-D37</x:f>
        <x:v>14000</x:v>
      </x:c>
      <x:c r="F37" s="19" t="n">
        <x:f>SUM($E$7:E37)</x:f>
        <x:v>836000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943000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155000</x:v>
      </x:c>
      <x:c r="D39" s="19" t="n">
        <x:v>165000</x:v>
      </x:c>
      <x:c r="E39" s="19" t="n">
        <x:f>C39-D39</x:f>
        <x:v>-10000</x:v>
      </x:c>
      <x:c r="F39" s="19" t="n">
        <x:f>SUM($E$7:E39)</x:f>
        <x:v>933000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880000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957000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1132000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416000</x:v>
      </x:c>
      <x:c r="D43" s="19" t="n">
        <x:v>100000</x:v>
      </x:c>
      <x:c r="E43" s="19" t="n">
        <x:f>C43-D43</x:f>
        <x:v>316000</x:v>
      </x:c>
      <x:c r="F43" s="19" t="n">
        <x:f>SUM($E$7:E43)</x:f>
        <x:v>1448000</x:v>
      </x:c>
      <x:c r="G43" s="20" t="n">
        <x:v>9</x:v>
      </x:c>
      <x:c r="H43" s="20" t="n">
        <x:v>6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1428000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201000</x:v>
      </x:c>
      <x:c r="D45" s="19" t="n">
        <x:v>196000</x:v>
      </x:c>
      <x:c r="E45" s="19" t="n">
        <x:f>C45-D45</x:f>
        <x:v>5000</x:v>
      </x:c>
      <x:c r="F45" s="19" t="n">
        <x:f>SUM($E$7:E45)</x:f>
        <x:v>1433000</x:v>
      </x:c>
      <x:c r="G45" s="20" t="n">
        <x:v>17</x:v>
      </x:c>
      <x:c r="H45" s="20" t="n">
        <x:v>13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207000</x:v>
      </x:c>
      <x:c r="D46" s="19" t="n">
        <x:v>142000</x:v>
      </x:c>
      <x:c r="E46" s="19" t="n">
        <x:f>C46-D46</x:f>
        <x:v>65000</x:v>
      </x:c>
      <x:c r="F46" s="19" t="n">
        <x:f>SUM($E$7:E46)</x:f>
        <x:v>1498000</x:v>
      </x:c>
      <x:c r="G46" s="20" t="n">
        <x:v>15</x:v>
      </x:c>
      <x:c r="H46" s="20" t="n">
        <x:v>12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418000</x:v>
      </x:c>
      <x:c r="D47" s="19" t="n">
        <x:v>40000</x:v>
      </x:c>
      <x:c r="E47" s="19" t="n">
        <x:f>C47-D47</x:f>
        <x:v>378000</x:v>
      </x:c>
      <x:c r="F47" s="19" t="n">
        <x:f>SUM($E$7:E47)</x:f>
        <x:v>1876000</x:v>
      </x:c>
      <x:c r="G47" s="20" t="n">
        <x:v>13</x:v>
      </x:c>
      <x:c r="H47" s="20" t="n">
        <x:v>8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150000</x:v>
      </x:c>
      <x:c r="D48" s="19" t="n">
        <x:v>61000</x:v>
      </x:c>
      <x:c r="E48" s="19" t="n">
        <x:f>C48-D48</x:f>
        <x:v>89000</x:v>
      </x:c>
      <x:c r="F48" s="19" t="n">
        <x:f>SUM($E$7:E48)</x:f>
        <x:v>1965000</x:v>
      </x:c>
      <x:c r="G48" s="20" t="n">
        <x:v>13</x:v>
      </x:c>
      <x:c r="H48" s="20" t="n">
        <x:v>8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223000</x:v>
      </x:c>
      <x:c r="D49" s="19" t="n">
        <x:v>254000</x:v>
      </x:c>
      <x:c r="E49" s="19" t="n">
        <x:f>C49-D49</x:f>
        <x:v>-31000</x:v>
      </x:c>
      <x:c r="F49" s="19" t="n">
        <x:f>SUM($E$7:E49)</x:f>
        <x:v>1934000</x:v>
      </x:c>
      <x:c r="G49" s="20" t="n">
        <x:v>16</x:v>
      </x:c>
      <x:c r="H49" s="20" t="n">
        <x:v>13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528000</x:v>
      </x:c>
      <x:c r="D50" s="19" t="n">
        <x:v>5000</x:v>
      </x:c>
      <x:c r="E50" s="19" t="n">
        <x:f>C50-D50</x:f>
        <x:v>523000</x:v>
      </x:c>
      <x:c r="F50" s="19" t="n">
        <x:f>SUM($E$7:E50)</x:f>
        <x:v>2457000</x:v>
      </x:c>
      <x:c r="G50" s="20" t="n">
        <x:v>12</x:v>
      </x:c>
      <x:c r="H50" s="20" t="n">
        <x:v>7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286000</x:v>
      </x:c>
      <x:c r="D51" s="19" t="n">
        <x:v>218000</x:v>
      </x:c>
      <x:c r="E51" s="19" t="n">
        <x:f>C51-D51</x:f>
        <x:v>68000</x:v>
      </x:c>
      <x:c r="F51" s="19" t="n">
        <x:f>SUM($E$7:E51)</x:f>
        <x:v>2525000</x:v>
      </x:c>
      <x:c r="G51" s="20" t="n">
        <x:v>13</x:v>
      </x:c>
      <x:c r="H51" s="20" t="n">
        <x:v>10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2485000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501000</x:v>
      </x:c>
      <x:c r="D53" s="19" t="n">
        <x:v>70000</x:v>
      </x:c>
      <x:c r="E53" s="19" t="n">
        <x:f>C53-D53</x:f>
        <x:v>431000</x:v>
      </x:c>
      <x:c r="F53" s="19" t="n">
        <x:f>SUM($E$7:E53)</x:f>
        <x:v>2916000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179000</x:v>
      </x:c>
      <x:c r="D54" s="19" t="n">
        <x:v>34000</x:v>
      </x:c>
      <x:c r="E54" s="19" t="n">
        <x:f>C54-D54</x:f>
        <x:v>145000</x:v>
      </x:c>
      <x:c r="F54" s="19" t="n">
        <x:f>SUM($E$7:E54)</x:f>
        <x:v>3061000</x:v>
      </x:c>
      <x:c r="G54" s="20" t="n">
        <x:v>6</x:v>
      </x:c>
      <x:c r="H54" s="20" t="n">
        <x:v>5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226000</x:v>
      </x:c>
      <x:c r="D55" s="19" t="n">
        <x:v>99000</x:v>
      </x:c>
      <x:c r="E55" s="19" t="n">
        <x:f>C55-D55</x:f>
        <x:v>127000</x:v>
      </x:c>
      <x:c r="F55" s="19" t="n">
        <x:f>SUM($E$7:E55)</x:f>
        <x:v>3188000</x:v>
      </x:c>
      <x:c r="G55" s="20" t="n">
        <x:v>7</x:v>
      </x:c>
      <x:c r="H55" s="20" t="n">
        <x:v>5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3157000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6847000</x:v>
      </x:c>
      <x:c r="D57" s="21" t="n">
        <x:f>SUM(D7:D56)</x:f>
        <x:v>3690000</x:v>
      </x:c>
      <x:c r="E57" s="21" t="n">
        <x:f>SUM(E7:E56)</x:f>
        <x:v>3157000</x:v>
      </x:c>
      <x:c r="F57" s="21" t="n">
        <x:f>F56</x:f>
        <x:v>3157000</x:v>
      </x:c>
      <x:c r="G57" s="22" t="n">
        <x:f>SUM(G7:G56)</x:f>
        <x:v>365</x:v>
      </x:c>
      <x:c r="H57" s="22" t="n">
        <x:f>SUM(H7:H56)</x:f>
        <x:v>268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ac6b4d2b934e1d"/>
  </x:tableParts>
</x:worksheet>
</file>

<file path=xl/worksheets/sheet12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D01　基本担当の残り1枚だけ追尾幅制限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Day: 主R05・追加V00・別R00 / Night: 主R05・追加V00・別R00。担当ごとの上限5・3・2枚を固定。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24000</x:v>
      </x:c>
      <x:c r="D10" s="19" t="n">
        <x:v>0</x:v>
      </x:c>
      <x:c r="E10" s="19" t="n">
        <x:f>C10-D10</x:f>
        <x:v>24000</x:v>
      </x:c>
      <x:c r="F10" s="19" t="n">
        <x:f>SUM($E$7:E10)</x:f>
        <x:v>-21000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-25000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-61000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107000</x:v>
      </x:c>
      <x:c r="D13" s="19" t="n">
        <x:v>60000</x:v>
      </x:c>
      <x:c r="E13" s="19" t="n">
        <x:f>C13-D13</x:f>
        <x:v>47000</x:v>
      </x:c>
      <x:c r="F13" s="19" t="n">
        <x:f>SUM($E$7:E13)</x:f>
        <x:v>-14000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6000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157000</x:v>
      </x:c>
      <x:c r="D15" s="19" t="n">
        <x:v>46000</x:v>
      </x:c>
      <x:c r="E15" s="19" t="n">
        <x:f>C15-D15</x:f>
        <x:v>111000</x:v>
      </x:c>
      <x:c r="F15" s="19" t="n">
        <x:f>SUM($E$7:E15)</x:f>
        <x:v>117000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17000</x:v>
      </x:c>
      <x:c r="D16" s="19" t="n">
        <x:v>16000</x:v>
      </x:c>
      <x:c r="E16" s="19" t="n">
        <x:f>C16-D16</x:f>
        <x:v>1000</x:v>
      </x:c>
      <x:c r="F16" s="19" t="n">
        <x:f>SUM($E$7:E16)</x:f>
        <x:v>118000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331000</x:v>
      </x:c>
      <x:c r="D17" s="19" t="n">
        <x:v>151000</x:v>
      </x:c>
      <x:c r="E17" s="19" t="n">
        <x:f>C17-D17</x:f>
        <x:v>180000</x:v>
      </x:c>
      <x:c r="F17" s="19" t="n">
        <x:f>SUM($E$7:E17)</x:f>
        <x:v>298000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259000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276000</x:v>
      </x:c>
      <x:c r="D19" s="19" t="n">
        <x:v>127000</x:v>
      </x:c>
      <x:c r="E19" s="19" t="n">
        <x:f>C19-D19</x:f>
        <x:v>149000</x:v>
      </x:c>
      <x:c r="F19" s="19" t="n">
        <x:f>SUM($E$7:E19)</x:f>
        <x:v>408000</x:v>
      </x:c>
      <x:c r="G19" s="20" t="n">
        <x:v>9</x:v>
      </x:c>
      <x:c r="H19" s="20" t="n">
        <x:v>6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87000</x:v>
      </x:c>
      <x:c r="D20" s="19" t="n">
        <x:v>22000</x:v>
      </x:c>
      <x:c r="E20" s="19" t="n">
        <x:f>C20-D20</x:f>
        <x:v>65000</x:v>
      </x:c>
      <x:c r="F20" s="19" t="n">
        <x:f>SUM($E$7:E20)</x:f>
        <x:v>473000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157000</x:v>
      </x:c>
      <x:c r="D21" s="19" t="n">
        <x:v>100000</x:v>
      </x:c>
      <x:c r="E21" s="19" t="n">
        <x:f>C21-D21</x:f>
        <x:v>57000</x:v>
      </x:c>
      <x:c r="F21" s="19" t="n">
        <x:f>SUM($E$7:E21)</x:f>
        <x:v>530000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43000</x:v>
      </x:c>
      <x:c r="D22" s="19" t="n">
        <x:v>0</x:v>
      </x:c>
      <x:c r="E22" s="19" t="n">
        <x:f>C22-D22</x:f>
        <x:v>43000</x:v>
      </x:c>
      <x:c r="F22" s="19" t="n">
        <x:f>SUM($E$7:E22)</x:f>
        <x:v>573000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472000</x:v>
      </x:c>
      <x:c r="D23" s="19" t="n">
        <x:v>84000</x:v>
      </x:c>
      <x:c r="E23" s="19" t="n">
        <x:f>C23-D23</x:f>
        <x:v>388000</x:v>
      </x:c>
      <x:c r="F23" s="19" t="n">
        <x:f>SUM($E$7:E23)</x:f>
        <x:v>961000</x:v>
      </x:c>
      <x:c r="G23" s="20" t="n">
        <x:v>5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127000</x:v>
      </x:c>
      <x:c r="D24" s="19" t="n">
        <x:v>85000</x:v>
      </x:c>
      <x:c r="E24" s="19" t="n">
        <x:f>C24-D24</x:f>
        <x:v>42000</x:v>
      </x:c>
      <x:c r="F24" s="19" t="n">
        <x:f>SUM($E$7:E24)</x:f>
        <x:v>1003000</x:v>
      </x:c>
      <x:c r="G24" s="20" t="n">
        <x:v>12</x:v>
      </x:c>
      <x:c r="H24" s="20" t="n">
        <x:v>8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65000</x:v>
      </x:c>
      <x:c r="D25" s="19" t="n">
        <x:v>107000</x:v>
      </x:c>
      <x:c r="E25" s="19" t="n">
        <x:f>C25-D25</x:f>
        <x:v>-42000</x:v>
      </x:c>
      <x:c r="F25" s="19" t="n">
        <x:f>SUM($E$7:E25)</x:f>
        <x:v>961000</x:v>
      </x:c>
      <x:c r="G25" s="20" t="n">
        <x:v>9</x:v>
      </x:c>
      <x:c r="H25" s="20" t="n">
        <x:v>5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296000</x:v>
      </x:c>
      <x:c r="D26" s="19" t="n">
        <x:v>0</x:v>
      </x:c>
      <x:c r="E26" s="19" t="n">
        <x:f>C26-D26</x:f>
        <x:v>296000</x:v>
      </x:c>
      <x:c r="F26" s="19" t="n">
        <x:f>SUM($E$7:E26)</x:f>
        <x:v>1257000</x:v>
      </x:c>
      <x:c r="G26" s="20" t="n">
        <x:v>12</x:v>
      </x:c>
      <x:c r="H26" s="20" t="n">
        <x:v>7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85000</x:v>
      </x:c>
      <x:c r="D27" s="19" t="n">
        <x:v>148000</x:v>
      </x:c>
      <x:c r="E27" s="19" t="n">
        <x:f>C27-D27</x:f>
        <x:v>-63000</x:v>
      </x:c>
      <x:c r="F27" s="19" t="n">
        <x:f>SUM($E$7:E27)</x:f>
        <x:v>1194000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94000</x:v>
      </x:c>
      <x:c r="D28" s="19" t="n">
        <x:v>20000</x:v>
      </x:c>
      <x:c r="E28" s="19" t="n">
        <x:f>C28-D28</x:f>
        <x:v>74000</x:v>
      </x:c>
      <x:c r="F28" s="19" t="n">
        <x:f>SUM($E$7:E28)</x:f>
        <x:v>1268000</x:v>
      </x:c>
      <x:c r="G28" s="20" t="n">
        <x:v>5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267000</x:v>
      </x:c>
      <x:c r="D29" s="19" t="n">
        <x:v>138000</x:v>
      </x:c>
      <x:c r="E29" s="19" t="n">
        <x:f>C29-D29</x:f>
        <x:v>129000</x:v>
      </x:c>
      <x:c r="F29" s="19" t="n">
        <x:f>SUM($E$7:E29)</x:f>
        <x:v>1397000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1387000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96000</x:v>
      </x:c>
      <x:c r="D31" s="19" t="n">
        <x:v>42000</x:v>
      </x:c>
      <x:c r="E31" s="19" t="n">
        <x:f>C31-D31</x:f>
        <x:v>54000</x:v>
      </x:c>
      <x:c r="F31" s="19" t="n">
        <x:f>SUM($E$7:E31)</x:f>
        <x:v>1441000</x:v>
      </x:c>
      <x:c r="G31" s="20" t="n">
        <x:v>7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1398000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181000</x:v>
      </x:c>
      <x:c r="D33" s="19" t="n">
        <x:v>130000</x:v>
      </x:c>
      <x:c r="E33" s="19" t="n">
        <x:f>C33-D33</x:f>
        <x:v>51000</x:v>
      </x:c>
      <x:c r="F33" s="19" t="n">
        <x:f>SUM($E$7:E33)</x:f>
        <x:v>1449000</x:v>
      </x:c>
      <x:c r="G33" s="20" t="n">
        <x:v>10</x:v>
      </x:c>
      <x:c r="H33" s="20" t="n">
        <x:v>8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160000</x:v>
      </x:c>
      <x:c r="D34" s="19" t="n">
        <x:v>0</x:v>
      </x:c>
      <x:c r="E34" s="19" t="n">
        <x:f>C34-D34</x:f>
        <x:v>160000</x:v>
      </x:c>
      <x:c r="F34" s="19" t="n">
        <x:f>SUM($E$7:E34)</x:f>
        <x:v>1609000</x:v>
      </x:c>
      <x:c r="G34" s="20" t="n">
        <x:v>8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134000</x:v>
      </x:c>
      <x:c r="D35" s="19" t="n">
        <x:v>68000</x:v>
      </x:c>
      <x:c r="E35" s="19" t="n">
        <x:f>C35-D35</x:f>
        <x:v>66000</x:v>
      </x:c>
      <x:c r="F35" s="19" t="n">
        <x:f>SUM($E$7:E35)</x:f>
        <x:v>1675000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1689000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1669000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82000</x:v>
      </x:c>
      <x:c r="D38" s="19" t="n">
        <x:v>0</x:v>
      </x:c>
      <x:c r="E38" s="19" t="n">
        <x:f>C38-D38</x:f>
        <x:v>82000</x:v>
      </x:c>
      <x:c r="F38" s="19" t="n">
        <x:f>SUM($E$7:E38)</x:f>
        <x:v>1751000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83000</x:v>
      </x:c>
      <x:c r="D39" s="19" t="n">
        <x:v>165000</x:v>
      </x:c>
      <x:c r="E39" s="19" t="n">
        <x:f>C39-D39</x:f>
        <x:v>-82000</x:v>
      </x:c>
      <x:c r="F39" s="19" t="n">
        <x:f>SUM($E$7:E39)</x:f>
        <x:v>1669000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1616000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166000</x:v>
      </x:c>
      <x:c r="D41" s="19" t="n">
        <x:v>72000</x:v>
      </x:c>
      <x:c r="E41" s="19" t="n">
        <x:f>C41-D41</x:f>
        <x:v>94000</x:v>
      </x:c>
      <x:c r="F41" s="19" t="n">
        <x:f>SUM($E$7:E41)</x:f>
        <x:v>1710000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197000</x:v>
      </x:c>
      <x:c r="D42" s="19" t="n">
        <x:v>61000</x:v>
      </x:c>
      <x:c r="E42" s="19" t="n">
        <x:f>C42-D42</x:f>
        <x:v>136000</x:v>
      </x:c>
      <x:c r="F42" s="19" t="n">
        <x:f>SUM($E$7:E42)</x:f>
        <x:v>1846000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541000</x:v>
      </x:c>
      <x:c r="D43" s="19" t="n">
        <x:v>66000</x:v>
      </x:c>
      <x:c r="E43" s="19" t="n">
        <x:f>C43-D43</x:f>
        <x:v>475000</x:v>
      </x:c>
      <x:c r="F43" s="19" t="n">
        <x:f>SUM($E$7:E43)</x:f>
        <x:v>2321000</x:v>
      </x:c>
      <x:c r="G43" s="20" t="n">
        <x:v>8</x:v>
      </x:c>
      <x:c r="H43" s="20" t="n">
        <x:v>5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2301000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87000</x:v>
      </x:c>
      <x:c r="D45" s="19" t="n">
        <x:v>168000</x:v>
      </x:c>
      <x:c r="E45" s="19" t="n">
        <x:f>C45-D45</x:f>
        <x:v>-81000</x:v>
      </x:c>
      <x:c r="F45" s="19" t="n">
        <x:f>SUM($E$7:E45)</x:f>
        <x:v>2220000</x:v>
      </x:c>
      <x:c r="G45" s="20" t="n">
        <x:v>15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117000</x:v>
      </x:c>
      <x:c r="D46" s="19" t="n">
        <x:v>142000</x:v>
      </x:c>
      <x:c r="E46" s="19" t="n">
        <x:f>C46-D46</x:f>
        <x:v>-25000</x:v>
      </x:c>
      <x:c r="F46" s="19" t="n">
        <x:f>SUM($E$7:E46)</x:f>
        <x:v>2195000</x:v>
      </x:c>
      <x:c r="G46" s="20" t="n">
        <x:v>14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420000</x:v>
      </x:c>
      <x:c r="D47" s="19" t="n">
        <x:v>16000</x:v>
      </x:c>
      <x:c r="E47" s="19" t="n">
        <x:f>C47-D47</x:f>
        <x:v>404000</x:v>
      </x:c>
      <x:c r="F47" s="19" t="n">
        <x:f>SUM($E$7:E47)</x:f>
        <x:v>2599000</x:v>
      </x:c>
      <x:c r="G47" s="20" t="n">
        <x:v>12</x:v>
      </x:c>
      <x:c r="H47" s="20" t="n">
        <x:v>7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107000</x:v>
      </x:c>
      <x:c r="D48" s="19" t="n">
        <x:v>34000</x:v>
      </x:c>
      <x:c r="E48" s="19" t="n">
        <x:f>C48-D48</x:f>
        <x:v>73000</x:v>
      </x:c>
      <x:c r="F48" s="19" t="n">
        <x:f>SUM($E$7:E48)</x:f>
        <x:v>2672000</x:v>
      </x:c>
      <x:c r="G48" s="20" t="n">
        <x:v>9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168000</x:v>
      </x:c>
      <x:c r="D49" s="19" t="n">
        <x:v>214000</x:v>
      </x:c>
      <x:c r="E49" s="19" t="n">
        <x:f>C49-D49</x:f>
        <x:v>-46000</x:v>
      </x:c>
      <x:c r="F49" s="19" t="n">
        <x:f>SUM($E$7:E49)</x:f>
        <x:v>2626000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528000</x:v>
      </x:c>
      <x:c r="D50" s="19" t="n">
        <x:v>0</x:v>
      </x:c>
      <x:c r="E50" s="19" t="n">
        <x:f>C50-D50</x:f>
        <x:v>528000</x:v>
      </x:c>
      <x:c r="F50" s="19" t="n">
        <x:f>SUM($E$7:E50)</x:f>
        <x:v>3154000</x:v>
      </x:c>
      <x:c r="G50" s="20" t="n">
        <x:v>11</x:v>
      </x:c>
      <x:c r="H50" s="20" t="n">
        <x:v>6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252000</x:v>
      </x:c>
      <x:c r="D51" s="19" t="n">
        <x:v>200000</x:v>
      </x:c>
      <x:c r="E51" s="19" t="n">
        <x:f>C51-D51</x:f>
        <x:v>52000</x:v>
      </x:c>
      <x:c r="F51" s="19" t="n">
        <x:f>SUM($E$7:E51)</x:f>
        <x:v>3206000</x:v>
      </x:c>
      <x:c r="G51" s="20" t="n">
        <x:v>12</x:v>
      </x:c>
      <x:c r="H51" s="20" t="n">
        <x:v>9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61000</x:v>
      </x:c>
      <x:c r="D52" s="19" t="n">
        <x:v>85000</x:v>
      </x:c>
      <x:c r="E52" s="19" t="n">
        <x:f>C52-D52</x:f>
        <x:v>-24000</x:v>
      </x:c>
      <x:c r="F52" s="19" t="n">
        <x:f>SUM($E$7:E52)</x:f>
        <x:v>3182000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708000</x:v>
      </x:c>
      <x:c r="D53" s="19" t="n">
        <x:v>70000</x:v>
      </x:c>
      <x:c r="E53" s="19" t="n">
        <x:f>C53-D53</x:f>
        <x:v>638000</x:v>
      </x:c>
      <x:c r="F53" s="19" t="n">
        <x:f>SUM($E$7:E53)</x:f>
        <x:v>3820000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156000</x:v>
      </x:c>
      <x:c r="D54" s="19" t="n">
        <x:v>10000</x:v>
      </x:c>
      <x:c r="E54" s="19" t="n">
        <x:f>C54-D54</x:f>
        <x:v>146000</x:v>
      </x:c>
      <x:c r="F54" s="19" t="n">
        <x:f>SUM($E$7:E54)</x:f>
        <x:v>3966000</x:v>
      </x:c>
      <x:c r="G54" s="20" t="n">
        <x:v>4</x:v>
      </x:c>
      <x:c r="H54" s="20" t="n">
        <x:v>3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218000</x:v>
      </x:c>
      <x:c r="D55" s="19" t="n">
        <x:v>99000</x:v>
      </x:c>
      <x:c r="E55" s="19" t="n">
        <x:f>C55-D55</x:f>
        <x:v>119000</x:v>
      </x:c>
      <x:c r="F55" s="19" t="n">
        <x:f>SUM($E$7:E55)</x:f>
        <x:v>4085000</x:v>
      </x:c>
      <x:c r="G55" s="20" t="n">
        <x:v>7</x:v>
      </x:c>
      <x:c r="H55" s="20" t="n">
        <x:v>5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40000</x:v>
      </x:c>
      <x:c r="D56" s="19" t="n">
        <x:v>53000</x:v>
      </x:c>
      <x:c r="E56" s="19" t="n">
        <x:f>C56-D56</x:f>
        <x:v>-13000</x:v>
      </x:c>
      <x:c r="F56" s="19" t="n">
        <x:f>SUM($E$7:E56)</x:f>
        <x:v>4072000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7400000</x:v>
      </x:c>
      <x:c r="D57" s="21" t="n">
        <x:f>SUM(D7:D56)</x:f>
        <x:v>3328000</x:v>
      </x:c>
      <x:c r="E57" s="21" t="n">
        <x:f>SUM(E7:E56)</x:f>
        <x:v>4072000</x:v>
      </x:c>
      <x:c r="F57" s="21" t="n">
        <x:f>F56</x:f>
        <x:v>4072000</x:v>
      </x:c>
      <x:c r="G57" s="22" t="n">
        <x:f>SUM(G7:G56)</x:f>
        <x:v>337</x:v>
      </x:c>
      <x:c r="H57" s="22" t="n">
        <x:f>SUM(H7:H56)</x:f>
        <x:v>246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d100dd21d9247fe"/>
  </x:tableParts>
</x:worksheet>
</file>

<file path=xl/worksheets/sheet13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D02　基本担当の残玉保護と反対候補へ切替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Day: 主R11・追加V00・別R00 / Night: 主R11・追加V00・別R00。担当ごとの上限5・3・2枚を固定。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36000</x:v>
      </x:c>
      <x:c r="D10" s="19" t="n">
        <x:v>0</x:v>
      </x:c>
      <x:c r="E10" s="19" t="n">
        <x:f>C10-D10</x:f>
        <x:v>36000</x:v>
      </x:c>
      <x:c r="F10" s="19" t="n">
        <x:f>SUM($E$7:E10)</x:f>
        <x:v>-9000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-13000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-49000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97000</x:v>
      </x:c>
      <x:c r="D13" s="19" t="n">
        <x:v>60000</x:v>
      </x:c>
      <x:c r="E13" s="19" t="n">
        <x:f>C13-D13</x:f>
        <x:v>37000</x:v>
      </x:c>
      <x:c r="F13" s="19" t="n">
        <x:f>SUM($E$7:E13)</x:f>
        <x:v>-12000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8000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157000</x:v>
      </x:c>
      <x:c r="D15" s="19" t="n">
        <x:v>46000</x:v>
      </x:c>
      <x:c r="E15" s="19" t="n">
        <x:f>C15-D15</x:f>
        <x:v>111000</x:v>
      </x:c>
      <x:c r="F15" s="19" t="n">
        <x:f>SUM($E$7:E15)</x:f>
        <x:v>119000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17000</x:v>
      </x:c>
      <x:c r="D16" s="19" t="n">
        <x:v>16000</x:v>
      </x:c>
      <x:c r="E16" s="19" t="n">
        <x:f>C16-D16</x:f>
        <x:v>1000</x:v>
      </x:c>
      <x:c r="F16" s="19" t="n">
        <x:f>SUM($E$7:E16)</x:f>
        <x:v>120000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331000</x:v>
      </x:c>
      <x:c r="D17" s="19" t="n">
        <x:v>151000</x:v>
      </x:c>
      <x:c r="E17" s="19" t="n">
        <x:f>C17-D17</x:f>
        <x:v>180000</x:v>
      </x:c>
      <x:c r="F17" s="19" t="n">
        <x:f>SUM($E$7:E17)</x:f>
        <x:v>300000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261000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276000</x:v>
      </x:c>
      <x:c r="D19" s="19" t="n">
        <x:v>127000</x:v>
      </x:c>
      <x:c r="E19" s="19" t="n">
        <x:f>C19-D19</x:f>
        <x:v>149000</x:v>
      </x:c>
      <x:c r="F19" s="19" t="n">
        <x:f>SUM($E$7:E19)</x:f>
        <x:v>410000</x:v>
      </x:c>
      <x:c r="G19" s="20" t="n">
        <x:v>9</x:v>
      </x:c>
      <x:c r="H19" s="20" t="n">
        <x:v>6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95000</x:v>
      </x:c>
      <x:c r="D20" s="19" t="n">
        <x:v>22000</x:v>
      </x:c>
      <x:c r="E20" s="19" t="n">
        <x:f>C20-D20</x:f>
        <x:v>73000</x:v>
      </x:c>
      <x:c r="F20" s="19" t="n">
        <x:f>SUM($E$7:E20)</x:f>
        <x:v>483000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157000</x:v>
      </x:c>
      <x:c r="D21" s="19" t="n">
        <x:v>100000</x:v>
      </x:c>
      <x:c r="E21" s="19" t="n">
        <x:f>C21-D21</x:f>
        <x:v>57000</x:v>
      </x:c>
      <x:c r="F21" s="19" t="n">
        <x:f>SUM($E$7:E21)</x:f>
        <x:v>540000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45000</x:v>
      </x:c>
      <x:c r="D22" s="19" t="n">
        <x:v>0</x:v>
      </x:c>
      <x:c r="E22" s="19" t="n">
        <x:f>C22-D22</x:f>
        <x:v>45000</x:v>
      </x:c>
      <x:c r="F22" s="19" t="n">
        <x:f>SUM($E$7:E22)</x:f>
        <x:v>585000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472000</x:v>
      </x:c>
      <x:c r="D23" s="19" t="n">
        <x:v>84000</x:v>
      </x:c>
      <x:c r="E23" s="19" t="n">
        <x:f>C23-D23</x:f>
        <x:v>388000</x:v>
      </x:c>
      <x:c r="F23" s="19" t="n">
        <x:f>SUM($E$7:E23)</x:f>
        <x:v>973000</x:v>
      </x:c>
      <x:c r="G23" s="20" t="n">
        <x:v>5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127000</x:v>
      </x:c>
      <x:c r="D24" s="19" t="n">
        <x:v>85000</x:v>
      </x:c>
      <x:c r="E24" s="19" t="n">
        <x:f>C24-D24</x:f>
        <x:v>42000</x:v>
      </x:c>
      <x:c r="F24" s="19" t="n">
        <x:f>SUM($E$7:E24)</x:f>
        <x:v>1015000</x:v>
      </x:c>
      <x:c r="G24" s="20" t="n">
        <x:v>12</x:v>
      </x:c>
      <x:c r="H24" s="20" t="n">
        <x:v>8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65000</x:v>
      </x:c>
      <x:c r="D25" s="19" t="n">
        <x:v>107000</x:v>
      </x:c>
      <x:c r="E25" s="19" t="n">
        <x:f>C25-D25</x:f>
        <x:v>-42000</x:v>
      </x:c>
      <x:c r="F25" s="19" t="n">
        <x:f>SUM($E$7:E25)</x:f>
        <x:v>973000</x:v>
      </x:c>
      <x:c r="G25" s="20" t="n">
        <x:v>9</x:v>
      </x:c>
      <x:c r="H25" s="20" t="n">
        <x:v>5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296000</x:v>
      </x:c>
      <x:c r="D26" s="19" t="n">
        <x:v>0</x:v>
      </x:c>
      <x:c r="E26" s="19" t="n">
        <x:f>C26-D26</x:f>
        <x:v>296000</x:v>
      </x:c>
      <x:c r="F26" s="19" t="n">
        <x:f>SUM($E$7:E26)</x:f>
        <x:v>1269000</x:v>
      </x:c>
      <x:c r="G26" s="20" t="n">
        <x:v>12</x:v>
      </x:c>
      <x:c r="H26" s="20" t="n">
        <x:v>7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85000</x:v>
      </x:c>
      <x:c r="D27" s="19" t="n">
        <x:v>148000</x:v>
      </x:c>
      <x:c r="E27" s="19" t="n">
        <x:f>C27-D27</x:f>
        <x:v>-63000</x:v>
      </x:c>
      <x:c r="F27" s="19" t="n">
        <x:f>SUM($E$7:E27)</x:f>
        <x:v>1206000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94000</x:v>
      </x:c>
      <x:c r="D28" s="19" t="n">
        <x:v>20000</x:v>
      </x:c>
      <x:c r="E28" s="19" t="n">
        <x:f>C28-D28</x:f>
        <x:v>74000</x:v>
      </x:c>
      <x:c r="F28" s="19" t="n">
        <x:f>SUM($E$7:E28)</x:f>
        <x:v>1280000</x:v>
      </x:c>
      <x:c r="G28" s="20" t="n">
        <x:v>5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267000</x:v>
      </x:c>
      <x:c r="D29" s="19" t="n">
        <x:v>138000</x:v>
      </x:c>
      <x:c r="E29" s="19" t="n">
        <x:f>C29-D29</x:f>
        <x:v>129000</x:v>
      </x:c>
      <x:c r="F29" s="19" t="n">
        <x:f>SUM($E$7:E29)</x:f>
        <x:v>1409000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1399000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96000</x:v>
      </x:c>
      <x:c r="D31" s="19" t="n">
        <x:v>42000</x:v>
      </x:c>
      <x:c r="E31" s="19" t="n">
        <x:f>C31-D31</x:f>
        <x:v>54000</x:v>
      </x:c>
      <x:c r="F31" s="19" t="n">
        <x:f>SUM($E$7:E31)</x:f>
        <x:v>1453000</x:v>
      </x:c>
      <x:c r="G31" s="20" t="n">
        <x:v>7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1410000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181000</x:v>
      </x:c>
      <x:c r="D33" s="19" t="n">
        <x:v>130000</x:v>
      </x:c>
      <x:c r="E33" s="19" t="n">
        <x:f>C33-D33</x:f>
        <x:v>51000</x:v>
      </x:c>
      <x:c r="F33" s="19" t="n">
        <x:f>SUM($E$7:E33)</x:f>
        <x:v>1461000</x:v>
      </x:c>
      <x:c r="G33" s="20" t="n">
        <x:v>10</x:v>
      </x:c>
      <x:c r="H33" s="20" t="n">
        <x:v>8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160000</x:v>
      </x:c>
      <x:c r="D34" s="19" t="n">
        <x:v>0</x:v>
      </x:c>
      <x:c r="E34" s="19" t="n">
        <x:f>C34-D34</x:f>
        <x:v>160000</x:v>
      </x:c>
      <x:c r="F34" s="19" t="n">
        <x:f>SUM($E$7:E34)</x:f>
        <x:v>1621000</x:v>
      </x:c>
      <x:c r="G34" s="20" t="n">
        <x:v>8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84000</x:v>
      </x:c>
      <x:c r="D35" s="19" t="n">
        <x:v>68000</x:v>
      </x:c>
      <x:c r="E35" s="19" t="n">
        <x:f>C35-D35</x:f>
        <x:v>16000</x:v>
      </x:c>
      <x:c r="F35" s="19" t="n">
        <x:f>SUM($E$7:E35)</x:f>
        <x:v>1637000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18000</x:v>
      </x:c>
      <x:c r="D36" s="19" t="n">
        <x:v>0</x:v>
      </x:c>
      <x:c r="E36" s="19" t="n">
        <x:f>C36-D36</x:f>
        <x:v>18000</x:v>
      </x:c>
      <x:c r="F36" s="19" t="n">
        <x:f>SUM($E$7:E36)</x:f>
        <x:v>1655000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1635000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85000</x:v>
      </x:c>
      <x:c r="D38" s="19" t="n">
        <x:v>0</x:v>
      </x:c>
      <x:c r="E38" s="19" t="n">
        <x:f>C38-D38</x:f>
        <x:v>85000</x:v>
      </x:c>
      <x:c r="F38" s="19" t="n">
        <x:f>SUM($E$7:E38)</x:f>
        <x:v>1720000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83000</x:v>
      </x:c>
      <x:c r="D39" s="19" t="n">
        <x:v>165000</x:v>
      </x:c>
      <x:c r="E39" s="19" t="n">
        <x:f>C39-D39</x:f>
        <x:v>-82000</x:v>
      </x:c>
      <x:c r="F39" s="19" t="n">
        <x:f>SUM($E$7:E39)</x:f>
        <x:v>1638000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1585000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172000</x:v>
      </x:c>
      <x:c r="D41" s="19" t="n">
        <x:v>72000</x:v>
      </x:c>
      <x:c r="E41" s="19" t="n">
        <x:f>C41-D41</x:f>
        <x:v>100000</x:v>
      </x:c>
      <x:c r="F41" s="19" t="n">
        <x:f>SUM($E$7:E41)</x:f>
        <x:v>1685000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197000</x:v>
      </x:c>
      <x:c r="D42" s="19" t="n">
        <x:v>61000</x:v>
      </x:c>
      <x:c r="E42" s="19" t="n">
        <x:f>C42-D42</x:f>
        <x:v>136000</x:v>
      </x:c>
      <x:c r="F42" s="19" t="n">
        <x:f>SUM($E$7:E42)</x:f>
        <x:v>1821000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541000</x:v>
      </x:c>
      <x:c r="D43" s="19" t="n">
        <x:v>66000</x:v>
      </x:c>
      <x:c r="E43" s="19" t="n">
        <x:f>C43-D43</x:f>
        <x:v>475000</x:v>
      </x:c>
      <x:c r="F43" s="19" t="n">
        <x:f>SUM($E$7:E43)</x:f>
        <x:v>2296000</x:v>
      </x:c>
      <x:c r="G43" s="20" t="n">
        <x:v>8</x:v>
      </x:c>
      <x:c r="H43" s="20" t="n">
        <x:v>5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2276000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87000</x:v>
      </x:c>
      <x:c r="D45" s="19" t="n">
        <x:v>168000</x:v>
      </x:c>
      <x:c r="E45" s="19" t="n">
        <x:f>C45-D45</x:f>
        <x:v>-81000</x:v>
      </x:c>
      <x:c r="F45" s="19" t="n">
        <x:f>SUM($E$7:E45)</x:f>
        <x:v>2195000</x:v>
      </x:c>
      <x:c r="G45" s="20" t="n">
        <x:v>15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120000</x:v>
      </x:c>
      <x:c r="D46" s="19" t="n">
        <x:v>142000</x:v>
      </x:c>
      <x:c r="E46" s="19" t="n">
        <x:f>C46-D46</x:f>
        <x:v>-22000</x:v>
      </x:c>
      <x:c r="F46" s="19" t="n">
        <x:f>SUM($E$7:E46)</x:f>
        <x:v>2173000</x:v>
      </x:c>
      <x:c r="G46" s="20" t="n">
        <x:v>14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420000</x:v>
      </x:c>
      <x:c r="D47" s="19" t="n">
        <x:v>16000</x:v>
      </x:c>
      <x:c r="E47" s="19" t="n">
        <x:f>C47-D47</x:f>
        <x:v>404000</x:v>
      </x:c>
      <x:c r="F47" s="19" t="n">
        <x:f>SUM($E$7:E47)</x:f>
        <x:v>2577000</x:v>
      </x:c>
      <x:c r="G47" s="20" t="n">
        <x:v>12</x:v>
      </x:c>
      <x:c r="H47" s="20" t="n">
        <x:v>7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107000</x:v>
      </x:c>
      <x:c r="D48" s="19" t="n">
        <x:v>34000</x:v>
      </x:c>
      <x:c r="E48" s="19" t="n">
        <x:f>C48-D48</x:f>
        <x:v>73000</x:v>
      </x:c>
      <x:c r="F48" s="19" t="n">
        <x:f>SUM($E$7:E48)</x:f>
        <x:v>2650000</x:v>
      </x:c>
      <x:c r="G48" s="20" t="n">
        <x:v>9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168000</x:v>
      </x:c>
      <x:c r="D49" s="19" t="n">
        <x:v>214000</x:v>
      </x:c>
      <x:c r="E49" s="19" t="n">
        <x:f>C49-D49</x:f>
        <x:v>-46000</x:v>
      </x:c>
      <x:c r="F49" s="19" t="n">
        <x:f>SUM($E$7:E49)</x:f>
        <x:v>2604000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528000</x:v>
      </x:c>
      <x:c r="D50" s="19" t="n">
        <x:v>0</x:v>
      </x:c>
      <x:c r="E50" s="19" t="n">
        <x:f>C50-D50</x:f>
        <x:v>528000</x:v>
      </x:c>
      <x:c r="F50" s="19" t="n">
        <x:f>SUM($E$7:E50)</x:f>
        <x:v>3132000</x:v>
      </x:c>
      <x:c r="G50" s="20" t="n">
        <x:v>11</x:v>
      </x:c>
      <x:c r="H50" s="20" t="n">
        <x:v>6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252000</x:v>
      </x:c>
      <x:c r="D51" s="19" t="n">
        <x:v>200000</x:v>
      </x:c>
      <x:c r="E51" s="19" t="n">
        <x:f>C51-D51</x:f>
        <x:v>52000</x:v>
      </x:c>
      <x:c r="F51" s="19" t="n">
        <x:f>SUM($E$7:E51)</x:f>
        <x:v>3184000</x:v>
      </x:c>
      <x:c r="G51" s="20" t="n">
        <x:v>12</x:v>
      </x:c>
      <x:c r="H51" s="20" t="n">
        <x:v>9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63000</x:v>
      </x:c>
      <x:c r="D52" s="19" t="n">
        <x:v>85000</x:v>
      </x:c>
      <x:c r="E52" s="19" t="n">
        <x:f>C52-D52</x:f>
        <x:v>-22000</x:v>
      </x:c>
      <x:c r="F52" s="19" t="n">
        <x:f>SUM($E$7:E52)</x:f>
        <x:v>3162000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708000</x:v>
      </x:c>
      <x:c r="D53" s="19" t="n">
        <x:v>70000</x:v>
      </x:c>
      <x:c r="E53" s="19" t="n">
        <x:f>C53-D53</x:f>
        <x:v>638000</x:v>
      </x:c>
      <x:c r="F53" s="19" t="n">
        <x:f>SUM($E$7:E53)</x:f>
        <x:v>3800000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156000</x:v>
      </x:c>
      <x:c r="D54" s="19" t="n">
        <x:v>10000</x:v>
      </x:c>
      <x:c r="E54" s="19" t="n">
        <x:f>C54-D54</x:f>
        <x:v>146000</x:v>
      </x:c>
      <x:c r="F54" s="19" t="n">
        <x:f>SUM($E$7:E54)</x:f>
        <x:v>3946000</x:v>
      </x:c>
      <x:c r="G54" s="20" t="n">
        <x:v>4</x:v>
      </x:c>
      <x:c r="H54" s="20" t="n">
        <x:v>3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218000</x:v>
      </x:c>
      <x:c r="D55" s="19" t="n">
        <x:v>99000</x:v>
      </x:c>
      <x:c r="E55" s="19" t="n">
        <x:f>C55-D55</x:f>
        <x:v>119000</x:v>
      </x:c>
      <x:c r="F55" s="19" t="n">
        <x:f>SUM($E$7:E55)</x:f>
        <x:v>4065000</x:v>
      </x:c>
      <x:c r="G55" s="20" t="n">
        <x:v>7</x:v>
      </x:c>
      <x:c r="H55" s="20" t="n">
        <x:v>5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46000</x:v>
      </x:c>
      <x:c r="D56" s="19" t="n">
        <x:v>53000</x:v>
      </x:c>
      <x:c r="E56" s="19" t="n">
        <x:f>C56-D56</x:f>
        <x:v>-7000</x:v>
      </x:c>
      <x:c r="F56" s="19" t="n">
        <x:f>SUM($E$7:E56)</x:f>
        <x:v>4058000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7386000</x:v>
      </x:c>
      <x:c r="D57" s="21" t="n">
        <x:f>SUM(D7:D56)</x:f>
        <x:v>3328000</x:v>
      </x:c>
      <x:c r="E57" s="21" t="n">
        <x:f>SUM(E7:E56)</x:f>
        <x:v>4058000</x:v>
      </x:c>
      <x:c r="F57" s="21" t="n">
        <x:f>F56</x:f>
        <x:v>4058000</x:v>
      </x:c>
      <x:c r="G57" s="22" t="n">
        <x:f>SUM(G7:G56)</x:f>
        <x:v>337</x:v>
      </x:c>
      <x:c r="H57" s="22" t="n">
        <x:f>SUM(H7:H56)</x:f>
        <x:v>246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1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c58c87d9d04cd9"/>
  </x:tableParts>
</x:worksheet>
</file>

<file path=xl/worksheets/sheet14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D05　昼だけ分割回収・夜はTG04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Day: 主P01・追加V05・別R00 / Night: 主R00・追加V00・別R00。担当ごとの上限5・3・2枚を固定。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30000</x:v>
      </x:c>
      <x:c r="D7" s="19" t="n">
        <x:v>0</x:v>
      </x:c>
      <x:c r="E7" s="19" t="n">
        <x:f>C7-D7</x:f>
        <x:v>30000</x:v>
      </x:c>
      <x:c r="F7" s="19" t="n">
        <x:f>SUM($E$7:E7)</x:f>
        <x:v>30000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-15000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-120000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-104000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50000</x:v>
      </x:c>
      <x:c r="D11" s="19" t="n">
        <x:v>0</x:v>
      </x:c>
      <x:c r="E11" s="19" t="n">
        <x:f>C11-D11</x:f>
        <x:v>50000</x:v>
      </x:c>
      <x:c r="F11" s="19" t="n">
        <x:f>SUM($E$7:E11)</x:f>
        <x:v>-54000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-90000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137000</x:v>
      </x:c>
      <x:c r="D13" s="19" t="n">
        <x:v>60000</x:v>
      </x:c>
      <x:c r="E13" s="19" t="n">
        <x:f>C13-D13</x:f>
        <x:v>77000</x:v>
      </x:c>
      <x:c r="F13" s="19" t="n">
        <x:f>SUM($E$7:E13)</x:f>
        <x:v>-13000</x:v>
      </x:c>
      <x:c r="G13" s="20" t="n">
        <x:v>5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7000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65000</x:v>
      </x:c>
      <x:c r="D15" s="19" t="n">
        <x:v>48000</x:v>
      </x:c>
      <x:c r="E15" s="19" t="n">
        <x:f>C15-D15</x:f>
        <x:v>17000</x:v>
      </x:c>
      <x:c r="F15" s="19" t="n">
        <x:f>SUM($E$7:E15)</x:f>
        <x:v>24000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20000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175000</x:v>
      </x:c>
      <x:c r="D17" s="19" t="n">
        <x:v>151000</x:v>
      </x:c>
      <x:c r="E17" s="19" t="n">
        <x:f>C17-D17</x:f>
        <x:v>24000</x:v>
      </x:c>
      <x:c r="F17" s="19" t="n">
        <x:f>SUM($E$7:E17)</x:f>
        <x:v>44000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5000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191000</x:v>
      </x:c>
      <x:c r="D19" s="19" t="n">
        <x:v>127000</x:v>
      </x:c>
      <x:c r="E19" s="19" t="n">
        <x:f>C19-D19</x:f>
        <x:v>64000</x:v>
      </x:c>
      <x:c r="F19" s="19" t="n">
        <x:f>SUM($E$7:E19)</x:f>
        <x:v>69000</x:v>
      </x:c>
      <x:c r="G19" s="20" t="n">
        <x:v>9</x:v>
      </x:c>
      <x:c r="H19" s="20" t="n">
        <x:v>6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120000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195000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222000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355000</x:v>
      </x:c>
      <x:c r="D23" s="19" t="n">
        <x:v>84000</x:v>
      </x:c>
      <x:c r="E23" s="19" t="n">
        <x:f>C23-D23</x:f>
        <x:v>271000</x:v>
      </x:c>
      <x:c r="F23" s="19" t="n">
        <x:f>SUM($E$7:E23)</x:f>
        <x:v>493000</x:v>
      </x:c>
      <x:c r="G23" s="20" t="n">
        <x:v>4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146000</x:v>
      </x:c>
      <x:c r="D24" s="19" t="n">
        <x:v>85000</x:v>
      </x:c>
      <x:c r="E24" s="19" t="n">
        <x:f>C24-D24</x:f>
        <x:v>61000</x:v>
      </x:c>
      <x:c r="F24" s="19" t="n">
        <x:f>SUM($E$7:E24)</x:f>
        <x:v>554000</x:v>
      </x:c>
      <x:c r="G24" s="20" t="n">
        <x:v>12</x:v>
      </x:c>
      <x:c r="H24" s="20" t="n">
        <x:v>8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64000</x:v>
      </x:c>
      <x:c r="D25" s="19" t="n">
        <x:v>73000</x:v>
      </x:c>
      <x:c r="E25" s="19" t="n">
        <x:f>C25-D25</x:f>
        <x:v>-9000</x:v>
      </x:c>
      <x:c r="F25" s="19" t="n">
        <x:f>SUM($E$7:E25)</x:f>
        <x:v>545000</x:v>
      </x:c>
      <x:c r="G25" s="20" t="n">
        <x:v>9</x:v>
      </x:c>
      <x:c r="H25" s="20" t="n">
        <x:v>4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182000</x:v>
      </x:c>
      <x:c r="D26" s="19" t="n">
        <x:v>0</x:v>
      </x:c>
      <x:c r="E26" s="19" t="n">
        <x:f>C26-D26</x:f>
        <x:v>182000</x:v>
      </x:c>
      <x:c r="F26" s="19" t="n">
        <x:f>SUM($E$7:E26)</x:f>
        <x:v>727000</x:v>
      </x:c>
      <x:c r="G26" s="20" t="n">
        <x:v>11</x:v>
      </x:c>
      <x:c r="H26" s="20" t="n">
        <x:v>6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88000</x:v>
      </x:c>
      <x:c r="D27" s="19" t="n">
        <x:v>148000</x:v>
      </x:c>
      <x:c r="E27" s="19" t="n">
        <x:f>C27-D27</x:f>
        <x:v>-60000</x:v>
      </x:c>
      <x:c r="F27" s="19" t="n">
        <x:f>SUM($E$7:E27)</x:f>
        <x:v>667000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94000</x:v>
      </x:c>
      <x:c r="D28" s="19" t="n">
        <x:v>20000</x:v>
      </x:c>
      <x:c r="E28" s="19" t="n">
        <x:f>C28-D28</x:f>
        <x:v>74000</x:v>
      </x:c>
      <x:c r="F28" s="19" t="n">
        <x:f>SUM($E$7:E28)</x:f>
        <x:v>741000</x:v>
      </x:c>
      <x:c r="G28" s="20" t="n">
        <x:v>5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269000</x:v>
      </x:c>
      <x:c r="D29" s="19" t="n">
        <x:v>122000</x:v>
      </x:c>
      <x:c r="E29" s="19" t="n">
        <x:f>C29-D29</x:f>
        <x:v>147000</x:v>
      </x:c>
      <x:c r="F29" s="19" t="n">
        <x:f>SUM($E$7:E29)</x:f>
        <x:v>888000</x:v>
      </x:c>
      <x:c r="G29" s="20" t="n">
        <x:v>10</x:v>
      </x:c>
      <x:c r="H29" s="20" t="n">
        <x:v>7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878000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144000</x:v>
      </x:c>
      <x:c r="D31" s="19" t="n">
        <x:v>47000</x:v>
      </x:c>
      <x:c r="E31" s="19" t="n">
        <x:f>C31-D31</x:f>
        <x:v>97000</x:v>
      </x:c>
      <x:c r="F31" s="19" t="n">
        <x:f>SUM($E$7:E31)</x:f>
        <x:v>975000</x:v>
      </x:c>
      <x:c r="G31" s="20" t="n">
        <x:v>8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932000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153000</x:v>
      </x:c>
      <x:c r="D33" s="19" t="n">
        <x:v>130000</x:v>
      </x:c>
      <x:c r="E33" s="19" t="n">
        <x:f>C33-D33</x:f>
        <x:v>23000</x:v>
      </x:c>
      <x:c r="F33" s="19" t="n">
        <x:f>SUM($E$7:E33)</x:f>
        <x:v>955000</x:v>
      </x:c>
      <x:c r="G33" s="20" t="n">
        <x:v>10</x:v>
      </x:c>
      <x:c r="H33" s="20" t="n">
        <x:v>8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144000</x:v>
      </x:c>
      <x:c r="D34" s="19" t="n">
        <x:v>0</x:v>
      </x:c>
      <x:c r="E34" s="19" t="n">
        <x:f>C34-D34</x:f>
        <x:v>144000</x:v>
      </x:c>
      <x:c r="F34" s="19" t="n">
        <x:f>SUM($E$7:E34)</x:f>
        <x:v>1099000</x:v>
      </x:c>
      <x:c r="G34" s="20" t="n">
        <x:v>8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111000</x:v>
      </x:c>
      <x:c r="D35" s="19" t="n">
        <x:v>68000</x:v>
      </x:c>
      <x:c r="E35" s="19" t="n">
        <x:f>C35-D35</x:f>
        <x:v>43000</x:v>
      </x:c>
      <x:c r="F35" s="19" t="n">
        <x:f>SUM($E$7:E35)</x:f>
        <x:v>1142000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1156000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61000</x:v>
      </x:c>
      <x:c r="D37" s="19" t="n">
        <x:v>53000</x:v>
      </x:c>
      <x:c r="E37" s="19" t="n">
        <x:f>C37-D37</x:f>
        <x:v>8000</x:v>
      </x:c>
      <x:c r="F37" s="19" t="n">
        <x:f>SUM($E$7:E37)</x:f>
        <x:v>1164000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1271000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181000</x:v>
      </x:c>
      <x:c r="D39" s="19" t="n">
        <x:v>117000</x:v>
      </x:c>
      <x:c r="E39" s="19" t="n">
        <x:f>C39-D39</x:f>
        <x:v>64000</x:v>
      </x:c>
      <x:c r="F39" s="19" t="n">
        <x:f>SUM($E$7:E39)</x:f>
        <x:v>1335000</x:v>
      </x:c>
      <x:c r="G39" s="20" t="n">
        <x:v>12</x:v>
      </x:c>
      <x:c r="H39" s="20" t="n">
        <x:v>9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1282000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1359000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1534000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488000</x:v>
      </x:c>
      <x:c r="D43" s="19" t="n">
        <x:v>66000</x:v>
      </x:c>
      <x:c r="E43" s="19" t="n">
        <x:f>C43-D43</x:f>
        <x:v>422000</x:v>
      </x:c>
      <x:c r="F43" s="19" t="n">
        <x:f>SUM($E$7:E43)</x:f>
        <x:v>1956000</x:v>
      </x:c>
      <x:c r="G43" s="20" t="n">
        <x:v>8</x:v>
      </x:c>
      <x:c r="H43" s="20" t="n">
        <x:v>5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1936000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145000</x:v>
      </x:c>
      <x:c r="D45" s="19" t="n">
        <x:v>181000</x:v>
      </x:c>
      <x:c r="E45" s="19" t="n">
        <x:f>C45-D45</x:f>
        <x:v>-36000</x:v>
      </x:c>
      <x:c r="F45" s="19" t="n">
        <x:f>SUM($E$7:E45)</x:f>
        <x:v>1900000</x:v>
      </x:c>
      <x:c r="G45" s="20" t="n">
        <x:v>16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160000</x:v>
      </x:c>
      <x:c r="D46" s="19" t="n">
        <x:v>142000</x:v>
      </x:c>
      <x:c r="E46" s="19" t="n">
        <x:f>C46-D46</x:f>
        <x:v>18000</x:v>
      </x:c>
      <x:c r="F46" s="19" t="n">
        <x:f>SUM($E$7:E46)</x:f>
        <x:v>1918000</x:v>
      </x:c>
      <x:c r="G46" s="20" t="n">
        <x:v>14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393000</x:v>
      </x:c>
      <x:c r="D47" s="19" t="n">
        <x:v>0</x:v>
      </x:c>
      <x:c r="E47" s="19" t="n">
        <x:f>C47-D47</x:f>
        <x:v>393000</x:v>
      </x:c>
      <x:c r="F47" s="19" t="n">
        <x:f>SUM($E$7:E47)</x:f>
        <x:v>2311000</x:v>
      </x:c>
      <x:c r="G47" s="20" t="n">
        <x:v>4</x:v>
      </x:c>
      <x:c r="H47" s="20" t="n">
        <x:v>3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95000</x:v>
      </x:c>
      <x:c r="D48" s="19" t="n">
        <x:v>34000</x:v>
      </x:c>
      <x:c r="E48" s="19" t="n">
        <x:f>C48-D48</x:f>
        <x:v>61000</x:v>
      </x:c>
      <x:c r="F48" s="19" t="n">
        <x:f>SUM($E$7:E48)</x:f>
        <x:v>2372000</x:v>
      </x:c>
      <x:c r="G48" s="20" t="n">
        <x:v>9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216000</x:v>
      </x:c>
      <x:c r="D49" s="19" t="n">
        <x:v>214000</x:v>
      </x:c>
      <x:c r="E49" s="19" t="n">
        <x:f>C49-D49</x:f>
        <x:v>2000</x:v>
      </x:c>
      <x:c r="F49" s="19" t="n">
        <x:f>SUM($E$7:E49)</x:f>
        <x:v>2374000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520000</x:v>
      </x:c>
      <x:c r="D50" s="19" t="n">
        <x:v>0</x:v>
      </x:c>
      <x:c r="E50" s="19" t="n">
        <x:f>C50-D50</x:f>
        <x:v>520000</x:v>
      </x:c>
      <x:c r="F50" s="19" t="n">
        <x:f>SUM($E$7:E50)</x:f>
        <x:v>2894000</x:v>
      </x:c>
      <x:c r="G50" s="20" t="n">
        <x:v>11</x:v>
      </x:c>
      <x:c r="H50" s="20" t="n">
        <x:v>6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208000</x:v>
      </x:c>
      <x:c r="D51" s="19" t="n">
        <x:v>200000</x:v>
      </x:c>
      <x:c r="E51" s="19" t="n">
        <x:f>C51-D51</x:f>
        <x:v>8000</x:v>
      </x:c>
      <x:c r="F51" s="19" t="n">
        <x:f>SUM($E$7:E51)</x:f>
        <x:v>2902000</x:v>
      </x:c>
      <x:c r="G51" s="20" t="n">
        <x:v>12</x:v>
      </x:c>
      <x:c r="H51" s="20" t="n">
        <x:v>9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2862000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700000</x:v>
      </x:c>
      <x:c r="D53" s="19" t="n">
        <x:v>70000</x:v>
      </x:c>
      <x:c r="E53" s="19" t="n">
        <x:f>C53-D53</x:f>
        <x:v>630000</x:v>
      </x:c>
      <x:c r="F53" s="19" t="n">
        <x:f>SUM($E$7:E53)</x:f>
        <x:v>3492000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164000</x:v>
      </x:c>
      <x:c r="D54" s="19" t="n">
        <x:v>10000</x:v>
      </x:c>
      <x:c r="E54" s="19" t="n">
        <x:f>C54-D54</x:f>
        <x:v>154000</x:v>
      </x:c>
      <x:c r="F54" s="19" t="n">
        <x:f>SUM($E$7:E54)</x:f>
        <x:v>3646000</x:v>
      </x:c>
      <x:c r="G54" s="20" t="n">
        <x:v>4</x:v>
      </x:c>
      <x:c r="H54" s="20" t="n">
        <x:v>3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257000</x:v>
      </x:c>
      <x:c r="D55" s="19" t="n">
        <x:v>45000</x:v>
      </x:c>
      <x:c r="E55" s="19" t="n">
        <x:f>C55-D55</x:f>
        <x:v>212000</x:v>
      </x:c>
      <x:c r="F55" s="19" t="n">
        <x:f>SUM($E$7:E55)</x:f>
        <x:v>3858000</x:v>
      </x:c>
      <x:c r="G55" s="20" t="n">
        <x:v>4</x:v>
      </x:c>
      <x:c r="H55" s="20" t="n">
        <x:v>3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3827000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7003000</x:v>
      </x:c>
      <x:c r="D57" s="21" t="n">
        <x:f>SUM(D7:D56)</x:f>
        <x:v>3176000</x:v>
      </x:c>
      <x:c r="E57" s="21" t="n">
        <x:f>SUM(E7:E56)</x:f>
        <x:v>3827000</x:v>
      </x:c>
      <x:c r="F57" s="21" t="n">
        <x:f>F56</x:f>
        <x:v>3827000</x:v>
      </x:c>
      <x:c r="G57" s="22" t="n">
        <x:f>SUM(G7:G56)</x:f>
        <x:v>322</x:v>
      </x:c>
      <x:c r="H57" s="22" t="n">
        <x:f>SUM(H7:H56)</x:f>
        <x:v>235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1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6dc4b6f114043c6"/>
  </x:tableParts>
</x:worksheet>
</file>

<file path=xl/worksheets/sheet15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D06　基本の残玉保護と勢い別の回転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Day: 主R05・追加V11・別R00 / Night: 主R05・追加V11・別R00。担当ごとの上限5・3・2枚を固定。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24000</x:v>
      </x:c>
      <x:c r="D10" s="19" t="n">
        <x:v>0</x:v>
      </x:c>
      <x:c r="E10" s="19" t="n">
        <x:f>C10-D10</x:f>
        <x:v>24000</x:v>
      </x:c>
      <x:c r="F10" s="19" t="n">
        <x:f>SUM($E$7:E10)</x:f>
        <x:v>-21000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-25000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-61000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137000</x:v>
      </x:c>
      <x:c r="D13" s="19" t="n">
        <x:v>60000</x:v>
      </x:c>
      <x:c r="E13" s="19" t="n">
        <x:f>C13-D13</x:f>
        <x:v>77000</x:v>
      </x:c>
      <x:c r="F13" s="19" t="n">
        <x:f>SUM($E$7:E13)</x:f>
        <x:v>16000</x:v>
      </x:c>
      <x:c r="G13" s="20" t="n">
        <x:v>5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36000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200000</x:v>
      </x:c>
      <x:c r="D15" s="19" t="n">
        <x:v>118000</x:v>
      </x:c>
      <x:c r="E15" s="19" t="n">
        <x:f>C15-D15</x:f>
        <x:v>82000</x:v>
      </x:c>
      <x:c r="F15" s="19" t="n">
        <x:f>SUM($E$7:E15)</x:f>
        <x:v>118000</x:v>
      </x:c>
      <x:c r="G15" s="20" t="n">
        <x:v>10</x:v>
      </x:c>
      <x:c r="H15" s="20" t="n">
        <x:v>7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17000</x:v>
      </x:c>
      <x:c r="D16" s="19" t="n">
        <x:v>16000</x:v>
      </x:c>
      <x:c r="E16" s="19" t="n">
        <x:f>C16-D16</x:f>
        <x:v>1000</x:v>
      </x:c>
      <x:c r="F16" s="19" t="n">
        <x:f>SUM($E$7:E16)</x:f>
        <x:v>119000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331000</x:v>
      </x:c>
      <x:c r="D17" s="19" t="n">
        <x:v>192000</x:v>
      </x:c>
      <x:c r="E17" s="19" t="n">
        <x:f>C17-D17</x:f>
        <x:v>139000</x:v>
      </x:c>
      <x:c r="F17" s="19" t="n">
        <x:f>SUM($E$7:E17)</x:f>
        <x:v>258000</x:v>
      </x:c>
      <x:c r="G17" s="20" t="n">
        <x:v>12</x:v>
      </x:c>
      <x:c r="H17" s="20" t="n">
        <x:v>9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80000</x:v>
      </x:c>
      <x:c r="D18" s="19" t="n">
        <x:v>48000</x:v>
      </x:c>
      <x:c r="E18" s="19" t="n">
        <x:f>C18-D18</x:f>
        <x:v>32000</x:v>
      </x:c>
      <x:c r="F18" s="19" t="n">
        <x:f>SUM($E$7:E18)</x:f>
        <x:v>290000</x:v>
      </x:c>
      <x:c r="G18" s="20" t="n">
        <x:v>6</x:v>
      </x:c>
      <x:c r="H18" s="20" t="n">
        <x:v>6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455000</x:v>
      </x:c>
      <x:c r="D19" s="19" t="n">
        <x:v>107000</x:v>
      </x:c>
      <x:c r="E19" s="19" t="n">
        <x:f>C19-D19</x:f>
        <x:v>348000</x:v>
      </x:c>
      <x:c r="F19" s="19" t="n">
        <x:f>SUM($E$7:E19)</x:f>
        <x:v>638000</x:v>
      </x:c>
      <x:c r="G19" s="20" t="n">
        <x:v>15</x:v>
      </x:c>
      <x:c r="H19" s="20" t="n">
        <x:v>10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87000</x:v>
      </x:c>
      <x:c r="D20" s="19" t="n">
        <x:v>22000</x:v>
      </x:c>
      <x:c r="E20" s="19" t="n">
        <x:f>C20-D20</x:f>
        <x:v>65000</x:v>
      </x:c>
      <x:c r="F20" s="19" t="n">
        <x:f>SUM($E$7:E20)</x:f>
        <x:v>703000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157000</x:v>
      </x:c>
      <x:c r="D21" s="19" t="n">
        <x:v>100000</x:v>
      </x:c>
      <x:c r="E21" s="19" t="n">
        <x:f>C21-D21</x:f>
        <x:v>57000</x:v>
      </x:c>
      <x:c r="F21" s="19" t="n">
        <x:f>SUM($E$7:E21)</x:f>
        <x:v>760000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43000</x:v>
      </x:c>
      <x:c r="D22" s="19" t="n">
        <x:v>0</x:v>
      </x:c>
      <x:c r="E22" s="19" t="n">
        <x:f>C22-D22</x:f>
        <x:v>43000</x:v>
      </x:c>
      <x:c r="F22" s="19" t="n">
        <x:f>SUM($E$7:E22)</x:f>
        <x:v>803000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472000</x:v>
      </x:c>
      <x:c r="D23" s="19" t="n">
        <x:v>84000</x:v>
      </x:c>
      <x:c r="E23" s="19" t="n">
        <x:f>C23-D23</x:f>
        <x:v>388000</x:v>
      </x:c>
      <x:c r="F23" s="19" t="n">
        <x:f>SUM($E$7:E23)</x:f>
        <x:v>1191000</x:v>
      </x:c>
      <x:c r="G23" s="20" t="n">
        <x:v>5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135000</x:v>
      </x:c>
      <x:c r="D24" s="19" t="n">
        <x:v>174000</x:v>
      </x:c>
      <x:c r="E24" s="19" t="n">
        <x:f>C24-D24</x:f>
        <x:v>-39000</x:v>
      </x:c>
      <x:c r="F24" s="19" t="n">
        <x:f>SUM($E$7:E24)</x:f>
        <x:v>1152000</x:v>
      </x:c>
      <x:c r="G24" s="20" t="n">
        <x:v>16</x:v>
      </x:c>
      <x:c r="H24" s="20" t="n">
        <x:v>13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64000</x:v>
      </x:c>
      <x:c r="D25" s="19" t="n">
        <x:v>128000</x:v>
      </x:c>
      <x:c r="E25" s="19" t="n">
        <x:f>C25-D25</x:f>
        <x:v>-64000</x:v>
      </x:c>
      <x:c r="F25" s="19" t="n">
        <x:f>SUM($E$7:E25)</x:f>
        <x:v>1088000</x:v>
      </x:c>
      <x:c r="G25" s="20" t="n">
        <x:v>10</x:v>
      </x:c>
      <x:c r="H25" s="20" t="n">
        <x:v>6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328000</x:v>
      </x:c>
      <x:c r="D26" s="19" t="n">
        <x:v>48000</x:v>
      </x:c>
      <x:c r="E26" s="19" t="n">
        <x:f>C26-D26</x:f>
        <x:v>280000</x:v>
      </x:c>
      <x:c r="F26" s="19" t="n">
        <x:f>SUM($E$7:E26)</x:f>
        <x:v>1368000</x:v>
      </x:c>
      <x:c r="G26" s="20" t="n">
        <x:v>16</x:v>
      </x:c>
      <x:c r="H26" s="20" t="n">
        <x:v>12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109000</x:v>
      </x:c>
      <x:c r="D27" s="19" t="n">
        <x:v>224000</x:v>
      </x:c>
      <x:c r="E27" s="19" t="n">
        <x:f>C27-D27</x:f>
        <x:v>-115000</x:v>
      </x:c>
      <x:c r="F27" s="19" t="n">
        <x:f>SUM($E$7:E27)</x:f>
        <x:v>1253000</x:v>
      </x:c>
      <x:c r="G27" s="20" t="n">
        <x:v>17</x:v>
      </x:c>
      <x:c r="H27" s="20" t="n">
        <x:v>12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70000</x:v>
      </x:c>
      <x:c r="D28" s="19" t="n">
        <x:v>20000</x:v>
      </x:c>
      <x:c r="E28" s="19" t="n">
        <x:f>C28-D28</x:f>
        <x:v>50000</x:v>
      </x:c>
      <x:c r="F28" s="19" t="n">
        <x:f>SUM($E$7:E28)</x:f>
        <x:v>1303000</x:v>
      </x:c>
      <x:c r="G28" s="20" t="n">
        <x:v>5</x:v>
      </x:c>
      <x:c r="H28" s="20" t="n">
        <x:v>4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280000</x:v>
      </x:c>
      <x:c r="D29" s="19" t="n">
        <x:v>122000</x:v>
      </x:c>
      <x:c r="E29" s="19" t="n">
        <x:f>C29-D29</x:f>
        <x:v>158000</x:v>
      </x:c>
      <x:c r="F29" s="19" t="n">
        <x:f>SUM($E$7:E29)</x:f>
        <x:v>1461000</x:v>
      </x:c>
      <x:c r="G29" s="20" t="n">
        <x:v>10</x:v>
      </x:c>
      <x:c r="H29" s="20" t="n">
        <x:v>7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1451000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194000</x:v>
      </x:c>
      <x:c r="D31" s="19" t="n">
        <x:v>74000</x:v>
      </x:c>
      <x:c r="E31" s="19" t="n">
        <x:f>C31-D31</x:f>
        <x:v>120000</x:v>
      </x:c>
      <x:c r="F31" s="19" t="n">
        <x:f>SUM($E$7:E31)</x:f>
        <x:v>1571000</x:v>
      </x:c>
      <x:c r="G31" s="20" t="n">
        <x:v>11</x:v>
      </x:c>
      <x:c r="H31" s="20" t="n">
        <x:v>8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1528000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153000</x:v>
      </x:c>
      <x:c r="D33" s="19" t="n">
        <x:v>170000</x:v>
      </x:c>
      <x:c r="E33" s="19" t="n">
        <x:f>C33-D33</x:f>
        <x:v>-17000</x:v>
      </x:c>
      <x:c r="F33" s="19" t="n">
        <x:f>SUM($E$7:E33)</x:f>
        <x:v>1511000</x:v>
      </x:c>
      <x:c r="G33" s="20" t="n">
        <x:v>11</x:v>
      </x:c>
      <x:c r="H33" s="20" t="n">
        <x:v>9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359000</x:v>
      </x:c>
      <x:c r="D34" s="19" t="n">
        <x:v>1000</x:v>
      </x:c>
      <x:c r="E34" s="19" t="n">
        <x:f>C34-D34</x:f>
        <x:v>358000</x:v>
      </x:c>
      <x:c r="F34" s="19" t="n">
        <x:f>SUM($E$7:E34)</x:f>
        <x:v>1869000</x:v>
      </x:c>
      <x:c r="G34" s="20" t="n">
        <x:v>11</x:v>
      </x:c>
      <x:c r="H34" s="20" t="n">
        <x:v>8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111000</x:v>
      </x:c>
      <x:c r="D35" s="19" t="n">
        <x:v>98000</x:v>
      </x:c>
      <x:c r="E35" s="19" t="n">
        <x:f>C35-D35</x:f>
        <x:v>13000</x:v>
      </x:c>
      <x:c r="F35" s="19" t="n">
        <x:f>SUM($E$7:E35)</x:f>
        <x:v>1882000</x:v>
      </x:c>
      <x:c r="G35" s="20" t="n">
        <x:v>11</x:v>
      </x:c>
      <x:c r="H35" s="20" t="n">
        <x:v>7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1896000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1876000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82000</x:v>
      </x:c>
      <x:c r="D38" s="19" t="n">
        <x:v>0</x:v>
      </x:c>
      <x:c r="E38" s="19" t="n">
        <x:f>C38-D38</x:f>
        <x:v>82000</x:v>
      </x:c>
      <x:c r="F38" s="19" t="n">
        <x:f>SUM($E$7:E38)</x:f>
        <x:v>1958000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126000</x:v>
      </x:c>
      <x:c r="D39" s="19" t="n">
        <x:v>173000</x:v>
      </x:c>
      <x:c r="E39" s="19" t="n">
        <x:f>C39-D39</x:f>
        <x:v>-47000</x:v>
      </x:c>
      <x:c r="F39" s="19" t="n">
        <x:f>SUM($E$7:E39)</x:f>
        <x:v>1911000</x:v>
      </x:c>
      <x:c r="G39" s="20" t="n">
        <x:v>17</x:v>
      </x:c>
      <x:c r="H39" s="20" t="n">
        <x:v>13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1858000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241000</x:v>
      </x:c>
      <x:c r="D41" s="19" t="n">
        <x:v>137000</x:v>
      </x:c>
      <x:c r="E41" s="19" t="n">
        <x:f>C41-D41</x:f>
        <x:v>104000</x:v>
      </x:c>
      <x:c r="F41" s="19" t="n">
        <x:f>SUM($E$7:E41)</x:f>
        <x:v>1962000</x:v>
      </x:c>
      <x:c r="G41" s="20" t="n">
        <x:v>13</x:v>
      </x:c>
      <x:c r="H41" s="20" t="n">
        <x:v>10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197000</x:v>
      </x:c>
      <x:c r="D42" s="19" t="n">
        <x:v>61000</x:v>
      </x:c>
      <x:c r="E42" s="19" t="n">
        <x:f>C42-D42</x:f>
        <x:v>136000</x:v>
      </x:c>
      <x:c r="F42" s="19" t="n">
        <x:f>SUM($E$7:E42)</x:f>
        <x:v>2098000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651000</x:v>
      </x:c>
      <x:c r="D43" s="19" t="n">
        <x:v>88000</x:v>
      </x:c>
      <x:c r="E43" s="19" t="n">
        <x:f>C43-D43</x:f>
        <x:v>563000</x:v>
      </x:c>
      <x:c r="F43" s="19" t="n">
        <x:f>SUM($E$7:E43)</x:f>
        <x:v>2661000</x:v>
      </x:c>
      <x:c r="G43" s="20" t="n">
        <x:v>10</x:v>
      </x:c>
      <x:c r="H43" s="20" t="n">
        <x:v>7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182000</x:v>
      </x:c>
      <x:c r="D44" s="19" t="n">
        <x:v>78000</x:v>
      </x:c>
      <x:c r="E44" s="19" t="n">
        <x:f>C44-D44</x:f>
        <x:v>104000</x:v>
      </x:c>
      <x:c r="F44" s="19" t="n">
        <x:f>SUM($E$7:E44)</x:f>
        <x:v>2765000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110000</x:v>
      </x:c>
      <x:c r="D45" s="19" t="n">
        <x:v>181000</x:v>
      </x:c>
      <x:c r="E45" s="19" t="n">
        <x:f>C45-D45</x:f>
        <x:v>-71000</x:v>
      </x:c>
      <x:c r="F45" s="19" t="n">
        <x:f>SUM($E$7:E45)</x:f>
        <x:v>2694000</x:v>
      </x:c>
      <x:c r="G45" s="20" t="n">
        <x:v>21</x:v>
      </x:c>
      <x:c r="H45" s="20" t="n">
        <x:v>14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118000</x:v>
      </x:c>
      <x:c r="D46" s="19" t="n">
        <x:v>169000</x:v>
      </x:c>
      <x:c r="E46" s="19" t="n">
        <x:f>C46-D46</x:f>
        <x:v>-51000</x:v>
      </x:c>
      <x:c r="F46" s="19" t="n">
        <x:f>SUM($E$7:E46)</x:f>
        <x:v>2643000</x:v>
      </x:c>
      <x:c r="G46" s="20" t="n">
        <x:v>14</x:v>
      </x:c>
      <x:c r="H46" s="20" t="n">
        <x:v>12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393000</x:v>
      </x:c>
      <x:c r="D47" s="19" t="n">
        <x:v>0</x:v>
      </x:c>
      <x:c r="E47" s="19" t="n">
        <x:f>C47-D47</x:f>
        <x:v>393000</x:v>
      </x:c>
      <x:c r="F47" s="19" t="n">
        <x:f>SUM($E$7:E47)</x:f>
        <x:v>3036000</x:v>
      </x:c>
      <x:c r="G47" s="20" t="n">
        <x:v>4</x:v>
      </x:c>
      <x:c r="H47" s="20" t="n">
        <x:v>3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138000</x:v>
      </x:c>
      <x:c r="D48" s="19" t="n">
        <x:v>37000</x:v>
      </x:c>
      <x:c r="E48" s="19" t="n">
        <x:f>C48-D48</x:f>
        <x:v>101000</x:v>
      </x:c>
      <x:c r="F48" s="19" t="n">
        <x:f>SUM($E$7:E48)</x:f>
        <x:v>3137000</x:v>
      </x:c>
      <x:c r="G48" s="20" t="n">
        <x:v>12</x:v>
      </x:c>
      <x:c r="H48" s="20" t="n">
        <x:v>9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197000</x:v>
      </x:c>
      <x:c r="D49" s="19" t="n">
        <x:v>242000</x:v>
      </x:c>
      <x:c r="E49" s="19" t="n">
        <x:f>C49-D49</x:f>
        <x:v>-45000</x:v>
      </x:c>
      <x:c r="F49" s="19" t="n">
        <x:f>SUM($E$7:E49)</x:f>
        <x:v>3092000</x:v>
      </x:c>
      <x:c r="G49" s="20" t="n">
        <x:v>22</x:v>
      </x:c>
      <x:c r="H49" s="20" t="n">
        <x:v>16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395000</x:v>
      </x:c>
      <x:c r="D50" s="19" t="n">
        <x:v>26000</x:v>
      </x:c>
      <x:c r="E50" s="19" t="n">
        <x:f>C50-D50</x:f>
        <x:v>369000</x:v>
      </x:c>
      <x:c r="F50" s="19" t="n">
        <x:f>SUM($E$7:E50)</x:f>
        <x:v>3461000</x:v>
      </x:c>
      <x:c r="G50" s="20" t="n">
        <x:v>10</x:v>
      </x:c>
      <x:c r="H50" s="20" t="n">
        <x:v>7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234000</x:v>
      </x:c>
      <x:c r="D51" s="19" t="n">
        <x:v>327000</x:v>
      </x:c>
      <x:c r="E51" s="19" t="n">
        <x:f>C51-D51</x:f>
        <x:v>-93000</x:v>
      </x:c>
      <x:c r="F51" s="19" t="n">
        <x:f>SUM($E$7:E51)</x:f>
        <x:v>3368000</x:v>
      </x:c>
      <x:c r="G51" s="20" t="n">
        <x:v>16</x:v>
      </x:c>
      <x:c r="H51" s="20" t="n">
        <x:v>12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61000</x:v>
      </x:c>
      <x:c r="D52" s="19" t="n">
        <x:v>85000</x:v>
      </x:c>
      <x:c r="E52" s="19" t="n">
        <x:f>C52-D52</x:f>
        <x:v>-24000</x:v>
      </x:c>
      <x:c r="F52" s="19" t="n">
        <x:f>SUM($E$7:E52)</x:f>
        <x:v>3344000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825000</x:v>
      </x:c>
      <x:c r="D53" s="19" t="n">
        <x:v>74000</x:v>
      </x:c>
      <x:c r="E53" s="19" t="n">
        <x:f>C53-D53</x:f>
        <x:v>751000</x:v>
      </x:c>
      <x:c r="F53" s="19" t="n">
        <x:f>SUM($E$7:E53)</x:f>
        <x:v>4095000</x:v>
      </x:c>
      <x:c r="G53" s="20" t="n">
        <x:v>9</x:v>
      </x:c>
      <x:c r="H53" s="20" t="n">
        <x:v>6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156000</x:v>
      </x:c>
      <x:c r="D54" s="19" t="n">
        <x:v>45000</x:v>
      </x:c>
      <x:c r="E54" s="19" t="n">
        <x:f>C54-D54</x:f>
        <x:v>111000</x:v>
      </x:c>
      <x:c r="F54" s="19" t="n">
        <x:f>SUM($E$7:E54)</x:f>
        <x:v>4206000</x:v>
      </x:c>
      <x:c r="G54" s="20" t="n">
        <x:v>5</x:v>
      </x:c>
      <x:c r="H54" s="20" t="n">
        <x:v>4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257000</x:v>
      </x:c>
      <x:c r="D55" s="19" t="n">
        <x:v>45000</x:v>
      </x:c>
      <x:c r="E55" s="19" t="n">
        <x:f>C55-D55</x:f>
        <x:v>212000</x:v>
      </x:c>
      <x:c r="F55" s="19" t="n">
        <x:f>SUM($E$7:E55)</x:f>
        <x:v>4418000</x:v>
      </x:c>
      <x:c r="G55" s="20" t="n">
        <x:v>4</x:v>
      </x:c>
      <x:c r="H55" s="20" t="n">
        <x:v>3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40000</x:v>
      </x:c>
      <x:c r="D56" s="19" t="n">
        <x:v>53000</x:v>
      </x:c>
      <x:c r="E56" s="19" t="n">
        <x:f>C56-D56</x:f>
        <x:v>-13000</x:v>
      </x:c>
      <x:c r="F56" s="19" t="n">
        <x:f>SUM($E$7:E56)</x:f>
        <x:v>4405000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8418000</x:v>
      </x:c>
      <x:c r="D57" s="21" t="n">
        <x:f>SUM(D7:D56)</x:f>
        <x:v>4013000</x:v>
      </x:c>
      <x:c r="E57" s="21" t="n">
        <x:f>SUM(E7:E56)</x:f>
        <x:v>4405000</x:v>
      </x:c>
      <x:c r="F57" s="21" t="n">
        <x:f>F56</x:f>
        <x:v>4405000</x:v>
      </x:c>
      <x:c r="G57" s="22" t="n">
        <x:f>SUM(G7:G56)</x:f>
        <x:v>400</x:v>
      </x:c>
      <x:c r="H57" s="22" t="n">
        <x:f>SUM(H7:H56)</x:f>
        <x:v>298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1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abb8f3ade24708"/>
  </x:tableParts>
</x:worksheet>
</file>

<file path=xl/worksheets/sheet16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D08　D07に40分平均の位置確認を追加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Day: 主P01・追加V05・別R00 / Night: 主R05・追加V17・別R00。担当ごとの上限5・3・2枚を固定。 この50場では平均位置確認の追加効果がなく、対照と全注文同一。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30000</x:v>
      </x:c>
      <x:c r="D7" s="19" t="n">
        <x:v>0</x:v>
      </x:c>
      <x:c r="E7" s="19" t="n">
        <x:f>C7-D7</x:f>
        <x:v>30000</x:v>
      </x:c>
      <x:c r="F7" s="19" t="n">
        <x:f>SUM($E$7:E7)</x:f>
        <x:v>30000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-15000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-120000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24000</x:v>
      </x:c>
      <x:c r="D10" s="19" t="n">
        <x:v>0</x:v>
      </x:c>
      <x:c r="E10" s="19" t="n">
        <x:f>C10-D10</x:f>
        <x:v>24000</x:v>
      </x:c>
      <x:c r="F10" s="19" t="n">
        <x:f>SUM($E$7:E10)</x:f>
        <x:v>-96000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50000</x:v>
      </x:c>
      <x:c r="D11" s="19" t="n">
        <x:v>0</x:v>
      </x:c>
      <x:c r="E11" s="19" t="n">
        <x:f>C11-D11</x:f>
        <x:v>50000</x:v>
      </x:c>
      <x:c r="F11" s="19" t="n">
        <x:f>SUM($E$7:E11)</x:f>
        <x:v>-46000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-82000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137000</x:v>
      </x:c>
      <x:c r="D13" s="19" t="n">
        <x:v>60000</x:v>
      </x:c>
      <x:c r="E13" s="19" t="n">
        <x:f>C13-D13</x:f>
        <x:v>77000</x:v>
      </x:c>
      <x:c r="F13" s="19" t="n">
        <x:f>SUM($E$7:E13)</x:f>
        <x:v>-5000</x:v>
      </x:c>
      <x:c r="G13" s="20" t="n">
        <x:v>5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15000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65000</x:v>
      </x:c>
      <x:c r="D15" s="19" t="n">
        <x:v>48000</x:v>
      </x:c>
      <x:c r="E15" s="19" t="n">
        <x:f>C15-D15</x:f>
        <x:v>17000</x:v>
      </x:c>
      <x:c r="F15" s="19" t="n">
        <x:f>SUM($E$7:E15)</x:f>
        <x:v>32000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17000</x:v>
      </x:c>
      <x:c r="D16" s="19" t="n">
        <x:v>16000</x:v>
      </x:c>
      <x:c r="E16" s="19" t="n">
        <x:f>C16-D16</x:f>
        <x:v>1000</x:v>
      </x:c>
      <x:c r="F16" s="19" t="n">
        <x:f>SUM($E$7:E16)</x:f>
        <x:v>33000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175000</x:v>
      </x:c>
      <x:c r="D17" s="19" t="n">
        <x:v>151000</x:v>
      </x:c>
      <x:c r="E17" s="19" t="n">
        <x:f>C17-D17</x:f>
        <x:v>24000</x:v>
      </x:c>
      <x:c r="F17" s="19" t="n">
        <x:f>SUM($E$7:E17)</x:f>
        <x:v>57000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10000</x:v>
      </x:c>
      <x:c r="D18" s="19" t="n">
        <x:v>48000</x:v>
      </x:c>
      <x:c r="E18" s="19" t="n">
        <x:f>C18-D18</x:f>
        <x:v>-38000</x:v>
      </x:c>
      <x:c r="F18" s="19" t="n">
        <x:f>SUM($E$7:E18)</x:f>
        <x:v>19000</x:v>
      </x:c>
      <x:c r="G18" s="20" t="n">
        <x:v>6</x:v>
      </x:c>
      <x:c r="H18" s="20" t="n">
        <x:v>5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191000</x:v>
      </x:c>
      <x:c r="D19" s="19" t="n">
        <x:v>127000</x:v>
      </x:c>
      <x:c r="E19" s="19" t="n">
        <x:f>C19-D19</x:f>
        <x:v>64000</x:v>
      </x:c>
      <x:c r="F19" s="19" t="n">
        <x:f>SUM($E$7:E19)</x:f>
        <x:v>83000</x:v>
      </x:c>
      <x:c r="G19" s="20" t="n">
        <x:v>9</x:v>
      </x:c>
      <x:c r="H19" s="20" t="n">
        <x:v>6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87000</x:v>
      </x:c>
      <x:c r="D20" s="19" t="n">
        <x:v>22000</x:v>
      </x:c>
      <x:c r="E20" s="19" t="n">
        <x:f>C20-D20</x:f>
        <x:v>65000</x:v>
      </x:c>
      <x:c r="F20" s="19" t="n">
        <x:f>SUM($E$7:E20)</x:f>
        <x:v>148000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223000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43000</x:v>
      </x:c>
      <x:c r="D22" s="19" t="n">
        <x:v>0</x:v>
      </x:c>
      <x:c r="E22" s="19" t="n">
        <x:f>C22-D22</x:f>
        <x:v>43000</x:v>
      </x:c>
      <x:c r="F22" s="19" t="n">
        <x:f>SUM($E$7:E22)</x:f>
        <x:v>266000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355000</x:v>
      </x:c>
      <x:c r="D23" s="19" t="n">
        <x:v>84000</x:v>
      </x:c>
      <x:c r="E23" s="19" t="n">
        <x:f>C23-D23</x:f>
        <x:v>271000</x:v>
      </x:c>
      <x:c r="F23" s="19" t="n">
        <x:f>SUM($E$7:E23)</x:f>
        <x:v>537000</x:v>
      </x:c>
      <x:c r="G23" s="20" t="n">
        <x:v>4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237000</x:v>
      </x:c>
      <x:c r="D24" s="19" t="n">
        <x:v>129000</x:v>
      </x:c>
      <x:c r="E24" s="19" t="n">
        <x:f>C24-D24</x:f>
        <x:v>108000</x:v>
      </x:c>
      <x:c r="F24" s="19" t="n">
        <x:f>SUM($E$7:E24)</x:f>
        <x:v>645000</x:v>
      </x:c>
      <x:c r="G24" s="20" t="n">
        <x:v>17</x:v>
      </x:c>
      <x:c r="H24" s="20" t="n">
        <x:v>12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64000</x:v>
      </x:c>
      <x:c r="D25" s="19" t="n">
        <x:v>73000</x:v>
      </x:c>
      <x:c r="E25" s="19" t="n">
        <x:f>C25-D25</x:f>
        <x:v>-9000</x:v>
      </x:c>
      <x:c r="F25" s="19" t="n">
        <x:f>SUM($E$7:E25)</x:f>
        <x:v>636000</x:v>
      </x:c>
      <x:c r="G25" s="20" t="n">
        <x:v>9</x:v>
      </x:c>
      <x:c r="H25" s="20" t="n">
        <x:v>4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403000</x:v>
      </x:c>
      <x:c r="D26" s="19" t="n">
        <x:v>65000</x:v>
      </x:c>
      <x:c r="E26" s="19" t="n">
        <x:f>C26-D26</x:f>
        <x:v>338000</x:v>
      </x:c>
      <x:c r="F26" s="19" t="n">
        <x:f>SUM($E$7:E26)</x:f>
        <x:v>974000</x:v>
      </x:c>
      <x:c r="G26" s="20" t="n">
        <x:v>22</x:v>
      </x:c>
      <x:c r="H26" s="20" t="n">
        <x:v>13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88000</x:v>
      </x:c>
      <x:c r="D27" s="19" t="n">
        <x:v>148000</x:v>
      </x:c>
      <x:c r="E27" s="19" t="n">
        <x:f>C27-D27</x:f>
        <x:v>-60000</x:v>
      </x:c>
      <x:c r="F27" s="19" t="n">
        <x:f>SUM($E$7:E27)</x:f>
        <x:v>914000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98000</x:v>
      </x:c>
      <x:c r="D28" s="19" t="n">
        <x:v>64000</x:v>
      </x:c>
      <x:c r="E28" s="19" t="n">
        <x:f>C28-D28</x:f>
        <x:v>34000</x:v>
      </x:c>
      <x:c r="F28" s="19" t="n">
        <x:f>SUM($E$7:E28)</x:f>
        <x:v>948000</x:v>
      </x:c>
      <x:c r="G28" s="20" t="n">
        <x:v>7</x:v>
      </x:c>
      <x:c r="H28" s="20" t="n">
        <x:v>5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269000</x:v>
      </x:c>
      <x:c r="D29" s="19" t="n">
        <x:v>122000</x:v>
      </x:c>
      <x:c r="E29" s="19" t="n">
        <x:f>C29-D29</x:f>
        <x:v>147000</x:v>
      </x:c>
      <x:c r="F29" s="19" t="n">
        <x:f>SUM($E$7:E29)</x:f>
        <x:v>1095000</x:v>
      </x:c>
      <x:c r="G29" s="20" t="n">
        <x:v>10</x:v>
      </x:c>
      <x:c r="H29" s="20" t="n">
        <x:v>7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1085000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144000</x:v>
      </x:c>
      <x:c r="D31" s="19" t="n">
        <x:v>47000</x:v>
      </x:c>
      <x:c r="E31" s="19" t="n">
        <x:f>C31-D31</x:f>
        <x:v>97000</x:v>
      </x:c>
      <x:c r="F31" s="19" t="n">
        <x:f>SUM($E$7:E31)</x:f>
        <x:v>1182000</x:v>
      </x:c>
      <x:c r="G31" s="20" t="n">
        <x:v>8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1139000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153000</x:v>
      </x:c>
      <x:c r="D33" s="19" t="n">
        <x:v>130000</x:v>
      </x:c>
      <x:c r="E33" s="19" t="n">
        <x:f>C33-D33</x:f>
        <x:v>23000</x:v>
      </x:c>
      <x:c r="F33" s="19" t="n">
        <x:f>SUM($E$7:E33)</x:f>
        <x:v>1162000</x:v>
      </x:c>
      <x:c r="G33" s="20" t="n">
        <x:v>10</x:v>
      </x:c>
      <x:c r="H33" s="20" t="n">
        <x:v>8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335000</x:v>
      </x:c>
      <x:c r="D34" s="19" t="n">
        <x:v>20000</x:v>
      </x:c>
      <x:c r="E34" s="19" t="n">
        <x:f>C34-D34</x:f>
        <x:v>315000</x:v>
      </x:c>
      <x:c r="F34" s="19" t="n">
        <x:f>SUM($E$7:E34)</x:f>
        <x:v>1477000</x:v>
      </x:c>
      <x:c r="G34" s="20" t="n">
        <x:v>17</x:v>
      </x:c>
      <x:c r="H34" s="20" t="n">
        <x:v>10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111000</x:v>
      </x:c>
      <x:c r="D35" s="19" t="n">
        <x:v>68000</x:v>
      </x:c>
      <x:c r="E35" s="19" t="n">
        <x:f>C35-D35</x:f>
        <x:v>43000</x:v>
      </x:c>
      <x:c r="F35" s="19" t="n">
        <x:f>SUM($E$7:E35)</x:f>
        <x:v>1520000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1534000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61000</x:v>
      </x:c>
      <x:c r="D37" s="19" t="n">
        <x:v>53000</x:v>
      </x:c>
      <x:c r="E37" s="19" t="n">
        <x:f>C37-D37</x:f>
        <x:v>8000</x:v>
      </x:c>
      <x:c r="F37" s="19" t="n">
        <x:f>SUM($E$7:E37)</x:f>
        <x:v>1542000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82000</x:v>
      </x:c>
      <x:c r="D38" s="19" t="n">
        <x:v>0</x:v>
      </x:c>
      <x:c r="E38" s="19" t="n">
        <x:f>C38-D38</x:f>
        <x:v>82000</x:v>
      </x:c>
      <x:c r="F38" s="19" t="n">
        <x:f>SUM($E$7:E38)</x:f>
        <x:v>1624000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181000</x:v>
      </x:c>
      <x:c r="D39" s="19" t="n">
        <x:v>117000</x:v>
      </x:c>
      <x:c r="E39" s="19" t="n">
        <x:f>C39-D39</x:f>
        <x:v>64000</x:v>
      </x:c>
      <x:c r="F39" s="19" t="n">
        <x:f>SUM($E$7:E39)</x:f>
        <x:v>1688000</x:v>
      </x:c>
      <x:c r="G39" s="20" t="n">
        <x:v>12</x:v>
      </x:c>
      <x:c r="H39" s="20" t="n">
        <x:v>9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1635000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1712000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197000</x:v>
      </x:c>
      <x:c r="D42" s="19" t="n">
        <x:v>61000</x:v>
      </x:c>
      <x:c r="E42" s="19" t="n">
        <x:f>C42-D42</x:f>
        <x:v>136000</x:v>
      </x:c>
      <x:c r="F42" s="19" t="n">
        <x:f>SUM($E$7:E42)</x:f>
        <x:v>1848000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488000</x:v>
      </x:c>
      <x:c r="D43" s="19" t="n">
        <x:v>66000</x:v>
      </x:c>
      <x:c r="E43" s="19" t="n">
        <x:f>C43-D43</x:f>
        <x:v>422000</x:v>
      </x:c>
      <x:c r="F43" s="19" t="n">
        <x:f>SUM($E$7:E43)</x:f>
        <x:v>2270000</x:v>
      </x:c>
      <x:c r="G43" s="20" t="n">
        <x:v>8</x:v>
      </x:c>
      <x:c r="H43" s="20" t="n">
        <x:v>5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216000</x:v>
      </x:c>
      <x:c r="D44" s="19" t="n">
        <x:v>120000</x:v>
      </x:c>
      <x:c r="E44" s="19" t="n">
        <x:f>C44-D44</x:f>
        <x:v>96000</x:v>
      </x:c>
      <x:c r="F44" s="19" t="n">
        <x:f>SUM($E$7:E44)</x:f>
        <x:v>2366000</x:v>
      </x:c>
      <x:c r="G44" s="20" t="n">
        <x:v>13</x:v>
      </x:c>
      <x:c r="H44" s="20" t="n">
        <x:v>9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145000</x:v>
      </x:c>
      <x:c r="D45" s="19" t="n">
        <x:v>181000</x:v>
      </x:c>
      <x:c r="E45" s="19" t="n">
        <x:f>C45-D45</x:f>
        <x:v>-36000</x:v>
      </x:c>
      <x:c r="F45" s="19" t="n">
        <x:f>SUM($E$7:E45)</x:f>
        <x:v>2330000</x:v>
      </x:c>
      <x:c r="G45" s="20" t="n">
        <x:v>16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159000</x:v>
      </x:c>
      <x:c r="D46" s="19" t="n">
        <x:v>142000</x:v>
      </x:c>
      <x:c r="E46" s="19" t="n">
        <x:f>C46-D46</x:f>
        <x:v>17000</x:v>
      </x:c>
      <x:c r="F46" s="19" t="n">
        <x:f>SUM($E$7:E46)</x:f>
        <x:v>2347000</x:v>
      </x:c>
      <x:c r="G46" s="20" t="n">
        <x:v>15</x:v>
      </x:c>
      <x:c r="H46" s="20" t="n">
        <x:v>12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393000</x:v>
      </x:c>
      <x:c r="D47" s="19" t="n">
        <x:v>0</x:v>
      </x:c>
      <x:c r="E47" s="19" t="n">
        <x:f>C47-D47</x:f>
        <x:v>393000</x:v>
      </x:c>
      <x:c r="F47" s="19" t="n">
        <x:f>SUM($E$7:E47)</x:f>
        <x:v>2740000</x:v>
      </x:c>
      <x:c r="G47" s="20" t="n">
        <x:v>4</x:v>
      </x:c>
      <x:c r="H47" s="20" t="n">
        <x:v>3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108000</x:v>
      </x:c>
      <x:c r="D48" s="19" t="n">
        <x:v>93000</x:v>
      </x:c>
      <x:c r="E48" s="19" t="n">
        <x:f>C48-D48</x:f>
        <x:v>15000</x:v>
      </x:c>
      <x:c r="F48" s="19" t="n">
        <x:f>SUM($E$7:E48)</x:f>
        <x:v>2755000</x:v>
      </x:c>
      <x:c r="G48" s="20" t="n">
        <x:v>14</x:v>
      </x:c>
      <x:c r="H48" s="20" t="n">
        <x:v>9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216000</x:v>
      </x:c>
      <x:c r="D49" s="19" t="n">
        <x:v>214000</x:v>
      </x:c>
      <x:c r="E49" s="19" t="n">
        <x:f>C49-D49</x:f>
        <x:v>2000</x:v>
      </x:c>
      <x:c r="F49" s="19" t="n">
        <x:f>SUM($E$7:E49)</x:f>
        <x:v>2757000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536000</x:v>
      </x:c>
      <x:c r="D50" s="19" t="n">
        <x:v>24000</x:v>
      </x:c>
      <x:c r="E50" s="19" t="n">
        <x:f>C50-D50</x:f>
        <x:v>512000</x:v>
      </x:c>
      <x:c r="F50" s="19" t="n">
        <x:f>SUM($E$7:E50)</x:f>
        <x:v>3269000</x:v>
      </x:c>
      <x:c r="G50" s="20" t="n">
        <x:v>12</x:v>
      </x:c>
      <x:c r="H50" s="20" t="n">
        <x:v>7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208000</x:v>
      </x:c>
      <x:c r="D51" s="19" t="n">
        <x:v>200000</x:v>
      </x:c>
      <x:c r="E51" s="19" t="n">
        <x:f>C51-D51</x:f>
        <x:v>8000</x:v>
      </x:c>
      <x:c r="F51" s="19" t="n">
        <x:f>SUM($E$7:E51)</x:f>
        <x:v>3277000</x:v>
      </x:c>
      <x:c r="G51" s="20" t="n">
        <x:v>12</x:v>
      </x:c>
      <x:c r="H51" s="20" t="n">
        <x:v>9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61000</x:v>
      </x:c>
      <x:c r="D52" s="19" t="n">
        <x:v>85000</x:v>
      </x:c>
      <x:c r="E52" s="19" t="n">
        <x:f>C52-D52</x:f>
        <x:v>-24000</x:v>
      </x:c>
      <x:c r="F52" s="19" t="n">
        <x:f>SUM($E$7:E52)</x:f>
        <x:v>3253000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700000</x:v>
      </x:c>
      <x:c r="D53" s="19" t="n">
        <x:v>70000</x:v>
      </x:c>
      <x:c r="E53" s="19" t="n">
        <x:f>C53-D53</x:f>
        <x:v>630000</x:v>
      </x:c>
      <x:c r="F53" s="19" t="n">
        <x:f>SUM($E$7:E53)</x:f>
        <x:v>3883000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160000</x:v>
      </x:c>
      <x:c r="D54" s="19" t="n">
        <x:v>83000</x:v>
      </x:c>
      <x:c r="E54" s="19" t="n">
        <x:f>C54-D54</x:f>
        <x:v>77000</x:v>
      </x:c>
      <x:c r="F54" s="19" t="n">
        <x:f>SUM($E$7:E54)</x:f>
        <x:v>3960000</x:v>
      </x:c>
      <x:c r="G54" s="20" t="n">
        <x:v>7</x:v>
      </x:c>
      <x:c r="H54" s="20" t="n">
        <x:v>6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257000</x:v>
      </x:c>
      <x:c r="D55" s="19" t="n">
        <x:v>45000</x:v>
      </x:c>
      <x:c r="E55" s="19" t="n">
        <x:f>C55-D55</x:f>
        <x:v>212000</x:v>
      </x:c>
      <x:c r="F55" s="19" t="n">
        <x:f>SUM($E$7:E55)</x:f>
        <x:v>4172000</x:v>
      </x:c>
      <x:c r="G55" s="20" t="n">
        <x:v>4</x:v>
      </x:c>
      <x:c r="H55" s="20" t="n">
        <x:v>3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40000</x:v>
      </x:c>
      <x:c r="D56" s="19" t="n">
        <x:v>53000</x:v>
      </x:c>
      <x:c r="E56" s="19" t="n">
        <x:f>C56-D56</x:f>
        <x:v>-13000</x:v>
      </x:c>
      <x:c r="F56" s="19" t="n">
        <x:f>SUM($E$7:E56)</x:f>
        <x:v>4159000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7689000</x:v>
      </x:c>
      <x:c r="D57" s="21" t="n">
        <x:f>SUM(D7:D56)</x:f>
        <x:v>3530000</x:v>
      </x:c>
      <x:c r="E57" s="21" t="n">
        <x:f>SUM(E7:E56)</x:f>
        <x:v>4159000</x:v>
      </x:c>
      <x:c r="F57" s="21" t="n">
        <x:f>F56</x:f>
        <x:v>4159000</x:v>
      </x:c>
      <x:c r="G57" s="22" t="n">
        <x:f>SUM(G7:G56)</x:f>
        <x:v>367</x:v>
      </x:c>
      <x:c r="H57" s="22" t="n">
        <x:f>SUM(H7:H56)</x:f>
        <x:v>266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1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5405a8157ac4be7"/>
  </x:tableParts>
</x:worksheet>
</file>

<file path=xl/worksheets/sheet17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P02　部分利確後ピークの30%戻りで残全返済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基本担当の部分利確後だけを変更。部分利確後ピークの30%戻りで残全返済。追加担当は基準と同じ。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33000</x:v>
      </x:c>
      <x:c r="D7" s="19" t="n">
        <x:v>0</x:v>
      </x:c>
      <x:c r="E7" s="19" t="n">
        <x:f>C7-D7</x:f>
        <x:v>33000</x:v>
      </x:c>
      <x:c r="F7" s="19" t="n">
        <x:f>SUM($E$7:E7)</x:f>
        <x:v>33000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-12000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-117000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-101000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59000</x:v>
      </x:c>
      <x:c r="D11" s="19" t="n">
        <x:v>0</x:v>
      </x:c>
      <x:c r="E11" s="19" t="n">
        <x:f>C11-D11</x:f>
        <x:v>59000</x:v>
      </x:c>
      <x:c r="F11" s="19" t="n">
        <x:f>SUM($E$7:E11)</x:f>
        <x:v>-42000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-78000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107000</x:v>
      </x:c>
      <x:c r="D13" s="19" t="n">
        <x:v>60000</x:v>
      </x:c>
      <x:c r="E13" s="19" t="n">
        <x:f>C13-D13</x:f>
        <x:v>47000</x:v>
      </x:c>
      <x:c r="F13" s="19" t="n">
        <x:f>SUM($E$7:E13)</x:f>
        <x:v>-31000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-11000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64000</x:v>
      </x:c>
      <x:c r="D15" s="19" t="n">
        <x:v>46000</x:v>
      </x:c>
      <x:c r="E15" s="19" t="n">
        <x:f>C15-D15</x:f>
        <x:v>18000</x:v>
      </x:c>
      <x:c r="F15" s="19" t="n">
        <x:f>SUM($E$7:E15)</x:f>
        <x:v>7000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3000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190000</x:v>
      </x:c>
      <x:c r="D17" s="19" t="n">
        <x:v>151000</x:v>
      </x:c>
      <x:c r="E17" s="19" t="n">
        <x:f>C17-D17</x:f>
        <x:v>39000</x:v>
      </x:c>
      <x:c r="F17" s="19" t="n">
        <x:f>SUM($E$7:E17)</x:f>
        <x:v>42000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3000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206000</x:v>
      </x:c>
      <x:c r="D19" s="19" t="n">
        <x:v>127000</x:v>
      </x:c>
      <x:c r="E19" s="19" t="n">
        <x:f>C19-D19</x:f>
        <x:v>79000</x:v>
      </x:c>
      <x:c r="F19" s="19" t="n">
        <x:f>SUM($E$7:E19)</x:f>
        <x:v>82000</x:v>
      </x:c>
      <x:c r="G19" s="20" t="n">
        <x:v>9</x:v>
      </x:c>
      <x:c r="H19" s="20" t="n">
        <x:v>6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133000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72000</x:v>
      </x:c>
      <x:c r="D21" s="19" t="n">
        <x:v>100000</x:v>
      </x:c>
      <x:c r="E21" s="19" t="n">
        <x:f>C21-D21</x:f>
        <x:v>-28000</x:v>
      </x:c>
      <x:c r="F21" s="19" t="n">
        <x:f>SUM($E$7:E21)</x:f>
        <x:v>105000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132000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386000</x:v>
      </x:c>
      <x:c r="D23" s="19" t="n">
        <x:v>84000</x:v>
      </x:c>
      <x:c r="E23" s="19" t="n">
        <x:f>C23-D23</x:f>
        <x:v>302000</x:v>
      </x:c>
      <x:c r="F23" s="19" t="n">
        <x:f>SUM($E$7:E23)</x:f>
        <x:v>434000</x:v>
      </x:c>
      <x:c r="G23" s="20" t="n">
        <x:v>5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146000</x:v>
      </x:c>
      <x:c r="D24" s="19" t="n">
        <x:v>85000</x:v>
      </x:c>
      <x:c r="E24" s="19" t="n">
        <x:f>C24-D24</x:f>
        <x:v>61000</x:v>
      </x:c>
      <x:c r="F24" s="19" t="n">
        <x:f>SUM($E$7:E24)</x:f>
        <x:v>495000</x:v>
      </x:c>
      <x:c r="G24" s="20" t="n">
        <x:v>12</x:v>
      </x:c>
      <x:c r="H24" s="20" t="n">
        <x:v>8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65000</x:v>
      </x:c>
      <x:c r="D25" s="19" t="n">
        <x:v>107000</x:v>
      </x:c>
      <x:c r="E25" s="19" t="n">
        <x:f>C25-D25</x:f>
        <x:v>-42000</x:v>
      </x:c>
      <x:c r="F25" s="19" t="n">
        <x:f>SUM($E$7:E25)</x:f>
        <x:v>453000</x:v>
      </x:c>
      <x:c r="G25" s="20" t="n">
        <x:v>9</x:v>
      </x:c>
      <x:c r="H25" s="20" t="n">
        <x:v>5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182000</x:v>
      </x:c>
      <x:c r="D26" s="19" t="n">
        <x:v>0</x:v>
      </x:c>
      <x:c r="E26" s="19" t="n">
        <x:f>C26-D26</x:f>
        <x:v>182000</x:v>
      </x:c>
      <x:c r="F26" s="19" t="n">
        <x:f>SUM($E$7:E26)</x:f>
        <x:v>635000</x:v>
      </x:c>
      <x:c r="G26" s="20" t="n">
        <x:v>11</x:v>
      </x:c>
      <x:c r="H26" s="20" t="n">
        <x:v>6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85000</x:v>
      </x:c>
      <x:c r="D27" s="19" t="n">
        <x:v>148000</x:v>
      </x:c>
      <x:c r="E27" s="19" t="n">
        <x:f>C27-D27</x:f>
        <x:v>-63000</x:v>
      </x:c>
      <x:c r="F27" s="19" t="n">
        <x:f>SUM($E$7:E27)</x:f>
        <x:v>572000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94000</x:v>
      </x:c>
      <x:c r="D28" s="19" t="n">
        <x:v>20000</x:v>
      </x:c>
      <x:c r="E28" s="19" t="n">
        <x:f>C28-D28</x:f>
        <x:v>74000</x:v>
      </x:c>
      <x:c r="F28" s="19" t="n">
        <x:f>SUM($E$7:E28)</x:f>
        <x:v>646000</x:v>
      </x:c>
      <x:c r="G28" s="20" t="n">
        <x:v>5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267000</x:v>
      </x:c>
      <x:c r="D29" s="19" t="n">
        <x:v>138000</x:v>
      </x:c>
      <x:c r="E29" s="19" t="n">
        <x:f>C29-D29</x:f>
        <x:v>129000</x:v>
      </x:c>
      <x:c r="F29" s="19" t="n">
        <x:f>SUM($E$7:E29)</x:f>
        <x:v>775000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765000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77000</x:v>
      </x:c>
      <x:c r="D31" s="19" t="n">
        <x:v>42000</x:v>
      </x:c>
      <x:c r="E31" s="19" t="n">
        <x:f>C31-D31</x:f>
        <x:v>35000</x:v>
      </x:c>
      <x:c r="F31" s="19" t="n">
        <x:f>SUM($E$7:E31)</x:f>
        <x:v>800000</x:v>
      </x:c>
      <x:c r="G31" s="20" t="n">
        <x:v>7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757000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181000</x:v>
      </x:c>
      <x:c r="D33" s="19" t="n">
        <x:v>130000</x:v>
      </x:c>
      <x:c r="E33" s="19" t="n">
        <x:f>C33-D33</x:f>
        <x:v>51000</x:v>
      </x:c>
      <x:c r="F33" s="19" t="n">
        <x:f>SUM($E$7:E33)</x:f>
        <x:v>808000</x:v>
      </x:c>
      <x:c r="G33" s="20" t="n">
        <x:v>10</x:v>
      </x:c>
      <x:c r="H33" s="20" t="n">
        <x:v>8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144000</x:v>
      </x:c>
      <x:c r="D34" s="19" t="n">
        <x:v>0</x:v>
      </x:c>
      <x:c r="E34" s="19" t="n">
        <x:f>C34-D34</x:f>
        <x:v>144000</x:v>
      </x:c>
      <x:c r="F34" s="19" t="n">
        <x:f>SUM($E$7:E34)</x:f>
        <x:v>952000</x:v>
      </x:c>
      <x:c r="G34" s="20" t="n">
        <x:v>8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134000</x:v>
      </x:c>
      <x:c r="D35" s="19" t="n">
        <x:v>68000</x:v>
      </x:c>
      <x:c r="E35" s="19" t="n">
        <x:f>C35-D35</x:f>
        <x:v>66000</x:v>
      </x:c>
      <x:c r="F35" s="19" t="n">
        <x:f>SUM($E$7:E35)</x:f>
        <x:v>1018000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1032000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67000</x:v>
      </x:c>
      <x:c r="D37" s="19" t="n">
        <x:v>53000</x:v>
      </x:c>
      <x:c r="E37" s="19" t="n">
        <x:f>C37-D37</x:f>
        <x:v>14000</x:v>
      </x:c>
      <x:c r="F37" s="19" t="n">
        <x:f>SUM($E$7:E37)</x:f>
        <x:v>1046000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1153000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155000</x:v>
      </x:c>
      <x:c r="D39" s="19" t="n">
        <x:v>165000</x:v>
      </x:c>
      <x:c r="E39" s="19" t="n">
        <x:f>C39-D39</x:f>
        <x:v>-10000</x:v>
      </x:c>
      <x:c r="F39" s="19" t="n">
        <x:f>SUM($E$7:E39)</x:f>
        <x:v>1143000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1090000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1167000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1342000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416000</x:v>
      </x:c>
      <x:c r="D43" s="19" t="n">
        <x:v>66000</x:v>
      </x:c>
      <x:c r="E43" s="19" t="n">
        <x:f>C43-D43</x:f>
        <x:v>350000</x:v>
      </x:c>
      <x:c r="F43" s="19" t="n">
        <x:f>SUM($E$7:E43)</x:f>
        <x:v>1692000</x:v>
      </x:c>
      <x:c r="G43" s="20" t="n">
        <x:v>8</x:v>
      </x:c>
      <x:c r="H43" s="20" t="n">
        <x:v>5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1672000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173000</x:v>
      </x:c>
      <x:c r="D45" s="19" t="n">
        <x:v>168000</x:v>
      </x:c>
      <x:c r="E45" s="19" t="n">
        <x:f>C45-D45</x:f>
        <x:v>5000</x:v>
      </x:c>
      <x:c r="F45" s="19" t="n">
        <x:f>SUM($E$7:E45)</x:f>
        <x:v>1677000</x:v>
      </x:c>
      <x:c r="G45" s="20" t="n">
        <x:v>15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160000</x:v>
      </x:c>
      <x:c r="D46" s="19" t="n">
        <x:v>142000</x:v>
      </x:c>
      <x:c r="E46" s="19" t="n">
        <x:f>C46-D46</x:f>
        <x:v>18000</x:v>
      </x:c>
      <x:c r="F46" s="19" t="n">
        <x:f>SUM($E$7:E46)</x:f>
        <x:v>1695000</x:v>
      </x:c>
      <x:c r="G46" s="20" t="n">
        <x:v>14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408000</x:v>
      </x:c>
      <x:c r="D47" s="19" t="n">
        <x:v>16000</x:v>
      </x:c>
      <x:c r="E47" s="19" t="n">
        <x:f>C47-D47</x:f>
        <x:v>392000</x:v>
      </x:c>
      <x:c r="F47" s="19" t="n">
        <x:f>SUM($E$7:E47)</x:f>
        <x:v>2087000</x:v>
      </x:c>
      <x:c r="G47" s="20" t="n">
        <x:v>12</x:v>
      </x:c>
      <x:c r="H47" s="20" t="n">
        <x:v>7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95000</x:v>
      </x:c>
      <x:c r="D48" s="19" t="n">
        <x:v>34000</x:v>
      </x:c>
      <x:c r="E48" s="19" t="n">
        <x:f>C48-D48</x:f>
        <x:v>61000</x:v>
      </x:c>
      <x:c r="F48" s="19" t="n">
        <x:f>SUM($E$7:E48)</x:f>
        <x:v>2148000</x:v>
      </x:c>
      <x:c r="G48" s="20" t="n">
        <x:v>9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223000</x:v>
      </x:c>
      <x:c r="D49" s="19" t="n">
        <x:v>214000</x:v>
      </x:c>
      <x:c r="E49" s="19" t="n">
        <x:f>C49-D49</x:f>
        <x:v>9000</x:v>
      </x:c>
      <x:c r="F49" s="19" t="n">
        <x:f>SUM($E$7:E49)</x:f>
        <x:v>2157000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520000</x:v>
      </x:c>
      <x:c r="D50" s="19" t="n">
        <x:v>0</x:v>
      </x:c>
      <x:c r="E50" s="19" t="n">
        <x:f>C50-D50</x:f>
        <x:v>520000</x:v>
      </x:c>
      <x:c r="F50" s="19" t="n">
        <x:f>SUM($E$7:E50)</x:f>
        <x:v>2677000</x:v>
      </x:c>
      <x:c r="G50" s="20" t="n">
        <x:v>11</x:v>
      </x:c>
      <x:c r="H50" s="20" t="n">
        <x:v>6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238000</x:v>
      </x:c>
      <x:c r="D51" s="19" t="n">
        <x:v>200000</x:v>
      </x:c>
      <x:c r="E51" s="19" t="n">
        <x:f>C51-D51</x:f>
        <x:v>38000</x:v>
      </x:c>
      <x:c r="F51" s="19" t="n">
        <x:f>SUM($E$7:E51)</x:f>
        <x:v>2715000</x:v>
      </x:c>
      <x:c r="G51" s="20" t="n">
        <x:v>12</x:v>
      </x:c>
      <x:c r="H51" s="20" t="n">
        <x:v>9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2675000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501000</x:v>
      </x:c>
      <x:c r="D53" s="19" t="n">
        <x:v>70000</x:v>
      </x:c>
      <x:c r="E53" s="19" t="n">
        <x:f>C53-D53</x:f>
        <x:v>431000</x:v>
      </x:c>
      <x:c r="F53" s="19" t="n">
        <x:f>SUM($E$7:E53)</x:f>
        <x:v>3106000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164000</x:v>
      </x:c>
      <x:c r="D54" s="19" t="n">
        <x:v>10000</x:v>
      </x:c>
      <x:c r="E54" s="19" t="n">
        <x:f>C54-D54</x:f>
        <x:v>154000</x:v>
      </x:c>
      <x:c r="F54" s="19" t="n">
        <x:f>SUM($E$7:E54)</x:f>
        <x:v>3260000</x:v>
      </x:c>
      <x:c r="G54" s="20" t="n">
        <x:v>4</x:v>
      </x:c>
      <x:c r="H54" s="20" t="n">
        <x:v>3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218000</x:v>
      </x:c>
      <x:c r="D55" s="19" t="n">
        <x:v>99000</x:v>
      </x:c>
      <x:c r="E55" s="19" t="n">
        <x:f>C55-D55</x:f>
        <x:v>119000</x:v>
      </x:c>
      <x:c r="F55" s="19" t="n">
        <x:f>SUM($E$7:E55)</x:f>
        <x:v>3379000</x:v>
      </x:c>
      <x:c r="G55" s="20" t="n">
        <x:v>7</x:v>
      </x:c>
      <x:c r="H55" s="20" t="n">
        <x:v>5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3348000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6672000</x:v>
      </x:c>
      <x:c r="D57" s="21" t="n">
        <x:f>SUM(D7:D56)</x:f>
        <x:v>3324000</x:v>
      </x:c>
      <x:c r="E57" s="21" t="n">
        <x:f>SUM(E7:E56)</x:f>
        <x:v>3348000</x:v>
      </x:c>
      <x:c r="F57" s="21" t="n">
        <x:f>F56</x:f>
        <x:v>3348000</x:v>
      </x:c>
      <x:c r="G57" s="22" t="n">
        <x:f>SUM(G7:G56)</x:f>
        <x:v>336</x:v>
      </x:c>
      <x:c r="H57" s="22" t="n">
        <x:f>SUM(H7:H56)</x:f>
        <x:v>245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1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4ebe15531c45b4"/>
  </x:tableParts>
</x:worksheet>
</file>

<file path=xl/worksheets/sheet18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P03　部分利確後の最高値から1Rで残全返済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基本担当の部分利確後だけを変更。部分利確後の最高値から1Rで残全返済。追加担当は基準と同じ。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36000</x:v>
      </x:c>
      <x:c r="D7" s="19" t="n">
        <x:v>0</x:v>
      </x:c>
      <x:c r="E7" s="19" t="n">
        <x:f>C7-D7</x:f>
        <x:v>36000</x:v>
      </x:c>
      <x:c r="F7" s="19" t="n">
        <x:f>SUM($E$7:E7)</x:f>
        <x:v>36000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-9000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-114000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-98000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41000</x:v>
      </x:c>
      <x:c r="D11" s="19" t="n">
        <x:v>0</x:v>
      </x:c>
      <x:c r="E11" s="19" t="n">
        <x:f>C11-D11</x:f>
        <x:v>41000</x:v>
      </x:c>
      <x:c r="F11" s="19" t="n">
        <x:f>SUM($E$7:E11)</x:f>
        <x:v>-57000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-93000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107000</x:v>
      </x:c>
      <x:c r="D13" s="19" t="n">
        <x:v>60000</x:v>
      </x:c>
      <x:c r="E13" s="19" t="n">
        <x:f>C13-D13</x:f>
        <x:v>47000</x:v>
      </x:c>
      <x:c r="F13" s="19" t="n">
        <x:f>SUM($E$7:E13)</x:f>
        <x:v>-46000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-26000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73000</x:v>
      </x:c>
      <x:c r="D15" s="19" t="n">
        <x:v>46000</x:v>
      </x:c>
      <x:c r="E15" s="19" t="n">
        <x:f>C15-D15</x:f>
        <x:v>27000</x:v>
      </x:c>
      <x:c r="F15" s="19" t="n">
        <x:f>SUM($E$7:E15)</x:f>
        <x:v>1000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-3000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172000</x:v>
      </x:c>
      <x:c r="D17" s="19" t="n">
        <x:v>151000</x:v>
      </x:c>
      <x:c r="E17" s="19" t="n">
        <x:f>C17-D17</x:f>
        <x:v>21000</x:v>
      </x:c>
      <x:c r="F17" s="19" t="n">
        <x:f>SUM($E$7:E17)</x:f>
        <x:v>18000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-21000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173000</x:v>
      </x:c>
      <x:c r="D19" s="19" t="n">
        <x:v>127000</x:v>
      </x:c>
      <x:c r="E19" s="19" t="n">
        <x:f>C19-D19</x:f>
        <x:v>46000</x:v>
      </x:c>
      <x:c r="F19" s="19" t="n">
        <x:f>SUM($E$7:E19)</x:f>
        <x:v>25000</x:v>
      </x:c>
      <x:c r="G19" s="20" t="n">
        <x:v>9</x:v>
      </x:c>
      <x:c r="H19" s="20" t="n">
        <x:v>6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76000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151000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178000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472000</x:v>
      </x:c>
      <x:c r="D23" s="19" t="n">
        <x:v>84000</x:v>
      </x:c>
      <x:c r="E23" s="19" t="n">
        <x:f>C23-D23</x:f>
        <x:v>388000</x:v>
      </x:c>
      <x:c r="F23" s="19" t="n">
        <x:f>SUM($E$7:E23)</x:f>
        <x:v>566000</x:v>
      </x:c>
      <x:c r="G23" s="20" t="n">
        <x:v>5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146000</x:v>
      </x:c>
      <x:c r="D24" s="19" t="n">
        <x:v>85000</x:v>
      </x:c>
      <x:c r="E24" s="19" t="n">
        <x:f>C24-D24</x:f>
        <x:v>61000</x:v>
      </x:c>
      <x:c r="F24" s="19" t="n">
        <x:f>SUM($E$7:E24)</x:f>
        <x:v>627000</x:v>
      </x:c>
      <x:c r="G24" s="20" t="n">
        <x:v>12</x:v>
      </x:c>
      <x:c r="H24" s="20" t="n">
        <x:v>8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65000</x:v>
      </x:c>
      <x:c r="D25" s="19" t="n">
        <x:v>107000</x:v>
      </x:c>
      <x:c r="E25" s="19" t="n">
        <x:f>C25-D25</x:f>
        <x:v>-42000</x:v>
      </x:c>
      <x:c r="F25" s="19" t="n">
        <x:f>SUM($E$7:E25)</x:f>
        <x:v>585000</x:v>
      </x:c>
      <x:c r="G25" s="20" t="n">
        <x:v>9</x:v>
      </x:c>
      <x:c r="H25" s="20" t="n">
        <x:v>5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182000</x:v>
      </x:c>
      <x:c r="D26" s="19" t="n">
        <x:v>0</x:v>
      </x:c>
      <x:c r="E26" s="19" t="n">
        <x:f>C26-D26</x:f>
        <x:v>182000</x:v>
      </x:c>
      <x:c r="F26" s="19" t="n">
        <x:f>SUM($E$7:E26)</x:f>
        <x:v>767000</x:v>
      </x:c>
      <x:c r="G26" s="20" t="n">
        <x:v>11</x:v>
      </x:c>
      <x:c r="H26" s="20" t="n">
        <x:v>6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85000</x:v>
      </x:c>
      <x:c r="D27" s="19" t="n">
        <x:v>148000</x:v>
      </x:c>
      <x:c r="E27" s="19" t="n">
        <x:f>C27-D27</x:f>
        <x:v>-63000</x:v>
      </x:c>
      <x:c r="F27" s="19" t="n">
        <x:f>SUM($E$7:E27)</x:f>
        <x:v>704000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94000</x:v>
      </x:c>
      <x:c r="D28" s="19" t="n">
        <x:v>20000</x:v>
      </x:c>
      <x:c r="E28" s="19" t="n">
        <x:f>C28-D28</x:f>
        <x:v>74000</x:v>
      </x:c>
      <x:c r="F28" s="19" t="n">
        <x:f>SUM($E$7:E28)</x:f>
        <x:v>778000</x:v>
      </x:c>
      <x:c r="G28" s="20" t="n">
        <x:v>5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267000</x:v>
      </x:c>
      <x:c r="D29" s="19" t="n">
        <x:v>138000</x:v>
      </x:c>
      <x:c r="E29" s="19" t="n">
        <x:f>C29-D29</x:f>
        <x:v>129000</x:v>
      </x:c>
      <x:c r="F29" s="19" t="n">
        <x:f>SUM($E$7:E29)</x:f>
        <x:v>907000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897000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96000</x:v>
      </x:c>
      <x:c r="D31" s="19" t="n">
        <x:v>42000</x:v>
      </x:c>
      <x:c r="E31" s="19" t="n">
        <x:f>C31-D31</x:f>
        <x:v>54000</x:v>
      </x:c>
      <x:c r="F31" s="19" t="n">
        <x:f>SUM($E$7:E31)</x:f>
        <x:v>951000</x:v>
      </x:c>
      <x:c r="G31" s="20" t="n">
        <x:v>7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908000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181000</x:v>
      </x:c>
      <x:c r="D33" s="19" t="n">
        <x:v>130000</x:v>
      </x:c>
      <x:c r="E33" s="19" t="n">
        <x:f>C33-D33</x:f>
        <x:v>51000</x:v>
      </x:c>
      <x:c r="F33" s="19" t="n">
        <x:f>SUM($E$7:E33)</x:f>
        <x:v>959000</x:v>
      </x:c>
      <x:c r="G33" s="20" t="n">
        <x:v>10</x:v>
      </x:c>
      <x:c r="H33" s="20" t="n">
        <x:v>8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144000</x:v>
      </x:c>
      <x:c r="D34" s="19" t="n">
        <x:v>0</x:v>
      </x:c>
      <x:c r="E34" s="19" t="n">
        <x:f>C34-D34</x:f>
        <x:v>144000</x:v>
      </x:c>
      <x:c r="F34" s="19" t="n">
        <x:f>SUM($E$7:E34)</x:f>
        <x:v>1103000</x:v>
      </x:c>
      <x:c r="G34" s="20" t="n">
        <x:v>8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134000</x:v>
      </x:c>
      <x:c r="D35" s="19" t="n">
        <x:v>68000</x:v>
      </x:c>
      <x:c r="E35" s="19" t="n">
        <x:f>C35-D35</x:f>
        <x:v>66000</x:v>
      </x:c>
      <x:c r="F35" s="19" t="n">
        <x:f>SUM($E$7:E35)</x:f>
        <x:v>1169000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1183000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61000</x:v>
      </x:c>
      <x:c r="D37" s="19" t="n">
        <x:v>53000</x:v>
      </x:c>
      <x:c r="E37" s="19" t="n">
        <x:f>C37-D37</x:f>
        <x:v>8000</x:v>
      </x:c>
      <x:c r="F37" s="19" t="n">
        <x:f>SUM($E$7:E37)</x:f>
        <x:v>1191000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1298000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152000</x:v>
      </x:c>
      <x:c r="D39" s="19" t="n">
        <x:v>165000</x:v>
      </x:c>
      <x:c r="E39" s="19" t="n">
        <x:f>C39-D39</x:f>
        <x:v>-13000</x:v>
      </x:c>
      <x:c r="F39" s="19" t="n">
        <x:f>SUM($E$7:E39)</x:f>
        <x:v>1285000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1232000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1309000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1484000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502000</x:v>
      </x:c>
      <x:c r="D43" s="19" t="n">
        <x:v>66000</x:v>
      </x:c>
      <x:c r="E43" s="19" t="n">
        <x:f>C43-D43</x:f>
        <x:v>436000</x:v>
      </x:c>
      <x:c r="F43" s="19" t="n">
        <x:f>SUM($E$7:E43)</x:f>
        <x:v>1920000</x:v>
      </x:c>
      <x:c r="G43" s="20" t="n">
        <x:v>8</x:v>
      </x:c>
      <x:c r="H43" s="20" t="n">
        <x:v>5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1900000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146000</x:v>
      </x:c>
      <x:c r="D45" s="19" t="n">
        <x:v>168000</x:v>
      </x:c>
      <x:c r="E45" s="19" t="n">
        <x:f>C45-D45</x:f>
        <x:v>-22000</x:v>
      </x:c>
      <x:c r="F45" s="19" t="n">
        <x:f>SUM($E$7:E45)</x:f>
        <x:v>1878000</x:v>
      </x:c>
      <x:c r="G45" s="20" t="n">
        <x:v>15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160000</x:v>
      </x:c>
      <x:c r="D46" s="19" t="n">
        <x:v>142000</x:v>
      </x:c>
      <x:c r="E46" s="19" t="n">
        <x:f>C46-D46</x:f>
        <x:v>18000</x:v>
      </x:c>
      <x:c r="F46" s="19" t="n">
        <x:f>SUM($E$7:E46)</x:f>
        <x:v>1896000</x:v>
      </x:c>
      <x:c r="G46" s="20" t="n">
        <x:v>14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420000</x:v>
      </x:c>
      <x:c r="D47" s="19" t="n">
        <x:v>16000</x:v>
      </x:c>
      <x:c r="E47" s="19" t="n">
        <x:f>C47-D47</x:f>
        <x:v>404000</x:v>
      </x:c>
      <x:c r="F47" s="19" t="n">
        <x:f>SUM($E$7:E47)</x:f>
        <x:v>2300000</x:v>
      </x:c>
      <x:c r="G47" s="20" t="n">
        <x:v>12</x:v>
      </x:c>
      <x:c r="H47" s="20" t="n">
        <x:v>7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95000</x:v>
      </x:c>
      <x:c r="D48" s="19" t="n">
        <x:v>34000</x:v>
      </x:c>
      <x:c r="E48" s="19" t="n">
        <x:f>C48-D48</x:f>
        <x:v>61000</x:v>
      </x:c>
      <x:c r="F48" s="19" t="n">
        <x:f>SUM($E$7:E48)</x:f>
        <x:v>2361000</x:v>
      </x:c>
      <x:c r="G48" s="20" t="n">
        <x:v>9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225000</x:v>
      </x:c>
      <x:c r="D49" s="19" t="n">
        <x:v>214000</x:v>
      </x:c>
      <x:c r="E49" s="19" t="n">
        <x:f>C49-D49</x:f>
        <x:v>11000</x:v>
      </x:c>
      <x:c r="F49" s="19" t="n">
        <x:f>SUM($E$7:E49)</x:f>
        <x:v>2372000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520000</x:v>
      </x:c>
      <x:c r="D50" s="19" t="n">
        <x:v>0</x:v>
      </x:c>
      <x:c r="E50" s="19" t="n">
        <x:f>C50-D50</x:f>
        <x:v>520000</x:v>
      </x:c>
      <x:c r="F50" s="19" t="n">
        <x:f>SUM($E$7:E50)</x:f>
        <x:v>2892000</x:v>
      </x:c>
      <x:c r="G50" s="20" t="n">
        <x:v>11</x:v>
      </x:c>
      <x:c r="H50" s="20" t="n">
        <x:v>6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229000</x:v>
      </x:c>
      <x:c r="D51" s="19" t="n">
        <x:v>200000</x:v>
      </x:c>
      <x:c r="E51" s="19" t="n">
        <x:f>C51-D51</x:f>
        <x:v>29000</x:v>
      </x:c>
      <x:c r="F51" s="19" t="n">
        <x:f>SUM($E$7:E51)</x:f>
        <x:v>2921000</x:v>
      </x:c>
      <x:c r="G51" s="20" t="n">
        <x:v>12</x:v>
      </x:c>
      <x:c r="H51" s="20" t="n">
        <x:v>9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2881000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727000</x:v>
      </x:c>
      <x:c r="D53" s="19" t="n">
        <x:v>70000</x:v>
      </x:c>
      <x:c r="E53" s="19" t="n">
        <x:f>C53-D53</x:f>
        <x:v>657000</x:v>
      </x:c>
      <x:c r="F53" s="19" t="n">
        <x:f>SUM($E$7:E53)</x:f>
        <x:v>3538000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164000</x:v>
      </x:c>
      <x:c r="D54" s="19" t="n">
        <x:v>10000</x:v>
      </x:c>
      <x:c r="E54" s="19" t="n">
        <x:f>C54-D54</x:f>
        <x:v>154000</x:v>
      </x:c>
      <x:c r="F54" s="19" t="n">
        <x:f>SUM($E$7:E54)</x:f>
        <x:v>3692000</x:v>
      </x:c>
      <x:c r="G54" s="20" t="n">
        <x:v>4</x:v>
      </x:c>
      <x:c r="H54" s="20" t="n">
        <x:v>3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218000</x:v>
      </x:c>
      <x:c r="D55" s="19" t="n">
        <x:v>99000</x:v>
      </x:c>
      <x:c r="E55" s="19" t="n">
        <x:f>C55-D55</x:f>
        <x:v>119000</x:v>
      </x:c>
      <x:c r="F55" s="19" t="n">
        <x:f>SUM($E$7:E55)</x:f>
        <x:v>3811000</x:v>
      </x:c>
      <x:c r="G55" s="20" t="n">
        <x:v>7</x:v>
      </x:c>
      <x:c r="H55" s="20" t="n">
        <x:v>5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3780000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7104000</x:v>
      </x:c>
      <x:c r="D57" s="21" t="n">
        <x:f>SUM(D7:D56)</x:f>
        <x:v>3324000</x:v>
      </x:c>
      <x:c r="E57" s="21" t="n">
        <x:f>SUM(E7:E56)</x:f>
        <x:v>3780000</x:v>
      </x:c>
      <x:c r="F57" s="21" t="n">
        <x:f>F56</x:f>
        <x:v>3780000</x:v>
      </x:c>
      <x:c r="G57" s="22" t="n">
        <x:f>SUM(G7:G56)</x:f>
        <x:v>336</x:v>
      </x:c>
      <x:c r="H57" s="22" t="n">
        <x:f>SUM(H7:H56)</x:f>
        <x:v>245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1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4bc5cc935f841fd"/>
  </x:tableParts>
</x:worksheet>
</file>

<file path=xl/worksheets/sheet19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P04　部分利確価格の支持破綻と120秒逆行15秒で残全返済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基本担当の部分利確後だけを変更。部分利確価格の支持破綻と120秒逆行15秒で残全返済。追加担当は基準と同じ。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-29000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-33000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107000</x:v>
      </x:c>
      <x:c r="D13" s="19" t="n">
        <x:v>60000</x:v>
      </x:c>
      <x:c r="E13" s="19" t="n">
        <x:f>C13-D13</x:f>
        <x:v>47000</x:v>
      </x:c>
      <x:c r="F13" s="19" t="n">
        <x:f>SUM($E$7:E13)</x:f>
        <x:v>-22000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-2000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67000</x:v>
      </x:c>
      <x:c r="D15" s="19" t="n">
        <x:v>46000</x:v>
      </x:c>
      <x:c r="E15" s="19" t="n">
        <x:f>C15-D15</x:f>
        <x:v>21000</x:v>
      </x:c>
      <x:c r="F15" s="19" t="n">
        <x:f>SUM($E$7:E15)</x:f>
        <x:v>19000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15000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199000</x:v>
      </x:c>
      <x:c r="D17" s="19" t="n">
        <x:v>151000</x:v>
      </x:c>
      <x:c r="E17" s="19" t="n">
        <x:f>C17-D17</x:f>
        <x:v>48000</x:v>
      </x:c>
      <x:c r="F17" s="19" t="n">
        <x:f>SUM($E$7:E17)</x:f>
        <x:v>63000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24000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212000</x:v>
      </x:c>
      <x:c r="D19" s="19" t="n">
        <x:v>127000</x:v>
      </x:c>
      <x:c r="E19" s="19" t="n">
        <x:f>C19-D19</x:f>
        <x:v>85000</x:v>
      </x:c>
      <x:c r="F19" s="19" t="n">
        <x:f>SUM($E$7:E19)</x:f>
        <x:v>109000</x:v>
      </x:c>
      <x:c r="G19" s="20" t="n">
        <x:v>9</x:v>
      </x:c>
      <x:c r="H19" s="20" t="n">
        <x:v>6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160000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235000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262000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388000</x:v>
      </x:c>
      <x:c r="D23" s="19" t="n">
        <x:v>84000</x:v>
      </x:c>
      <x:c r="E23" s="19" t="n">
        <x:f>C23-D23</x:f>
        <x:v>304000</x:v>
      </x:c>
      <x:c r="F23" s="19" t="n">
        <x:f>SUM($E$7:E23)</x:f>
        <x:v>566000</x:v>
      </x:c>
      <x:c r="G23" s="20" t="n">
        <x:v>5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146000</x:v>
      </x:c>
      <x:c r="D24" s="19" t="n">
        <x:v>85000</x:v>
      </x:c>
      <x:c r="E24" s="19" t="n">
        <x:f>C24-D24</x:f>
        <x:v>61000</x:v>
      </x:c>
      <x:c r="F24" s="19" t="n">
        <x:f>SUM($E$7:E24)</x:f>
        <x:v>627000</x:v>
      </x:c>
      <x:c r="G24" s="20" t="n">
        <x:v>12</x:v>
      </x:c>
      <x:c r="H24" s="20" t="n">
        <x:v>8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65000</x:v>
      </x:c>
      <x:c r="D25" s="19" t="n">
        <x:v>107000</x:v>
      </x:c>
      <x:c r="E25" s="19" t="n">
        <x:f>C25-D25</x:f>
        <x:v>-42000</x:v>
      </x:c>
      <x:c r="F25" s="19" t="n">
        <x:f>SUM($E$7:E25)</x:f>
        <x:v>585000</x:v>
      </x:c>
      <x:c r="G25" s="20" t="n">
        <x:v>9</x:v>
      </x:c>
      <x:c r="H25" s="20" t="n">
        <x:v>5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182000</x:v>
      </x:c>
      <x:c r="D26" s="19" t="n">
        <x:v>0</x:v>
      </x:c>
      <x:c r="E26" s="19" t="n">
        <x:f>C26-D26</x:f>
        <x:v>182000</x:v>
      </x:c>
      <x:c r="F26" s="19" t="n">
        <x:f>SUM($E$7:E26)</x:f>
        <x:v>767000</x:v>
      </x:c>
      <x:c r="G26" s="20" t="n">
        <x:v>11</x:v>
      </x:c>
      <x:c r="H26" s="20" t="n">
        <x:v>6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85000</x:v>
      </x:c>
      <x:c r="D27" s="19" t="n">
        <x:v>148000</x:v>
      </x:c>
      <x:c r="E27" s="19" t="n">
        <x:f>C27-D27</x:f>
        <x:v>-63000</x:v>
      </x:c>
      <x:c r="F27" s="19" t="n">
        <x:f>SUM($E$7:E27)</x:f>
        <x:v>704000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94000</x:v>
      </x:c>
      <x:c r="D28" s="19" t="n">
        <x:v>20000</x:v>
      </x:c>
      <x:c r="E28" s="19" t="n">
        <x:f>C28-D28</x:f>
        <x:v>74000</x:v>
      </x:c>
      <x:c r="F28" s="19" t="n">
        <x:f>SUM($E$7:E28)</x:f>
        <x:v>778000</x:v>
      </x:c>
      <x:c r="G28" s="20" t="n">
        <x:v>5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211000</x:v>
      </x:c>
      <x:c r="D29" s="19" t="n">
        <x:v>138000</x:v>
      </x:c>
      <x:c r="E29" s="19" t="n">
        <x:f>C29-D29</x:f>
        <x:v>73000</x:v>
      </x:c>
      <x:c r="F29" s="19" t="n">
        <x:f>SUM($E$7:E29)</x:f>
        <x:v>851000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841000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96000</x:v>
      </x:c>
      <x:c r="D31" s="19" t="n">
        <x:v>42000</x:v>
      </x:c>
      <x:c r="E31" s="19" t="n">
        <x:f>C31-D31</x:f>
        <x:v>54000</x:v>
      </x:c>
      <x:c r="F31" s="19" t="n">
        <x:f>SUM($E$7:E31)</x:f>
        <x:v>895000</x:v>
      </x:c>
      <x:c r="G31" s="20" t="n">
        <x:v>7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852000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181000</x:v>
      </x:c>
      <x:c r="D33" s="19" t="n">
        <x:v>130000</x:v>
      </x:c>
      <x:c r="E33" s="19" t="n">
        <x:f>C33-D33</x:f>
        <x:v>51000</x:v>
      </x:c>
      <x:c r="F33" s="19" t="n">
        <x:f>SUM($E$7:E33)</x:f>
        <x:v>903000</x:v>
      </x:c>
      <x:c r="G33" s="20" t="n">
        <x:v>10</x:v>
      </x:c>
      <x:c r="H33" s="20" t="n">
        <x:v>8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144000</x:v>
      </x:c>
      <x:c r="D34" s="19" t="n">
        <x:v>0</x:v>
      </x:c>
      <x:c r="E34" s="19" t="n">
        <x:f>C34-D34</x:f>
        <x:v>144000</x:v>
      </x:c>
      <x:c r="F34" s="19" t="n">
        <x:f>SUM($E$7:E34)</x:f>
        <x:v>1047000</x:v>
      </x:c>
      <x:c r="G34" s="20" t="n">
        <x:v>8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134000</x:v>
      </x:c>
      <x:c r="D35" s="19" t="n">
        <x:v>68000</x:v>
      </x:c>
      <x:c r="E35" s="19" t="n">
        <x:f>C35-D35</x:f>
        <x:v>66000</x:v>
      </x:c>
      <x:c r="F35" s="19" t="n">
        <x:f>SUM($E$7:E35)</x:f>
        <x:v>1113000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1127000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75000</x:v>
      </x:c>
      <x:c r="D37" s="19" t="n">
        <x:v>53000</x:v>
      </x:c>
      <x:c r="E37" s="19" t="n">
        <x:f>C37-D37</x:f>
        <x:v>22000</x:v>
      </x:c>
      <x:c r="F37" s="19" t="n">
        <x:f>SUM($E$7:E37)</x:f>
        <x:v>1149000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1256000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128000</x:v>
      </x:c>
      <x:c r="D39" s="19" t="n">
        <x:v>165000</x:v>
      </x:c>
      <x:c r="E39" s="19" t="n">
        <x:f>C39-D39</x:f>
        <x:v>-37000</x:v>
      </x:c>
      <x:c r="F39" s="19" t="n">
        <x:f>SUM($E$7:E39)</x:f>
        <x:v>1219000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1166000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1243000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1418000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365000</x:v>
      </x:c>
      <x:c r="D43" s="19" t="n">
        <x:v>66000</x:v>
      </x:c>
      <x:c r="E43" s="19" t="n">
        <x:f>C43-D43</x:f>
        <x:v>299000</x:v>
      </x:c>
      <x:c r="F43" s="19" t="n">
        <x:f>SUM($E$7:E43)</x:f>
        <x:v>1717000</x:v>
      </x:c>
      <x:c r="G43" s="20" t="n">
        <x:v>8</x:v>
      </x:c>
      <x:c r="H43" s="20" t="n">
        <x:v>5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1697000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145000</x:v>
      </x:c>
      <x:c r="D45" s="19" t="n">
        <x:v>168000</x:v>
      </x:c>
      <x:c r="E45" s="19" t="n">
        <x:f>C45-D45</x:f>
        <x:v>-23000</x:v>
      </x:c>
      <x:c r="F45" s="19" t="n">
        <x:f>SUM($E$7:E45)</x:f>
        <x:v>1674000</x:v>
      </x:c>
      <x:c r="G45" s="20" t="n">
        <x:v>15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160000</x:v>
      </x:c>
      <x:c r="D46" s="19" t="n">
        <x:v>142000</x:v>
      </x:c>
      <x:c r="E46" s="19" t="n">
        <x:f>C46-D46</x:f>
        <x:v>18000</x:v>
      </x:c>
      <x:c r="F46" s="19" t="n">
        <x:f>SUM($E$7:E46)</x:f>
        <x:v>1692000</x:v>
      </x:c>
      <x:c r="G46" s="20" t="n">
        <x:v>14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420000</x:v>
      </x:c>
      <x:c r="D47" s="19" t="n">
        <x:v>16000</x:v>
      </x:c>
      <x:c r="E47" s="19" t="n">
        <x:f>C47-D47</x:f>
        <x:v>404000</x:v>
      </x:c>
      <x:c r="F47" s="19" t="n">
        <x:f>SUM($E$7:E47)</x:f>
        <x:v>2096000</x:v>
      </x:c>
      <x:c r="G47" s="20" t="n">
        <x:v>12</x:v>
      </x:c>
      <x:c r="H47" s="20" t="n">
        <x:v>7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95000</x:v>
      </x:c>
      <x:c r="D48" s="19" t="n">
        <x:v>34000</x:v>
      </x:c>
      <x:c r="E48" s="19" t="n">
        <x:f>C48-D48</x:f>
        <x:v>61000</x:v>
      </x:c>
      <x:c r="F48" s="19" t="n">
        <x:f>SUM($E$7:E48)</x:f>
        <x:v>2157000</x:v>
      </x:c>
      <x:c r="G48" s="20" t="n">
        <x:v>9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217000</x:v>
      </x:c>
      <x:c r="D49" s="19" t="n">
        <x:v>214000</x:v>
      </x:c>
      <x:c r="E49" s="19" t="n">
        <x:f>C49-D49</x:f>
        <x:v>3000</x:v>
      </x:c>
      <x:c r="F49" s="19" t="n">
        <x:f>SUM($E$7:E49)</x:f>
        <x:v>2160000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520000</x:v>
      </x:c>
      <x:c r="D50" s="19" t="n">
        <x:v>0</x:v>
      </x:c>
      <x:c r="E50" s="19" t="n">
        <x:f>C50-D50</x:f>
        <x:v>520000</x:v>
      </x:c>
      <x:c r="F50" s="19" t="n">
        <x:f>SUM($E$7:E50)</x:f>
        <x:v>2680000</x:v>
      </x:c>
      <x:c r="G50" s="20" t="n">
        <x:v>11</x:v>
      </x:c>
      <x:c r="H50" s="20" t="n">
        <x:v>6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229000</x:v>
      </x:c>
      <x:c r="D51" s="19" t="n">
        <x:v>200000</x:v>
      </x:c>
      <x:c r="E51" s="19" t="n">
        <x:f>C51-D51</x:f>
        <x:v>29000</x:v>
      </x:c>
      <x:c r="F51" s="19" t="n">
        <x:f>SUM($E$7:E51)</x:f>
        <x:v>2709000</x:v>
      </x:c>
      <x:c r="G51" s="20" t="n">
        <x:v>12</x:v>
      </x:c>
      <x:c r="H51" s="20" t="n">
        <x:v>9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2669000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507000</x:v>
      </x:c>
      <x:c r="D53" s="19" t="n">
        <x:v>70000</x:v>
      </x:c>
      <x:c r="E53" s="19" t="n">
        <x:f>C53-D53</x:f>
        <x:v>437000</x:v>
      </x:c>
      <x:c r="F53" s="19" t="n">
        <x:f>SUM($E$7:E53)</x:f>
        <x:v>3106000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164000</x:v>
      </x:c>
      <x:c r="D54" s="19" t="n">
        <x:v>10000</x:v>
      </x:c>
      <x:c r="E54" s="19" t="n">
        <x:f>C54-D54</x:f>
        <x:v>154000</x:v>
      </x:c>
      <x:c r="F54" s="19" t="n">
        <x:f>SUM($E$7:E54)</x:f>
        <x:v>3260000</x:v>
      </x:c>
      <x:c r="G54" s="20" t="n">
        <x:v>4</x:v>
      </x:c>
      <x:c r="H54" s="20" t="n">
        <x:v>3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218000</x:v>
      </x:c>
      <x:c r="D55" s="19" t="n">
        <x:v>99000</x:v>
      </x:c>
      <x:c r="E55" s="19" t="n">
        <x:f>C55-D55</x:f>
        <x:v>119000</x:v>
      </x:c>
      <x:c r="F55" s="19" t="n">
        <x:f>SUM($E$7:E55)</x:f>
        <x:v>3379000</x:v>
      </x:c>
      <x:c r="G55" s="20" t="n">
        <x:v>7</x:v>
      </x:c>
      <x:c r="H55" s="20" t="n">
        <x:v>5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3348000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6676000</x:v>
      </x:c>
      <x:c r="D57" s="21" t="n">
        <x:f>SUM(D7:D56)</x:f>
        <x:v>3328000</x:v>
      </x:c>
      <x:c r="E57" s="21" t="n">
        <x:f>SUM(E7:E56)</x:f>
        <x:v>3348000</x:v>
      </x:c>
      <x:c r="F57" s="21" t="n">
        <x:f>F56</x:f>
        <x:v>3348000</x:v>
      </x:c>
      <x:c r="G57" s="22" t="n">
        <x:f>SUM(G7:G56)</x:f>
        <x:v>336</x:v>
      </x:c>
      <x:c r="H57" s="22" t="n">
        <x:f>SUM(H7:H56)</x:f>
        <x:v>245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1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eef9677b2a6489b"/>
  </x:tableParts>
</x:worksheet>
</file>

<file path=xl/worksheets/sheet20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R01　残玉なしで全返済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基本・別入口の残り1枚の扱いを変更。残玉なしで全返済。追加担当は基準と同じ。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90000</x:v>
      </x:c>
      <x:c r="D7" s="19" t="n">
        <x:v>0</x:v>
      </x:c>
      <x:c r="E7" s="19" t="n">
        <x:f>C7-D7</x:f>
        <x:v>90000</x:v>
      </x:c>
      <x:c r="F7" s="19" t="n">
        <x:f>SUM($E$7:E7)</x:f>
        <x:v>90000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45000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-60000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40000</x:v>
      </x:c>
      <x:c r="D10" s="19" t="n">
        <x:v>0</x:v>
      </x:c>
      <x:c r="E10" s="19" t="n">
        <x:f>C10-D10</x:f>
        <x:v>40000</x:v>
      </x:c>
      <x:c r="F10" s="19" t="n">
        <x:f>SUM($E$7:E10)</x:f>
        <x:v>-20000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-24000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-60000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149000</x:v>
      </x:c>
      <x:c r="D13" s="19" t="n">
        <x:v>60000</x:v>
      </x:c>
      <x:c r="E13" s="19" t="n">
        <x:f>C13-D13</x:f>
        <x:v>89000</x:v>
      </x:c>
      <x:c r="F13" s="19" t="n">
        <x:f>SUM($E$7:E13)</x:f>
        <x:v>29000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17000</x:v>
      </x:c>
      <x:c r="D14" s="19" t="n">
        <x:v>0</x:v>
      </x:c>
      <x:c r="E14" s="19" t="n">
        <x:f>C14-D14</x:f>
        <x:v>17000</x:v>
      </x:c>
      <x:c r="F14" s="19" t="n">
        <x:f>SUM($E$7:E14)</x:f>
        <x:v>46000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157000</x:v>
      </x:c>
      <x:c r="D15" s="19" t="n">
        <x:v>46000</x:v>
      </x:c>
      <x:c r="E15" s="19" t="n">
        <x:f>C15-D15</x:f>
        <x:v>111000</x:v>
      </x:c>
      <x:c r="F15" s="19" t="n">
        <x:f>SUM($E$7:E15)</x:f>
        <x:v>157000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15000</x:v>
      </x:c>
      <x:c r="D16" s="19" t="n">
        <x:v>16000</x:v>
      </x:c>
      <x:c r="E16" s="19" t="n">
        <x:f>C16-D16</x:f>
        <x:v>-1000</x:v>
      </x:c>
      <x:c r="F16" s="19" t="n">
        <x:f>SUM($E$7:E16)</x:f>
        <x:v>156000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269000</x:v>
      </x:c>
      <x:c r="D17" s="19" t="n">
        <x:v>169000</x:v>
      </x:c>
      <x:c r="E17" s="19" t="n">
        <x:f>C17-D17</x:f>
        <x:v>100000</x:v>
      </x:c>
      <x:c r="F17" s="19" t="n">
        <x:f>SUM($E$7:E17)</x:f>
        <x:v>256000</x:v>
      </x:c>
      <x:c r="G17" s="20" t="n">
        <x:v>9</x:v>
      </x:c>
      <x:c r="H17" s="20" t="n">
        <x:v>8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217000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283000</x:v>
      </x:c>
      <x:c r="D19" s="19" t="n">
        <x:v>127000</x:v>
      </x:c>
      <x:c r="E19" s="19" t="n">
        <x:f>C19-D19</x:f>
        <x:v>156000</x:v>
      </x:c>
      <x:c r="F19" s="19" t="n">
        <x:f>SUM($E$7:E19)</x:f>
        <x:v>373000</x:v>
      </x:c>
      <x:c r="G19" s="20" t="n">
        <x:v>9</x:v>
      </x:c>
      <x:c r="H19" s="20" t="n">
        <x:v>6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105000</x:v>
      </x:c>
      <x:c r="D20" s="19" t="n">
        <x:v>72000</x:v>
      </x:c>
      <x:c r="E20" s="19" t="n">
        <x:f>C20-D20</x:f>
        <x:v>33000</x:v>
      </x:c>
      <x:c r="F20" s="19" t="n">
        <x:f>SUM($E$7:E20)</x:f>
        <x:v>406000</x:v>
      </x:c>
      <x:c r="G20" s="20" t="n">
        <x:v>7</x:v>
      </x:c>
      <x:c r="H20" s="20" t="n">
        <x:v>6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174000</x:v>
      </x:c>
      <x:c r="D21" s="19" t="n">
        <x:v>100000</x:v>
      </x:c>
      <x:c r="E21" s="19" t="n">
        <x:f>C21-D21</x:f>
        <x:v>74000</x:v>
      </x:c>
      <x:c r="F21" s="19" t="n">
        <x:f>SUM($E$7:E21)</x:f>
        <x:v>480000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48000</x:v>
      </x:c>
      <x:c r="D22" s="19" t="n">
        <x:v>0</x:v>
      </x:c>
      <x:c r="E22" s="19" t="n">
        <x:f>C22-D22</x:f>
        <x:v>48000</x:v>
      </x:c>
      <x:c r="F22" s="19" t="n">
        <x:f>SUM($E$7:E22)</x:f>
        <x:v>528000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416000</x:v>
      </x:c>
      <x:c r="D23" s="19" t="n">
        <x:v>84000</x:v>
      </x:c>
      <x:c r="E23" s="19" t="n">
        <x:f>C23-D23</x:f>
        <x:v>332000</x:v>
      </x:c>
      <x:c r="F23" s="19" t="n">
        <x:f>SUM($E$7:E23)</x:f>
        <x:v>860000</x:v>
      </x:c>
      <x:c r="G23" s="20" t="n">
        <x:v>5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112000</x:v>
      </x:c>
      <x:c r="D24" s="19" t="n">
        <x:v>85000</x:v>
      </x:c>
      <x:c r="E24" s="19" t="n">
        <x:f>C24-D24</x:f>
        <x:v>27000</x:v>
      </x:c>
      <x:c r="F24" s="19" t="n">
        <x:f>SUM($E$7:E24)</x:f>
        <x:v>887000</x:v>
      </x:c>
      <x:c r="G24" s="20" t="n">
        <x:v>13</x:v>
      </x:c>
      <x:c r="H24" s="20" t="n">
        <x:v>9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82000</x:v>
      </x:c>
      <x:c r="D25" s="19" t="n">
        <x:v>107000</x:v>
      </x:c>
      <x:c r="E25" s="19" t="n">
        <x:f>C25-D25</x:f>
        <x:v>-25000</x:v>
      </x:c>
      <x:c r="F25" s="19" t="n">
        <x:f>SUM($E$7:E25)</x:f>
        <x:v>862000</x:v>
      </x:c>
      <x:c r="G25" s="20" t="n">
        <x:v>9</x:v>
      </x:c>
      <x:c r="H25" s="20" t="n">
        <x:v>5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256000</x:v>
      </x:c>
      <x:c r="D26" s="19" t="n">
        <x:v>25000</x:v>
      </x:c>
      <x:c r="E26" s="19" t="n">
        <x:f>C26-D26</x:f>
        <x:v>231000</x:v>
      </x:c>
      <x:c r="F26" s="19" t="n">
        <x:f>SUM($E$7:E26)</x:f>
        <x:v>1093000</x:v>
      </x:c>
      <x:c r="G26" s="20" t="n">
        <x:v>14</x:v>
      </x:c>
      <x:c r="H26" s="20" t="n">
        <x:v>9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86000</x:v>
      </x:c>
      <x:c r="D27" s="19" t="n">
        <x:v>148000</x:v>
      </x:c>
      <x:c r="E27" s="19" t="n">
        <x:f>C27-D27</x:f>
        <x:v>-62000</x:v>
      </x:c>
      <x:c r="F27" s="19" t="n">
        <x:f>SUM($E$7:E27)</x:f>
        <x:v>1031000</x:v>
      </x:c>
      <x:c r="G27" s="20" t="n">
        <x:v>13</x:v>
      </x:c>
      <x:c r="H27" s="20" t="n">
        <x:v>10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113000</x:v>
      </x:c>
      <x:c r="D28" s="19" t="n">
        <x:v>20000</x:v>
      </x:c>
      <x:c r="E28" s="19" t="n">
        <x:f>C28-D28</x:f>
        <x:v>93000</x:v>
      </x:c>
      <x:c r="F28" s="19" t="n">
        <x:f>SUM($E$7:E28)</x:f>
        <x:v>1124000</x:v>
      </x:c>
      <x:c r="G28" s="20" t="n">
        <x:v>5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226000</x:v>
      </x:c>
      <x:c r="D29" s="19" t="n">
        <x:v>138000</x:v>
      </x:c>
      <x:c r="E29" s="19" t="n">
        <x:f>C29-D29</x:f>
        <x:v>88000</x:v>
      </x:c>
      <x:c r="F29" s="19" t="n">
        <x:f>SUM($E$7:E29)</x:f>
        <x:v>1212000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17000</x:v>
      </x:c>
      <x:c r="D30" s="19" t="n">
        <x:v>43000</x:v>
      </x:c>
      <x:c r="E30" s="19" t="n">
        <x:f>C30-D30</x:f>
        <x:v>-26000</x:v>
      </x:c>
      <x:c r="F30" s="19" t="n">
        <x:f>SUM($E$7:E30)</x:f>
        <x:v>1186000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98000</x:v>
      </x:c>
      <x:c r="D31" s="19" t="n">
        <x:v>42000</x:v>
      </x:c>
      <x:c r="E31" s="19" t="n">
        <x:f>C31-D31</x:f>
        <x:v>56000</x:v>
      </x:c>
      <x:c r="F31" s="19" t="n">
        <x:f>SUM($E$7:E31)</x:f>
        <x:v>1242000</x:v>
      </x:c>
      <x:c r="G31" s="20" t="n">
        <x:v>7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1199000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197000</x:v>
      </x:c>
      <x:c r="D33" s="19" t="n">
        <x:v>130000</x:v>
      </x:c>
      <x:c r="E33" s="19" t="n">
        <x:f>C33-D33</x:f>
        <x:v>67000</x:v>
      </x:c>
      <x:c r="F33" s="19" t="n">
        <x:f>SUM($E$7:E33)</x:f>
        <x:v>1266000</x:v>
      </x:c>
      <x:c r="G33" s="20" t="n">
        <x:v>12</x:v>
      </x:c>
      <x:c r="H33" s="20" t="n">
        <x:v>9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176000</x:v>
      </x:c>
      <x:c r="D34" s="19" t="n">
        <x:v>0</x:v>
      </x:c>
      <x:c r="E34" s="19" t="n">
        <x:f>C34-D34</x:f>
        <x:v>176000</x:v>
      </x:c>
      <x:c r="F34" s="19" t="n">
        <x:f>SUM($E$7:E34)</x:f>
        <x:v>1442000</x:v>
      </x:c>
      <x:c r="G34" s="20" t="n">
        <x:v>8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90000</x:v>
      </x:c>
      <x:c r="D35" s="19" t="n">
        <x:v>68000</x:v>
      </x:c>
      <x:c r="E35" s="19" t="n">
        <x:f>C35-D35</x:f>
        <x:v>22000</x:v>
      </x:c>
      <x:c r="F35" s="19" t="n">
        <x:f>SUM($E$7:E35)</x:f>
        <x:v>1464000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20000</x:v>
      </x:c>
      <x:c r="D36" s="19" t="n">
        <x:v>0</x:v>
      </x:c>
      <x:c r="E36" s="19" t="n">
        <x:f>C36-D36</x:f>
        <x:v>20000</x:v>
      </x:c>
      <x:c r="F36" s="19" t="n">
        <x:f>SUM($E$7:E36)</x:f>
        <x:v>1484000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1464000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95000</x:v>
      </x:c>
      <x:c r="D38" s="19" t="n">
        <x:v>0</x:v>
      </x:c>
      <x:c r="E38" s="19" t="n">
        <x:f>C38-D38</x:f>
        <x:v>95000</x:v>
      </x:c>
      <x:c r="F38" s="19" t="n">
        <x:f>SUM($E$7:E38)</x:f>
        <x:v>1559000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86000</x:v>
      </x:c>
      <x:c r="D39" s="19" t="n">
        <x:v>165000</x:v>
      </x:c>
      <x:c r="E39" s="19" t="n">
        <x:f>C39-D39</x:f>
        <x:v>-79000</x:v>
      </x:c>
      <x:c r="F39" s="19" t="n">
        <x:f>SUM($E$7:E39)</x:f>
        <x:v>1480000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1427000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173000</x:v>
      </x:c>
      <x:c r="D41" s="19" t="n">
        <x:v>72000</x:v>
      </x:c>
      <x:c r="E41" s="19" t="n">
        <x:f>C41-D41</x:f>
        <x:v>101000</x:v>
      </x:c>
      <x:c r="F41" s="19" t="n">
        <x:f>SUM($E$7:E41)</x:f>
        <x:v>1528000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215000</x:v>
      </x:c>
      <x:c r="D42" s="19" t="n">
        <x:v>61000</x:v>
      </x:c>
      <x:c r="E42" s="19" t="n">
        <x:f>C42-D42</x:f>
        <x:v>154000</x:v>
      </x:c>
      <x:c r="F42" s="19" t="n">
        <x:f>SUM($E$7:E42)</x:f>
        <x:v>1682000</x:v>
      </x:c>
      <x:c r="G42" s="20" t="n">
        <x:v>5</x:v>
      </x:c>
      <x:c r="H42" s="20" t="n">
        <x:v>5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494000</x:v>
      </x:c>
      <x:c r="D43" s="19" t="n">
        <x:v>194000</x:v>
      </x:c>
      <x:c r="E43" s="19" t="n">
        <x:f>C43-D43</x:f>
        <x:v>300000</x:v>
      </x:c>
      <x:c r="F43" s="19" t="n">
        <x:f>SUM($E$7:E43)</x:f>
        <x:v>1982000</x:v>
      </x:c>
      <x:c r="G43" s="20" t="n">
        <x:v>18</x:v>
      </x:c>
      <x:c r="H43" s="20" t="n">
        <x:v>12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60000</x:v>
      </x:c>
      <x:c r="D44" s="19" t="n">
        <x:v>95000</x:v>
      </x:c>
      <x:c r="E44" s="19" t="n">
        <x:f>C44-D44</x:f>
        <x:v>-35000</x:v>
      </x:c>
      <x:c r="F44" s="19" t="n">
        <x:f>SUM($E$7:E44)</x:f>
        <x:v>1947000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134000</x:v>
      </x:c>
      <x:c r="D45" s="19" t="n">
        <x:v>168000</x:v>
      </x:c>
      <x:c r="E45" s="19" t="n">
        <x:f>C45-D45</x:f>
        <x:v>-34000</x:v>
      </x:c>
      <x:c r="F45" s="19" t="n">
        <x:f>SUM($E$7:E45)</x:f>
        <x:v>1913000</x:v>
      </x:c>
      <x:c r="G45" s="20" t="n">
        <x:v>15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114000</x:v>
      </x:c>
      <x:c r="D46" s="19" t="n">
        <x:v>142000</x:v>
      </x:c>
      <x:c r="E46" s="19" t="n">
        <x:f>C46-D46</x:f>
        <x:v>-28000</x:v>
      </x:c>
      <x:c r="F46" s="19" t="n">
        <x:f>SUM($E$7:E46)</x:f>
        <x:v>1885000</x:v>
      </x:c>
      <x:c r="G46" s="20" t="n">
        <x:v>14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349000</x:v>
      </x:c>
      <x:c r="D47" s="19" t="n">
        <x:v>58000</x:v>
      </x:c>
      <x:c r="E47" s="19" t="n">
        <x:f>C47-D47</x:f>
        <x:v>291000</x:v>
      </x:c>
      <x:c r="F47" s="19" t="n">
        <x:f>SUM($E$7:E47)</x:f>
        <x:v>2176000</x:v>
      </x:c>
      <x:c r="G47" s="20" t="n">
        <x:v>14</x:v>
      </x:c>
      <x:c r="H47" s="20" t="n">
        <x:v>9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87000</x:v>
      </x:c>
      <x:c r="D48" s="19" t="n">
        <x:v>34000</x:v>
      </x:c>
      <x:c r="E48" s="19" t="n">
        <x:f>C48-D48</x:f>
        <x:v>53000</x:v>
      </x:c>
      <x:c r="F48" s="19" t="n">
        <x:f>SUM($E$7:E48)</x:f>
        <x:v>2229000</x:v>
      </x:c>
      <x:c r="G48" s="20" t="n">
        <x:v>9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175000</x:v>
      </x:c>
      <x:c r="D49" s="19" t="n">
        <x:v>214000</x:v>
      </x:c>
      <x:c r="E49" s="19" t="n">
        <x:f>C49-D49</x:f>
        <x:v>-39000</x:v>
      </x:c>
      <x:c r="F49" s="19" t="n">
        <x:f>SUM($E$7:E49)</x:f>
        <x:v>2190000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495000</x:v>
      </x:c>
      <x:c r="D50" s="19" t="n">
        <x:v>0</x:v>
      </x:c>
      <x:c r="E50" s="19" t="n">
        <x:f>C50-D50</x:f>
        <x:v>495000</x:v>
      </x:c>
      <x:c r="F50" s="19" t="n">
        <x:f>SUM($E$7:E50)</x:f>
        <x:v>2685000</x:v>
      </x:c>
      <x:c r="G50" s="20" t="n">
        <x:v>13</x:v>
      </x:c>
      <x:c r="H50" s="20" t="n">
        <x:v>7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253000</x:v>
      </x:c>
      <x:c r="D51" s="19" t="n">
        <x:v>232000</x:v>
      </x:c>
      <x:c r="E51" s="19" t="n">
        <x:f>C51-D51</x:f>
        <x:v>21000</x:v>
      </x:c>
      <x:c r="F51" s="19" t="n">
        <x:f>SUM($E$7:E51)</x:f>
        <x:v>2706000</x:v>
      </x:c>
      <x:c r="G51" s="20" t="n">
        <x:v>16</x:v>
      </x:c>
      <x:c r="H51" s="20" t="n">
        <x:v>12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68000</x:v>
      </x:c>
      <x:c r="D52" s="19" t="n">
        <x:v>85000</x:v>
      </x:c>
      <x:c r="E52" s="19" t="n">
        <x:f>C52-D52</x:f>
        <x:v>-17000</x:v>
      </x:c>
      <x:c r="F52" s="19" t="n">
        <x:f>SUM($E$7:E52)</x:f>
        <x:v>2689000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678000</x:v>
      </x:c>
      <x:c r="D53" s="19" t="n">
        <x:v>70000</x:v>
      </x:c>
      <x:c r="E53" s="19" t="n">
        <x:f>C53-D53</x:f>
        <x:v>608000</x:v>
      </x:c>
      <x:c r="F53" s="19" t="n">
        <x:f>SUM($E$7:E53)</x:f>
        <x:v>3297000</x:v>
      </x:c>
      <x:c r="G53" s="20" t="n">
        <x:v>9</x:v>
      </x:c>
      <x:c r="H53" s="20" t="n">
        <x:v>6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155000</x:v>
      </x:c>
      <x:c r="D54" s="19" t="n">
        <x:v>39000</x:v>
      </x:c>
      <x:c r="E54" s="19" t="n">
        <x:f>C54-D54</x:f>
        <x:v>116000</x:v>
      </x:c>
      <x:c r="F54" s="19" t="n">
        <x:f>SUM($E$7:E54)</x:f>
        <x:v>3413000</x:v>
      </x:c>
      <x:c r="G54" s="20" t="n">
        <x:v>8</x:v>
      </x:c>
      <x:c r="H54" s="20" t="n">
        <x:v>5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164000</x:v>
      </x:c>
      <x:c r="D55" s="19" t="n">
        <x:v>127000</x:v>
      </x:c>
      <x:c r="E55" s="19" t="n">
        <x:f>C55-D55</x:f>
        <x:v>37000</x:v>
      </x:c>
      <x:c r="F55" s="19" t="n">
        <x:f>SUM($E$7:E55)</x:f>
        <x:v>3450000</x:v>
      </x:c>
      <x:c r="G55" s="20" t="n">
        <x:v>12</x:v>
      </x:c>
      <x:c r="H55" s="20" t="n">
        <x:v>9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54000</x:v>
      </x:c>
      <x:c r="D56" s="19" t="n">
        <x:v>53000</x:v>
      </x:c>
      <x:c r="E56" s="19" t="n">
        <x:f>C56-D56</x:f>
        <x:v>1000</x:v>
      </x:c>
      <x:c r="F56" s="19" t="n">
        <x:f>SUM($E$7:E56)</x:f>
        <x:v>3451000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7131000</x:v>
      </x:c>
      <x:c r="D57" s="21" t="n">
        <x:f>SUM(D7:D56)</x:f>
        <x:v>3680000</x:v>
      </x:c>
      <x:c r="E57" s="21" t="n">
        <x:f>SUM(E7:E56)</x:f>
        <x:v>3451000</x:v>
      </x:c>
      <x:c r="F57" s="21" t="n">
        <x:f>F56</x:f>
        <x:v>3451000</x:v>
      </x:c>
      <x:c r="G57" s="22" t="n">
        <x:f>SUM(G7:G56)</x:f>
        <x:v>376</x:v>
      </x:c>
      <x:c r="H57" s="22" t="n">
        <x:f>SUM(H7:H56)</x:f>
        <x:v>274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1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665e13f12e498d"/>
  </x:tableParts>
</x:worksheet>
</file>

<file path=xl/worksheets/sheet21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R02　他玉利益の25%だけ残玉予算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基本・別入口の残り1枚の扱いを変更。他玉利益の25%だけ残玉予算。追加担当は基準と同じ。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24000</x:v>
      </x:c>
      <x:c r="D10" s="19" t="n">
        <x:v>0</x:v>
      </x:c>
      <x:c r="E10" s="19" t="n">
        <x:f>C10-D10</x:f>
        <x:v>24000</x:v>
      </x:c>
      <x:c r="F10" s="19" t="n">
        <x:f>SUM($E$7:E10)</x:f>
        <x:v>-21000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-25000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-61000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123000</x:v>
      </x:c>
      <x:c r="D13" s="19" t="n">
        <x:v>60000</x:v>
      </x:c>
      <x:c r="E13" s="19" t="n">
        <x:f>C13-D13</x:f>
        <x:v>63000</x:v>
      </x:c>
      <x:c r="F13" s="19" t="n">
        <x:f>SUM($E$7:E13)</x:f>
        <x:v>2000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22000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157000</x:v>
      </x:c>
      <x:c r="D15" s="19" t="n">
        <x:v>46000</x:v>
      </x:c>
      <x:c r="E15" s="19" t="n">
        <x:f>C15-D15</x:f>
        <x:v>111000</x:v>
      </x:c>
      <x:c r="F15" s="19" t="n">
        <x:f>SUM($E$7:E15)</x:f>
        <x:v>133000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129000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331000</x:v>
      </x:c>
      <x:c r="D17" s="19" t="n">
        <x:v>151000</x:v>
      </x:c>
      <x:c r="E17" s="19" t="n">
        <x:f>C17-D17</x:f>
        <x:v>180000</x:v>
      </x:c>
      <x:c r="F17" s="19" t="n">
        <x:f>SUM($E$7:E17)</x:f>
        <x:v>309000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270000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129000</x:v>
      </x:c>
      <x:c r="D19" s="19" t="n">
        <x:v>127000</x:v>
      </x:c>
      <x:c r="E19" s="19" t="n">
        <x:f>C19-D19</x:f>
        <x:v>2000</x:v>
      </x:c>
      <x:c r="F19" s="19" t="n">
        <x:f>SUM($E$7:E19)</x:f>
        <x:v>272000</x:v>
      </x:c>
      <x:c r="G19" s="20" t="n">
        <x:v>8</x:v>
      </x:c>
      <x:c r="H19" s="20" t="n">
        <x:v>5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75000</x:v>
      </x:c>
      <x:c r="D20" s="19" t="n">
        <x:v>22000</x:v>
      </x:c>
      <x:c r="E20" s="19" t="n">
        <x:f>C20-D20</x:f>
        <x:v>53000</x:v>
      </x:c>
      <x:c r="F20" s="19" t="n">
        <x:f>SUM($E$7:E20)</x:f>
        <x:v>325000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400000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34000</x:v>
      </x:c>
      <x:c r="D22" s="19" t="n">
        <x:v>0</x:v>
      </x:c>
      <x:c r="E22" s="19" t="n">
        <x:f>C22-D22</x:f>
        <x:v>34000</x:v>
      </x:c>
      <x:c r="F22" s="19" t="n">
        <x:f>SUM($E$7:E22)</x:f>
        <x:v>434000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472000</x:v>
      </x:c>
      <x:c r="D23" s="19" t="n">
        <x:v>84000</x:v>
      </x:c>
      <x:c r="E23" s="19" t="n">
        <x:f>C23-D23</x:f>
        <x:v>388000</x:v>
      </x:c>
      <x:c r="F23" s="19" t="n">
        <x:f>SUM($E$7:E23)</x:f>
        <x:v>822000</x:v>
      </x:c>
      <x:c r="G23" s="20" t="n">
        <x:v>5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152000</x:v>
      </x:c>
      <x:c r="D24" s="19" t="n">
        <x:v>85000</x:v>
      </x:c>
      <x:c r="E24" s="19" t="n">
        <x:f>C24-D24</x:f>
        <x:v>67000</x:v>
      </x:c>
      <x:c r="F24" s="19" t="n">
        <x:f>SUM($E$7:E24)</x:f>
        <x:v>889000</x:v>
      </x:c>
      <x:c r="G24" s="20" t="n">
        <x:v>12</x:v>
      </x:c>
      <x:c r="H24" s="20" t="n">
        <x:v>8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42000</x:v>
      </x:c>
      <x:c r="D25" s="19" t="n">
        <x:v>107000</x:v>
      </x:c>
      <x:c r="E25" s="19" t="n">
        <x:f>C25-D25</x:f>
        <x:v>-65000</x:v>
      </x:c>
      <x:c r="F25" s="19" t="n">
        <x:f>SUM($E$7:E25)</x:f>
        <x:v>824000</x:v>
      </x:c>
      <x:c r="G25" s="20" t="n">
        <x:v>9</x:v>
      </x:c>
      <x:c r="H25" s="20" t="n">
        <x:v>5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182000</x:v>
      </x:c>
      <x:c r="D26" s="19" t="n">
        <x:v>0</x:v>
      </x:c>
      <x:c r="E26" s="19" t="n">
        <x:f>C26-D26</x:f>
        <x:v>182000</x:v>
      </x:c>
      <x:c r="F26" s="19" t="n">
        <x:f>SUM($E$7:E26)</x:f>
        <x:v>1006000</x:v>
      </x:c>
      <x:c r="G26" s="20" t="n">
        <x:v>11</x:v>
      </x:c>
      <x:c r="H26" s="20" t="n">
        <x:v>6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57000</x:v>
      </x:c>
      <x:c r="D27" s="19" t="n">
        <x:v>148000</x:v>
      </x:c>
      <x:c r="E27" s="19" t="n">
        <x:f>C27-D27</x:f>
        <x:v>-91000</x:v>
      </x:c>
      <x:c r="F27" s="19" t="n">
        <x:f>SUM($E$7:E27)</x:f>
        <x:v>915000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94000</x:v>
      </x:c>
      <x:c r="D28" s="19" t="n">
        <x:v>20000</x:v>
      </x:c>
      <x:c r="E28" s="19" t="n">
        <x:f>C28-D28</x:f>
        <x:v>74000</x:v>
      </x:c>
      <x:c r="F28" s="19" t="n">
        <x:f>SUM($E$7:E28)</x:f>
        <x:v>989000</x:v>
      </x:c>
      <x:c r="G28" s="20" t="n">
        <x:v>5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267000</x:v>
      </x:c>
      <x:c r="D29" s="19" t="n">
        <x:v>138000</x:v>
      </x:c>
      <x:c r="E29" s="19" t="n">
        <x:f>C29-D29</x:f>
        <x:v>129000</x:v>
      </x:c>
      <x:c r="F29" s="19" t="n">
        <x:f>SUM($E$7:E29)</x:f>
        <x:v>1118000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1108000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96000</x:v>
      </x:c>
      <x:c r="D31" s="19" t="n">
        <x:v>42000</x:v>
      </x:c>
      <x:c r="E31" s="19" t="n">
        <x:f>C31-D31</x:f>
        <x:v>54000</x:v>
      </x:c>
      <x:c r="F31" s="19" t="n">
        <x:f>SUM($E$7:E31)</x:f>
        <x:v>1162000</x:v>
      </x:c>
      <x:c r="G31" s="20" t="n">
        <x:v>7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1119000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190000</x:v>
      </x:c>
      <x:c r="D33" s="19" t="n">
        <x:v>130000</x:v>
      </x:c>
      <x:c r="E33" s="19" t="n">
        <x:f>C33-D33</x:f>
        <x:v>60000</x:v>
      </x:c>
      <x:c r="F33" s="19" t="n">
        <x:f>SUM($E$7:E33)</x:f>
        <x:v>1179000</x:v>
      </x:c>
      <x:c r="G33" s="20" t="n">
        <x:v>12</x:v>
      </x:c>
      <x:c r="H33" s="20" t="n">
        <x:v>9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144000</x:v>
      </x:c>
      <x:c r="D34" s="19" t="n">
        <x:v>0</x:v>
      </x:c>
      <x:c r="E34" s="19" t="n">
        <x:f>C34-D34</x:f>
        <x:v>144000</x:v>
      </x:c>
      <x:c r="F34" s="19" t="n">
        <x:f>SUM($E$7:E34)</x:f>
        <x:v>1323000</x:v>
      </x:c>
      <x:c r="G34" s="20" t="n">
        <x:v>8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134000</x:v>
      </x:c>
      <x:c r="D35" s="19" t="n">
        <x:v>68000</x:v>
      </x:c>
      <x:c r="E35" s="19" t="n">
        <x:f>C35-D35</x:f>
        <x:v>66000</x:v>
      </x:c>
      <x:c r="F35" s="19" t="n">
        <x:f>SUM($E$7:E35)</x:f>
        <x:v>1389000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12000</x:v>
      </x:c>
      <x:c r="D36" s="19" t="n">
        <x:v>0</x:v>
      </x:c>
      <x:c r="E36" s="19" t="n">
        <x:f>C36-D36</x:f>
        <x:v>12000</x:v>
      </x:c>
      <x:c r="F36" s="19" t="n">
        <x:f>SUM($E$7:E36)</x:f>
        <x:v>1401000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1381000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1488000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83000</x:v>
      </x:c>
      <x:c r="D39" s="19" t="n">
        <x:v>165000</x:v>
      </x:c>
      <x:c r="E39" s="19" t="n">
        <x:f>C39-D39</x:f>
        <x:v>-82000</x:v>
      </x:c>
      <x:c r="F39" s="19" t="n">
        <x:f>SUM($E$7:E39)</x:f>
        <x:v>1406000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1353000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157000</x:v>
      </x:c>
      <x:c r="D41" s="19" t="n">
        <x:v>72000</x:v>
      </x:c>
      <x:c r="E41" s="19" t="n">
        <x:f>C41-D41</x:f>
        <x:v>85000</x:v>
      </x:c>
      <x:c r="F41" s="19" t="n">
        <x:f>SUM($E$7:E41)</x:f>
        <x:v>1438000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1613000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502000</x:v>
      </x:c>
      <x:c r="D43" s="19" t="n">
        <x:v>66000</x:v>
      </x:c>
      <x:c r="E43" s="19" t="n">
        <x:f>C43-D43</x:f>
        <x:v>436000</x:v>
      </x:c>
      <x:c r="F43" s="19" t="n">
        <x:f>SUM($E$7:E43)</x:f>
        <x:v>2049000</x:v>
      </x:c>
      <x:c r="G43" s="20" t="n">
        <x:v>8</x:v>
      </x:c>
      <x:c r="H43" s="20" t="n">
        <x:v>5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2029000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105000</x:v>
      </x:c>
      <x:c r="D45" s="19" t="n">
        <x:v>168000</x:v>
      </x:c>
      <x:c r="E45" s="19" t="n">
        <x:f>C45-D45</x:f>
        <x:v>-63000</x:v>
      </x:c>
      <x:c r="F45" s="19" t="n">
        <x:f>SUM($E$7:E45)</x:f>
        <x:v>1966000</x:v>
      </x:c>
      <x:c r="G45" s="20" t="n">
        <x:v>15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139000</x:v>
      </x:c>
      <x:c r="D46" s="19" t="n">
        <x:v>142000</x:v>
      </x:c>
      <x:c r="E46" s="19" t="n">
        <x:f>C46-D46</x:f>
        <x:v>-3000</x:v>
      </x:c>
      <x:c r="F46" s="19" t="n">
        <x:f>SUM($E$7:E46)</x:f>
        <x:v>1963000</x:v>
      </x:c>
      <x:c r="G46" s="20" t="n">
        <x:v>14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331000</x:v>
      </x:c>
      <x:c r="D47" s="19" t="n">
        <x:v>58000</x:v>
      </x:c>
      <x:c r="E47" s="19" t="n">
        <x:f>C47-D47</x:f>
        <x:v>273000</x:v>
      </x:c>
      <x:c r="F47" s="19" t="n">
        <x:f>SUM($E$7:E47)</x:f>
        <x:v>2236000</x:v>
      </x:c>
      <x:c r="G47" s="20" t="n">
        <x:v>14</x:v>
      </x:c>
      <x:c r="H47" s="20" t="n">
        <x:v>9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95000</x:v>
      </x:c>
      <x:c r="D48" s="19" t="n">
        <x:v>34000</x:v>
      </x:c>
      <x:c r="E48" s="19" t="n">
        <x:f>C48-D48</x:f>
        <x:v>61000</x:v>
      </x:c>
      <x:c r="F48" s="19" t="n">
        <x:f>SUM($E$7:E48)</x:f>
        <x:v>2297000</x:v>
      </x:c>
      <x:c r="G48" s="20" t="n">
        <x:v>9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165000</x:v>
      </x:c>
      <x:c r="D49" s="19" t="n">
        <x:v>214000</x:v>
      </x:c>
      <x:c r="E49" s="19" t="n">
        <x:f>C49-D49</x:f>
        <x:v>-49000</x:v>
      </x:c>
      <x:c r="F49" s="19" t="n">
        <x:f>SUM($E$7:E49)</x:f>
        <x:v>2248000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520000</x:v>
      </x:c>
      <x:c r="D50" s="19" t="n">
        <x:v>0</x:v>
      </x:c>
      <x:c r="E50" s="19" t="n">
        <x:f>C50-D50</x:f>
        <x:v>520000</x:v>
      </x:c>
      <x:c r="F50" s="19" t="n">
        <x:f>SUM($E$7:E50)</x:f>
        <x:v>2768000</x:v>
      </x:c>
      <x:c r="G50" s="20" t="n">
        <x:v>11</x:v>
      </x:c>
      <x:c r="H50" s="20" t="n">
        <x:v>6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242000</x:v>
      </x:c>
      <x:c r="D51" s="19" t="n">
        <x:v>200000</x:v>
      </x:c>
      <x:c r="E51" s="19" t="n">
        <x:f>C51-D51</x:f>
        <x:v>42000</x:v>
      </x:c>
      <x:c r="F51" s="19" t="n">
        <x:f>SUM($E$7:E51)</x:f>
        <x:v>2810000</x:v>
      </x:c>
      <x:c r="G51" s="20" t="n">
        <x:v>12</x:v>
      </x:c>
      <x:c r="H51" s="20" t="n">
        <x:v>9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50000</x:v>
      </x:c>
      <x:c r="D52" s="19" t="n">
        <x:v>85000</x:v>
      </x:c>
      <x:c r="E52" s="19" t="n">
        <x:f>C52-D52</x:f>
        <x:v>-35000</x:v>
      </x:c>
      <x:c r="F52" s="19" t="n">
        <x:f>SUM($E$7:E52)</x:f>
        <x:v>2775000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727000</x:v>
      </x:c>
      <x:c r="D53" s="19" t="n">
        <x:v>70000</x:v>
      </x:c>
      <x:c r="E53" s="19" t="n">
        <x:f>C53-D53</x:f>
        <x:v>657000</x:v>
      </x:c>
      <x:c r="F53" s="19" t="n">
        <x:f>SUM($E$7:E53)</x:f>
        <x:v>3432000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164000</x:v>
      </x:c>
      <x:c r="D54" s="19" t="n">
        <x:v>10000</x:v>
      </x:c>
      <x:c r="E54" s="19" t="n">
        <x:f>C54-D54</x:f>
        <x:v>154000</x:v>
      </x:c>
      <x:c r="F54" s="19" t="n">
        <x:f>SUM($E$7:E54)</x:f>
        <x:v>3586000</x:v>
      </x:c>
      <x:c r="G54" s="20" t="n">
        <x:v>4</x:v>
      </x:c>
      <x:c r="H54" s="20" t="n">
        <x:v>3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116000</x:v>
      </x:c>
      <x:c r="D55" s="19" t="n">
        <x:v>127000</x:v>
      </x:c>
      <x:c r="E55" s="19" t="n">
        <x:f>C55-D55</x:f>
        <x:v>-11000</x:v>
      </x:c>
      <x:c r="F55" s="19" t="n">
        <x:f>SUM($E$7:E55)</x:f>
        <x:v>3575000</x:v>
      </x:c>
      <x:c r="G55" s="20" t="n">
        <x:v>12</x:v>
      </x:c>
      <x:c r="H55" s="20" t="n">
        <x:v>9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35000</x:v>
      </x:c>
      <x:c r="D56" s="19" t="n">
        <x:v>53000</x:v>
      </x:c>
      <x:c r="E56" s="19" t="n">
        <x:f>C56-D56</x:f>
        <x:v>-18000</x:v>
      </x:c>
      <x:c r="F56" s="19" t="n">
        <x:f>SUM($E$7:E56)</x:f>
        <x:v>3557000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6955000</x:v>
      </x:c>
      <x:c r="D57" s="21" t="n">
        <x:f>SUM(D7:D56)</x:f>
        <x:v>3398000</x:v>
      </x:c>
      <x:c r="E57" s="21" t="n">
        <x:f>SUM(E7:E56)</x:f>
        <x:v>3557000</x:v>
      </x:c>
      <x:c r="F57" s="21" t="n">
        <x:f>F56</x:f>
        <x:v>3557000</x:v>
      </x:c>
      <x:c r="G57" s="22" t="n">
        <x:f>SUM(G7:G56)</x:f>
        <x:v>344</x:v>
      </x:c>
      <x:c r="H57" s="22" t="n">
        <x:f>SUM(H7:H56)</x:f>
        <x:v>251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1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15258f5357e45af"/>
  </x:tableParts>
</x:worksheet>
</file>

<file path=xl/worksheets/sheet22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R03　残玉を1Rで追尾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基本・別入口の残り1枚の扱いを変更。残玉を1Rで追尾。追加担当は基準と同じ。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84000</x:v>
      </x:c>
      <x:c r="D7" s="19" t="n">
        <x:v>0</x:v>
      </x:c>
      <x:c r="E7" s="19" t="n">
        <x:f>C7-D7</x:f>
        <x:v>84000</x:v>
      </x:c>
      <x:c r="F7" s="19" t="n">
        <x:f>SUM($E$7:E7)</x:f>
        <x:v>84000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39000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-66000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32000</x:v>
      </x:c>
      <x:c r="D10" s="19" t="n">
        <x:v>0</x:v>
      </x:c>
      <x:c r="E10" s="19" t="n">
        <x:f>C10-D10</x:f>
        <x:v>32000</x:v>
      </x:c>
      <x:c r="F10" s="19" t="n">
        <x:f>SUM($E$7:E10)</x:f>
        <x:v>-34000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-38000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-74000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138000</x:v>
      </x:c>
      <x:c r="D13" s="19" t="n">
        <x:v>60000</x:v>
      </x:c>
      <x:c r="E13" s="19" t="n">
        <x:f>C13-D13</x:f>
        <x:v>78000</x:v>
      </x:c>
      <x:c r="F13" s="19" t="n">
        <x:f>SUM($E$7:E13)</x:f>
        <x:v>4000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30000</x:v>
      </x:c>
      <x:c r="D14" s="19" t="n">
        <x:v>0</x:v>
      </x:c>
      <x:c r="E14" s="19" t="n">
        <x:f>C14-D14</x:f>
        <x:v>30000</x:v>
      </x:c>
      <x:c r="F14" s="19" t="n">
        <x:f>SUM($E$7:E14)</x:f>
        <x:v>34000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157000</x:v>
      </x:c>
      <x:c r="D15" s="19" t="n">
        <x:v>46000</x:v>
      </x:c>
      <x:c r="E15" s="19" t="n">
        <x:f>C15-D15</x:f>
        <x:v>111000</x:v>
      </x:c>
      <x:c r="F15" s="19" t="n">
        <x:f>SUM($E$7:E15)</x:f>
        <x:v>145000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25000</x:v>
      </x:c>
      <x:c r="D16" s="19" t="n">
        <x:v>16000</x:v>
      </x:c>
      <x:c r="E16" s="19" t="n">
        <x:f>C16-D16</x:f>
        <x:v>9000</x:v>
      </x:c>
      <x:c r="F16" s="19" t="n">
        <x:f>SUM($E$7:E16)</x:f>
        <x:v>154000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280000</x:v>
      </x:c>
      <x:c r="D17" s="19" t="n">
        <x:v>151000</x:v>
      </x:c>
      <x:c r="E17" s="19" t="n">
        <x:f>C17-D17</x:f>
        <x:v>129000</x:v>
      </x:c>
      <x:c r="F17" s="19" t="n">
        <x:f>SUM($E$7:E17)</x:f>
        <x:v>283000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244000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273000</x:v>
      </x:c>
      <x:c r="D19" s="19" t="n">
        <x:v>127000</x:v>
      </x:c>
      <x:c r="E19" s="19" t="n">
        <x:f>C19-D19</x:f>
        <x:v>146000</x:v>
      </x:c>
      <x:c r="F19" s="19" t="n">
        <x:f>SUM($E$7:E19)</x:f>
        <x:v>390000</x:v>
      </x:c>
      <x:c r="G19" s="20" t="n">
        <x:v>9</x:v>
      </x:c>
      <x:c r="H19" s="20" t="n">
        <x:v>6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100000</x:v>
      </x:c>
      <x:c r="D20" s="19" t="n">
        <x:v>72000</x:v>
      </x:c>
      <x:c r="E20" s="19" t="n">
        <x:f>C20-D20</x:f>
        <x:v>28000</x:v>
      </x:c>
      <x:c r="F20" s="19" t="n">
        <x:f>SUM($E$7:E20)</x:f>
        <x:v>418000</x:v>
      </x:c>
      <x:c r="G20" s="20" t="n">
        <x:v>7</x:v>
      </x:c>
      <x:c r="H20" s="20" t="n">
        <x:v>6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162000</x:v>
      </x:c>
      <x:c r="D21" s="19" t="n">
        <x:v>100000</x:v>
      </x:c>
      <x:c r="E21" s="19" t="n">
        <x:f>C21-D21</x:f>
        <x:v>62000</x:v>
      </x:c>
      <x:c r="F21" s="19" t="n">
        <x:f>SUM($E$7:E21)</x:f>
        <x:v>480000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47000</x:v>
      </x:c>
      <x:c r="D22" s="19" t="n">
        <x:v>0</x:v>
      </x:c>
      <x:c r="E22" s="19" t="n">
        <x:f>C22-D22</x:f>
        <x:v>47000</x:v>
      </x:c>
      <x:c r="F22" s="19" t="n">
        <x:f>SUM($E$7:E22)</x:f>
        <x:v>527000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472000</x:v>
      </x:c>
      <x:c r="D23" s="19" t="n">
        <x:v>84000</x:v>
      </x:c>
      <x:c r="E23" s="19" t="n">
        <x:f>C23-D23</x:f>
        <x:v>388000</x:v>
      </x:c>
      <x:c r="F23" s="19" t="n">
        <x:f>SUM($E$7:E23)</x:f>
        <x:v>915000</x:v>
      </x:c>
      <x:c r="G23" s="20" t="n">
        <x:v>5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112000</x:v>
      </x:c>
      <x:c r="D24" s="19" t="n">
        <x:v>85000</x:v>
      </x:c>
      <x:c r="E24" s="19" t="n">
        <x:f>C24-D24</x:f>
        <x:v>27000</x:v>
      </x:c>
      <x:c r="F24" s="19" t="n">
        <x:f>SUM($E$7:E24)</x:f>
        <x:v>942000</x:v>
      </x:c>
      <x:c r="G24" s="20" t="n">
        <x:v>13</x:v>
      </x:c>
      <x:c r="H24" s="20" t="n">
        <x:v>9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68000</x:v>
      </x:c>
      <x:c r="D25" s="19" t="n">
        <x:v>107000</x:v>
      </x:c>
      <x:c r="E25" s="19" t="n">
        <x:f>C25-D25</x:f>
        <x:v>-39000</x:v>
      </x:c>
      <x:c r="F25" s="19" t="n">
        <x:f>SUM($E$7:E25)</x:f>
        <x:v>903000</x:v>
      </x:c>
      <x:c r="G25" s="20" t="n">
        <x:v>9</x:v>
      </x:c>
      <x:c r="H25" s="20" t="n">
        <x:v>5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289000</x:v>
      </x:c>
      <x:c r="D26" s="19" t="n">
        <x:v>25000</x:v>
      </x:c>
      <x:c r="E26" s="19" t="n">
        <x:f>C26-D26</x:f>
        <x:v>264000</x:v>
      </x:c>
      <x:c r="F26" s="19" t="n">
        <x:f>SUM($E$7:E26)</x:f>
        <x:v>1167000</x:v>
      </x:c>
      <x:c r="G26" s="20" t="n">
        <x:v>14</x:v>
      </x:c>
      <x:c r="H26" s="20" t="n">
        <x:v>9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94000</x:v>
      </x:c>
      <x:c r="D27" s="19" t="n">
        <x:v>148000</x:v>
      </x:c>
      <x:c r="E27" s="19" t="n">
        <x:f>C27-D27</x:f>
        <x:v>-54000</x:v>
      </x:c>
      <x:c r="F27" s="19" t="n">
        <x:f>SUM($E$7:E27)</x:f>
        <x:v>1113000</x:v>
      </x:c>
      <x:c r="G27" s="20" t="n">
        <x:v>13</x:v>
      </x:c>
      <x:c r="H27" s="20" t="n">
        <x:v>10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109000</x:v>
      </x:c>
      <x:c r="D28" s="19" t="n">
        <x:v>20000</x:v>
      </x:c>
      <x:c r="E28" s="19" t="n">
        <x:f>C28-D28</x:f>
        <x:v>89000</x:v>
      </x:c>
      <x:c r="F28" s="19" t="n">
        <x:f>SUM($E$7:E28)</x:f>
        <x:v>1202000</x:v>
      </x:c>
      <x:c r="G28" s="20" t="n">
        <x:v>5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220000</x:v>
      </x:c>
      <x:c r="D29" s="19" t="n">
        <x:v>138000</x:v>
      </x:c>
      <x:c r="E29" s="19" t="n">
        <x:f>C29-D29</x:f>
        <x:v>82000</x:v>
      </x:c>
      <x:c r="F29" s="19" t="n">
        <x:f>SUM($E$7:E29)</x:f>
        <x:v>1284000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19000</x:v>
      </x:c>
      <x:c r="D30" s="19" t="n">
        <x:v>43000</x:v>
      </x:c>
      <x:c r="E30" s="19" t="n">
        <x:f>C30-D30</x:f>
        <x:v>-24000</x:v>
      </x:c>
      <x:c r="F30" s="19" t="n">
        <x:f>SUM($E$7:E30)</x:f>
        <x:v>1260000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96000</x:v>
      </x:c>
      <x:c r="D31" s="19" t="n">
        <x:v>42000</x:v>
      </x:c>
      <x:c r="E31" s="19" t="n">
        <x:f>C31-D31</x:f>
        <x:v>54000</x:v>
      </x:c>
      <x:c r="F31" s="19" t="n">
        <x:f>SUM($E$7:E31)</x:f>
        <x:v>1314000</x:v>
      </x:c>
      <x:c r="G31" s="20" t="n">
        <x:v>7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1271000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190000</x:v>
      </x:c>
      <x:c r="D33" s="19" t="n">
        <x:v>130000</x:v>
      </x:c>
      <x:c r="E33" s="19" t="n">
        <x:f>C33-D33</x:f>
        <x:v>60000</x:v>
      </x:c>
      <x:c r="F33" s="19" t="n">
        <x:f>SUM($E$7:E33)</x:f>
        <x:v>1331000</x:v>
      </x:c>
      <x:c r="G33" s="20" t="n">
        <x:v>12</x:v>
      </x:c>
      <x:c r="H33" s="20" t="n">
        <x:v>9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184000</x:v>
      </x:c>
      <x:c r="D34" s="19" t="n">
        <x:v>0</x:v>
      </x:c>
      <x:c r="E34" s="19" t="n">
        <x:f>C34-D34</x:f>
        <x:v>184000</x:v>
      </x:c>
      <x:c r="F34" s="19" t="n">
        <x:f>SUM($E$7:E34)</x:f>
        <x:v>1515000</x:v>
      </x:c>
      <x:c r="G34" s="20" t="n">
        <x:v>8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84000</x:v>
      </x:c>
      <x:c r="D35" s="19" t="n">
        <x:v>68000</x:v>
      </x:c>
      <x:c r="E35" s="19" t="n">
        <x:f>C35-D35</x:f>
        <x:v>16000</x:v>
      </x:c>
      <x:c r="F35" s="19" t="n">
        <x:f>SUM($E$7:E35)</x:f>
        <x:v>1531000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13000</x:v>
      </x:c>
      <x:c r="D36" s="19" t="n">
        <x:v>0</x:v>
      </x:c>
      <x:c r="E36" s="19" t="n">
        <x:f>C36-D36</x:f>
        <x:v>13000</x:v>
      </x:c>
      <x:c r="F36" s="19" t="n">
        <x:f>SUM($E$7:E36)</x:f>
        <x:v>1544000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1524000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88000</x:v>
      </x:c>
      <x:c r="D38" s="19" t="n">
        <x:v>0</x:v>
      </x:c>
      <x:c r="E38" s="19" t="n">
        <x:f>C38-D38</x:f>
        <x:v>88000</x:v>
      </x:c>
      <x:c r="F38" s="19" t="n">
        <x:f>SUM($E$7:E38)</x:f>
        <x:v>1612000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81000</x:v>
      </x:c>
      <x:c r="D39" s="19" t="n">
        <x:v>165000</x:v>
      </x:c>
      <x:c r="E39" s="19" t="n">
        <x:f>C39-D39</x:f>
        <x:v>-84000</x:v>
      </x:c>
      <x:c r="F39" s="19" t="n">
        <x:f>SUM($E$7:E39)</x:f>
        <x:v>1528000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1475000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181000</x:v>
      </x:c>
      <x:c r="D41" s="19" t="n">
        <x:v>72000</x:v>
      </x:c>
      <x:c r="E41" s="19" t="n">
        <x:f>C41-D41</x:f>
        <x:v>109000</x:v>
      </x:c>
      <x:c r="F41" s="19" t="n">
        <x:f>SUM($E$7:E41)</x:f>
        <x:v>1584000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200000</x:v>
      </x:c>
      <x:c r="D42" s="19" t="n">
        <x:v>61000</x:v>
      </x:c>
      <x:c r="E42" s="19" t="n">
        <x:f>C42-D42</x:f>
        <x:v>139000</x:v>
      </x:c>
      <x:c r="F42" s="19" t="n">
        <x:f>SUM($E$7:E42)</x:f>
        <x:v>1723000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524000</x:v>
      </x:c>
      <x:c r="D43" s="19" t="n">
        <x:v>154000</x:v>
      </x:c>
      <x:c r="E43" s="19" t="n">
        <x:f>C43-D43</x:f>
        <x:v>370000</x:v>
      </x:c>
      <x:c r="F43" s="19" t="n">
        <x:f>SUM($E$7:E43)</x:f>
        <x:v>2093000</x:v>
      </x:c>
      <x:c r="G43" s="20" t="n">
        <x:v>15</x:v>
      </x:c>
      <x:c r="H43" s="20" t="n">
        <x:v>10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52000</x:v>
      </x:c>
      <x:c r="D44" s="19" t="n">
        <x:v>95000</x:v>
      </x:c>
      <x:c r="E44" s="19" t="n">
        <x:f>C44-D44</x:f>
        <x:v>-43000</x:v>
      </x:c>
      <x:c r="F44" s="19" t="n">
        <x:f>SUM($E$7:E44)</x:f>
        <x:v>2050000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129000</x:v>
      </x:c>
      <x:c r="D45" s="19" t="n">
        <x:v>168000</x:v>
      </x:c>
      <x:c r="E45" s="19" t="n">
        <x:f>C45-D45</x:f>
        <x:v>-39000</x:v>
      </x:c>
      <x:c r="F45" s="19" t="n">
        <x:f>SUM($E$7:E45)</x:f>
        <x:v>2011000</x:v>
      </x:c>
      <x:c r="G45" s="20" t="n">
        <x:v>15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76000</x:v>
      </x:c>
      <x:c r="D46" s="19" t="n">
        <x:v>142000</x:v>
      </x:c>
      <x:c r="E46" s="19" t="n">
        <x:f>C46-D46</x:f>
        <x:v>-66000</x:v>
      </x:c>
      <x:c r="F46" s="19" t="n">
        <x:f>SUM($E$7:E46)</x:f>
        <x:v>1945000</x:v>
      </x:c>
      <x:c r="G46" s="20" t="n">
        <x:v>14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420000</x:v>
      </x:c>
      <x:c r="D47" s="19" t="n">
        <x:v>16000</x:v>
      </x:c>
      <x:c r="E47" s="19" t="n">
        <x:f>C47-D47</x:f>
        <x:v>404000</x:v>
      </x:c>
      <x:c r="F47" s="19" t="n">
        <x:f>SUM($E$7:E47)</x:f>
        <x:v>2349000</x:v>
      </x:c>
      <x:c r="G47" s="20" t="n">
        <x:v>12</x:v>
      </x:c>
      <x:c r="H47" s="20" t="n">
        <x:v>7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113000</x:v>
      </x:c>
      <x:c r="D48" s="19" t="n">
        <x:v>34000</x:v>
      </x:c>
      <x:c r="E48" s="19" t="n">
        <x:f>C48-D48</x:f>
        <x:v>79000</x:v>
      </x:c>
      <x:c r="F48" s="19" t="n">
        <x:f>SUM($E$7:E48)</x:f>
        <x:v>2428000</x:v>
      </x:c>
      <x:c r="G48" s="20" t="n">
        <x:v>9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166000</x:v>
      </x:c>
      <x:c r="D49" s="19" t="n">
        <x:v>214000</x:v>
      </x:c>
      <x:c r="E49" s="19" t="n">
        <x:f>C49-D49</x:f>
        <x:v>-48000</x:v>
      </x:c>
      <x:c r="F49" s="19" t="n">
        <x:f>SUM($E$7:E49)</x:f>
        <x:v>2380000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548000</x:v>
      </x:c>
      <x:c r="D50" s="19" t="n">
        <x:v>0</x:v>
      </x:c>
      <x:c r="E50" s="19" t="n">
        <x:f>C50-D50</x:f>
        <x:v>548000</x:v>
      </x:c>
      <x:c r="F50" s="19" t="n">
        <x:f>SUM($E$7:E50)</x:f>
        <x:v>2928000</x:v>
      </x:c>
      <x:c r="G50" s="20" t="n">
        <x:v>13</x:v>
      </x:c>
      <x:c r="H50" s="20" t="n">
        <x:v>7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230000</x:v>
      </x:c>
      <x:c r="D51" s="19" t="n">
        <x:v>232000</x:v>
      </x:c>
      <x:c r="E51" s="19" t="n">
        <x:f>C51-D51</x:f>
        <x:v>-2000</x:v>
      </x:c>
      <x:c r="F51" s="19" t="n">
        <x:f>SUM($E$7:E51)</x:f>
        <x:v>2926000</x:v>
      </x:c>
      <x:c r="G51" s="20" t="n">
        <x:v>16</x:v>
      </x:c>
      <x:c r="H51" s="20" t="n">
        <x:v>12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67000</x:v>
      </x:c>
      <x:c r="D52" s="19" t="n">
        <x:v>85000</x:v>
      </x:c>
      <x:c r="E52" s="19" t="n">
        <x:f>C52-D52</x:f>
        <x:v>-18000</x:v>
      </x:c>
      <x:c r="F52" s="19" t="n">
        <x:f>SUM($E$7:E52)</x:f>
        <x:v>2908000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714000</x:v>
      </x:c>
      <x:c r="D53" s="19" t="n">
        <x:v>70000</x:v>
      </x:c>
      <x:c r="E53" s="19" t="n">
        <x:f>C53-D53</x:f>
        <x:v>644000</x:v>
      </x:c>
      <x:c r="F53" s="19" t="n">
        <x:f>SUM($E$7:E53)</x:f>
        <x:v>3552000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179000</x:v>
      </x:c>
      <x:c r="D54" s="19" t="n">
        <x:v>39000</x:v>
      </x:c>
      <x:c r="E54" s="19" t="n">
        <x:f>C54-D54</x:f>
        <x:v>140000</x:v>
      </x:c>
      <x:c r="F54" s="19" t="n">
        <x:f>SUM($E$7:E54)</x:f>
        <x:v>3692000</x:v>
      </x:c>
      <x:c r="G54" s="20" t="n">
        <x:v>8</x:v>
      </x:c>
      <x:c r="H54" s="20" t="n">
        <x:v>5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144000</x:v>
      </x:c>
      <x:c r="D55" s="19" t="n">
        <x:v>127000</x:v>
      </x:c>
      <x:c r="E55" s="19" t="n">
        <x:f>C55-D55</x:f>
        <x:v>17000</x:v>
      </x:c>
      <x:c r="F55" s="19" t="n">
        <x:f>SUM($E$7:E55)</x:f>
        <x:v>3709000</x:v>
      </x:c>
      <x:c r="G55" s="20" t="n">
        <x:v>12</x:v>
      </x:c>
      <x:c r="H55" s="20" t="n">
        <x:v>9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47000</x:v>
      </x:c>
      <x:c r="D56" s="19" t="n">
        <x:v>53000</x:v>
      </x:c>
      <x:c r="E56" s="19" t="n">
        <x:f>C56-D56</x:f>
        <x:v>-6000</x:v>
      </x:c>
      <x:c r="F56" s="19" t="n">
        <x:f>SUM($E$7:E56)</x:f>
        <x:v>3703000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7283000</x:v>
      </x:c>
      <x:c r="D57" s="21" t="n">
        <x:f>SUM(D7:D56)</x:f>
        <x:v>3580000</x:v>
      </x:c>
      <x:c r="E57" s="21" t="n">
        <x:f>SUM(E7:E56)</x:f>
        <x:v>3703000</x:v>
      </x:c>
      <x:c r="F57" s="21" t="n">
        <x:f>F56</x:f>
        <x:v>3703000</x:v>
      </x:c>
      <x:c r="G57" s="22" t="n">
        <x:f>SUM(G7:G56)</x:f>
        <x:v>367</x:v>
      </x:c>
      <x:c r="H57" s="22" t="n">
        <x:f>SUM(H7:H56)</x:f>
        <x:v>267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1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76a61997324229"/>
  </x:tableParts>
</x:worksheet>
</file>

<file path=xl/worksheets/sheet23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R04　残玉化時の含み益50%を床にする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基本・別入口の残り1枚の扱いを変更。残玉化時の含み益50%を床にする。追加担当は基準と同じ。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36000</x:v>
      </x:c>
      <x:c r="D10" s="19" t="n">
        <x:v>0</x:v>
      </x:c>
      <x:c r="E10" s="19" t="n">
        <x:f>C10-D10</x:f>
        <x:v>36000</x:v>
      </x:c>
      <x:c r="F10" s="19" t="n">
        <x:f>SUM($E$7:E10)</x:f>
        <x:v>-9000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-13000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-49000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130000</x:v>
      </x:c>
      <x:c r="D13" s="19" t="n">
        <x:v>60000</x:v>
      </x:c>
      <x:c r="E13" s="19" t="n">
        <x:f>C13-D13</x:f>
        <x:v>70000</x:v>
      </x:c>
      <x:c r="F13" s="19" t="n">
        <x:f>SUM($E$7:E13)</x:f>
        <x:v>21000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41000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157000</x:v>
      </x:c>
      <x:c r="D15" s="19" t="n">
        <x:v>46000</x:v>
      </x:c>
      <x:c r="E15" s="19" t="n">
        <x:f>C15-D15</x:f>
        <x:v>111000</x:v>
      </x:c>
      <x:c r="F15" s="19" t="n">
        <x:f>SUM($E$7:E15)</x:f>
        <x:v>152000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13000</x:v>
      </x:c>
      <x:c r="D16" s="19" t="n">
        <x:v>16000</x:v>
      </x:c>
      <x:c r="E16" s="19" t="n">
        <x:f>C16-D16</x:f>
        <x:v>-3000</x:v>
      </x:c>
      <x:c r="F16" s="19" t="n">
        <x:f>SUM($E$7:E16)</x:f>
        <x:v>149000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331000</x:v>
      </x:c>
      <x:c r="D17" s="19" t="n">
        <x:v>151000</x:v>
      </x:c>
      <x:c r="E17" s="19" t="n">
        <x:f>C17-D17</x:f>
        <x:v>180000</x:v>
      </x:c>
      <x:c r="F17" s="19" t="n">
        <x:f>SUM($E$7:E17)</x:f>
        <x:v>329000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290000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266000</x:v>
      </x:c>
      <x:c r="D19" s="19" t="n">
        <x:v>127000</x:v>
      </x:c>
      <x:c r="E19" s="19" t="n">
        <x:f>C19-D19</x:f>
        <x:v>139000</x:v>
      </x:c>
      <x:c r="F19" s="19" t="n">
        <x:f>SUM($E$7:E19)</x:f>
        <x:v>429000</x:v>
      </x:c>
      <x:c r="G19" s="20" t="n">
        <x:v>9</x:v>
      </x:c>
      <x:c r="H19" s="20" t="n">
        <x:v>6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96000</x:v>
      </x:c>
      <x:c r="D20" s="19" t="n">
        <x:v>22000</x:v>
      </x:c>
      <x:c r="E20" s="19" t="n">
        <x:f>C20-D20</x:f>
        <x:v>74000</x:v>
      </x:c>
      <x:c r="F20" s="19" t="n">
        <x:f>SUM($E$7:E20)</x:f>
        <x:v>503000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177000</x:v>
      </x:c>
      <x:c r="D21" s="19" t="n">
        <x:v>100000</x:v>
      </x:c>
      <x:c r="E21" s="19" t="n">
        <x:f>C21-D21</x:f>
        <x:v>77000</x:v>
      </x:c>
      <x:c r="F21" s="19" t="n">
        <x:f>SUM($E$7:E21)</x:f>
        <x:v>580000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45000</x:v>
      </x:c>
      <x:c r="D22" s="19" t="n">
        <x:v>0</x:v>
      </x:c>
      <x:c r="E22" s="19" t="n">
        <x:f>C22-D22</x:f>
        <x:v>45000</x:v>
      </x:c>
      <x:c r="F22" s="19" t="n">
        <x:f>SUM($E$7:E22)</x:f>
        <x:v>625000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472000</x:v>
      </x:c>
      <x:c r="D23" s="19" t="n">
        <x:v>84000</x:v>
      </x:c>
      <x:c r="E23" s="19" t="n">
        <x:f>C23-D23</x:f>
        <x:v>388000</x:v>
      </x:c>
      <x:c r="F23" s="19" t="n">
        <x:f>SUM($E$7:E23)</x:f>
        <x:v>1013000</x:v>
      </x:c>
      <x:c r="G23" s="20" t="n">
        <x:v>5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141000</x:v>
      </x:c>
      <x:c r="D24" s="19" t="n">
        <x:v>85000</x:v>
      </x:c>
      <x:c r="E24" s="19" t="n">
        <x:f>C24-D24</x:f>
        <x:v>56000</x:v>
      </x:c>
      <x:c r="F24" s="19" t="n">
        <x:f>SUM($E$7:E24)</x:f>
        <x:v>1069000</x:v>
      </x:c>
      <x:c r="G24" s="20" t="n">
        <x:v>12</x:v>
      </x:c>
      <x:c r="H24" s="20" t="n">
        <x:v>8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66000</x:v>
      </x:c>
      <x:c r="D25" s="19" t="n">
        <x:v>107000</x:v>
      </x:c>
      <x:c r="E25" s="19" t="n">
        <x:f>C25-D25</x:f>
        <x:v>-41000</x:v>
      </x:c>
      <x:c r="F25" s="19" t="n">
        <x:f>SUM($E$7:E25)</x:f>
        <x:v>1028000</x:v>
      </x:c>
      <x:c r="G25" s="20" t="n">
        <x:v>9</x:v>
      </x:c>
      <x:c r="H25" s="20" t="n">
        <x:v>5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139000</x:v>
      </x:c>
      <x:c r="D26" s="19" t="n">
        <x:v>7000</x:v>
      </x:c>
      <x:c r="E26" s="19" t="n">
        <x:f>C26-D26</x:f>
        <x:v>132000</x:v>
      </x:c>
      <x:c r="F26" s="19" t="n">
        <x:f>SUM($E$7:E26)</x:f>
        <x:v>1160000</x:v>
      </x:c>
      <x:c r="G26" s="20" t="n">
        <x:v>12</x:v>
      </x:c>
      <x:c r="H26" s="20" t="n">
        <x:v>7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76000</x:v>
      </x:c>
      <x:c r="D27" s="19" t="n">
        <x:v>148000</x:v>
      </x:c>
      <x:c r="E27" s="19" t="n">
        <x:f>C27-D27</x:f>
        <x:v>-72000</x:v>
      </x:c>
      <x:c r="F27" s="19" t="n">
        <x:f>SUM($E$7:E27)</x:f>
        <x:v>1088000</x:v>
      </x:c>
      <x:c r="G27" s="20" t="n">
        <x:v>13</x:v>
      </x:c>
      <x:c r="H27" s="20" t="n">
        <x:v>10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99000</x:v>
      </x:c>
      <x:c r="D28" s="19" t="n">
        <x:v>20000</x:v>
      </x:c>
      <x:c r="E28" s="19" t="n">
        <x:f>C28-D28</x:f>
        <x:v>79000</x:v>
      </x:c>
      <x:c r="F28" s="19" t="n">
        <x:f>SUM($E$7:E28)</x:f>
        <x:v>1167000</x:v>
      </x:c>
      <x:c r="G28" s="20" t="n">
        <x:v>5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267000</x:v>
      </x:c>
      <x:c r="D29" s="19" t="n">
        <x:v>138000</x:v>
      </x:c>
      <x:c r="E29" s="19" t="n">
        <x:f>C29-D29</x:f>
        <x:v>129000</x:v>
      </x:c>
      <x:c r="F29" s="19" t="n">
        <x:f>SUM($E$7:E29)</x:f>
        <x:v>1296000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1286000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96000</x:v>
      </x:c>
      <x:c r="D31" s="19" t="n">
        <x:v>42000</x:v>
      </x:c>
      <x:c r="E31" s="19" t="n">
        <x:f>C31-D31</x:f>
        <x:v>54000</x:v>
      </x:c>
      <x:c r="F31" s="19" t="n">
        <x:f>SUM($E$7:E31)</x:f>
        <x:v>1340000</x:v>
      </x:c>
      <x:c r="G31" s="20" t="n">
        <x:v>7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1297000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196000</x:v>
      </x:c>
      <x:c r="D33" s="19" t="n">
        <x:v>130000</x:v>
      </x:c>
      <x:c r="E33" s="19" t="n">
        <x:f>C33-D33</x:f>
        <x:v>66000</x:v>
      </x:c>
      <x:c r="F33" s="19" t="n">
        <x:f>SUM($E$7:E33)</x:f>
        <x:v>1363000</x:v>
      </x:c>
      <x:c r="G33" s="20" t="n">
        <x:v>12</x:v>
      </x:c>
      <x:c r="H33" s="20" t="n">
        <x:v>9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160000</x:v>
      </x:c>
      <x:c r="D34" s="19" t="n">
        <x:v>0</x:v>
      </x:c>
      <x:c r="E34" s="19" t="n">
        <x:f>C34-D34</x:f>
        <x:v>160000</x:v>
      </x:c>
      <x:c r="F34" s="19" t="n">
        <x:f>SUM($E$7:E34)</x:f>
        <x:v>1523000</x:v>
      </x:c>
      <x:c r="G34" s="20" t="n">
        <x:v>8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84000</x:v>
      </x:c>
      <x:c r="D35" s="19" t="n">
        <x:v>68000</x:v>
      </x:c>
      <x:c r="E35" s="19" t="n">
        <x:f>C35-D35</x:f>
        <x:v>16000</x:v>
      </x:c>
      <x:c r="F35" s="19" t="n">
        <x:f>SUM($E$7:E35)</x:f>
        <x:v>1539000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18000</x:v>
      </x:c>
      <x:c r="D36" s="19" t="n">
        <x:v>0</x:v>
      </x:c>
      <x:c r="E36" s="19" t="n">
        <x:f>C36-D36</x:f>
        <x:v>18000</x:v>
      </x:c>
      <x:c r="F36" s="19" t="n">
        <x:f>SUM($E$7:E36)</x:f>
        <x:v>1557000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1537000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85000</x:v>
      </x:c>
      <x:c r="D38" s="19" t="n">
        <x:v>0</x:v>
      </x:c>
      <x:c r="E38" s="19" t="n">
        <x:f>C38-D38</x:f>
        <x:v>85000</x:v>
      </x:c>
      <x:c r="F38" s="19" t="n">
        <x:f>SUM($E$7:E38)</x:f>
        <x:v>1622000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83000</x:v>
      </x:c>
      <x:c r="D39" s="19" t="n">
        <x:v>165000</x:v>
      </x:c>
      <x:c r="E39" s="19" t="n">
        <x:f>C39-D39</x:f>
        <x:v>-82000</x:v>
      </x:c>
      <x:c r="F39" s="19" t="n">
        <x:f>SUM($E$7:E39)</x:f>
        <x:v>1540000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1487000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163000</x:v>
      </x:c>
      <x:c r="D41" s="19" t="n">
        <x:v>72000</x:v>
      </x:c>
      <x:c r="E41" s="19" t="n">
        <x:f>C41-D41</x:f>
        <x:v>91000</x:v>
      </x:c>
      <x:c r="F41" s="19" t="n">
        <x:f>SUM($E$7:E41)</x:f>
        <x:v>1578000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1753000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510000</x:v>
      </x:c>
      <x:c r="D43" s="19" t="n">
        <x:v>66000</x:v>
      </x:c>
      <x:c r="E43" s="19" t="n">
        <x:f>C43-D43</x:f>
        <x:v>444000</x:v>
      </x:c>
      <x:c r="F43" s="19" t="n">
        <x:f>SUM($E$7:E43)</x:f>
        <x:v>2197000</x:v>
      </x:c>
      <x:c r="G43" s="20" t="n">
        <x:v>8</x:v>
      </x:c>
      <x:c r="H43" s="20" t="n">
        <x:v>5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45000</x:v>
      </x:c>
      <x:c r="D44" s="19" t="n">
        <x:v>95000</x:v>
      </x:c>
      <x:c r="E44" s="19" t="n">
        <x:f>C44-D44</x:f>
        <x:v>-50000</x:v>
      </x:c>
      <x:c r="F44" s="19" t="n">
        <x:f>SUM($E$7:E44)</x:f>
        <x:v>2147000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122000</x:v>
      </x:c>
      <x:c r="D45" s="19" t="n">
        <x:v>168000</x:v>
      </x:c>
      <x:c r="E45" s="19" t="n">
        <x:f>C45-D45</x:f>
        <x:v>-46000</x:v>
      </x:c>
      <x:c r="F45" s="19" t="n">
        <x:f>SUM($E$7:E45)</x:f>
        <x:v>2101000</x:v>
      </x:c>
      <x:c r="G45" s="20" t="n">
        <x:v>15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97000</x:v>
      </x:c>
      <x:c r="D46" s="19" t="n">
        <x:v>142000</x:v>
      </x:c>
      <x:c r="E46" s="19" t="n">
        <x:f>C46-D46</x:f>
        <x:v>-45000</x:v>
      </x:c>
      <x:c r="F46" s="19" t="n">
        <x:f>SUM($E$7:E46)</x:f>
        <x:v>2056000</x:v>
      </x:c>
      <x:c r="G46" s="20" t="n">
        <x:v>14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342000</x:v>
      </x:c>
      <x:c r="D47" s="19" t="n">
        <x:v>58000</x:v>
      </x:c>
      <x:c r="E47" s="19" t="n">
        <x:f>C47-D47</x:f>
        <x:v>284000</x:v>
      </x:c>
      <x:c r="F47" s="19" t="n">
        <x:f>SUM($E$7:E47)</x:f>
        <x:v>2340000</x:v>
      </x:c>
      <x:c r="G47" s="20" t="n">
        <x:v>14</x:v>
      </x:c>
      <x:c r="H47" s="20" t="n">
        <x:v>9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95000</x:v>
      </x:c>
      <x:c r="D48" s="19" t="n">
        <x:v>34000</x:v>
      </x:c>
      <x:c r="E48" s="19" t="n">
        <x:f>C48-D48</x:f>
        <x:v>61000</x:v>
      </x:c>
      <x:c r="F48" s="19" t="n">
        <x:f>SUM($E$7:E48)</x:f>
        <x:v>2401000</x:v>
      </x:c>
      <x:c r="G48" s="20" t="n">
        <x:v>9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165000</x:v>
      </x:c>
      <x:c r="D49" s="19" t="n">
        <x:v>214000</x:v>
      </x:c>
      <x:c r="E49" s="19" t="n">
        <x:f>C49-D49</x:f>
        <x:v>-49000</x:v>
      </x:c>
      <x:c r="F49" s="19" t="n">
        <x:f>SUM($E$7:E49)</x:f>
        <x:v>2352000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520000</x:v>
      </x:c>
      <x:c r="D50" s="19" t="n">
        <x:v>0</x:v>
      </x:c>
      <x:c r="E50" s="19" t="n">
        <x:f>C50-D50</x:f>
        <x:v>520000</x:v>
      </x:c>
      <x:c r="F50" s="19" t="n">
        <x:f>SUM($E$7:E50)</x:f>
        <x:v>2872000</x:v>
      </x:c>
      <x:c r="G50" s="20" t="n">
        <x:v>11</x:v>
      </x:c>
      <x:c r="H50" s="20" t="n">
        <x:v>6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222000</x:v>
      </x:c>
      <x:c r="D51" s="19" t="n">
        <x:v>232000</x:v>
      </x:c>
      <x:c r="E51" s="19" t="n">
        <x:f>C51-D51</x:f>
        <x:v>-10000</x:v>
      </x:c>
      <x:c r="F51" s="19" t="n">
        <x:f>SUM($E$7:E51)</x:f>
        <x:v>2862000</x:v>
      </x:c>
      <x:c r="G51" s="20" t="n">
        <x:v>16</x:v>
      </x:c>
      <x:c r="H51" s="20" t="n">
        <x:v>12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63000</x:v>
      </x:c>
      <x:c r="D52" s="19" t="n">
        <x:v>85000</x:v>
      </x:c>
      <x:c r="E52" s="19" t="n">
        <x:f>C52-D52</x:f>
        <x:v>-22000</x:v>
      </x:c>
      <x:c r="F52" s="19" t="n">
        <x:f>SUM($E$7:E52)</x:f>
        <x:v>2840000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727000</x:v>
      </x:c>
      <x:c r="D53" s="19" t="n">
        <x:v>70000</x:v>
      </x:c>
      <x:c r="E53" s="19" t="n">
        <x:f>C53-D53</x:f>
        <x:v>657000</x:v>
      </x:c>
      <x:c r="F53" s="19" t="n">
        <x:f>SUM($E$7:E53)</x:f>
        <x:v>3497000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150000</x:v>
      </x:c>
      <x:c r="D54" s="19" t="n">
        <x:v>10000</x:v>
      </x:c>
      <x:c r="E54" s="19" t="n">
        <x:f>C54-D54</x:f>
        <x:v>140000</x:v>
      </x:c>
      <x:c r="F54" s="19" t="n">
        <x:f>SUM($E$7:E54)</x:f>
        <x:v>3637000</x:v>
      </x:c>
      <x:c r="G54" s="20" t="n">
        <x:v>4</x:v>
      </x:c>
      <x:c r="H54" s="20" t="n">
        <x:v>3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145000</x:v>
      </x:c>
      <x:c r="D55" s="19" t="n">
        <x:v>127000</x:v>
      </x:c>
      <x:c r="E55" s="19" t="n">
        <x:f>C55-D55</x:f>
        <x:v>18000</x:v>
      </x:c>
      <x:c r="F55" s="19" t="n">
        <x:f>SUM($E$7:E55)</x:f>
        <x:v>3655000</x:v>
      </x:c>
      <x:c r="G55" s="20" t="n">
        <x:v>12</x:v>
      </x:c>
      <x:c r="H55" s="20" t="n">
        <x:v>9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45000</x:v>
      </x:c>
      <x:c r="D56" s="19" t="n">
        <x:v>53000</x:v>
      </x:c>
      <x:c r="E56" s="19" t="n">
        <x:f>C56-D56</x:f>
        <x:v>-8000</x:v>
      </x:c>
      <x:c r="F56" s="19" t="n">
        <x:f>SUM($E$7:E56)</x:f>
        <x:v>3647000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7084000</x:v>
      </x:c>
      <x:c r="D57" s="21" t="n">
        <x:f>SUM(D7:D56)</x:f>
        <x:v>3437000</x:v>
      </x:c>
      <x:c r="E57" s="21" t="n">
        <x:f>SUM(E7:E56)</x:f>
        <x:v>3647000</x:v>
      </x:c>
      <x:c r="F57" s="21" t="n">
        <x:f>F56</x:f>
        <x:v>3647000</x:v>
      </x:c>
      <x:c r="G57" s="22" t="n">
        <x:f>SUM(G7:G56)</x:f>
        <x:v>352</x:v>
      </x:c>
      <x:c r="H57" s="22" t="n">
        <x:f>SUM(H7:H56)</x:f>
        <x:v>257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2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b780ea0feb749bf"/>
  </x:tableParts>
</x:worksheet>
</file>

<file path=xl/worksheets/sheet24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R05　残玉追尾を最大16呼値にする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基本・別入口の残り1枚の扱いを変更。残玉追尾を最大16呼値にする。追加担当は基準と同じ。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24000</x:v>
      </x:c>
      <x:c r="D10" s="19" t="n">
        <x:v>0</x:v>
      </x:c>
      <x:c r="E10" s="19" t="n">
        <x:f>C10-D10</x:f>
        <x:v>24000</x:v>
      </x:c>
      <x:c r="F10" s="19" t="n">
        <x:f>SUM($E$7:E10)</x:f>
        <x:v>-21000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-25000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-61000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154000</x:v>
      </x:c>
      <x:c r="D13" s="19" t="n">
        <x:v>60000</x:v>
      </x:c>
      <x:c r="E13" s="19" t="n">
        <x:f>C13-D13</x:f>
        <x:v>94000</x:v>
      </x:c>
      <x:c r="F13" s="19" t="n">
        <x:f>SUM($E$7:E13)</x:f>
        <x:v>33000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28000</x:v>
      </x:c>
      <x:c r="D14" s="19" t="n">
        <x:v>0</x:v>
      </x:c>
      <x:c r="E14" s="19" t="n">
        <x:f>C14-D14</x:f>
        <x:v>28000</x:v>
      </x:c>
      <x:c r="F14" s="19" t="n">
        <x:f>SUM($E$7:E14)</x:f>
        <x:v>61000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157000</x:v>
      </x:c>
      <x:c r="D15" s="19" t="n">
        <x:v>46000</x:v>
      </x:c>
      <x:c r="E15" s="19" t="n">
        <x:f>C15-D15</x:f>
        <x:v>111000</x:v>
      </x:c>
      <x:c r="F15" s="19" t="n">
        <x:f>SUM($E$7:E15)</x:f>
        <x:v>172000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17000</x:v>
      </x:c>
      <x:c r="D16" s="19" t="n">
        <x:v>16000</x:v>
      </x:c>
      <x:c r="E16" s="19" t="n">
        <x:f>C16-D16</x:f>
        <x:v>1000</x:v>
      </x:c>
      <x:c r="F16" s="19" t="n">
        <x:f>SUM($E$7:E16)</x:f>
        <x:v>173000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281000</x:v>
      </x:c>
      <x:c r="D17" s="19" t="n">
        <x:v>151000</x:v>
      </x:c>
      <x:c r="E17" s="19" t="n">
        <x:f>C17-D17</x:f>
        <x:v>130000</x:v>
      </x:c>
      <x:c r="F17" s="19" t="n">
        <x:f>SUM($E$7:E17)</x:f>
        <x:v>303000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264000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276000</x:v>
      </x:c>
      <x:c r="D19" s="19" t="n">
        <x:v>127000</x:v>
      </x:c>
      <x:c r="E19" s="19" t="n">
        <x:f>C19-D19</x:f>
        <x:v>149000</x:v>
      </x:c>
      <x:c r="F19" s="19" t="n">
        <x:f>SUM($E$7:E19)</x:f>
        <x:v>413000</x:v>
      </x:c>
      <x:c r="G19" s="20" t="n">
        <x:v>9</x:v>
      </x:c>
      <x:c r="H19" s="20" t="n">
        <x:v>6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93000</x:v>
      </x:c>
      <x:c r="D20" s="19" t="n">
        <x:v>22000</x:v>
      </x:c>
      <x:c r="E20" s="19" t="n">
        <x:f>C20-D20</x:f>
        <x:v>71000</x:v>
      </x:c>
      <x:c r="F20" s="19" t="n">
        <x:f>SUM($E$7:E20)</x:f>
        <x:v>484000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157000</x:v>
      </x:c>
      <x:c r="D21" s="19" t="n">
        <x:v>100000</x:v>
      </x:c>
      <x:c r="E21" s="19" t="n">
        <x:f>C21-D21</x:f>
        <x:v>57000</x:v>
      </x:c>
      <x:c r="F21" s="19" t="n">
        <x:f>SUM($E$7:E21)</x:f>
        <x:v>541000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43000</x:v>
      </x:c>
      <x:c r="D22" s="19" t="n">
        <x:v>0</x:v>
      </x:c>
      <x:c r="E22" s="19" t="n">
        <x:f>C22-D22</x:f>
        <x:v>43000</x:v>
      </x:c>
      <x:c r="F22" s="19" t="n">
        <x:f>SUM($E$7:E22)</x:f>
        <x:v>584000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472000</x:v>
      </x:c>
      <x:c r="D23" s="19" t="n">
        <x:v>84000</x:v>
      </x:c>
      <x:c r="E23" s="19" t="n">
        <x:f>C23-D23</x:f>
        <x:v>388000</x:v>
      </x:c>
      <x:c r="F23" s="19" t="n">
        <x:f>SUM($E$7:E23)</x:f>
        <x:v>972000</x:v>
      </x:c>
      <x:c r="G23" s="20" t="n">
        <x:v>5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97000</x:v>
      </x:c>
      <x:c r="D24" s="19" t="n">
        <x:v>85000</x:v>
      </x:c>
      <x:c r="E24" s="19" t="n">
        <x:f>C24-D24</x:f>
        <x:v>12000</x:v>
      </x:c>
      <x:c r="F24" s="19" t="n">
        <x:f>SUM($E$7:E24)</x:f>
        <x:v>984000</x:v>
      </x:c>
      <x:c r="G24" s="20" t="n">
        <x:v>13</x:v>
      </x:c>
      <x:c r="H24" s="20" t="n">
        <x:v>9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70000</x:v>
      </x:c>
      <x:c r="D25" s="19" t="n">
        <x:v>107000</x:v>
      </x:c>
      <x:c r="E25" s="19" t="n">
        <x:f>C25-D25</x:f>
        <x:v>-37000</x:v>
      </x:c>
      <x:c r="F25" s="19" t="n">
        <x:f>SUM($E$7:E25)</x:f>
        <x:v>947000</x:v>
      </x:c>
      <x:c r="G25" s="20" t="n">
        <x:v>9</x:v>
      </x:c>
      <x:c r="H25" s="20" t="n">
        <x:v>5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271000</x:v>
      </x:c>
      <x:c r="D26" s="19" t="n">
        <x:v>25000</x:v>
      </x:c>
      <x:c r="E26" s="19" t="n">
        <x:f>C26-D26</x:f>
        <x:v>246000</x:v>
      </x:c>
      <x:c r="F26" s="19" t="n">
        <x:f>SUM($E$7:E26)</x:f>
        <x:v>1193000</x:v>
      </x:c>
      <x:c r="G26" s="20" t="n">
        <x:v>14</x:v>
      </x:c>
      <x:c r="H26" s="20" t="n">
        <x:v>9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90000</x:v>
      </x:c>
      <x:c r="D27" s="19" t="n">
        <x:v>148000</x:v>
      </x:c>
      <x:c r="E27" s="19" t="n">
        <x:f>C27-D27</x:f>
        <x:v>-58000</x:v>
      </x:c>
      <x:c r="F27" s="19" t="n">
        <x:f>SUM($E$7:E27)</x:f>
        <x:v>1135000</x:v>
      </x:c>
      <x:c r="G27" s="20" t="n">
        <x:v>13</x:v>
      </x:c>
      <x:c r="H27" s="20" t="n">
        <x:v>10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101000</x:v>
      </x:c>
      <x:c r="D28" s="19" t="n">
        <x:v>20000</x:v>
      </x:c>
      <x:c r="E28" s="19" t="n">
        <x:f>C28-D28</x:f>
        <x:v>81000</x:v>
      </x:c>
      <x:c r="F28" s="19" t="n">
        <x:f>SUM($E$7:E28)</x:f>
        <x:v>1216000</x:v>
      </x:c>
      <x:c r="G28" s="20" t="n">
        <x:v>5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267000</x:v>
      </x:c>
      <x:c r="D29" s="19" t="n">
        <x:v>138000</x:v>
      </x:c>
      <x:c r="E29" s="19" t="n">
        <x:f>C29-D29</x:f>
        <x:v>129000</x:v>
      </x:c>
      <x:c r="F29" s="19" t="n">
        <x:f>SUM($E$7:E29)</x:f>
        <x:v>1345000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1335000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96000</x:v>
      </x:c>
      <x:c r="D31" s="19" t="n">
        <x:v>42000</x:v>
      </x:c>
      <x:c r="E31" s="19" t="n">
        <x:f>C31-D31</x:f>
        <x:v>54000</x:v>
      </x:c>
      <x:c r="F31" s="19" t="n">
        <x:f>SUM($E$7:E31)</x:f>
        <x:v>1389000</x:v>
      </x:c>
      <x:c r="G31" s="20" t="n">
        <x:v>7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1346000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197000</x:v>
      </x:c>
      <x:c r="D33" s="19" t="n">
        <x:v>130000</x:v>
      </x:c>
      <x:c r="E33" s="19" t="n">
        <x:f>C33-D33</x:f>
        <x:v>67000</x:v>
      </x:c>
      <x:c r="F33" s="19" t="n">
        <x:f>SUM($E$7:E33)</x:f>
        <x:v>1413000</x:v>
      </x:c>
      <x:c r="G33" s="20" t="n">
        <x:v>10</x:v>
      </x:c>
      <x:c r="H33" s="20" t="n">
        <x:v>8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187000</x:v>
      </x:c>
      <x:c r="D34" s="19" t="n">
        <x:v>0</x:v>
      </x:c>
      <x:c r="E34" s="19" t="n">
        <x:f>C34-D34</x:f>
        <x:v>187000</x:v>
      </x:c>
      <x:c r="F34" s="19" t="n">
        <x:f>SUM($E$7:E34)</x:f>
        <x:v>1600000</x:v>
      </x:c>
      <x:c r="G34" s="20" t="n">
        <x:v>8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134000</x:v>
      </x:c>
      <x:c r="D35" s="19" t="n">
        <x:v>68000</x:v>
      </x:c>
      <x:c r="E35" s="19" t="n">
        <x:f>C35-D35</x:f>
        <x:v>66000</x:v>
      </x:c>
      <x:c r="F35" s="19" t="n">
        <x:f>SUM($E$7:E35)</x:f>
        <x:v>1666000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1680000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1660000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82000</x:v>
      </x:c>
      <x:c r="D38" s="19" t="n">
        <x:v>0</x:v>
      </x:c>
      <x:c r="E38" s="19" t="n">
        <x:f>C38-D38</x:f>
        <x:v>82000</x:v>
      </x:c>
      <x:c r="F38" s="19" t="n">
        <x:f>SUM($E$7:E38)</x:f>
        <x:v>1742000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83000</x:v>
      </x:c>
      <x:c r="D39" s="19" t="n">
        <x:v>165000</x:v>
      </x:c>
      <x:c r="E39" s="19" t="n">
        <x:f>C39-D39</x:f>
        <x:v>-82000</x:v>
      </x:c>
      <x:c r="F39" s="19" t="n">
        <x:f>SUM($E$7:E39)</x:f>
        <x:v>1660000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1607000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166000</x:v>
      </x:c>
      <x:c r="D41" s="19" t="n">
        <x:v>72000</x:v>
      </x:c>
      <x:c r="E41" s="19" t="n">
        <x:f>C41-D41</x:f>
        <x:v>94000</x:v>
      </x:c>
      <x:c r="F41" s="19" t="n">
        <x:f>SUM($E$7:E41)</x:f>
        <x:v>1701000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197000</x:v>
      </x:c>
      <x:c r="D42" s="19" t="n">
        <x:v>61000</x:v>
      </x:c>
      <x:c r="E42" s="19" t="n">
        <x:f>C42-D42</x:f>
        <x:v>136000</x:v>
      </x:c>
      <x:c r="F42" s="19" t="n">
        <x:f>SUM($E$7:E42)</x:f>
        <x:v>1837000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511000</x:v>
      </x:c>
      <x:c r="D43" s="19" t="n">
        <x:v>154000</x:v>
      </x:c>
      <x:c r="E43" s="19" t="n">
        <x:f>C43-D43</x:f>
        <x:v>357000</x:v>
      </x:c>
      <x:c r="F43" s="19" t="n">
        <x:f>SUM($E$7:E43)</x:f>
        <x:v>2194000</x:v>
      </x:c>
      <x:c r="G43" s="20" t="n">
        <x:v>17</x:v>
      </x:c>
      <x:c r="H43" s="20" t="n">
        <x:v>11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49000</x:v>
      </x:c>
      <x:c r="D44" s="19" t="n">
        <x:v>95000</x:v>
      </x:c>
      <x:c r="E44" s="19" t="n">
        <x:f>C44-D44</x:f>
        <x:v>-46000</x:v>
      </x:c>
      <x:c r="F44" s="19" t="n">
        <x:f>SUM($E$7:E44)</x:f>
        <x:v>2148000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126000</x:v>
      </x:c>
      <x:c r="D45" s="19" t="n">
        <x:v>168000</x:v>
      </x:c>
      <x:c r="E45" s="19" t="n">
        <x:f>C45-D45</x:f>
        <x:v>-42000</x:v>
      </x:c>
      <x:c r="F45" s="19" t="n">
        <x:f>SUM($E$7:E45)</x:f>
        <x:v>2106000</x:v>
      </x:c>
      <x:c r="G45" s="20" t="n">
        <x:v>15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88000</x:v>
      </x:c>
      <x:c r="D46" s="19" t="n">
        <x:v>142000</x:v>
      </x:c>
      <x:c r="E46" s="19" t="n">
        <x:f>C46-D46</x:f>
        <x:v>-54000</x:v>
      </x:c>
      <x:c r="F46" s="19" t="n">
        <x:f>SUM($E$7:E46)</x:f>
        <x:v>2052000</x:v>
      </x:c>
      <x:c r="G46" s="20" t="n">
        <x:v>14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337000</x:v>
      </x:c>
      <x:c r="D47" s="19" t="n">
        <x:v>58000</x:v>
      </x:c>
      <x:c r="E47" s="19" t="n">
        <x:f>C47-D47</x:f>
        <x:v>279000</x:v>
      </x:c>
      <x:c r="F47" s="19" t="n">
        <x:f>SUM($E$7:E47)</x:f>
        <x:v>2331000</x:v>
      </x:c>
      <x:c r="G47" s="20" t="n">
        <x:v>14</x:v>
      </x:c>
      <x:c r="H47" s="20" t="n">
        <x:v>9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107000</x:v>
      </x:c>
      <x:c r="D48" s="19" t="n">
        <x:v>34000</x:v>
      </x:c>
      <x:c r="E48" s="19" t="n">
        <x:f>C48-D48</x:f>
        <x:v>73000</x:v>
      </x:c>
      <x:c r="F48" s="19" t="n">
        <x:f>SUM($E$7:E48)</x:f>
        <x:v>2404000</x:v>
      </x:c>
      <x:c r="G48" s="20" t="n">
        <x:v>9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168000</x:v>
      </x:c>
      <x:c r="D49" s="19" t="n">
        <x:v>214000</x:v>
      </x:c>
      <x:c r="E49" s="19" t="n">
        <x:f>C49-D49</x:f>
        <x:v>-46000</x:v>
      </x:c>
      <x:c r="F49" s="19" t="n">
        <x:f>SUM($E$7:E49)</x:f>
        <x:v>2358000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548000</x:v>
      </x:c>
      <x:c r="D50" s="19" t="n">
        <x:v>0</x:v>
      </x:c>
      <x:c r="E50" s="19" t="n">
        <x:f>C50-D50</x:f>
        <x:v>548000</x:v>
      </x:c>
      <x:c r="F50" s="19" t="n">
        <x:f>SUM($E$7:E50)</x:f>
        <x:v>2906000</x:v>
      </x:c>
      <x:c r="G50" s="20" t="n">
        <x:v>13</x:v>
      </x:c>
      <x:c r="H50" s="20" t="n">
        <x:v>7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226000</x:v>
      </x:c>
      <x:c r="D51" s="19" t="n">
        <x:v>232000</x:v>
      </x:c>
      <x:c r="E51" s="19" t="n">
        <x:f>C51-D51</x:f>
        <x:v>-6000</x:v>
      </x:c>
      <x:c r="F51" s="19" t="n">
        <x:f>SUM($E$7:E51)</x:f>
        <x:v>2900000</x:v>
      </x:c>
      <x:c r="G51" s="20" t="n">
        <x:v>16</x:v>
      </x:c>
      <x:c r="H51" s="20" t="n">
        <x:v>12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61000</x:v>
      </x:c>
      <x:c r="D52" s="19" t="n">
        <x:v>85000</x:v>
      </x:c>
      <x:c r="E52" s="19" t="n">
        <x:f>C52-D52</x:f>
        <x:v>-24000</x:v>
      </x:c>
      <x:c r="F52" s="19" t="n">
        <x:f>SUM($E$7:E52)</x:f>
        <x:v>2876000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696000</x:v>
      </x:c>
      <x:c r="D53" s="19" t="n">
        <x:v>70000</x:v>
      </x:c>
      <x:c r="E53" s="19" t="n">
        <x:f>C53-D53</x:f>
        <x:v>626000</x:v>
      </x:c>
      <x:c r="F53" s="19" t="n">
        <x:f>SUM($E$7:E53)</x:f>
        <x:v>3502000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167000</x:v>
      </x:c>
      <x:c r="D54" s="19" t="n">
        <x:v>39000</x:v>
      </x:c>
      <x:c r="E54" s="19" t="n">
        <x:f>C54-D54</x:f>
        <x:v>128000</x:v>
      </x:c>
      <x:c r="F54" s="19" t="n">
        <x:f>SUM($E$7:E54)</x:f>
        <x:v>3630000</x:v>
      </x:c>
      <x:c r="G54" s="20" t="n">
        <x:v>8</x:v>
      </x:c>
      <x:c r="H54" s="20" t="n">
        <x:v>5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152000</x:v>
      </x:c>
      <x:c r="D55" s="19" t="n">
        <x:v>127000</x:v>
      </x:c>
      <x:c r="E55" s="19" t="n">
        <x:f>C55-D55</x:f>
        <x:v>25000</x:v>
      </x:c>
      <x:c r="F55" s="19" t="n">
        <x:f>SUM($E$7:E55)</x:f>
        <x:v>3655000</x:v>
      </x:c>
      <x:c r="G55" s="20" t="n">
        <x:v>12</x:v>
      </x:c>
      <x:c r="H55" s="20" t="n">
        <x:v>9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39000</x:v>
      </x:c>
      <x:c r="D56" s="19" t="n">
        <x:v>53000</x:v>
      </x:c>
      <x:c r="E56" s="19" t="n">
        <x:f>C56-D56</x:f>
        <x:v>-14000</x:v>
      </x:c>
      <x:c r="F56" s="19" t="n">
        <x:f>SUM($E$7:E56)</x:f>
        <x:v>3641000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7213000</x:v>
      </x:c>
      <x:c r="D57" s="21" t="n">
        <x:f>SUM(D7:D56)</x:f>
        <x:v>3572000</x:v>
      </x:c>
      <x:c r="E57" s="21" t="n">
        <x:f>SUM(E7:E56)</x:f>
        <x:v>3641000</x:v>
      </x:c>
      <x:c r="F57" s="21" t="n">
        <x:f>F56</x:f>
        <x:v>3641000</x:v>
      </x:c>
      <x:c r="G57" s="22" t="n">
        <x:f>SUM(G7:G56)</x:f>
        <x:v>368</x:v>
      </x:c>
      <x:c r="H57" s="22" t="n">
        <x:f>SUM(H7:H56)</x:f>
        <x:v>268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2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c14d2cf1ae443b3"/>
  </x:tableParts>
</x:worksheet>
</file>

<file path=xl/worksheets/sheet25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R06　反対候補へ切替・返済後0秒から再評価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基本・別入口の残り1枚の扱いを変更。反対候補へ切替・返済後0秒から再評価。追加担当は基準と同じ。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-29000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-33000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107000</x:v>
      </x:c>
      <x:c r="D13" s="19" t="n">
        <x:v>60000</x:v>
      </x:c>
      <x:c r="E13" s="19" t="n">
        <x:f>C13-D13</x:f>
        <x:v>47000</x:v>
      </x:c>
      <x:c r="F13" s="19" t="n">
        <x:f>SUM($E$7:E13)</x:f>
        <x:v>-22000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-2000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157000</x:v>
      </x:c>
      <x:c r="D15" s="19" t="n">
        <x:v>46000</x:v>
      </x:c>
      <x:c r="E15" s="19" t="n">
        <x:f>C15-D15</x:f>
        <x:v>111000</x:v>
      </x:c>
      <x:c r="F15" s="19" t="n">
        <x:f>SUM($E$7:E15)</x:f>
        <x:v>109000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105000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273000</x:v>
      </x:c>
      <x:c r="D17" s="19" t="n">
        <x:v>167000</x:v>
      </x:c>
      <x:c r="E17" s="19" t="n">
        <x:f>C17-D17</x:f>
        <x:v>106000</x:v>
      </x:c>
      <x:c r="F17" s="19" t="n">
        <x:f>SUM($E$7:E17)</x:f>
        <x:v>211000</x:v>
      </x:c>
      <x:c r="G17" s="20" t="n">
        <x:v>9</x:v>
      </x:c>
      <x:c r="H17" s="20" t="n">
        <x:v>8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172000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250000</x:v>
      </x:c>
      <x:c r="D19" s="19" t="n">
        <x:v>127000</x:v>
      </x:c>
      <x:c r="E19" s="19" t="n">
        <x:f>C19-D19</x:f>
        <x:v>123000</x:v>
      </x:c>
      <x:c r="F19" s="19" t="n">
        <x:f>SUM($E$7:E19)</x:f>
        <x:v>295000</x:v>
      </x:c>
      <x:c r="G19" s="20" t="n">
        <x:v>9</x:v>
      </x:c>
      <x:c r="H19" s="20" t="n">
        <x:v>6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346000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421000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448000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472000</x:v>
      </x:c>
      <x:c r="D23" s="19" t="n">
        <x:v>84000</x:v>
      </x:c>
      <x:c r="E23" s="19" t="n">
        <x:f>C23-D23</x:f>
        <x:v>388000</x:v>
      </x:c>
      <x:c r="F23" s="19" t="n">
        <x:f>SUM($E$7:E23)</x:f>
        <x:v>836000</x:v>
      </x:c>
      <x:c r="G23" s="20" t="n">
        <x:v>5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162000</x:v>
      </x:c>
      <x:c r="D24" s="19" t="n">
        <x:v>85000</x:v>
      </x:c>
      <x:c r="E24" s="19" t="n">
        <x:f>C24-D24</x:f>
        <x:v>77000</x:v>
      </x:c>
      <x:c r="F24" s="19" t="n">
        <x:f>SUM($E$7:E24)</x:f>
        <x:v>913000</x:v>
      </x:c>
      <x:c r="G24" s="20" t="n">
        <x:v>13</x:v>
      </x:c>
      <x:c r="H24" s="20" t="n">
        <x:v>9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65000</x:v>
      </x:c>
      <x:c r="D25" s="19" t="n">
        <x:v>107000</x:v>
      </x:c>
      <x:c r="E25" s="19" t="n">
        <x:f>C25-D25</x:f>
        <x:v>-42000</x:v>
      </x:c>
      <x:c r="F25" s="19" t="n">
        <x:f>SUM($E$7:E25)</x:f>
        <x:v>871000</x:v>
      </x:c>
      <x:c r="G25" s="20" t="n">
        <x:v>9</x:v>
      </x:c>
      <x:c r="H25" s="20" t="n">
        <x:v>5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270000</x:v>
      </x:c>
      <x:c r="D26" s="19" t="n">
        <x:v>7000</x:v>
      </x:c>
      <x:c r="E26" s="19" t="n">
        <x:f>C26-D26</x:f>
        <x:v>263000</x:v>
      </x:c>
      <x:c r="F26" s="19" t="n">
        <x:f>SUM($E$7:E26)</x:f>
        <x:v>1134000</x:v>
      </x:c>
      <x:c r="G26" s="20" t="n">
        <x:v>13</x:v>
      </x:c>
      <x:c r="H26" s="20" t="n">
        <x:v>8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85000</x:v>
      </x:c>
      <x:c r="D27" s="19" t="n">
        <x:v>148000</x:v>
      </x:c>
      <x:c r="E27" s="19" t="n">
        <x:f>C27-D27</x:f>
        <x:v>-63000</x:v>
      </x:c>
      <x:c r="F27" s="19" t="n">
        <x:f>SUM($E$7:E27)</x:f>
        <x:v>1071000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94000</x:v>
      </x:c>
      <x:c r="D28" s="19" t="n">
        <x:v>20000</x:v>
      </x:c>
      <x:c r="E28" s="19" t="n">
        <x:f>C28-D28</x:f>
        <x:v>74000</x:v>
      </x:c>
      <x:c r="F28" s="19" t="n">
        <x:f>SUM($E$7:E28)</x:f>
        <x:v>1145000</x:v>
      </x:c>
      <x:c r="G28" s="20" t="n">
        <x:v>5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267000</x:v>
      </x:c>
      <x:c r="D29" s="19" t="n">
        <x:v>138000</x:v>
      </x:c>
      <x:c r="E29" s="19" t="n">
        <x:f>C29-D29</x:f>
        <x:v>129000</x:v>
      </x:c>
      <x:c r="F29" s="19" t="n">
        <x:f>SUM($E$7:E29)</x:f>
        <x:v>1274000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1264000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96000</x:v>
      </x:c>
      <x:c r="D31" s="19" t="n">
        <x:v>42000</x:v>
      </x:c>
      <x:c r="E31" s="19" t="n">
        <x:f>C31-D31</x:f>
        <x:v>54000</x:v>
      </x:c>
      <x:c r="F31" s="19" t="n">
        <x:f>SUM($E$7:E31)</x:f>
        <x:v>1318000</x:v>
      </x:c>
      <x:c r="G31" s="20" t="n">
        <x:v>7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1275000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207000</x:v>
      </x:c>
      <x:c r="D33" s="19" t="n">
        <x:v>130000</x:v>
      </x:c>
      <x:c r="E33" s="19" t="n">
        <x:f>C33-D33</x:f>
        <x:v>77000</x:v>
      </x:c>
      <x:c r="F33" s="19" t="n">
        <x:f>SUM($E$7:E33)</x:f>
        <x:v>1352000</x:v>
      </x:c>
      <x:c r="G33" s="20" t="n">
        <x:v>12</x:v>
      </x:c>
      <x:c r="H33" s="20" t="n">
        <x:v>9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144000</x:v>
      </x:c>
      <x:c r="D34" s="19" t="n">
        <x:v>0</x:v>
      </x:c>
      <x:c r="E34" s="19" t="n">
        <x:f>C34-D34</x:f>
        <x:v>144000</x:v>
      </x:c>
      <x:c r="F34" s="19" t="n">
        <x:f>SUM($E$7:E34)</x:f>
        <x:v>1496000</x:v>
      </x:c>
      <x:c r="G34" s="20" t="n">
        <x:v>8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134000</x:v>
      </x:c>
      <x:c r="D35" s="19" t="n">
        <x:v>68000</x:v>
      </x:c>
      <x:c r="E35" s="19" t="n">
        <x:f>C35-D35</x:f>
        <x:v>66000</x:v>
      </x:c>
      <x:c r="F35" s="19" t="n">
        <x:f>SUM($E$7:E35)</x:f>
        <x:v>1562000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1576000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1556000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1663000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83000</x:v>
      </x:c>
      <x:c r="D39" s="19" t="n">
        <x:v>165000</x:v>
      </x:c>
      <x:c r="E39" s="19" t="n">
        <x:f>C39-D39</x:f>
        <x:v>-82000</x:v>
      </x:c>
      <x:c r="F39" s="19" t="n">
        <x:f>SUM($E$7:E39)</x:f>
        <x:v>1581000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1528000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1605000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1780000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454000</x:v>
      </x:c>
      <x:c r="D43" s="19" t="n">
        <x:v>180000</x:v>
      </x:c>
      <x:c r="E43" s="19" t="n">
        <x:f>C43-D43</x:f>
        <x:v>274000</x:v>
      </x:c>
      <x:c r="F43" s="19" t="n">
        <x:f>SUM($E$7:E43)</x:f>
        <x:v>2054000</x:v>
      </x:c>
      <x:c r="G43" s="20" t="n">
        <x:v>18</x:v>
      </x:c>
      <x:c r="H43" s="20" t="n">
        <x:v>12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2034000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87000</x:v>
      </x:c>
      <x:c r="D45" s="19" t="n">
        <x:v>168000</x:v>
      </x:c>
      <x:c r="E45" s="19" t="n">
        <x:f>C45-D45</x:f>
        <x:v>-81000</x:v>
      </x:c>
      <x:c r="F45" s="19" t="n">
        <x:f>SUM($E$7:E45)</x:f>
        <x:v>1953000</x:v>
      </x:c>
      <x:c r="G45" s="20" t="n">
        <x:v>15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160000</x:v>
      </x:c>
      <x:c r="D46" s="19" t="n">
        <x:v>142000</x:v>
      </x:c>
      <x:c r="E46" s="19" t="n">
        <x:f>C46-D46</x:f>
        <x:v>18000</x:v>
      </x:c>
      <x:c r="F46" s="19" t="n">
        <x:f>SUM($E$7:E46)</x:f>
        <x:v>1971000</x:v>
      </x:c>
      <x:c r="G46" s="20" t="n">
        <x:v>14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362000</x:v>
      </x:c>
      <x:c r="D47" s="19" t="n">
        <x:v>60000</x:v>
      </x:c>
      <x:c r="E47" s="19" t="n">
        <x:f>C47-D47</x:f>
        <x:v>302000</x:v>
      </x:c>
      <x:c r="F47" s="19" t="n">
        <x:f>SUM($E$7:E47)</x:f>
        <x:v>2273000</x:v>
      </x:c>
      <x:c r="G47" s="20" t="n">
        <x:v>14</x:v>
      </x:c>
      <x:c r="H47" s="20" t="n">
        <x:v>9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95000</x:v>
      </x:c>
      <x:c r="D48" s="19" t="n">
        <x:v>34000</x:v>
      </x:c>
      <x:c r="E48" s="19" t="n">
        <x:f>C48-D48</x:f>
        <x:v>61000</x:v>
      </x:c>
      <x:c r="F48" s="19" t="n">
        <x:f>SUM($E$7:E48)</x:f>
        <x:v>2334000</x:v>
      </x:c>
      <x:c r="G48" s="20" t="n">
        <x:v>9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165000</x:v>
      </x:c>
      <x:c r="D49" s="19" t="n">
        <x:v>214000</x:v>
      </x:c>
      <x:c r="E49" s="19" t="n">
        <x:f>C49-D49</x:f>
        <x:v>-49000</x:v>
      </x:c>
      <x:c r="F49" s="19" t="n">
        <x:f>SUM($E$7:E49)</x:f>
        <x:v>2285000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536000</x:v>
      </x:c>
      <x:c r="D50" s="19" t="n">
        <x:v>0</x:v>
      </x:c>
      <x:c r="E50" s="19" t="n">
        <x:f>C50-D50</x:f>
        <x:v>536000</x:v>
      </x:c>
      <x:c r="F50" s="19" t="n">
        <x:f>SUM($E$7:E50)</x:f>
        <x:v>2821000</x:v>
      </x:c>
      <x:c r="G50" s="20" t="n">
        <x:v>13</x:v>
      </x:c>
      <x:c r="H50" s="20" t="n">
        <x:v>7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221000</x:v>
      </x:c>
      <x:c r="D51" s="19" t="n">
        <x:v>218000</x:v>
      </x:c>
      <x:c r="E51" s="19" t="n">
        <x:f>C51-D51</x:f>
        <x:v>3000</x:v>
      </x:c>
      <x:c r="F51" s="19" t="n">
        <x:f>SUM($E$7:E51)</x:f>
        <x:v>2824000</x:v>
      </x:c>
      <x:c r="G51" s="20" t="n">
        <x:v>15</x:v>
      </x:c>
      <x:c r="H51" s="20" t="n">
        <x:v>11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2784000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727000</x:v>
      </x:c>
      <x:c r="D53" s="19" t="n">
        <x:v>70000</x:v>
      </x:c>
      <x:c r="E53" s="19" t="n">
        <x:f>C53-D53</x:f>
        <x:v>657000</x:v>
      </x:c>
      <x:c r="F53" s="19" t="n">
        <x:f>SUM($E$7:E53)</x:f>
        <x:v>3441000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178000</x:v>
      </x:c>
      <x:c r="D54" s="19" t="n">
        <x:v>39000</x:v>
      </x:c>
      <x:c r="E54" s="19" t="n">
        <x:f>C54-D54</x:f>
        <x:v>139000</x:v>
      </x:c>
      <x:c r="F54" s="19" t="n">
        <x:f>SUM($E$7:E54)</x:f>
        <x:v>3580000</x:v>
      </x:c>
      <x:c r="G54" s="20" t="n">
        <x:v>8</x:v>
      </x:c>
      <x:c r="H54" s="20" t="n">
        <x:v>5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187000</x:v>
      </x:c>
      <x:c r="D55" s="19" t="n">
        <x:v>127000</x:v>
      </x:c>
      <x:c r="E55" s="19" t="n">
        <x:f>C55-D55</x:f>
        <x:v>60000</x:v>
      </x:c>
      <x:c r="F55" s="19" t="n">
        <x:f>SUM($E$7:E55)</x:f>
        <x:v>3640000</x:v>
      </x:c>
      <x:c r="G55" s="20" t="n">
        <x:v>12</x:v>
      </x:c>
      <x:c r="H55" s="20" t="n">
        <x:v>9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3609000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7193000</x:v>
      </x:c>
      <x:c r="D57" s="21" t="n">
        <x:f>SUM(D7:D56)</x:f>
        <x:v>3584000</x:v>
      </x:c>
      <x:c r="E57" s="21" t="n">
        <x:f>SUM(E7:E56)</x:f>
        <x:v>3609000</x:v>
      </x:c>
      <x:c r="F57" s="21" t="n">
        <x:f>F56</x:f>
        <x:v>3609000</x:v>
      </x:c>
      <x:c r="G57" s="22" t="n">
        <x:f>SUM(G7:G56)</x:f>
        <x:v>368</x:v>
      </x:c>
      <x:c r="H57" s="22" t="n">
        <x:f>SUM(H7:H56)</x:f>
        <x:v>268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2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9a7ad165ca74f9c"/>
  </x:tableParts>
</x:worksheet>
</file>

<file path=xl/worksheets/sheet26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R07　反対候補へ切替・返済後60秒から再評価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基本・別入口の残り1枚の扱いを変更。反対候補へ切替・返済後60秒から再評価。追加担当は基準と同じ。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-29000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-33000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107000</x:v>
      </x:c>
      <x:c r="D13" s="19" t="n">
        <x:v>60000</x:v>
      </x:c>
      <x:c r="E13" s="19" t="n">
        <x:f>C13-D13</x:f>
        <x:v>47000</x:v>
      </x:c>
      <x:c r="F13" s="19" t="n">
        <x:f>SUM($E$7:E13)</x:f>
        <x:v>-22000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-2000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157000</x:v>
      </x:c>
      <x:c r="D15" s="19" t="n">
        <x:v>46000</x:v>
      </x:c>
      <x:c r="E15" s="19" t="n">
        <x:f>C15-D15</x:f>
        <x:v>111000</x:v>
      </x:c>
      <x:c r="F15" s="19" t="n">
        <x:f>SUM($E$7:E15)</x:f>
        <x:v>109000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105000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273000</x:v>
      </x:c>
      <x:c r="D17" s="19" t="n">
        <x:v>167000</x:v>
      </x:c>
      <x:c r="E17" s="19" t="n">
        <x:f>C17-D17</x:f>
        <x:v>106000</x:v>
      </x:c>
      <x:c r="F17" s="19" t="n">
        <x:f>SUM($E$7:E17)</x:f>
        <x:v>211000</x:v>
      </x:c>
      <x:c r="G17" s="20" t="n">
        <x:v>9</x:v>
      </x:c>
      <x:c r="H17" s="20" t="n">
        <x:v>8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172000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240000</x:v>
      </x:c>
      <x:c r="D19" s="19" t="n">
        <x:v>127000</x:v>
      </x:c>
      <x:c r="E19" s="19" t="n">
        <x:f>C19-D19</x:f>
        <x:v>113000</x:v>
      </x:c>
      <x:c r="F19" s="19" t="n">
        <x:f>SUM($E$7:E19)</x:f>
        <x:v>285000</x:v>
      </x:c>
      <x:c r="G19" s="20" t="n">
        <x:v>9</x:v>
      </x:c>
      <x:c r="H19" s="20" t="n">
        <x:v>6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336000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411000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438000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472000</x:v>
      </x:c>
      <x:c r="D23" s="19" t="n">
        <x:v>84000</x:v>
      </x:c>
      <x:c r="E23" s="19" t="n">
        <x:f>C23-D23</x:f>
        <x:v>388000</x:v>
      </x:c>
      <x:c r="F23" s="19" t="n">
        <x:f>SUM($E$7:E23)</x:f>
        <x:v>826000</x:v>
      </x:c>
      <x:c r="G23" s="20" t="n">
        <x:v>5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160000</x:v>
      </x:c>
      <x:c r="D24" s="19" t="n">
        <x:v>85000</x:v>
      </x:c>
      <x:c r="E24" s="19" t="n">
        <x:f>C24-D24</x:f>
        <x:v>75000</x:v>
      </x:c>
      <x:c r="F24" s="19" t="n">
        <x:f>SUM($E$7:E24)</x:f>
        <x:v>901000</x:v>
      </x:c>
      <x:c r="G24" s="20" t="n">
        <x:v>13</x:v>
      </x:c>
      <x:c r="H24" s="20" t="n">
        <x:v>9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65000</x:v>
      </x:c>
      <x:c r="D25" s="19" t="n">
        <x:v>107000</x:v>
      </x:c>
      <x:c r="E25" s="19" t="n">
        <x:f>C25-D25</x:f>
        <x:v>-42000</x:v>
      </x:c>
      <x:c r="F25" s="19" t="n">
        <x:f>SUM($E$7:E25)</x:f>
        <x:v>859000</x:v>
      </x:c>
      <x:c r="G25" s="20" t="n">
        <x:v>9</x:v>
      </x:c>
      <x:c r="H25" s="20" t="n">
        <x:v>5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275000</x:v>
      </x:c>
      <x:c r="D26" s="19" t="n">
        <x:v>5000</x:v>
      </x:c>
      <x:c r="E26" s="19" t="n">
        <x:f>C26-D26</x:f>
        <x:v>270000</x:v>
      </x:c>
      <x:c r="F26" s="19" t="n">
        <x:f>SUM($E$7:E26)</x:f>
        <x:v>1129000</x:v>
      </x:c>
      <x:c r="G26" s="20" t="n">
        <x:v>13</x:v>
      </x:c>
      <x:c r="H26" s="20" t="n">
        <x:v>8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85000</x:v>
      </x:c>
      <x:c r="D27" s="19" t="n">
        <x:v>148000</x:v>
      </x:c>
      <x:c r="E27" s="19" t="n">
        <x:f>C27-D27</x:f>
        <x:v>-63000</x:v>
      </x:c>
      <x:c r="F27" s="19" t="n">
        <x:f>SUM($E$7:E27)</x:f>
        <x:v>1066000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94000</x:v>
      </x:c>
      <x:c r="D28" s="19" t="n">
        <x:v>20000</x:v>
      </x:c>
      <x:c r="E28" s="19" t="n">
        <x:f>C28-D28</x:f>
        <x:v>74000</x:v>
      </x:c>
      <x:c r="F28" s="19" t="n">
        <x:f>SUM($E$7:E28)</x:f>
        <x:v>1140000</x:v>
      </x:c>
      <x:c r="G28" s="20" t="n">
        <x:v>5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267000</x:v>
      </x:c>
      <x:c r="D29" s="19" t="n">
        <x:v>138000</x:v>
      </x:c>
      <x:c r="E29" s="19" t="n">
        <x:f>C29-D29</x:f>
        <x:v>129000</x:v>
      </x:c>
      <x:c r="F29" s="19" t="n">
        <x:f>SUM($E$7:E29)</x:f>
        <x:v>1269000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1259000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96000</x:v>
      </x:c>
      <x:c r="D31" s="19" t="n">
        <x:v>42000</x:v>
      </x:c>
      <x:c r="E31" s="19" t="n">
        <x:f>C31-D31</x:f>
        <x:v>54000</x:v>
      </x:c>
      <x:c r="F31" s="19" t="n">
        <x:f>SUM($E$7:E31)</x:f>
        <x:v>1313000</x:v>
      </x:c>
      <x:c r="G31" s="20" t="n">
        <x:v>7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1270000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204000</x:v>
      </x:c>
      <x:c r="D33" s="19" t="n">
        <x:v>130000</x:v>
      </x:c>
      <x:c r="E33" s="19" t="n">
        <x:f>C33-D33</x:f>
        <x:v>74000</x:v>
      </x:c>
      <x:c r="F33" s="19" t="n">
        <x:f>SUM($E$7:E33)</x:f>
        <x:v>1344000</x:v>
      </x:c>
      <x:c r="G33" s="20" t="n">
        <x:v>12</x:v>
      </x:c>
      <x:c r="H33" s="20" t="n">
        <x:v>9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144000</x:v>
      </x:c>
      <x:c r="D34" s="19" t="n">
        <x:v>0</x:v>
      </x:c>
      <x:c r="E34" s="19" t="n">
        <x:f>C34-D34</x:f>
        <x:v>144000</x:v>
      </x:c>
      <x:c r="F34" s="19" t="n">
        <x:f>SUM($E$7:E34)</x:f>
        <x:v>1488000</x:v>
      </x:c>
      <x:c r="G34" s="20" t="n">
        <x:v>8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134000</x:v>
      </x:c>
      <x:c r="D35" s="19" t="n">
        <x:v>68000</x:v>
      </x:c>
      <x:c r="E35" s="19" t="n">
        <x:f>C35-D35</x:f>
        <x:v>66000</x:v>
      </x:c>
      <x:c r="F35" s="19" t="n">
        <x:f>SUM($E$7:E35)</x:f>
        <x:v>1554000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1568000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1548000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1655000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83000</x:v>
      </x:c>
      <x:c r="D39" s="19" t="n">
        <x:v>165000</x:v>
      </x:c>
      <x:c r="E39" s="19" t="n">
        <x:f>C39-D39</x:f>
        <x:v>-82000</x:v>
      </x:c>
      <x:c r="F39" s="19" t="n">
        <x:f>SUM($E$7:E39)</x:f>
        <x:v>1573000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1520000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1597000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1772000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454000</x:v>
      </x:c>
      <x:c r="D43" s="19" t="n">
        <x:v>180000</x:v>
      </x:c>
      <x:c r="E43" s="19" t="n">
        <x:f>C43-D43</x:f>
        <x:v>274000</x:v>
      </x:c>
      <x:c r="F43" s="19" t="n">
        <x:f>SUM($E$7:E43)</x:f>
        <x:v>2046000</x:v>
      </x:c>
      <x:c r="G43" s="20" t="n">
        <x:v>18</x:v>
      </x:c>
      <x:c r="H43" s="20" t="n">
        <x:v>12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2026000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87000</x:v>
      </x:c>
      <x:c r="D45" s="19" t="n">
        <x:v>168000</x:v>
      </x:c>
      <x:c r="E45" s="19" t="n">
        <x:f>C45-D45</x:f>
        <x:v>-81000</x:v>
      </x:c>
      <x:c r="F45" s="19" t="n">
        <x:f>SUM($E$7:E45)</x:f>
        <x:v>1945000</x:v>
      </x:c>
      <x:c r="G45" s="20" t="n">
        <x:v>15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160000</x:v>
      </x:c>
      <x:c r="D46" s="19" t="n">
        <x:v>142000</x:v>
      </x:c>
      <x:c r="E46" s="19" t="n">
        <x:f>C46-D46</x:f>
        <x:v>18000</x:v>
      </x:c>
      <x:c r="F46" s="19" t="n">
        <x:f>SUM($E$7:E46)</x:f>
        <x:v>1963000</x:v>
      </x:c>
      <x:c r="G46" s="20" t="n">
        <x:v>14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362000</x:v>
      </x:c>
      <x:c r="D47" s="19" t="n">
        <x:v>44000</x:v>
      </x:c>
      <x:c r="E47" s="19" t="n">
        <x:f>C47-D47</x:f>
        <x:v>318000</x:v>
      </x:c>
      <x:c r="F47" s="19" t="n">
        <x:f>SUM($E$7:E47)</x:f>
        <x:v>2281000</x:v>
      </x:c>
      <x:c r="G47" s="20" t="n">
        <x:v>13</x:v>
      </x:c>
      <x:c r="H47" s="20" t="n">
        <x:v>8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95000</x:v>
      </x:c>
      <x:c r="D48" s="19" t="n">
        <x:v>34000</x:v>
      </x:c>
      <x:c r="E48" s="19" t="n">
        <x:f>C48-D48</x:f>
        <x:v>61000</x:v>
      </x:c>
      <x:c r="F48" s="19" t="n">
        <x:f>SUM($E$7:E48)</x:f>
        <x:v>2342000</x:v>
      </x:c>
      <x:c r="G48" s="20" t="n">
        <x:v>9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165000</x:v>
      </x:c>
      <x:c r="D49" s="19" t="n">
        <x:v>214000</x:v>
      </x:c>
      <x:c r="E49" s="19" t="n">
        <x:f>C49-D49</x:f>
        <x:v>-49000</x:v>
      </x:c>
      <x:c r="F49" s="19" t="n">
        <x:f>SUM($E$7:E49)</x:f>
        <x:v>2293000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532000</x:v>
      </x:c>
      <x:c r="D50" s="19" t="n">
        <x:v>6000</x:v>
      </x:c>
      <x:c r="E50" s="19" t="n">
        <x:f>C50-D50</x:f>
        <x:v>526000</x:v>
      </x:c>
      <x:c r="F50" s="19" t="n">
        <x:f>SUM($E$7:E50)</x:f>
        <x:v>2819000</x:v>
      </x:c>
      <x:c r="G50" s="20" t="n">
        <x:v>13</x:v>
      </x:c>
      <x:c r="H50" s="20" t="n">
        <x:v>7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221000</x:v>
      </x:c>
      <x:c r="D51" s="19" t="n">
        <x:v>220000</x:v>
      </x:c>
      <x:c r="E51" s="19" t="n">
        <x:f>C51-D51</x:f>
        <x:v>1000</x:v>
      </x:c>
      <x:c r="F51" s="19" t="n">
        <x:f>SUM($E$7:E51)</x:f>
        <x:v>2820000</x:v>
      </x:c>
      <x:c r="G51" s="20" t="n">
        <x:v>15</x:v>
      </x:c>
      <x:c r="H51" s="20" t="n">
        <x:v>11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2780000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727000</x:v>
      </x:c>
      <x:c r="D53" s="19" t="n">
        <x:v>70000</x:v>
      </x:c>
      <x:c r="E53" s="19" t="n">
        <x:f>C53-D53</x:f>
        <x:v>657000</x:v>
      </x:c>
      <x:c r="F53" s="19" t="n">
        <x:f>SUM($E$7:E53)</x:f>
        <x:v>3437000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178000</x:v>
      </x:c>
      <x:c r="D54" s="19" t="n">
        <x:v>43000</x:v>
      </x:c>
      <x:c r="E54" s="19" t="n">
        <x:f>C54-D54</x:f>
        <x:v>135000</x:v>
      </x:c>
      <x:c r="F54" s="19" t="n">
        <x:f>SUM($E$7:E54)</x:f>
        <x:v>3572000</x:v>
      </x:c>
      <x:c r="G54" s="20" t="n">
        <x:v>8</x:v>
      </x:c>
      <x:c r="H54" s="20" t="n">
        <x:v>5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187000</x:v>
      </x:c>
      <x:c r="D55" s="19" t="n">
        <x:v>135000</x:v>
      </x:c>
      <x:c r="E55" s="19" t="n">
        <x:f>C55-D55</x:f>
        <x:v>52000</x:v>
      </x:c>
      <x:c r="F55" s="19" t="n">
        <x:f>SUM($E$7:E55)</x:f>
        <x:v>3624000</x:v>
      </x:c>
      <x:c r="G55" s="20" t="n">
        <x:v>12</x:v>
      </x:c>
      <x:c r="H55" s="20" t="n">
        <x:v>9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3593000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7179000</x:v>
      </x:c>
      <x:c r="D57" s="21" t="n">
        <x:f>SUM(D7:D56)</x:f>
        <x:v>3586000</x:v>
      </x:c>
      <x:c r="E57" s="21" t="n">
        <x:f>SUM(E7:E56)</x:f>
        <x:v>3593000</x:v>
      </x:c>
      <x:c r="F57" s="21" t="n">
        <x:f>F56</x:f>
        <x:v>3593000</x:v>
      </x:c>
      <x:c r="G57" s="22" t="n">
        <x:f>SUM(G7:G56)</x:f>
        <x:v>367</x:v>
      </x:c>
      <x:c r="H57" s="22" t="n">
        <x:f>SUM(H7:H56)</x:f>
        <x:v>267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2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357b12421b348b6"/>
  </x:tableParts>
</x:worksheet>
</file>

<file path=xl/worksheets/sheet27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R08　反対候補へ切替・返済後300秒から再評価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基本・別入口の残り1枚の扱いを変更。反対候補へ切替・返済後300秒から再評価。追加担当は基準と同じ。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-29000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-33000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107000</x:v>
      </x:c>
      <x:c r="D13" s="19" t="n">
        <x:v>60000</x:v>
      </x:c>
      <x:c r="E13" s="19" t="n">
        <x:f>C13-D13</x:f>
        <x:v>47000</x:v>
      </x:c>
      <x:c r="F13" s="19" t="n">
        <x:f>SUM($E$7:E13)</x:f>
        <x:v>-22000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-2000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157000</x:v>
      </x:c>
      <x:c r="D15" s="19" t="n">
        <x:v>46000</x:v>
      </x:c>
      <x:c r="E15" s="19" t="n">
        <x:f>C15-D15</x:f>
        <x:v>111000</x:v>
      </x:c>
      <x:c r="F15" s="19" t="n">
        <x:f>SUM($E$7:E15)</x:f>
        <x:v>109000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105000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273000</x:v>
      </x:c>
      <x:c r="D17" s="19" t="n">
        <x:v>151000</x:v>
      </x:c>
      <x:c r="E17" s="19" t="n">
        <x:f>C17-D17</x:f>
        <x:v>122000</x:v>
      </x:c>
      <x:c r="F17" s="19" t="n">
        <x:f>SUM($E$7:E17)</x:f>
        <x:v>227000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188000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240000</x:v>
      </x:c>
      <x:c r="D19" s="19" t="n">
        <x:v>127000</x:v>
      </x:c>
      <x:c r="E19" s="19" t="n">
        <x:f>C19-D19</x:f>
        <x:v>113000</x:v>
      </x:c>
      <x:c r="F19" s="19" t="n">
        <x:f>SUM($E$7:E19)</x:f>
        <x:v>301000</x:v>
      </x:c>
      <x:c r="G19" s="20" t="n">
        <x:v>9</x:v>
      </x:c>
      <x:c r="H19" s="20" t="n">
        <x:v>6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352000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427000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454000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472000</x:v>
      </x:c>
      <x:c r="D23" s="19" t="n">
        <x:v>84000</x:v>
      </x:c>
      <x:c r="E23" s="19" t="n">
        <x:f>C23-D23</x:f>
        <x:v>388000</x:v>
      </x:c>
      <x:c r="F23" s="19" t="n">
        <x:f>SUM($E$7:E23)</x:f>
        <x:v>842000</x:v>
      </x:c>
      <x:c r="G23" s="20" t="n">
        <x:v>5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154000</x:v>
      </x:c>
      <x:c r="D24" s="19" t="n">
        <x:v>85000</x:v>
      </x:c>
      <x:c r="E24" s="19" t="n">
        <x:f>C24-D24</x:f>
        <x:v>69000</x:v>
      </x:c>
      <x:c r="F24" s="19" t="n">
        <x:f>SUM($E$7:E24)</x:f>
        <x:v>911000</x:v>
      </x:c>
      <x:c r="G24" s="20" t="n">
        <x:v>12</x:v>
      </x:c>
      <x:c r="H24" s="20" t="n">
        <x:v>8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65000</x:v>
      </x:c>
      <x:c r="D25" s="19" t="n">
        <x:v>107000</x:v>
      </x:c>
      <x:c r="E25" s="19" t="n">
        <x:f>C25-D25</x:f>
        <x:v>-42000</x:v>
      </x:c>
      <x:c r="F25" s="19" t="n">
        <x:f>SUM($E$7:E25)</x:f>
        <x:v>869000</x:v>
      </x:c>
      <x:c r="G25" s="20" t="n">
        <x:v>9</x:v>
      </x:c>
      <x:c r="H25" s="20" t="n">
        <x:v>5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265000</x:v>
      </x:c>
      <x:c r="D26" s="19" t="n">
        <x:v>1000</x:v>
      </x:c>
      <x:c r="E26" s="19" t="n">
        <x:f>C26-D26</x:f>
        <x:v>264000</x:v>
      </x:c>
      <x:c r="F26" s="19" t="n">
        <x:f>SUM($E$7:E26)</x:f>
        <x:v>1133000</x:v>
      </x:c>
      <x:c r="G26" s="20" t="n">
        <x:v>13</x:v>
      </x:c>
      <x:c r="H26" s="20" t="n">
        <x:v>8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85000</x:v>
      </x:c>
      <x:c r="D27" s="19" t="n">
        <x:v>148000</x:v>
      </x:c>
      <x:c r="E27" s="19" t="n">
        <x:f>C27-D27</x:f>
        <x:v>-63000</x:v>
      </x:c>
      <x:c r="F27" s="19" t="n">
        <x:f>SUM($E$7:E27)</x:f>
        <x:v>1070000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94000</x:v>
      </x:c>
      <x:c r="D28" s="19" t="n">
        <x:v>20000</x:v>
      </x:c>
      <x:c r="E28" s="19" t="n">
        <x:f>C28-D28</x:f>
        <x:v>74000</x:v>
      </x:c>
      <x:c r="F28" s="19" t="n">
        <x:f>SUM($E$7:E28)</x:f>
        <x:v>1144000</x:v>
      </x:c>
      <x:c r="G28" s="20" t="n">
        <x:v>5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267000</x:v>
      </x:c>
      <x:c r="D29" s="19" t="n">
        <x:v>138000</x:v>
      </x:c>
      <x:c r="E29" s="19" t="n">
        <x:f>C29-D29</x:f>
        <x:v>129000</x:v>
      </x:c>
      <x:c r="F29" s="19" t="n">
        <x:f>SUM($E$7:E29)</x:f>
        <x:v>1273000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1263000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96000</x:v>
      </x:c>
      <x:c r="D31" s="19" t="n">
        <x:v>42000</x:v>
      </x:c>
      <x:c r="E31" s="19" t="n">
        <x:f>C31-D31</x:f>
        <x:v>54000</x:v>
      </x:c>
      <x:c r="F31" s="19" t="n">
        <x:f>SUM($E$7:E31)</x:f>
        <x:v>1317000</x:v>
      </x:c>
      <x:c r="G31" s="20" t="n">
        <x:v>7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1274000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207000</x:v>
      </x:c>
      <x:c r="D33" s="19" t="n">
        <x:v>130000</x:v>
      </x:c>
      <x:c r="E33" s="19" t="n">
        <x:f>C33-D33</x:f>
        <x:v>77000</x:v>
      </x:c>
      <x:c r="F33" s="19" t="n">
        <x:f>SUM($E$7:E33)</x:f>
        <x:v>1351000</x:v>
      </x:c>
      <x:c r="G33" s="20" t="n">
        <x:v>12</x:v>
      </x:c>
      <x:c r="H33" s="20" t="n">
        <x:v>9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144000</x:v>
      </x:c>
      <x:c r="D34" s="19" t="n">
        <x:v>0</x:v>
      </x:c>
      <x:c r="E34" s="19" t="n">
        <x:f>C34-D34</x:f>
        <x:v>144000</x:v>
      </x:c>
      <x:c r="F34" s="19" t="n">
        <x:f>SUM($E$7:E34)</x:f>
        <x:v>1495000</x:v>
      </x:c>
      <x:c r="G34" s="20" t="n">
        <x:v>8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134000</x:v>
      </x:c>
      <x:c r="D35" s="19" t="n">
        <x:v>68000</x:v>
      </x:c>
      <x:c r="E35" s="19" t="n">
        <x:f>C35-D35</x:f>
        <x:v>66000</x:v>
      </x:c>
      <x:c r="F35" s="19" t="n">
        <x:f>SUM($E$7:E35)</x:f>
        <x:v>1561000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1575000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1555000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1662000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83000</x:v>
      </x:c>
      <x:c r="D39" s="19" t="n">
        <x:v>165000</x:v>
      </x:c>
      <x:c r="E39" s="19" t="n">
        <x:f>C39-D39</x:f>
        <x:v>-82000</x:v>
      </x:c>
      <x:c r="F39" s="19" t="n">
        <x:f>SUM($E$7:E39)</x:f>
        <x:v>1580000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1527000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1604000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1779000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454000</x:v>
      </x:c>
      <x:c r="D43" s="19" t="n">
        <x:v>180000</x:v>
      </x:c>
      <x:c r="E43" s="19" t="n">
        <x:f>C43-D43</x:f>
        <x:v>274000</x:v>
      </x:c>
      <x:c r="F43" s="19" t="n">
        <x:f>SUM($E$7:E43)</x:f>
        <x:v>2053000</x:v>
      </x:c>
      <x:c r="G43" s="20" t="n">
        <x:v>18</x:v>
      </x:c>
      <x:c r="H43" s="20" t="n">
        <x:v>12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2033000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87000</x:v>
      </x:c>
      <x:c r="D45" s="19" t="n">
        <x:v>168000</x:v>
      </x:c>
      <x:c r="E45" s="19" t="n">
        <x:f>C45-D45</x:f>
        <x:v>-81000</x:v>
      </x:c>
      <x:c r="F45" s="19" t="n">
        <x:f>SUM($E$7:E45)</x:f>
        <x:v>1952000</x:v>
      </x:c>
      <x:c r="G45" s="20" t="n">
        <x:v>15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160000</x:v>
      </x:c>
      <x:c r="D46" s="19" t="n">
        <x:v>142000</x:v>
      </x:c>
      <x:c r="E46" s="19" t="n">
        <x:f>C46-D46</x:f>
        <x:v>18000</x:v>
      </x:c>
      <x:c r="F46" s="19" t="n">
        <x:f>SUM($E$7:E46)</x:f>
        <x:v>1970000</x:v>
      </x:c>
      <x:c r="G46" s="20" t="n">
        <x:v>14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362000</x:v>
      </x:c>
      <x:c r="D47" s="19" t="n">
        <x:v>44000</x:v>
      </x:c>
      <x:c r="E47" s="19" t="n">
        <x:f>C47-D47</x:f>
        <x:v>318000</x:v>
      </x:c>
      <x:c r="F47" s="19" t="n">
        <x:f>SUM($E$7:E47)</x:f>
        <x:v>2288000</x:v>
      </x:c>
      <x:c r="G47" s="20" t="n">
        <x:v>13</x:v>
      </x:c>
      <x:c r="H47" s="20" t="n">
        <x:v>8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95000</x:v>
      </x:c>
      <x:c r="D48" s="19" t="n">
        <x:v>34000</x:v>
      </x:c>
      <x:c r="E48" s="19" t="n">
        <x:f>C48-D48</x:f>
        <x:v>61000</x:v>
      </x:c>
      <x:c r="F48" s="19" t="n">
        <x:f>SUM($E$7:E48)</x:f>
        <x:v>2349000</x:v>
      </x:c>
      <x:c r="G48" s="20" t="n">
        <x:v>9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165000</x:v>
      </x:c>
      <x:c r="D49" s="19" t="n">
        <x:v>214000</x:v>
      </x:c>
      <x:c r="E49" s="19" t="n">
        <x:f>C49-D49</x:f>
        <x:v>-49000</x:v>
      </x:c>
      <x:c r="F49" s="19" t="n">
        <x:f>SUM($E$7:E49)</x:f>
        <x:v>2300000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532000</x:v>
      </x:c>
      <x:c r="D50" s="19" t="n">
        <x:v>0</x:v>
      </x:c>
      <x:c r="E50" s="19" t="n">
        <x:f>C50-D50</x:f>
        <x:v>532000</x:v>
      </x:c>
      <x:c r="F50" s="19" t="n">
        <x:f>SUM($E$7:E50)</x:f>
        <x:v>2832000</x:v>
      </x:c>
      <x:c r="G50" s="20" t="n">
        <x:v>11</x:v>
      </x:c>
      <x:c r="H50" s="20" t="n">
        <x:v>6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221000</x:v>
      </x:c>
      <x:c r="D51" s="19" t="n">
        <x:v>228000</x:v>
      </x:c>
      <x:c r="E51" s="19" t="n">
        <x:f>C51-D51</x:f>
        <x:v>-7000</x:v>
      </x:c>
      <x:c r="F51" s="19" t="n">
        <x:f>SUM($E$7:E51)</x:f>
        <x:v>2825000</x:v>
      </x:c>
      <x:c r="G51" s="20" t="n">
        <x:v>15</x:v>
      </x:c>
      <x:c r="H51" s="20" t="n">
        <x:v>11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2785000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727000</x:v>
      </x:c>
      <x:c r="D53" s="19" t="n">
        <x:v>70000</x:v>
      </x:c>
      <x:c r="E53" s="19" t="n">
        <x:f>C53-D53</x:f>
        <x:v>657000</x:v>
      </x:c>
      <x:c r="F53" s="19" t="n">
        <x:f>SUM($E$7:E53)</x:f>
        <x:v>3442000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178000</x:v>
      </x:c>
      <x:c r="D54" s="19" t="n">
        <x:v>42000</x:v>
      </x:c>
      <x:c r="E54" s="19" t="n">
        <x:f>C54-D54</x:f>
        <x:v>136000</x:v>
      </x:c>
      <x:c r="F54" s="19" t="n">
        <x:f>SUM($E$7:E54)</x:f>
        <x:v>3578000</x:v>
      </x:c>
      <x:c r="G54" s="20" t="n">
        <x:v>8</x:v>
      </x:c>
      <x:c r="H54" s="20" t="n">
        <x:v>5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187000</x:v>
      </x:c>
      <x:c r="D55" s="19" t="n">
        <x:v>127000</x:v>
      </x:c>
      <x:c r="E55" s="19" t="n">
        <x:f>C55-D55</x:f>
        <x:v>60000</x:v>
      </x:c>
      <x:c r="F55" s="19" t="n">
        <x:f>SUM($E$7:E55)</x:f>
        <x:v>3638000</x:v>
      </x:c>
      <x:c r="G55" s="20" t="n">
        <x:v>10</x:v>
      </x:c>
      <x:c r="H55" s="20" t="n">
        <x:v>8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3607000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7166000</x:v>
      </x:c>
      <x:c r="D57" s="21" t="n">
        <x:f>SUM(D7:D56)</x:f>
        <x:v>3559000</x:v>
      </x:c>
      <x:c r="E57" s="21" t="n">
        <x:f>SUM(E7:E56)</x:f>
        <x:v>3607000</x:v>
      </x:c>
      <x:c r="F57" s="21" t="n">
        <x:f>F56</x:f>
        <x:v>3607000</x:v>
      </x:c>
      <x:c r="G57" s="22" t="n">
        <x:f>SUM(G7:G56)</x:f>
        <x:v>361</x:v>
      </x:c>
      <x:c r="H57" s="22" t="n">
        <x:f>SUM(H7:H56)</x:f>
        <x:v>263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2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da8d46eee8840f9"/>
  </x:tableParts>
</x:worksheet>
</file>

<file path=xl/worksheets/sheet28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R09　反対候補へ切替・返済後900秒から再評価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基本・別入口の残り1枚の扱いを変更。反対候補へ切替・返済後900秒から再評価。追加担当は基準と同じ。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-29000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-33000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107000</x:v>
      </x:c>
      <x:c r="D13" s="19" t="n">
        <x:v>60000</x:v>
      </x:c>
      <x:c r="E13" s="19" t="n">
        <x:f>C13-D13</x:f>
        <x:v>47000</x:v>
      </x:c>
      <x:c r="F13" s="19" t="n">
        <x:f>SUM($E$7:E13)</x:f>
        <x:v>-22000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-2000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157000</x:v>
      </x:c>
      <x:c r="D15" s="19" t="n">
        <x:v>46000</x:v>
      </x:c>
      <x:c r="E15" s="19" t="n">
        <x:f>C15-D15</x:f>
        <x:v>111000</x:v>
      </x:c>
      <x:c r="F15" s="19" t="n">
        <x:f>SUM($E$7:E15)</x:f>
        <x:v>109000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105000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273000</x:v>
      </x:c>
      <x:c r="D17" s="19" t="n">
        <x:v>151000</x:v>
      </x:c>
      <x:c r="E17" s="19" t="n">
        <x:f>C17-D17</x:f>
        <x:v>122000</x:v>
      </x:c>
      <x:c r="F17" s="19" t="n">
        <x:f>SUM($E$7:E17)</x:f>
        <x:v>227000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188000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143000</x:v>
      </x:c>
      <x:c r="D19" s="19" t="n">
        <x:v>127000</x:v>
      </x:c>
      <x:c r="E19" s="19" t="n">
        <x:f>C19-D19</x:f>
        <x:v>16000</x:v>
      </x:c>
      <x:c r="F19" s="19" t="n">
        <x:f>SUM($E$7:E19)</x:f>
        <x:v>204000</x:v>
      </x:c>
      <x:c r="G19" s="20" t="n">
        <x:v>8</x:v>
      </x:c>
      <x:c r="H19" s="20" t="n">
        <x:v>5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255000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330000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357000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472000</x:v>
      </x:c>
      <x:c r="D23" s="19" t="n">
        <x:v>84000</x:v>
      </x:c>
      <x:c r="E23" s="19" t="n">
        <x:f>C23-D23</x:f>
        <x:v>388000</x:v>
      </x:c>
      <x:c r="F23" s="19" t="n">
        <x:f>SUM($E$7:E23)</x:f>
        <x:v>745000</x:v>
      </x:c>
      <x:c r="G23" s="20" t="n">
        <x:v>5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154000</x:v>
      </x:c>
      <x:c r="D24" s="19" t="n">
        <x:v>85000</x:v>
      </x:c>
      <x:c r="E24" s="19" t="n">
        <x:f>C24-D24</x:f>
        <x:v>69000</x:v>
      </x:c>
      <x:c r="F24" s="19" t="n">
        <x:f>SUM($E$7:E24)</x:f>
        <x:v>814000</x:v>
      </x:c>
      <x:c r="G24" s="20" t="n">
        <x:v>12</x:v>
      </x:c>
      <x:c r="H24" s="20" t="n">
        <x:v>8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65000</x:v>
      </x:c>
      <x:c r="D25" s="19" t="n">
        <x:v>107000</x:v>
      </x:c>
      <x:c r="E25" s="19" t="n">
        <x:f>C25-D25</x:f>
        <x:v>-42000</x:v>
      </x:c>
      <x:c r="F25" s="19" t="n">
        <x:f>SUM($E$7:E25)</x:f>
        <x:v>772000</x:v>
      </x:c>
      <x:c r="G25" s="20" t="n">
        <x:v>9</x:v>
      </x:c>
      <x:c r="H25" s="20" t="n">
        <x:v>5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182000</x:v>
      </x:c>
      <x:c r="D26" s="19" t="n">
        <x:v>1000</x:v>
      </x:c>
      <x:c r="E26" s="19" t="n">
        <x:f>C26-D26</x:f>
        <x:v>181000</x:v>
      </x:c>
      <x:c r="F26" s="19" t="n">
        <x:f>SUM($E$7:E26)</x:f>
        <x:v>953000</x:v>
      </x:c>
      <x:c r="G26" s="20" t="n">
        <x:v>12</x:v>
      </x:c>
      <x:c r="H26" s="20" t="n">
        <x:v>7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85000</x:v>
      </x:c>
      <x:c r="D27" s="19" t="n">
        <x:v>148000</x:v>
      </x:c>
      <x:c r="E27" s="19" t="n">
        <x:f>C27-D27</x:f>
        <x:v>-63000</x:v>
      </x:c>
      <x:c r="F27" s="19" t="n">
        <x:f>SUM($E$7:E27)</x:f>
        <x:v>890000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94000</x:v>
      </x:c>
      <x:c r="D28" s="19" t="n">
        <x:v>20000</x:v>
      </x:c>
      <x:c r="E28" s="19" t="n">
        <x:f>C28-D28</x:f>
        <x:v>74000</x:v>
      </x:c>
      <x:c r="F28" s="19" t="n">
        <x:f>SUM($E$7:E28)</x:f>
        <x:v>964000</x:v>
      </x:c>
      <x:c r="G28" s="20" t="n">
        <x:v>5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267000</x:v>
      </x:c>
      <x:c r="D29" s="19" t="n">
        <x:v>138000</x:v>
      </x:c>
      <x:c r="E29" s="19" t="n">
        <x:f>C29-D29</x:f>
        <x:v>129000</x:v>
      </x:c>
      <x:c r="F29" s="19" t="n">
        <x:f>SUM($E$7:E29)</x:f>
        <x:v>1093000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1083000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96000</x:v>
      </x:c>
      <x:c r="D31" s="19" t="n">
        <x:v>42000</x:v>
      </x:c>
      <x:c r="E31" s="19" t="n">
        <x:f>C31-D31</x:f>
        <x:v>54000</x:v>
      </x:c>
      <x:c r="F31" s="19" t="n">
        <x:f>SUM($E$7:E31)</x:f>
        <x:v>1137000</x:v>
      </x:c>
      <x:c r="G31" s="20" t="n">
        <x:v>7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1094000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204000</x:v>
      </x:c>
      <x:c r="D33" s="19" t="n">
        <x:v>137000</x:v>
      </x:c>
      <x:c r="E33" s="19" t="n">
        <x:f>C33-D33</x:f>
        <x:v>67000</x:v>
      </x:c>
      <x:c r="F33" s="19" t="n">
        <x:f>SUM($E$7:E33)</x:f>
        <x:v>1161000</x:v>
      </x:c>
      <x:c r="G33" s="20" t="n">
        <x:v>12</x:v>
      </x:c>
      <x:c r="H33" s="20" t="n">
        <x:v>9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144000</x:v>
      </x:c>
      <x:c r="D34" s="19" t="n">
        <x:v>0</x:v>
      </x:c>
      <x:c r="E34" s="19" t="n">
        <x:f>C34-D34</x:f>
        <x:v>144000</x:v>
      </x:c>
      <x:c r="F34" s="19" t="n">
        <x:f>SUM($E$7:E34)</x:f>
        <x:v>1305000</x:v>
      </x:c>
      <x:c r="G34" s="20" t="n">
        <x:v>8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134000</x:v>
      </x:c>
      <x:c r="D35" s="19" t="n">
        <x:v>68000</x:v>
      </x:c>
      <x:c r="E35" s="19" t="n">
        <x:f>C35-D35</x:f>
        <x:v>66000</x:v>
      </x:c>
      <x:c r="F35" s="19" t="n">
        <x:f>SUM($E$7:E35)</x:f>
        <x:v>1371000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1385000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1365000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1472000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83000</x:v>
      </x:c>
      <x:c r="D39" s="19" t="n">
        <x:v>165000</x:v>
      </x:c>
      <x:c r="E39" s="19" t="n">
        <x:f>C39-D39</x:f>
        <x:v>-82000</x:v>
      </x:c>
      <x:c r="F39" s="19" t="n">
        <x:f>SUM($E$7:E39)</x:f>
        <x:v>1390000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1337000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1414000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1589000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454000</x:v>
      </x:c>
      <x:c r="D43" s="19" t="n">
        <x:v>154000</x:v>
      </x:c>
      <x:c r="E43" s="19" t="n">
        <x:f>C43-D43</x:f>
        <x:v>300000</x:v>
      </x:c>
      <x:c r="F43" s="19" t="n">
        <x:f>SUM($E$7:E43)</x:f>
        <x:v>1889000</x:v>
      </x:c>
      <x:c r="G43" s="20" t="n">
        <x:v>17</x:v>
      </x:c>
      <x:c r="H43" s="20" t="n">
        <x:v>11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1869000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87000</x:v>
      </x:c>
      <x:c r="D45" s="19" t="n">
        <x:v>168000</x:v>
      </x:c>
      <x:c r="E45" s="19" t="n">
        <x:f>C45-D45</x:f>
        <x:v>-81000</x:v>
      </x:c>
      <x:c r="F45" s="19" t="n">
        <x:f>SUM($E$7:E45)</x:f>
        <x:v>1788000</x:v>
      </x:c>
      <x:c r="G45" s="20" t="n">
        <x:v>15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160000</x:v>
      </x:c>
      <x:c r="D46" s="19" t="n">
        <x:v>142000</x:v>
      </x:c>
      <x:c r="E46" s="19" t="n">
        <x:f>C46-D46</x:f>
        <x:v>18000</x:v>
      </x:c>
      <x:c r="F46" s="19" t="n">
        <x:f>SUM($E$7:E46)</x:f>
        <x:v>1806000</x:v>
      </x:c>
      <x:c r="G46" s="20" t="n">
        <x:v>14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362000</x:v>
      </x:c>
      <x:c r="D47" s="19" t="n">
        <x:v>44000</x:v>
      </x:c>
      <x:c r="E47" s="19" t="n">
        <x:f>C47-D47</x:f>
        <x:v>318000</x:v>
      </x:c>
      <x:c r="F47" s="19" t="n">
        <x:f>SUM($E$7:E47)</x:f>
        <x:v>2124000</x:v>
      </x:c>
      <x:c r="G47" s="20" t="n">
        <x:v>13</x:v>
      </x:c>
      <x:c r="H47" s="20" t="n">
        <x:v>8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95000</x:v>
      </x:c>
      <x:c r="D48" s="19" t="n">
        <x:v>34000</x:v>
      </x:c>
      <x:c r="E48" s="19" t="n">
        <x:f>C48-D48</x:f>
        <x:v>61000</x:v>
      </x:c>
      <x:c r="F48" s="19" t="n">
        <x:f>SUM($E$7:E48)</x:f>
        <x:v>2185000</x:v>
      </x:c>
      <x:c r="G48" s="20" t="n">
        <x:v>9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165000</x:v>
      </x:c>
      <x:c r="D49" s="19" t="n">
        <x:v>214000</x:v>
      </x:c>
      <x:c r="E49" s="19" t="n">
        <x:f>C49-D49</x:f>
        <x:v>-49000</x:v>
      </x:c>
      <x:c r="F49" s="19" t="n">
        <x:f>SUM($E$7:E49)</x:f>
        <x:v>2136000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532000</x:v>
      </x:c>
      <x:c r="D50" s="19" t="n">
        <x:v>0</x:v>
      </x:c>
      <x:c r="E50" s="19" t="n">
        <x:f>C50-D50</x:f>
        <x:v>532000</x:v>
      </x:c>
      <x:c r="F50" s="19" t="n">
        <x:f>SUM($E$7:E50)</x:f>
        <x:v>2668000</x:v>
      </x:c>
      <x:c r="G50" s="20" t="n">
        <x:v>11</x:v>
      </x:c>
      <x:c r="H50" s="20" t="n">
        <x:v>6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221000</x:v>
      </x:c>
      <x:c r="D51" s="19" t="n">
        <x:v>200000</x:v>
      </x:c>
      <x:c r="E51" s="19" t="n">
        <x:f>C51-D51</x:f>
        <x:v>21000</x:v>
      </x:c>
      <x:c r="F51" s="19" t="n">
        <x:f>SUM($E$7:E51)</x:f>
        <x:v>2689000</x:v>
      </x:c>
      <x:c r="G51" s="20" t="n">
        <x:v>14</x:v>
      </x:c>
      <x:c r="H51" s="20" t="n">
        <x:v>10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2649000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727000</x:v>
      </x:c>
      <x:c r="D53" s="19" t="n">
        <x:v>70000</x:v>
      </x:c>
      <x:c r="E53" s="19" t="n">
        <x:f>C53-D53</x:f>
        <x:v>657000</x:v>
      </x:c>
      <x:c r="F53" s="19" t="n">
        <x:f>SUM($E$7:E53)</x:f>
        <x:v>3306000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178000</x:v>
      </x:c>
      <x:c r="D54" s="19" t="n">
        <x:v>10000</x:v>
      </x:c>
      <x:c r="E54" s="19" t="n">
        <x:f>C54-D54</x:f>
        <x:v>168000</x:v>
      </x:c>
      <x:c r="F54" s="19" t="n">
        <x:f>SUM($E$7:E54)</x:f>
        <x:v>3474000</x:v>
      </x:c>
      <x:c r="G54" s="20" t="n">
        <x:v>6</x:v>
      </x:c>
      <x:c r="H54" s="20" t="n">
        <x:v>4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187000</x:v>
      </x:c>
      <x:c r="D55" s="19" t="n">
        <x:v>127000</x:v>
      </x:c>
      <x:c r="E55" s="19" t="n">
        <x:f>C55-D55</x:f>
        <x:v>60000</x:v>
      </x:c>
      <x:c r="F55" s="19" t="n">
        <x:f>SUM($E$7:E55)</x:f>
        <x:v>3534000</x:v>
      </x:c>
      <x:c r="G55" s="20" t="n">
        <x:v>10</x:v>
      </x:c>
      <x:c r="H55" s="20" t="n">
        <x:v>8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3503000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6983000</x:v>
      </x:c>
      <x:c r="D57" s="21" t="n">
        <x:f>SUM(D7:D56)</x:f>
        <x:v>3480000</x:v>
      </x:c>
      <x:c r="E57" s="21" t="n">
        <x:f>SUM(E7:E56)</x:f>
        <x:v>3503000</x:v>
      </x:c>
      <x:c r="F57" s="21" t="n">
        <x:f>F56</x:f>
        <x:v>3503000</x:v>
      </x:c>
      <x:c r="G57" s="22" t="n">
        <x:f>SUM(G7:G56)</x:f>
        <x:v>355</x:v>
      </x:c>
      <x:c r="H57" s="22" t="n">
        <x:f>SUM(H7:H56)</x:f>
        <x:v>258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2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d737cadf63c44bb"/>
  </x:tableParts>
</x:worksheet>
</file>

<file path=xl/worksheets/sheet29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R10　同方向も含む新候補へ切替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基本・別入口の残り1枚の扱いを変更。同方向も含む新候補へ切替。追加担当は基準と同じ。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-29000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-33000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107000</x:v>
      </x:c>
      <x:c r="D13" s="19" t="n">
        <x:v>60000</x:v>
      </x:c>
      <x:c r="E13" s="19" t="n">
        <x:f>C13-D13</x:f>
        <x:v>47000</x:v>
      </x:c>
      <x:c r="F13" s="19" t="n">
        <x:f>SUM($E$7:E13)</x:f>
        <x:v>-22000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-2000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157000</x:v>
      </x:c>
      <x:c r="D15" s="19" t="n">
        <x:v>46000</x:v>
      </x:c>
      <x:c r="E15" s="19" t="n">
        <x:f>C15-D15</x:f>
        <x:v>111000</x:v>
      </x:c>
      <x:c r="F15" s="19" t="n">
        <x:f>SUM($E$7:E15)</x:f>
        <x:v>109000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105000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273000</x:v>
      </x:c>
      <x:c r="D17" s="19" t="n">
        <x:v>167000</x:v>
      </x:c>
      <x:c r="E17" s="19" t="n">
        <x:f>C17-D17</x:f>
        <x:v>106000</x:v>
      </x:c>
      <x:c r="F17" s="19" t="n">
        <x:f>SUM($E$7:E17)</x:f>
        <x:v>211000</x:v>
      </x:c>
      <x:c r="G17" s="20" t="n">
        <x:v>9</x:v>
      </x:c>
      <x:c r="H17" s="20" t="n">
        <x:v>8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172000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250000</x:v>
      </x:c>
      <x:c r="D19" s="19" t="n">
        <x:v>127000</x:v>
      </x:c>
      <x:c r="E19" s="19" t="n">
        <x:f>C19-D19</x:f>
        <x:v>123000</x:v>
      </x:c>
      <x:c r="F19" s="19" t="n">
        <x:f>SUM($E$7:E19)</x:f>
        <x:v>295000</x:v>
      </x:c>
      <x:c r="G19" s="20" t="n">
        <x:v>9</x:v>
      </x:c>
      <x:c r="H19" s="20" t="n">
        <x:v>6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89000</x:v>
      </x:c>
      <x:c r="D20" s="19" t="n">
        <x:v>72000</x:v>
      </x:c>
      <x:c r="E20" s="19" t="n">
        <x:f>C20-D20</x:f>
        <x:v>17000</x:v>
      </x:c>
      <x:c r="F20" s="19" t="n">
        <x:f>SUM($E$7:E20)</x:f>
        <x:v>312000</x:v>
      </x:c>
      <x:c r="G20" s="20" t="n">
        <x:v>7</x:v>
      </x:c>
      <x:c r="H20" s="20" t="n">
        <x:v>6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387000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414000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472000</x:v>
      </x:c>
      <x:c r="D23" s="19" t="n">
        <x:v>84000</x:v>
      </x:c>
      <x:c r="E23" s="19" t="n">
        <x:f>C23-D23</x:f>
        <x:v>388000</x:v>
      </x:c>
      <x:c r="F23" s="19" t="n">
        <x:f>SUM($E$7:E23)</x:f>
        <x:v>802000</x:v>
      </x:c>
      <x:c r="G23" s="20" t="n">
        <x:v>5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162000</x:v>
      </x:c>
      <x:c r="D24" s="19" t="n">
        <x:v>85000</x:v>
      </x:c>
      <x:c r="E24" s="19" t="n">
        <x:f>C24-D24</x:f>
        <x:v>77000</x:v>
      </x:c>
      <x:c r="F24" s="19" t="n">
        <x:f>SUM($E$7:E24)</x:f>
        <x:v>879000</x:v>
      </x:c>
      <x:c r="G24" s="20" t="n">
        <x:v>13</x:v>
      </x:c>
      <x:c r="H24" s="20" t="n">
        <x:v>9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65000</x:v>
      </x:c>
      <x:c r="D25" s="19" t="n">
        <x:v>107000</x:v>
      </x:c>
      <x:c r="E25" s="19" t="n">
        <x:f>C25-D25</x:f>
        <x:v>-42000</x:v>
      </x:c>
      <x:c r="F25" s="19" t="n">
        <x:f>SUM($E$7:E25)</x:f>
        <x:v>837000</x:v>
      </x:c>
      <x:c r="G25" s="20" t="n">
        <x:v>9</x:v>
      </x:c>
      <x:c r="H25" s="20" t="n">
        <x:v>5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285000</x:v>
      </x:c>
      <x:c r="D26" s="19" t="n">
        <x:v>25000</x:v>
      </x:c>
      <x:c r="E26" s="19" t="n">
        <x:f>C26-D26</x:f>
        <x:v>260000</x:v>
      </x:c>
      <x:c r="F26" s="19" t="n">
        <x:f>SUM($E$7:E26)</x:f>
        <x:v>1097000</x:v>
      </x:c>
      <x:c r="G26" s="20" t="n">
        <x:v>14</x:v>
      </x:c>
      <x:c r="H26" s="20" t="n">
        <x:v>9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70000</x:v>
      </x:c>
      <x:c r="D27" s="19" t="n">
        <x:v>148000</x:v>
      </x:c>
      <x:c r="E27" s="19" t="n">
        <x:f>C27-D27</x:f>
        <x:v>-78000</x:v>
      </x:c>
      <x:c r="F27" s="19" t="n">
        <x:f>SUM($E$7:E27)</x:f>
        <x:v>1019000</x:v>
      </x:c>
      <x:c r="G27" s="20" t="n">
        <x:v>13</x:v>
      </x:c>
      <x:c r="H27" s="20" t="n">
        <x:v>10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94000</x:v>
      </x:c>
      <x:c r="D28" s="19" t="n">
        <x:v>20000</x:v>
      </x:c>
      <x:c r="E28" s="19" t="n">
        <x:f>C28-D28</x:f>
        <x:v>74000</x:v>
      </x:c>
      <x:c r="F28" s="19" t="n">
        <x:f>SUM($E$7:E28)</x:f>
        <x:v>1093000</x:v>
      </x:c>
      <x:c r="G28" s="20" t="n">
        <x:v>5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267000</x:v>
      </x:c>
      <x:c r="D29" s="19" t="n">
        <x:v>138000</x:v>
      </x:c>
      <x:c r="E29" s="19" t="n">
        <x:f>C29-D29</x:f>
        <x:v>129000</x:v>
      </x:c>
      <x:c r="F29" s="19" t="n">
        <x:f>SUM($E$7:E29)</x:f>
        <x:v>1222000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1212000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96000</x:v>
      </x:c>
      <x:c r="D31" s="19" t="n">
        <x:v>42000</x:v>
      </x:c>
      <x:c r="E31" s="19" t="n">
        <x:f>C31-D31</x:f>
        <x:v>54000</x:v>
      </x:c>
      <x:c r="F31" s="19" t="n">
        <x:f>SUM($E$7:E31)</x:f>
        <x:v>1266000</x:v>
      </x:c>
      <x:c r="G31" s="20" t="n">
        <x:v>7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1223000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207000</x:v>
      </x:c>
      <x:c r="D33" s="19" t="n">
        <x:v>130000</x:v>
      </x:c>
      <x:c r="E33" s="19" t="n">
        <x:f>C33-D33</x:f>
        <x:v>77000</x:v>
      </x:c>
      <x:c r="F33" s="19" t="n">
        <x:f>SUM($E$7:E33)</x:f>
        <x:v>1300000</x:v>
      </x:c>
      <x:c r="G33" s="20" t="n">
        <x:v>12</x:v>
      </x:c>
      <x:c r="H33" s="20" t="n">
        <x:v>9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144000</x:v>
      </x:c>
      <x:c r="D34" s="19" t="n">
        <x:v>0</x:v>
      </x:c>
      <x:c r="E34" s="19" t="n">
        <x:f>C34-D34</x:f>
        <x:v>144000</x:v>
      </x:c>
      <x:c r="F34" s="19" t="n">
        <x:f>SUM($E$7:E34)</x:f>
        <x:v>1444000</x:v>
      </x:c>
      <x:c r="G34" s="20" t="n">
        <x:v>8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134000</x:v>
      </x:c>
      <x:c r="D35" s="19" t="n">
        <x:v>68000</x:v>
      </x:c>
      <x:c r="E35" s="19" t="n">
        <x:f>C35-D35</x:f>
        <x:v>66000</x:v>
      </x:c>
      <x:c r="F35" s="19" t="n">
        <x:f>SUM($E$7:E35)</x:f>
        <x:v>1510000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1524000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1504000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1611000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83000</x:v>
      </x:c>
      <x:c r="D39" s="19" t="n">
        <x:v>165000</x:v>
      </x:c>
      <x:c r="E39" s="19" t="n">
        <x:f>C39-D39</x:f>
        <x:v>-82000</x:v>
      </x:c>
      <x:c r="F39" s="19" t="n">
        <x:f>SUM($E$7:E39)</x:f>
        <x:v>1529000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1476000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1553000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266000</x:v>
      </x:c>
      <x:c r="D42" s="19" t="n">
        <x:v>61000</x:v>
      </x:c>
      <x:c r="E42" s="19" t="n">
        <x:f>C42-D42</x:f>
        <x:v>205000</x:v>
      </x:c>
      <x:c r="F42" s="19" t="n">
        <x:f>SUM($E$7:E42)</x:f>
        <x:v>1758000</x:v>
      </x:c>
      <x:c r="G42" s="20" t="n">
        <x:v>5</x:v>
      </x:c>
      <x:c r="H42" s="20" t="n">
        <x:v>5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454000</x:v>
      </x:c>
      <x:c r="D43" s="19" t="n">
        <x:v>180000</x:v>
      </x:c>
      <x:c r="E43" s="19" t="n">
        <x:f>C43-D43</x:f>
        <x:v>274000</x:v>
      </x:c>
      <x:c r="F43" s="19" t="n">
        <x:f>SUM($E$7:E43)</x:f>
        <x:v>2032000</x:v>
      </x:c>
      <x:c r="G43" s="20" t="n">
        <x:v>18</x:v>
      </x:c>
      <x:c r="H43" s="20" t="n">
        <x:v>12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2012000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87000</x:v>
      </x:c>
      <x:c r="D45" s="19" t="n">
        <x:v>168000</x:v>
      </x:c>
      <x:c r="E45" s="19" t="n">
        <x:f>C45-D45</x:f>
        <x:v>-81000</x:v>
      </x:c>
      <x:c r="F45" s="19" t="n">
        <x:f>SUM($E$7:E45)</x:f>
        <x:v>1931000</x:v>
      </x:c>
      <x:c r="G45" s="20" t="n">
        <x:v>15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160000</x:v>
      </x:c>
      <x:c r="D46" s="19" t="n">
        <x:v>142000</x:v>
      </x:c>
      <x:c r="E46" s="19" t="n">
        <x:f>C46-D46</x:f>
        <x:v>18000</x:v>
      </x:c>
      <x:c r="F46" s="19" t="n">
        <x:f>SUM($E$7:E46)</x:f>
        <x:v>1949000</x:v>
      </x:c>
      <x:c r="G46" s="20" t="n">
        <x:v>14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362000</x:v>
      </x:c>
      <x:c r="D47" s="19" t="n">
        <x:v>60000</x:v>
      </x:c>
      <x:c r="E47" s="19" t="n">
        <x:f>C47-D47</x:f>
        <x:v>302000</x:v>
      </x:c>
      <x:c r="F47" s="19" t="n">
        <x:f>SUM($E$7:E47)</x:f>
        <x:v>2251000</x:v>
      </x:c>
      <x:c r="G47" s="20" t="n">
        <x:v>14</x:v>
      </x:c>
      <x:c r="H47" s="20" t="n">
        <x:v>9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95000</x:v>
      </x:c>
      <x:c r="D48" s="19" t="n">
        <x:v>34000</x:v>
      </x:c>
      <x:c r="E48" s="19" t="n">
        <x:f>C48-D48</x:f>
        <x:v>61000</x:v>
      </x:c>
      <x:c r="F48" s="19" t="n">
        <x:f>SUM($E$7:E48)</x:f>
        <x:v>2312000</x:v>
      </x:c>
      <x:c r="G48" s="20" t="n">
        <x:v>9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165000</x:v>
      </x:c>
      <x:c r="D49" s="19" t="n">
        <x:v>214000</x:v>
      </x:c>
      <x:c r="E49" s="19" t="n">
        <x:f>C49-D49</x:f>
        <x:v>-49000</x:v>
      </x:c>
      <x:c r="F49" s="19" t="n">
        <x:f>SUM($E$7:E49)</x:f>
        <x:v>2263000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536000</x:v>
      </x:c>
      <x:c r="D50" s="19" t="n">
        <x:v>0</x:v>
      </x:c>
      <x:c r="E50" s="19" t="n">
        <x:f>C50-D50</x:f>
        <x:v>536000</x:v>
      </x:c>
      <x:c r="F50" s="19" t="n">
        <x:f>SUM($E$7:E50)</x:f>
        <x:v>2799000</x:v>
      </x:c>
      <x:c r="G50" s="20" t="n">
        <x:v>13</x:v>
      </x:c>
      <x:c r="H50" s="20" t="n">
        <x:v>7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212000</x:v>
      </x:c>
      <x:c r="D51" s="19" t="n">
        <x:v>232000</x:v>
      </x:c>
      <x:c r="E51" s="19" t="n">
        <x:f>C51-D51</x:f>
        <x:v>-20000</x:v>
      </x:c>
      <x:c r="F51" s="19" t="n">
        <x:f>SUM($E$7:E51)</x:f>
        <x:v>2779000</x:v>
      </x:c>
      <x:c r="G51" s="20" t="n">
        <x:v>16</x:v>
      </x:c>
      <x:c r="H51" s="20" t="n">
        <x:v>12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2739000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731000</x:v>
      </x:c>
      <x:c r="D53" s="19" t="n">
        <x:v>70000</x:v>
      </x:c>
      <x:c r="E53" s="19" t="n">
        <x:f>C53-D53</x:f>
        <x:v>661000</x:v>
      </x:c>
      <x:c r="F53" s="19" t="n">
        <x:f>SUM($E$7:E53)</x:f>
        <x:v>3400000</x:v>
      </x:c>
      <x:c r="G53" s="20" t="n">
        <x:v>9</x:v>
      </x:c>
      <x:c r="H53" s="20" t="n">
        <x:v>6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178000</x:v>
      </x:c>
      <x:c r="D54" s="19" t="n">
        <x:v>39000</x:v>
      </x:c>
      <x:c r="E54" s="19" t="n">
        <x:f>C54-D54</x:f>
        <x:v>139000</x:v>
      </x:c>
      <x:c r="F54" s="19" t="n">
        <x:f>SUM($E$7:E54)</x:f>
        <x:v>3539000</x:v>
      </x:c>
      <x:c r="G54" s="20" t="n">
        <x:v>8</x:v>
      </x:c>
      <x:c r="H54" s="20" t="n">
        <x:v>5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187000</x:v>
      </x:c>
      <x:c r="D55" s="19" t="n">
        <x:v>127000</x:v>
      </x:c>
      <x:c r="E55" s="19" t="n">
        <x:f>C55-D55</x:f>
        <x:v>60000</x:v>
      </x:c>
      <x:c r="F55" s="19" t="n">
        <x:f>SUM($E$7:E55)</x:f>
        <x:v>3599000</x:v>
      </x:c>
      <x:c r="G55" s="20" t="n">
        <x:v>12</x:v>
      </x:c>
      <x:c r="H55" s="20" t="n">
        <x:v>9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3568000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7234000</x:v>
      </x:c>
      <x:c r="D57" s="21" t="n">
        <x:f>SUM(D7:D56)</x:f>
        <x:v>3666000</x:v>
      </x:c>
      <x:c r="E57" s="21" t="n">
        <x:f>SUM(E7:E56)</x:f>
        <x:v>3568000</x:v>
      </x:c>
      <x:c r="F57" s="21" t="n">
        <x:f>F56</x:f>
        <x:v>3568000</x:v>
      </x:c>
      <x:c r="G57" s="22" t="n">
        <x:f>SUM(G7:G56)</x:f>
        <x:v>376</x:v>
      </x:c>
      <x:c r="H57" s="22" t="n">
        <x:f>SUM(H7:H56)</x:f>
        <x:v>274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2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3d8a38f53354242"/>
  </x:tableParts>
</x:worksheet>
</file>

<file path=xl/worksheets/sheet30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R11　反対60秒・既得益50%床・16呼値追尾上限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基本・別入口の残り1枚の扱いを変更。反対60秒・既得益50%床・16呼値追尾上限。追加担当は基準と同じ。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36000</x:v>
      </x:c>
      <x:c r="D10" s="19" t="n">
        <x:v>0</x:v>
      </x:c>
      <x:c r="E10" s="19" t="n">
        <x:f>C10-D10</x:f>
        <x:v>36000</x:v>
      </x:c>
      <x:c r="F10" s="19" t="n">
        <x:f>SUM($E$7:E10)</x:f>
        <x:v>-9000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-13000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-49000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144000</x:v>
      </x:c>
      <x:c r="D13" s="19" t="n">
        <x:v>60000</x:v>
      </x:c>
      <x:c r="E13" s="19" t="n">
        <x:f>C13-D13</x:f>
        <x:v>84000</x:v>
      </x:c>
      <x:c r="F13" s="19" t="n">
        <x:f>SUM($E$7:E13)</x:f>
        <x:v>35000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28000</x:v>
      </x:c>
      <x:c r="D14" s="19" t="n">
        <x:v>0</x:v>
      </x:c>
      <x:c r="E14" s="19" t="n">
        <x:f>C14-D14</x:f>
        <x:v>28000</x:v>
      </x:c>
      <x:c r="F14" s="19" t="n">
        <x:f>SUM($E$7:E14)</x:f>
        <x:v>63000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157000</x:v>
      </x:c>
      <x:c r="D15" s="19" t="n">
        <x:v>46000</x:v>
      </x:c>
      <x:c r="E15" s="19" t="n">
        <x:f>C15-D15</x:f>
        <x:v>111000</x:v>
      </x:c>
      <x:c r="F15" s="19" t="n">
        <x:f>SUM($E$7:E15)</x:f>
        <x:v>174000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17000</x:v>
      </x:c>
      <x:c r="D16" s="19" t="n">
        <x:v>16000</x:v>
      </x:c>
      <x:c r="E16" s="19" t="n">
        <x:f>C16-D16</x:f>
        <x:v>1000</x:v>
      </x:c>
      <x:c r="F16" s="19" t="n">
        <x:f>SUM($E$7:E16)</x:f>
        <x:v>175000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273000</x:v>
      </x:c>
      <x:c r="D17" s="19" t="n">
        <x:v>167000</x:v>
      </x:c>
      <x:c r="E17" s="19" t="n">
        <x:f>C17-D17</x:f>
        <x:v>106000</x:v>
      </x:c>
      <x:c r="F17" s="19" t="n">
        <x:f>SUM($E$7:E17)</x:f>
        <x:v>281000</x:v>
      </x:c>
      <x:c r="G17" s="20" t="n">
        <x:v>9</x:v>
      </x:c>
      <x:c r="H17" s="20" t="n">
        <x:v>8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242000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276000</x:v>
      </x:c>
      <x:c r="D19" s="19" t="n">
        <x:v>127000</x:v>
      </x:c>
      <x:c r="E19" s="19" t="n">
        <x:f>C19-D19</x:f>
        <x:v>149000</x:v>
      </x:c>
      <x:c r="F19" s="19" t="n">
        <x:f>SUM($E$7:E19)</x:f>
        <x:v>391000</x:v>
      </x:c>
      <x:c r="G19" s="20" t="n">
        <x:v>9</x:v>
      </x:c>
      <x:c r="H19" s="20" t="n">
        <x:v>6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104000</x:v>
      </x:c>
      <x:c r="D20" s="19" t="n">
        <x:v>22000</x:v>
      </x:c>
      <x:c r="E20" s="19" t="n">
        <x:f>C20-D20</x:f>
        <x:v>82000</x:v>
      </x:c>
      <x:c r="F20" s="19" t="n">
        <x:f>SUM($E$7:E20)</x:f>
        <x:v>473000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159000</x:v>
      </x:c>
      <x:c r="D21" s="19" t="n">
        <x:v>100000</x:v>
      </x:c>
      <x:c r="E21" s="19" t="n">
        <x:f>C21-D21</x:f>
        <x:v>59000</x:v>
      </x:c>
      <x:c r="F21" s="19" t="n">
        <x:f>SUM($E$7:E21)</x:f>
        <x:v>532000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45000</x:v>
      </x:c>
      <x:c r="D22" s="19" t="n">
        <x:v>0</x:v>
      </x:c>
      <x:c r="E22" s="19" t="n">
        <x:f>C22-D22</x:f>
        <x:v>45000</x:v>
      </x:c>
      <x:c r="F22" s="19" t="n">
        <x:f>SUM($E$7:E22)</x:f>
        <x:v>577000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472000</x:v>
      </x:c>
      <x:c r="D23" s="19" t="n">
        <x:v>84000</x:v>
      </x:c>
      <x:c r="E23" s="19" t="n">
        <x:f>C23-D23</x:f>
        <x:v>388000</x:v>
      </x:c>
      <x:c r="F23" s="19" t="n">
        <x:f>SUM($E$7:E23)</x:f>
        <x:v>965000</x:v>
      </x:c>
      <x:c r="G23" s="20" t="n">
        <x:v>5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103000</x:v>
      </x:c>
      <x:c r="D24" s="19" t="n">
        <x:v>85000</x:v>
      </x:c>
      <x:c r="E24" s="19" t="n">
        <x:f>C24-D24</x:f>
        <x:v>18000</x:v>
      </x:c>
      <x:c r="F24" s="19" t="n">
        <x:f>SUM($E$7:E24)</x:f>
        <x:v>983000</x:v>
      </x:c>
      <x:c r="G24" s="20" t="n">
        <x:v>13</x:v>
      </x:c>
      <x:c r="H24" s="20" t="n">
        <x:v>9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70000</x:v>
      </x:c>
      <x:c r="D25" s="19" t="n">
        <x:v>107000</x:v>
      </x:c>
      <x:c r="E25" s="19" t="n">
        <x:f>C25-D25</x:f>
        <x:v>-37000</x:v>
      </x:c>
      <x:c r="F25" s="19" t="n">
        <x:f>SUM($E$7:E25)</x:f>
        <x:v>946000</x:v>
      </x:c>
      <x:c r="G25" s="20" t="n">
        <x:v>9</x:v>
      </x:c>
      <x:c r="H25" s="20" t="n">
        <x:v>5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271000</x:v>
      </x:c>
      <x:c r="D26" s="19" t="n">
        <x:v>25000</x:v>
      </x:c>
      <x:c r="E26" s="19" t="n">
        <x:f>C26-D26</x:f>
        <x:v>246000</x:v>
      </x:c>
      <x:c r="F26" s="19" t="n">
        <x:f>SUM($E$7:E26)</x:f>
        <x:v>1192000</x:v>
      </x:c>
      <x:c r="G26" s="20" t="n">
        <x:v>14</x:v>
      </x:c>
      <x:c r="H26" s="20" t="n">
        <x:v>9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96000</x:v>
      </x:c>
      <x:c r="D27" s="19" t="n">
        <x:v>148000</x:v>
      </x:c>
      <x:c r="E27" s="19" t="n">
        <x:f>C27-D27</x:f>
        <x:v>-52000</x:v>
      </x:c>
      <x:c r="F27" s="19" t="n">
        <x:f>SUM($E$7:E27)</x:f>
        <x:v>1140000</x:v>
      </x:c>
      <x:c r="G27" s="20" t="n">
        <x:v>13</x:v>
      </x:c>
      <x:c r="H27" s="20" t="n">
        <x:v>10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101000</x:v>
      </x:c>
      <x:c r="D28" s="19" t="n">
        <x:v>20000</x:v>
      </x:c>
      <x:c r="E28" s="19" t="n">
        <x:f>C28-D28</x:f>
        <x:v>81000</x:v>
      </x:c>
      <x:c r="F28" s="19" t="n">
        <x:f>SUM($E$7:E28)</x:f>
        <x:v>1221000</x:v>
      </x:c>
      <x:c r="G28" s="20" t="n">
        <x:v>5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267000</x:v>
      </x:c>
      <x:c r="D29" s="19" t="n">
        <x:v>138000</x:v>
      </x:c>
      <x:c r="E29" s="19" t="n">
        <x:f>C29-D29</x:f>
        <x:v>129000</x:v>
      </x:c>
      <x:c r="F29" s="19" t="n">
        <x:f>SUM($E$7:E29)</x:f>
        <x:v>1350000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1340000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96000</x:v>
      </x:c>
      <x:c r="D31" s="19" t="n">
        <x:v>42000</x:v>
      </x:c>
      <x:c r="E31" s="19" t="n">
        <x:f>C31-D31</x:f>
        <x:v>54000</x:v>
      </x:c>
      <x:c r="F31" s="19" t="n">
        <x:f>SUM($E$7:E31)</x:f>
        <x:v>1394000</x:v>
      </x:c>
      <x:c r="G31" s="20" t="n">
        <x:v>7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1351000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196000</x:v>
      </x:c>
      <x:c r="D33" s="19" t="n">
        <x:v>130000</x:v>
      </x:c>
      <x:c r="E33" s="19" t="n">
        <x:f>C33-D33</x:f>
        <x:v>66000</x:v>
      </x:c>
      <x:c r="F33" s="19" t="n">
        <x:f>SUM($E$7:E33)</x:f>
        <x:v>1417000</x:v>
      </x:c>
      <x:c r="G33" s="20" t="n">
        <x:v>12</x:v>
      </x:c>
      <x:c r="H33" s="20" t="n">
        <x:v>9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187000</x:v>
      </x:c>
      <x:c r="D34" s="19" t="n">
        <x:v>0</x:v>
      </x:c>
      <x:c r="E34" s="19" t="n">
        <x:f>C34-D34</x:f>
        <x:v>187000</x:v>
      </x:c>
      <x:c r="F34" s="19" t="n">
        <x:f>SUM($E$7:E34)</x:f>
        <x:v>1604000</x:v>
      </x:c>
      <x:c r="G34" s="20" t="n">
        <x:v>8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84000</x:v>
      </x:c>
      <x:c r="D35" s="19" t="n">
        <x:v>68000</x:v>
      </x:c>
      <x:c r="E35" s="19" t="n">
        <x:f>C35-D35</x:f>
        <x:v>16000</x:v>
      </x:c>
      <x:c r="F35" s="19" t="n">
        <x:f>SUM($E$7:E35)</x:f>
        <x:v>1620000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18000</x:v>
      </x:c>
      <x:c r="D36" s="19" t="n">
        <x:v>0</x:v>
      </x:c>
      <x:c r="E36" s="19" t="n">
        <x:f>C36-D36</x:f>
        <x:v>18000</x:v>
      </x:c>
      <x:c r="F36" s="19" t="n">
        <x:f>SUM($E$7:E36)</x:f>
        <x:v>1638000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1618000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85000</x:v>
      </x:c>
      <x:c r="D38" s="19" t="n">
        <x:v>0</x:v>
      </x:c>
      <x:c r="E38" s="19" t="n">
        <x:f>C38-D38</x:f>
        <x:v>85000</x:v>
      </x:c>
      <x:c r="F38" s="19" t="n">
        <x:f>SUM($E$7:E38)</x:f>
        <x:v>1703000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83000</x:v>
      </x:c>
      <x:c r="D39" s="19" t="n">
        <x:v>165000</x:v>
      </x:c>
      <x:c r="E39" s="19" t="n">
        <x:f>C39-D39</x:f>
        <x:v>-82000</x:v>
      </x:c>
      <x:c r="F39" s="19" t="n">
        <x:f>SUM($E$7:E39)</x:f>
        <x:v>1621000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1568000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172000</x:v>
      </x:c>
      <x:c r="D41" s="19" t="n">
        <x:v>72000</x:v>
      </x:c>
      <x:c r="E41" s="19" t="n">
        <x:f>C41-D41</x:f>
        <x:v>100000</x:v>
      </x:c>
      <x:c r="F41" s="19" t="n">
        <x:f>SUM($E$7:E41)</x:f>
        <x:v>1668000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197000</x:v>
      </x:c>
      <x:c r="D42" s="19" t="n">
        <x:v>61000</x:v>
      </x:c>
      <x:c r="E42" s="19" t="n">
        <x:f>C42-D42</x:f>
        <x:v>136000</x:v>
      </x:c>
      <x:c r="F42" s="19" t="n">
        <x:f>SUM($E$7:E42)</x:f>
        <x:v>1804000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514000</x:v>
      </x:c>
      <x:c r="D43" s="19" t="n">
        <x:v>180000</x:v>
      </x:c>
      <x:c r="E43" s="19" t="n">
        <x:f>C43-D43</x:f>
        <x:v>334000</x:v>
      </x:c>
      <x:c r="F43" s="19" t="n">
        <x:f>SUM($E$7:E43)</x:f>
        <x:v>2138000</x:v>
      </x:c>
      <x:c r="G43" s="20" t="n">
        <x:v>18</x:v>
      </x:c>
      <x:c r="H43" s="20" t="n">
        <x:v>12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49000</x:v>
      </x:c>
      <x:c r="D44" s="19" t="n">
        <x:v>95000</x:v>
      </x:c>
      <x:c r="E44" s="19" t="n">
        <x:f>C44-D44</x:f>
        <x:v>-46000</x:v>
      </x:c>
      <x:c r="F44" s="19" t="n">
        <x:f>SUM($E$7:E44)</x:f>
        <x:v>2092000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130000</x:v>
      </x:c>
      <x:c r="D45" s="19" t="n">
        <x:v>168000</x:v>
      </x:c>
      <x:c r="E45" s="19" t="n">
        <x:f>C45-D45</x:f>
        <x:v>-38000</x:v>
      </x:c>
      <x:c r="F45" s="19" t="n">
        <x:f>SUM($E$7:E45)</x:f>
        <x:v>2054000</x:v>
      </x:c>
      <x:c r="G45" s="20" t="n">
        <x:v>15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97000</x:v>
      </x:c>
      <x:c r="D46" s="19" t="n">
        <x:v>142000</x:v>
      </x:c>
      <x:c r="E46" s="19" t="n">
        <x:f>C46-D46</x:f>
        <x:v>-45000</x:v>
      </x:c>
      <x:c r="F46" s="19" t="n">
        <x:f>SUM($E$7:E46)</x:f>
        <x:v>2009000</x:v>
      </x:c>
      <x:c r="G46" s="20" t="n">
        <x:v>14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342000</x:v>
      </x:c>
      <x:c r="D47" s="19" t="n">
        <x:v>58000</x:v>
      </x:c>
      <x:c r="E47" s="19" t="n">
        <x:f>C47-D47</x:f>
        <x:v>284000</x:v>
      </x:c>
      <x:c r="F47" s="19" t="n">
        <x:f>SUM($E$7:E47)</x:f>
        <x:v>2293000</x:v>
      </x:c>
      <x:c r="G47" s="20" t="n">
        <x:v>14</x:v>
      </x:c>
      <x:c r="H47" s="20" t="n">
        <x:v>9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107000</x:v>
      </x:c>
      <x:c r="D48" s="19" t="n">
        <x:v>34000</x:v>
      </x:c>
      <x:c r="E48" s="19" t="n">
        <x:f>C48-D48</x:f>
        <x:v>73000</x:v>
      </x:c>
      <x:c r="F48" s="19" t="n">
        <x:f>SUM($E$7:E48)</x:f>
        <x:v>2366000</x:v>
      </x:c>
      <x:c r="G48" s="20" t="n">
        <x:v>9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168000</x:v>
      </x:c>
      <x:c r="D49" s="19" t="n">
        <x:v>214000</x:v>
      </x:c>
      <x:c r="E49" s="19" t="n">
        <x:f>C49-D49</x:f>
        <x:v>-46000</x:v>
      </x:c>
      <x:c r="F49" s="19" t="n">
        <x:f>SUM($E$7:E49)</x:f>
        <x:v>2320000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548000</x:v>
      </x:c>
      <x:c r="D50" s="19" t="n">
        <x:v>0</x:v>
      </x:c>
      <x:c r="E50" s="19" t="n">
        <x:f>C50-D50</x:f>
        <x:v>548000</x:v>
      </x:c>
      <x:c r="F50" s="19" t="n">
        <x:f>SUM($E$7:E50)</x:f>
        <x:v>2868000</x:v>
      </x:c>
      <x:c r="G50" s="20" t="n">
        <x:v>13</x:v>
      </x:c>
      <x:c r="H50" s="20" t="n">
        <x:v>7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229000</x:v>
      </x:c>
      <x:c r="D51" s="19" t="n">
        <x:v>232000</x:v>
      </x:c>
      <x:c r="E51" s="19" t="n">
        <x:f>C51-D51</x:f>
        <x:v>-3000</x:v>
      </x:c>
      <x:c r="F51" s="19" t="n">
        <x:f>SUM($E$7:E51)</x:f>
        <x:v>2865000</x:v>
      </x:c>
      <x:c r="G51" s="20" t="n">
        <x:v>16</x:v>
      </x:c>
      <x:c r="H51" s="20" t="n">
        <x:v>12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63000</x:v>
      </x:c>
      <x:c r="D52" s="19" t="n">
        <x:v>85000</x:v>
      </x:c>
      <x:c r="E52" s="19" t="n">
        <x:f>C52-D52</x:f>
        <x:v>-22000</x:v>
      </x:c>
      <x:c r="F52" s="19" t="n">
        <x:f>SUM($E$7:E52)</x:f>
        <x:v>2843000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696000</x:v>
      </x:c>
      <x:c r="D53" s="19" t="n">
        <x:v>70000</x:v>
      </x:c>
      <x:c r="E53" s="19" t="n">
        <x:f>C53-D53</x:f>
        <x:v>626000</x:v>
      </x:c>
      <x:c r="F53" s="19" t="n">
        <x:f>SUM($E$7:E53)</x:f>
        <x:v>3469000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170000</x:v>
      </x:c>
      <x:c r="D54" s="19" t="n">
        <x:v>39000</x:v>
      </x:c>
      <x:c r="E54" s="19" t="n">
        <x:f>C54-D54</x:f>
        <x:v>131000</x:v>
      </x:c>
      <x:c r="F54" s="19" t="n">
        <x:f>SUM($E$7:E54)</x:f>
        <x:v>3600000</x:v>
      </x:c>
      <x:c r="G54" s="20" t="n">
        <x:v>8</x:v>
      </x:c>
      <x:c r="H54" s="20" t="n">
        <x:v>5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157000</x:v>
      </x:c>
      <x:c r="D55" s="19" t="n">
        <x:v>127000</x:v>
      </x:c>
      <x:c r="E55" s="19" t="n">
        <x:f>C55-D55</x:f>
        <x:v>30000</x:v>
      </x:c>
      <x:c r="F55" s="19" t="n">
        <x:f>SUM($E$7:E55)</x:f>
        <x:v>3630000</x:v>
      </x:c>
      <x:c r="G55" s="20" t="n">
        <x:v>12</x:v>
      </x:c>
      <x:c r="H55" s="20" t="n">
        <x:v>9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45000</x:v>
      </x:c>
      <x:c r="D56" s="19" t="n">
        <x:v>53000</x:v>
      </x:c>
      <x:c r="E56" s="19" t="n">
        <x:f>C56-D56</x:f>
        <x:v>-8000</x:v>
      </x:c>
      <x:c r="F56" s="19" t="n">
        <x:f>SUM($E$7:E56)</x:f>
        <x:v>3622000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7236000</x:v>
      </x:c>
      <x:c r="D57" s="21" t="n">
        <x:f>SUM(D7:D56)</x:f>
        <x:v>3614000</x:v>
      </x:c>
      <x:c r="E57" s="21" t="n">
        <x:f>SUM(E7:E56)</x:f>
        <x:v>3622000</x:v>
      </x:c>
      <x:c r="F57" s="21" t="n">
        <x:f>F56</x:f>
        <x:v>3622000</x:v>
      </x:c>
      <x:c r="G57" s="22" t="n">
        <x:f>SUM(G7:G56)</x:f>
        <x:v>372</x:v>
      </x:c>
      <x:c r="H57" s="22" t="n">
        <x:f>SUM(H7:H56)</x:f>
        <x:v>271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2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bc2b6b3c6b843db"/>
  </x:tableParts>
</x:worksheet>
</file>

<file path=xl/worksheets/sheet31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V01　広い初回幅で保護だけ早期化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追加担当だけを変更。広い初回幅で保護だけ早期化。基本担当と別入口は基準と同じ。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-29000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-33000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68000</x:v>
      </x:c>
      <x:c r="D13" s="19" t="n">
        <x:v>117000</x:v>
      </x:c>
      <x:c r="E13" s="19" t="n">
        <x:f>C13-D13</x:f>
        <x:v>-49000</x:v>
      </x:c>
      <x:c r="F13" s="19" t="n">
        <x:f>SUM($E$7:E13)</x:f>
        <x:v>-118000</x:v>
      </x:c>
      <x:c r="G13" s="20" t="n">
        <x:v>8</x:v>
      </x:c>
      <x:c r="H13" s="20" t="n">
        <x:v>5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-98000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151000</x:v>
      </x:c>
      <x:c r="D15" s="19" t="n">
        <x:v>46000</x:v>
      </x:c>
      <x:c r="E15" s="19" t="n">
        <x:f>C15-D15</x:f>
        <x:v>105000</x:v>
      </x:c>
      <x:c r="F15" s="19" t="n">
        <x:f>SUM($E$7:E15)</x:f>
        <x:v>7000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3000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331000</x:v>
      </x:c>
      <x:c r="D17" s="19" t="n">
        <x:v>151000</x:v>
      </x:c>
      <x:c r="E17" s="19" t="n">
        <x:f>C17-D17</x:f>
        <x:v>180000</x:v>
      </x:c>
      <x:c r="F17" s="19" t="n">
        <x:f>SUM($E$7:E17)</x:f>
        <x:v>183000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144000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151000</x:v>
      </x:c>
      <x:c r="D19" s="19" t="n">
        <x:v>44000</x:v>
      </x:c>
      <x:c r="E19" s="19" t="n">
        <x:f>C19-D19</x:f>
        <x:v>107000</x:v>
      </x:c>
      <x:c r="F19" s="19" t="n">
        <x:f>SUM($E$7:E19)</x:f>
        <x:v>251000</x:v>
      </x:c>
      <x:c r="G19" s="20" t="n">
        <x:v>10</x:v>
      </x:c>
      <x:c r="H19" s="20" t="n">
        <x:v>6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302000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377000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404000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315000</x:v>
      </x:c>
      <x:c r="D23" s="19" t="n">
        <x:v>110000</x:v>
      </x:c>
      <x:c r="E23" s="19" t="n">
        <x:f>C23-D23</x:f>
        <x:v>205000</x:v>
      </x:c>
      <x:c r="F23" s="19" t="n">
        <x:f>SUM($E$7:E23)</x:f>
        <x:v>609000</x:v>
      </x:c>
      <x:c r="G23" s="20" t="n">
        <x:v>8</x:v>
      </x:c>
      <x:c r="H23" s="20" t="n">
        <x:v>6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155000</x:v>
      </x:c>
      <x:c r="D24" s="19" t="n">
        <x:v>85000</x:v>
      </x:c>
      <x:c r="E24" s="19" t="n">
        <x:f>C24-D24</x:f>
        <x:v>70000</x:v>
      </x:c>
      <x:c r="F24" s="19" t="n">
        <x:f>SUM($E$7:E24)</x:f>
        <x:v>679000</x:v>
      </x:c>
      <x:c r="G24" s="20" t="n">
        <x:v>12</x:v>
      </x:c>
      <x:c r="H24" s="20" t="n">
        <x:v>8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56000</x:v>
      </x:c>
      <x:c r="D25" s="19" t="n">
        <x:v>97000</x:v>
      </x:c>
      <x:c r="E25" s="19" t="n">
        <x:f>C25-D25</x:f>
        <x:v>-41000</x:v>
      </x:c>
      <x:c r="F25" s="19" t="n">
        <x:f>SUM($E$7:E25)</x:f>
        <x:v>638000</x:v>
      </x:c>
      <x:c r="G25" s="20" t="n">
        <x:v>11</x:v>
      </x:c>
      <x:c r="H25" s="20" t="n">
        <x:v>7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164000</x:v>
      </x:c>
      <x:c r="D26" s="19" t="n">
        <x:v>1000</x:v>
      </x:c>
      <x:c r="E26" s="19" t="n">
        <x:f>C26-D26</x:f>
        <x:v>163000</x:v>
      </x:c>
      <x:c r="F26" s="19" t="n">
        <x:f>SUM($E$7:E26)</x:f>
        <x:v>801000</x:v>
      </x:c>
      <x:c r="G26" s="20" t="n">
        <x:v>11</x:v>
      </x:c>
      <x:c r="H26" s="20" t="n">
        <x:v>6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94000</x:v>
      </x:c>
      <x:c r="D27" s="19" t="n">
        <x:v>148000</x:v>
      </x:c>
      <x:c r="E27" s="19" t="n">
        <x:f>C27-D27</x:f>
        <x:v>-54000</x:v>
      </x:c>
      <x:c r="F27" s="19" t="n">
        <x:f>SUM($E$7:E27)</x:f>
        <x:v>747000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48000</x:v>
      </x:c>
      <x:c r="D28" s="19" t="n">
        <x:v>20000</x:v>
      </x:c>
      <x:c r="E28" s="19" t="n">
        <x:f>C28-D28</x:f>
        <x:v>28000</x:v>
      </x:c>
      <x:c r="F28" s="19" t="n">
        <x:f>SUM($E$7:E28)</x:f>
        <x:v>775000</x:v>
      </x:c>
      <x:c r="G28" s="20" t="n">
        <x:v>5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242000</x:v>
      </x:c>
      <x:c r="D29" s="19" t="n">
        <x:v>122000</x:v>
      </x:c>
      <x:c r="E29" s="19" t="n">
        <x:f>C29-D29</x:f>
        <x:v>120000</x:v>
      </x:c>
      <x:c r="F29" s="19" t="n">
        <x:f>SUM($E$7:E29)</x:f>
        <x:v>895000</x:v>
      </x:c>
      <x:c r="G29" s="20" t="n">
        <x:v>12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885000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67000</x:v>
      </x:c>
      <x:c r="D31" s="19" t="n">
        <x:v>42000</x:v>
      </x:c>
      <x:c r="E31" s="19" t="n">
        <x:f>C31-D31</x:f>
        <x:v>25000</x:v>
      </x:c>
      <x:c r="F31" s="19" t="n">
        <x:f>SUM($E$7:E31)</x:f>
        <x:v>910000</x:v>
      </x:c>
      <x:c r="G31" s="20" t="n">
        <x:v>9</x:v>
      </x:c>
      <x:c r="H31" s="20" t="n">
        <x:v>6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867000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178000</x:v>
      </x:c>
      <x:c r="D33" s="19" t="n">
        <x:v>130000</x:v>
      </x:c>
      <x:c r="E33" s="19" t="n">
        <x:f>C33-D33</x:f>
        <x:v>48000</x:v>
      </x:c>
      <x:c r="F33" s="19" t="n">
        <x:f>SUM($E$7:E33)</x:f>
        <x:v>915000</x:v>
      </x:c>
      <x:c r="G33" s="20" t="n">
        <x:v>10</x:v>
      </x:c>
      <x:c r="H33" s="20" t="n">
        <x:v>8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96000</x:v>
      </x:c>
      <x:c r="D34" s="19" t="n">
        <x:v>0</x:v>
      </x:c>
      <x:c r="E34" s="19" t="n">
        <x:f>C34-D34</x:f>
        <x:v>96000</x:v>
      </x:c>
      <x:c r="F34" s="19" t="n">
        <x:f>SUM($E$7:E34)</x:f>
        <x:v>1011000</x:v>
      </x:c>
      <x:c r="G34" s="20" t="n">
        <x:v>8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155000</x:v>
      </x:c>
      <x:c r="D35" s="19" t="n">
        <x:v>41000</x:v>
      </x:c>
      <x:c r="E35" s="19" t="n">
        <x:f>C35-D35</x:f>
        <x:v>114000</x:v>
      </x:c>
      <x:c r="F35" s="19" t="n">
        <x:f>SUM($E$7:E35)</x:f>
        <x:v>1125000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1139000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1119000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1226000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80000</x:v>
      </x:c>
      <x:c r="D39" s="19" t="n">
        <x:v>165000</x:v>
      </x:c>
      <x:c r="E39" s="19" t="n">
        <x:f>C39-D39</x:f>
        <x:v>-85000</x:v>
      </x:c>
      <x:c r="F39" s="19" t="n">
        <x:f>SUM($E$7:E39)</x:f>
        <x:v>1141000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1088000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1165000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1340000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514000</x:v>
      </x:c>
      <x:c r="D43" s="19" t="n">
        <x:v>66000</x:v>
      </x:c>
      <x:c r="E43" s="19" t="n">
        <x:f>C43-D43</x:f>
        <x:v>448000</x:v>
      </x:c>
      <x:c r="F43" s="19" t="n">
        <x:f>SUM($E$7:E43)</x:f>
        <x:v>1788000</x:v>
      </x:c>
      <x:c r="G43" s="20" t="n">
        <x:v>8</x:v>
      </x:c>
      <x:c r="H43" s="20" t="n">
        <x:v>5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1768000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123000</x:v>
      </x:c>
      <x:c r="D45" s="19" t="n">
        <x:v>168000</x:v>
      </x:c>
      <x:c r="E45" s="19" t="n">
        <x:f>C45-D45</x:f>
        <x:v>-45000</x:v>
      </x:c>
      <x:c r="F45" s="19" t="n">
        <x:f>SUM($E$7:E45)</x:f>
        <x:v>1723000</x:v>
      </x:c>
      <x:c r="G45" s="20" t="n">
        <x:v>16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172000</x:v>
      </x:c>
      <x:c r="D46" s="19" t="n">
        <x:v>142000</x:v>
      </x:c>
      <x:c r="E46" s="19" t="n">
        <x:f>C46-D46</x:f>
        <x:v>30000</x:v>
      </x:c>
      <x:c r="F46" s="19" t="n">
        <x:f>SUM($E$7:E46)</x:f>
        <x:v>1753000</x:v>
      </x:c>
      <x:c r="G46" s="20" t="n">
        <x:v>14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434000</x:v>
      </x:c>
      <x:c r="D47" s="19" t="n">
        <x:v>40000</x:v>
      </x:c>
      <x:c r="E47" s="19" t="n">
        <x:f>C47-D47</x:f>
        <x:v>394000</x:v>
      </x:c>
      <x:c r="F47" s="19" t="n">
        <x:f>SUM($E$7:E47)</x:f>
        <x:v>2147000</x:v>
      </x:c>
      <x:c r="G47" s="20" t="n">
        <x:v>13</x:v>
      </x:c>
      <x:c r="H47" s="20" t="n">
        <x:v>8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93000</x:v>
      </x:c>
      <x:c r="D48" s="19" t="n">
        <x:v>34000</x:v>
      </x:c>
      <x:c r="E48" s="19" t="n">
        <x:f>C48-D48</x:f>
        <x:v>59000</x:v>
      </x:c>
      <x:c r="F48" s="19" t="n">
        <x:f>SUM($E$7:E48)</x:f>
        <x:v>2206000</x:v>
      </x:c>
      <x:c r="G48" s="20" t="n">
        <x:v>10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162000</x:v>
      </x:c>
      <x:c r="D49" s="19" t="n">
        <x:v>214000</x:v>
      </x:c>
      <x:c r="E49" s="19" t="n">
        <x:f>C49-D49</x:f>
        <x:v>-52000</x:v>
      </x:c>
      <x:c r="F49" s="19" t="n">
        <x:f>SUM($E$7:E49)</x:f>
        <x:v>2154000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276000</x:v>
      </x:c>
      <x:c r="D50" s="19" t="n">
        <x:v>0</x:v>
      </x:c>
      <x:c r="E50" s="19" t="n">
        <x:f>C50-D50</x:f>
        <x:v>276000</x:v>
      </x:c>
      <x:c r="F50" s="19" t="n">
        <x:f>SUM($E$7:E50)</x:f>
        <x:v>2430000</x:v>
      </x:c>
      <x:c r="G50" s="20" t="n">
        <x:v>11</x:v>
      </x:c>
      <x:c r="H50" s="20" t="n">
        <x:v>6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242000</x:v>
      </x:c>
      <x:c r="D51" s="19" t="n">
        <x:v>218000</x:v>
      </x:c>
      <x:c r="E51" s="19" t="n">
        <x:f>C51-D51</x:f>
        <x:v>24000</x:v>
      </x:c>
      <x:c r="F51" s="19" t="n">
        <x:f>SUM($E$7:E51)</x:f>
        <x:v>2454000</x:v>
      </x:c>
      <x:c r="G51" s="20" t="n">
        <x:v>13</x:v>
      </x:c>
      <x:c r="H51" s="20" t="n">
        <x:v>10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2414000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736000</x:v>
      </x:c>
      <x:c r="D53" s="19" t="n">
        <x:v>70000</x:v>
      </x:c>
      <x:c r="E53" s="19" t="n">
        <x:f>C53-D53</x:f>
        <x:v>666000</x:v>
      </x:c>
      <x:c r="F53" s="19" t="n">
        <x:f>SUM($E$7:E53)</x:f>
        <x:v>3080000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170000</x:v>
      </x:c>
      <x:c r="D54" s="19" t="n">
        <x:v>0</x:v>
      </x:c>
      <x:c r="E54" s="19" t="n">
        <x:f>C54-D54</x:f>
        <x:v>170000</x:v>
      </x:c>
      <x:c r="F54" s="19" t="n">
        <x:f>SUM($E$7:E54)</x:f>
        <x:v>3250000</x:v>
      </x:c>
      <x:c r="G54" s="20" t="n">
        <x:v>4</x:v>
      </x:c>
      <x:c r="H54" s="20" t="n">
        <x:v>3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181000</x:v>
      </x:c>
      <x:c r="D55" s="19" t="n">
        <x:v>99000</x:v>
      </x:c>
      <x:c r="E55" s="19" t="n">
        <x:f>C55-D55</x:f>
        <x:v>82000</x:v>
      </x:c>
      <x:c r="F55" s="19" t="n">
        <x:f>SUM($E$7:E55)</x:f>
        <x:v>3332000</x:v>
      </x:c>
      <x:c r="G55" s="20" t="n">
        <x:v>9</x:v>
      </x:c>
      <x:c r="H55" s="20" t="n">
        <x:v>6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3301000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6609000</x:v>
      </x:c>
      <x:c r="D57" s="21" t="n">
        <x:f>SUM(D7:D56)</x:f>
        <x:v>3308000</x:v>
      </x:c>
      <x:c r="E57" s="21" t="n">
        <x:f>SUM(E7:E56)</x:f>
        <x:v>3301000</x:v>
      </x:c>
      <x:c r="F57" s="21" t="n">
        <x:f>F56</x:f>
        <x:v>3301000</x:v>
      </x:c>
      <x:c r="G57" s="22" t="n">
        <x:f>SUM(G7:G56)</x:f>
        <x:v>353</x:v>
      </x:c>
      <x:c r="H57" s="22" t="n">
        <x:f>SUM(H7:H56)</x:f>
        <x:v>254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2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964238617644bd4"/>
  </x:tableParts>
</x:worksheet>
</file>

<file path=xl/worksheets/sheet32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V02　初回損切りと短期利益追尾の幅を分離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追加担当だけを変更。初回損切りと短期利益追尾の幅を分離。基本担当と別入口は基準と同じ。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-29000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-33000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113000</x:v>
      </x:c>
      <x:c r="D13" s="19" t="n">
        <x:v>60000</x:v>
      </x:c>
      <x:c r="E13" s="19" t="n">
        <x:f>C13-D13</x:f>
        <x:v>53000</x:v>
      </x:c>
      <x:c r="F13" s="19" t="n">
        <x:f>SUM($E$7:E13)</x:f>
        <x:v>-16000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4000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157000</x:v>
      </x:c>
      <x:c r="D15" s="19" t="n">
        <x:v>46000</x:v>
      </x:c>
      <x:c r="E15" s="19" t="n">
        <x:f>C15-D15</x:f>
        <x:v>111000</x:v>
      </x:c>
      <x:c r="F15" s="19" t="n">
        <x:f>SUM($E$7:E15)</x:f>
        <x:v>115000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111000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331000</x:v>
      </x:c>
      <x:c r="D17" s="19" t="n">
        <x:v>151000</x:v>
      </x:c>
      <x:c r="E17" s="19" t="n">
        <x:f>C17-D17</x:f>
        <x:v>180000</x:v>
      </x:c>
      <x:c r="F17" s="19" t="n">
        <x:f>SUM($E$7:E17)</x:f>
        <x:v>291000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252000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129000</x:v>
      </x:c>
      <x:c r="D19" s="19" t="n">
        <x:v>127000</x:v>
      </x:c>
      <x:c r="E19" s="19" t="n">
        <x:f>C19-D19</x:f>
        <x:v>2000</x:v>
      </x:c>
      <x:c r="F19" s="19" t="n">
        <x:f>SUM($E$7:E19)</x:f>
        <x:v>254000</x:v>
      </x:c>
      <x:c r="G19" s="20" t="n">
        <x:v>8</x:v>
      </x:c>
      <x:c r="H19" s="20" t="n">
        <x:v>5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305000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380000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407000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323000</x:v>
      </x:c>
      <x:c r="D23" s="19" t="n">
        <x:v>84000</x:v>
      </x:c>
      <x:c r="E23" s="19" t="n">
        <x:f>C23-D23</x:f>
        <x:v>239000</x:v>
      </x:c>
      <x:c r="F23" s="19" t="n">
        <x:f>SUM($E$7:E23)</x:f>
        <x:v>646000</x:v>
      </x:c>
      <x:c r="G23" s="20" t="n">
        <x:v>7</x:v>
      </x:c>
      <x:c r="H23" s="20" t="n">
        <x:v>5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148000</x:v>
      </x:c>
      <x:c r="D24" s="19" t="n">
        <x:v>85000</x:v>
      </x:c>
      <x:c r="E24" s="19" t="n">
        <x:f>C24-D24</x:f>
        <x:v>63000</x:v>
      </x:c>
      <x:c r="F24" s="19" t="n">
        <x:f>SUM($E$7:E24)</x:f>
        <x:v>709000</x:v>
      </x:c>
      <x:c r="G24" s="20" t="n">
        <x:v>12</x:v>
      </x:c>
      <x:c r="H24" s="20" t="n">
        <x:v>8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62000</x:v>
      </x:c>
      <x:c r="D25" s="19" t="n">
        <x:v>97000</x:v>
      </x:c>
      <x:c r="E25" s="19" t="n">
        <x:f>C25-D25</x:f>
        <x:v>-35000</x:v>
      </x:c>
      <x:c r="F25" s="19" t="n">
        <x:f>SUM($E$7:E25)</x:f>
        <x:v>674000</x:v>
      </x:c>
      <x:c r="G25" s="20" t="n">
        <x:v>11</x:v>
      </x:c>
      <x:c r="H25" s="20" t="n">
        <x:v>7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188000</x:v>
      </x:c>
      <x:c r="D26" s="19" t="n">
        <x:v>0</x:v>
      </x:c>
      <x:c r="E26" s="19" t="n">
        <x:f>C26-D26</x:f>
        <x:v>188000</x:v>
      </x:c>
      <x:c r="F26" s="19" t="n">
        <x:f>SUM($E$7:E26)</x:f>
        <x:v>862000</x:v>
      </x:c>
      <x:c r="G26" s="20" t="n">
        <x:v>11</x:v>
      </x:c>
      <x:c r="H26" s="20" t="n">
        <x:v>6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85000</x:v>
      </x:c>
      <x:c r="D27" s="19" t="n">
        <x:v>148000</x:v>
      </x:c>
      <x:c r="E27" s="19" t="n">
        <x:f>C27-D27</x:f>
        <x:v>-63000</x:v>
      </x:c>
      <x:c r="F27" s="19" t="n">
        <x:f>SUM($E$7:E27)</x:f>
        <x:v>799000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98000</x:v>
      </x:c>
      <x:c r="D28" s="19" t="n">
        <x:v>20000</x:v>
      </x:c>
      <x:c r="E28" s="19" t="n">
        <x:f>C28-D28</x:f>
        <x:v>78000</x:v>
      </x:c>
      <x:c r="F28" s="19" t="n">
        <x:f>SUM($E$7:E28)</x:f>
        <x:v>877000</x:v>
      </x:c>
      <x:c r="G28" s="20" t="n">
        <x:v>5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267000</x:v>
      </x:c>
      <x:c r="D29" s="19" t="n">
        <x:v>138000</x:v>
      </x:c>
      <x:c r="E29" s="19" t="n">
        <x:f>C29-D29</x:f>
        <x:v>129000</x:v>
      </x:c>
      <x:c r="F29" s="19" t="n">
        <x:f>SUM($E$7:E29)</x:f>
        <x:v>1006000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996000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96000</x:v>
      </x:c>
      <x:c r="D31" s="19" t="n">
        <x:v>42000</x:v>
      </x:c>
      <x:c r="E31" s="19" t="n">
        <x:f>C31-D31</x:f>
        <x:v>54000</x:v>
      </x:c>
      <x:c r="F31" s="19" t="n">
        <x:f>SUM($E$7:E31)</x:f>
        <x:v>1050000</x:v>
      </x:c>
      <x:c r="G31" s="20" t="n">
        <x:v>7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1007000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181000</x:v>
      </x:c>
      <x:c r="D33" s="19" t="n">
        <x:v>130000</x:v>
      </x:c>
      <x:c r="E33" s="19" t="n">
        <x:f>C33-D33</x:f>
        <x:v>51000</x:v>
      </x:c>
      <x:c r="F33" s="19" t="n">
        <x:f>SUM($E$7:E33)</x:f>
        <x:v>1058000</x:v>
      </x:c>
      <x:c r="G33" s="20" t="n">
        <x:v>10</x:v>
      </x:c>
      <x:c r="H33" s="20" t="n">
        <x:v>8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147000</x:v>
      </x:c>
      <x:c r="D34" s="19" t="n">
        <x:v>0</x:v>
      </x:c>
      <x:c r="E34" s="19" t="n">
        <x:f>C34-D34</x:f>
        <x:v>147000</x:v>
      </x:c>
      <x:c r="F34" s="19" t="n">
        <x:f>SUM($E$7:E34)</x:f>
        <x:v>1205000</x:v>
      </x:c>
      <x:c r="G34" s="20" t="n">
        <x:v>8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134000</x:v>
      </x:c>
      <x:c r="D35" s="19" t="n">
        <x:v>68000</x:v>
      </x:c>
      <x:c r="E35" s="19" t="n">
        <x:f>C35-D35</x:f>
        <x:v>66000</x:v>
      </x:c>
      <x:c r="F35" s="19" t="n">
        <x:f>SUM($E$7:E35)</x:f>
        <x:v>1271000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1285000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1265000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1372000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83000</x:v>
      </x:c>
      <x:c r="D39" s="19" t="n">
        <x:v>165000</x:v>
      </x:c>
      <x:c r="E39" s="19" t="n">
        <x:f>C39-D39</x:f>
        <x:v>-82000</x:v>
      </x:c>
      <x:c r="F39" s="19" t="n">
        <x:f>SUM($E$7:E39)</x:f>
        <x:v>1290000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1237000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1314000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1489000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502000</x:v>
      </x:c>
      <x:c r="D43" s="19" t="n">
        <x:v>66000</x:v>
      </x:c>
      <x:c r="E43" s="19" t="n">
        <x:f>C43-D43</x:f>
        <x:v>436000</x:v>
      </x:c>
      <x:c r="F43" s="19" t="n">
        <x:f>SUM($E$7:E43)</x:f>
        <x:v>1925000</x:v>
      </x:c>
      <x:c r="G43" s="20" t="n">
        <x:v>8</x:v>
      </x:c>
      <x:c r="H43" s="20" t="n">
        <x:v>5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1905000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115000</x:v>
      </x:c>
      <x:c r="D45" s="19" t="n">
        <x:v>168000</x:v>
      </x:c>
      <x:c r="E45" s="19" t="n">
        <x:f>C45-D45</x:f>
        <x:v>-53000</x:v>
      </x:c>
      <x:c r="F45" s="19" t="n">
        <x:f>SUM($E$7:E45)</x:f>
        <x:v>1852000</x:v>
      </x:c>
      <x:c r="G45" s="20" t="n">
        <x:v>16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163000</x:v>
      </x:c>
      <x:c r="D46" s="19" t="n">
        <x:v>142000</x:v>
      </x:c>
      <x:c r="E46" s="19" t="n">
        <x:f>C46-D46</x:f>
        <x:v>21000</x:v>
      </x:c>
      <x:c r="F46" s="19" t="n">
        <x:f>SUM($E$7:E46)</x:f>
        <x:v>1873000</x:v>
      </x:c>
      <x:c r="G46" s="20" t="n">
        <x:v>14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430000</x:v>
      </x:c>
      <x:c r="D47" s="19" t="n">
        <x:v>16000</x:v>
      </x:c>
      <x:c r="E47" s="19" t="n">
        <x:f>C47-D47</x:f>
        <x:v>414000</x:v>
      </x:c>
      <x:c r="F47" s="19" t="n">
        <x:f>SUM($E$7:E47)</x:f>
        <x:v>2287000</x:v>
      </x:c>
      <x:c r="G47" s="20" t="n">
        <x:v>12</x:v>
      </x:c>
      <x:c r="H47" s="20" t="n">
        <x:v>7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96000</x:v>
      </x:c>
      <x:c r="D48" s="19" t="n">
        <x:v>35000</x:v>
      </x:c>
      <x:c r="E48" s="19" t="n">
        <x:f>C48-D48</x:f>
        <x:v>61000</x:v>
      </x:c>
      <x:c r="F48" s="19" t="n">
        <x:f>SUM($E$7:E48)</x:f>
        <x:v>2348000</x:v>
      </x:c>
      <x:c r="G48" s="20" t="n">
        <x:v>10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165000</x:v>
      </x:c>
      <x:c r="D49" s="19" t="n">
        <x:v>214000</x:v>
      </x:c>
      <x:c r="E49" s="19" t="n">
        <x:f>C49-D49</x:f>
        <x:v>-49000</x:v>
      </x:c>
      <x:c r="F49" s="19" t="n">
        <x:f>SUM($E$7:E49)</x:f>
        <x:v>2299000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528000</x:v>
      </x:c>
      <x:c r="D50" s="19" t="n">
        <x:v>0</x:v>
      </x:c>
      <x:c r="E50" s="19" t="n">
        <x:f>C50-D50</x:f>
        <x:v>528000</x:v>
      </x:c>
      <x:c r="F50" s="19" t="n">
        <x:f>SUM($E$7:E50)</x:f>
        <x:v>2827000</x:v>
      </x:c>
      <x:c r="G50" s="20" t="n">
        <x:v>11</x:v>
      </x:c>
      <x:c r="H50" s="20" t="n">
        <x:v>6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236000</x:v>
      </x:c>
      <x:c r="D51" s="19" t="n">
        <x:v>200000</x:v>
      </x:c>
      <x:c r="E51" s="19" t="n">
        <x:f>C51-D51</x:f>
        <x:v>36000</x:v>
      </x:c>
      <x:c r="F51" s="19" t="n">
        <x:f>SUM($E$7:E51)</x:f>
        <x:v>2863000</x:v>
      </x:c>
      <x:c r="G51" s="20" t="n">
        <x:v>12</x:v>
      </x:c>
      <x:c r="H51" s="20" t="n">
        <x:v>9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2823000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727000</x:v>
      </x:c>
      <x:c r="D53" s="19" t="n">
        <x:v>70000</x:v>
      </x:c>
      <x:c r="E53" s="19" t="n">
        <x:f>C53-D53</x:f>
        <x:v>657000</x:v>
      </x:c>
      <x:c r="F53" s="19" t="n">
        <x:f>SUM($E$7:E53)</x:f>
        <x:v>3480000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168000</x:v>
      </x:c>
      <x:c r="D54" s="19" t="n">
        <x:v>0</x:v>
      </x:c>
      <x:c r="E54" s="19" t="n">
        <x:f>C54-D54</x:f>
        <x:v>168000</x:v>
      </x:c>
      <x:c r="F54" s="19" t="n">
        <x:f>SUM($E$7:E54)</x:f>
        <x:v>3648000</x:v>
      </x:c>
      <x:c r="G54" s="20" t="n">
        <x:v>4</x:v>
      </x:c>
      <x:c r="H54" s="20" t="n">
        <x:v>3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226000</x:v>
      </x:c>
      <x:c r="D55" s="19" t="n">
        <x:v>99000</x:v>
      </x:c>
      <x:c r="E55" s="19" t="n">
        <x:f>C55-D55</x:f>
        <x:v>127000</x:v>
      </x:c>
      <x:c r="F55" s="19" t="n">
        <x:f>SUM($E$7:E55)</x:f>
        <x:v>3775000</x:v>
      </x:c>
      <x:c r="G55" s="20" t="n">
        <x:v>7</x:v>
      </x:c>
      <x:c r="H55" s="20" t="n">
        <x:v>5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3744000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7053000</x:v>
      </x:c>
      <x:c r="D57" s="21" t="n">
        <x:f>SUM(D7:D56)</x:f>
        <x:v>3309000</x:v>
      </x:c>
      <x:c r="E57" s="21" t="n">
        <x:f>SUM(E7:E56)</x:f>
        <x:v>3744000</x:v>
      </x:c>
      <x:c r="F57" s="21" t="n">
        <x:f>F56</x:f>
        <x:v>3744000</x:v>
      </x:c>
      <x:c r="G57" s="22" t="n">
        <x:f>SUM(G7:G56)</x:f>
        <x:v>341</x:v>
      </x:c>
      <x:c r="H57" s="22" t="n">
        <x:f>SUM(H7:H56)</x:f>
        <x:v>247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2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42ae656409846e7"/>
  </x:tableParts>
</x:worksheet>
</file>

<file path=xl/worksheets/sheet33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V03　利益幅だけ160ptを上限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追加担当だけを変更。利益幅だけ160ptを上限。基本担当と別入口は基準と同じ。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-29000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-33000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74000</x:v>
      </x:c>
      <x:c r="D13" s="19" t="n">
        <x:v>117000</x:v>
      </x:c>
      <x:c r="E13" s="19" t="n">
        <x:f>C13-D13</x:f>
        <x:v>-43000</x:v>
      </x:c>
      <x:c r="F13" s="19" t="n">
        <x:f>SUM($E$7:E13)</x:f>
        <x:v>-112000</x:v>
      </x:c>
      <x:c r="G13" s="20" t="n">
        <x:v>8</x:v>
      </x:c>
      <x:c r="H13" s="20" t="n">
        <x:v>5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-92000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157000</x:v>
      </x:c>
      <x:c r="D15" s="19" t="n">
        <x:v>46000</x:v>
      </x:c>
      <x:c r="E15" s="19" t="n">
        <x:f>C15-D15</x:f>
        <x:v>111000</x:v>
      </x:c>
      <x:c r="F15" s="19" t="n">
        <x:f>SUM($E$7:E15)</x:f>
        <x:v>19000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15000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331000</x:v>
      </x:c>
      <x:c r="D17" s="19" t="n">
        <x:v>151000</x:v>
      </x:c>
      <x:c r="E17" s="19" t="n">
        <x:f>C17-D17</x:f>
        <x:v>180000</x:v>
      </x:c>
      <x:c r="F17" s="19" t="n">
        <x:f>SUM($E$7:E17)</x:f>
        <x:v>195000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156000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129000</x:v>
      </x:c>
      <x:c r="D19" s="19" t="n">
        <x:v>127000</x:v>
      </x:c>
      <x:c r="E19" s="19" t="n">
        <x:f>C19-D19</x:f>
        <x:v>2000</x:v>
      </x:c>
      <x:c r="F19" s="19" t="n">
        <x:f>SUM($E$7:E19)</x:f>
        <x:v>158000</x:v>
      </x:c>
      <x:c r="G19" s="20" t="n">
        <x:v>8</x:v>
      </x:c>
      <x:c r="H19" s="20" t="n">
        <x:v>5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209000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284000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311000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311000</x:v>
      </x:c>
      <x:c r="D23" s="19" t="n">
        <x:v>84000</x:v>
      </x:c>
      <x:c r="E23" s="19" t="n">
        <x:f>C23-D23</x:f>
        <x:v>227000</x:v>
      </x:c>
      <x:c r="F23" s="19" t="n">
        <x:f>SUM($E$7:E23)</x:f>
        <x:v>538000</x:v>
      </x:c>
      <x:c r="G23" s="20" t="n">
        <x:v>7</x:v>
      </x:c>
      <x:c r="H23" s="20" t="n">
        <x:v>5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148000</x:v>
      </x:c>
      <x:c r="D24" s="19" t="n">
        <x:v>85000</x:v>
      </x:c>
      <x:c r="E24" s="19" t="n">
        <x:f>C24-D24</x:f>
        <x:v>63000</x:v>
      </x:c>
      <x:c r="F24" s="19" t="n">
        <x:f>SUM($E$7:E24)</x:f>
        <x:v>601000</x:v>
      </x:c>
      <x:c r="G24" s="20" t="n">
        <x:v>12</x:v>
      </x:c>
      <x:c r="H24" s="20" t="n">
        <x:v>8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62000</x:v>
      </x:c>
      <x:c r="D25" s="19" t="n">
        <x:v>97000</x:v>
      </x:c>
      <x:c r="E25" s="19" t="n">
        <x:f>C25-D25</x:f>
        <x:v>-35000</x:v>
      </x:c>
      <x:c r="F25" s="19" t="n">
        <x:f>SUM($E$7:E25)</x:f>
        <x:v>566000</x:v>
      </x:c>
      <x:c r="G25" s="20" t="n">
        <x:v>11</x:v>
      </x:c>
      <x:c r="H25" s="20" t="n">
        <x:v>7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188000</x:v>
      </x:c>
      <x:c r="D26" s="19" t="n">
        <x:v>0</x:v>
      </x:c>
      <x:c r="E26" s="19" t="n">
        <x:f>C26-D26</x:f>
        <x:v>188000</x:v>
      </x:c>
      <x:c r="F26" s="19" t="n">
        <x:f>SUM($E$7:E26)</x:f>
        <x:v>754000</x:v>
      </x:c>
      <x:c r="G26" s="20" t="n">
        <x:v>11</x:v>
      </x:c>
      <x:c r="H26" s="20" t="n">
        <x:v>6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85000</x:v>
      </x:c>
      <x:c r="D27" s="19" t="n">
        <x:v>148000</x:v>
      </x:c>
      <x:c r="E27" s="19" t="n">
        <x:f>C27-D27</x:f>
        <x:v>-63000</x:v>
      </x:c>
      <x:c r="F27" s="19" t="n">
        <x:f>SUM($E$7:E27)</x:f>
        <x:v>691000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98000</x:v>
      </x:c>
      <x:c r="D28" s="19" t="n">
        <x:v>20000</x:v>
      </x:c>
      <x:c r="E28" s="19" t="n">
        <x:f>C28-D28</x:f>
        <x:v>78000</x:v>
      </x:c>
      <x:c r="F28" s="19" t="n">
        <x:f>SUM($E$7:E28)</x:f>
        <x:v>769000</x:v>
      </x:c>
      <x:c r="G28" s="20" t="n">
        <x:v>5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308000</x:v>
      </x:c>
      <x:c r="D29" s="19" t="n">
        <x:v>90000</x:v>
      </x:c>
      <x:c r="E29" s="19" t="n">
        <x:f>C29-D29</x:f>
        <x:v>218000</x:v>
      </x:c>
      <x:c r="F29" s="19" t="n">
        <x:f>SUM($E$7:E29)</x:f>
        <x:v>987000</x:v>
      </x:c>
      <x:c r="G29" s="20" t="n">
        <x:v>16</x:v>
      </x:c>
      <x:c r="H29" s="20" t="n">
        <x:v>10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977000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96000</x:v>
      </x:c>
      <x:c r="D31" s="19" t="n">
        <x:v>42000</x:v>
      </x:c>
      <x:c r="E31" s="19" t="n">
        <x:f>C31-D31</x:f>
        <x:v>54000</x:v>
      </x:c>
      <x:c r="F31" s="19" t="n">
        <x:f>SUM($E$7:E31)</x:f>
        <x:v>1031000</x:v>
      </x:c>
      <x:c r="G31" s="20" t="n">
        <x:v>7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988000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181000</x:v>
      </x:c>
      <x:c r="D33" s="19" t="n">
        <x:v>130000</x:v>
      </x:c>
      <x:c r="E33" s="19" t="n">
        <x:f>C33-D33</x:f>
        <x:v>51000</x:v>
      </x:c>
      <x:c r="F33" s="19" t="n">
        <x:f>SUM($E$7:E33)</x:f>
        <x:v>1039000</x:v>
      </x:c>
      <x:c r="G33" s="20" t="n">
        <x:v>10</x:v>
      </x:c>
      <x:c r="H33" s="20" t="n">
        <x:v>8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147000</x:v>
      </x:c>
      <x:c r="D34" s="19" t="n">
        <x:v>0</x:v>
      </x:c>
      <x:c r="E34" s="19" t="n">
        <x:f>C34-D34</x:f>
        <x:v>147000</x:v>
      </x:c>
      <x:c r="F34" s="19" t="n">
        <x:f>SUM($E$7:E34)</x:f>
        <x:v>1186000</x:v>
      </x:c>
      <x:c r="G34" s="20" t="n">
        <x:v>8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146000</x:v>
      </x:c>
      <x:c r="D35" s="19" t="n">
        <x:v>68000</x:v>
      </x:c>
      <x:c r="E35" s="19" t="n">
        <x:f>C35-D35</x:f>
        <x:v>78000</x:v>
      </x:c>
      <x:c r="F35" s="19" t="n">
        <x:f>SUM($E$7:E35)</x:f>
        <x:v>1264000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1278000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1258000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1365000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83000</x:v>
      </x:c>
      <x:c r="D39" s="19" t="n">
        <x:v>165000</x:v>
      </x:c>
      <x:c r="E39" s="19" t="n">
        <x:f>C39-D39</x:f>
        <x:v>-82000</x:v>
      </x:c>
      <x:c r="F39" s="19" t="n">
        <x:f>SUM($E$7:E39)</x:f>
        <x:v>1283000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1230000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1307000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1482000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502000</x:v>
      </x:c>
      <x:c r="D43" s="19" t="n">
        <x:v>66000</x:v>
      </x:c>
      <x:c r="E43" s="19" t="n">
        <x:f>C43-D43</x:f>
        <x:v>436000</x:v>
      </x:c>
      <x:c r="F43" s="19" t="n">
        <x:f>SUM($E$7:E43)</x:f>
        <x:v>1918000</x:v>
      </x:c>
      <x:c r="G43" s="20" t="n">
        <x:v>8</x:v>
      </x:c>
      <x:c r="H43" s="20" t="n">
        <x:v>5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1898000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115000</x:v>
      </x:c>
      <x:c r="D45" s="19" t="n">
        <x:v>168000</x:v>
      </x:c>
      <x:c r="E45" s="19" t="n">
        <x:f>C45-D45</x:f>
        <x:v>-53000</x:v>
      </x:c>
      <x:c r="F45" s="19" t="n">
        <x:f>SUM($E$7:E45)</x:f>
        <x:v>1845000</x:v>
      </x:c>
      <x:c r="G45" s="20" t="n">
        <x:v>16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163000</x:v>
      </x:c>
      <x:c r="D46" s="19" t="n">
        <x:v>142000</x:v>
      </x:c>
      <x:c r="E46" s="19" t="n">
        <x:f>C46-D46</x:f>
        <x:v>21000</x:v>
      </x:c>
      <x:c r="F46" s="19" t="n">
        <x:f>SUM($E$7:E46)</x:f>
        <x:v>1866000</x:v>
      </x:c>
      <x:c r="G46" s="20" t="n">
        <x:v>14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408000</x:v>
      </x:c>
      <x:c r="D47" s="19" t="n">
        <x:v>16000</x:v>
      </x:c>
      <x:c r="E47" s="19" t="n">
        <x:f>C47-D47</x:f>
        <x:v>392000</x:v>
      </x:c>
      <x:c r="F47" s="19" t="n">
        <x:f>SUM($E$7:E47)</x:f>
        <x:v>2258000</x:v>
      </x:c>
      <x:c r="G47" s="20" t="n">
        <x:v>11</x:v>
      </x:c>
      <x:c r="H47" s="20" t="n">
        <x:v>7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96000</x:v>
      </x:c>
      <x:c r="D48" s="19" t="n">
        <x:v>35000</x:v>
      </x:c>
      <x:c r="E48" s="19" t="n">
        <x:f>C48-D48</x:f>
        <x:v>61000</x:v>
      </x:c>
      <x:c r="F48" s="19" t="n">
        <x:f>SUM($E$7:E48)</x:f>
        <x:v>2319000</x:v>
      </x:c>
      <x:c r="G48" s="20" t="n">
        <x:v>10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171000</x:v>
      </x:c>
      <x:c r="D49" s="19" t="n">
        <x:v>214000</x:v>
      </x:c>
      <x:c r="E49" s="19" t="n">
        <x:f>C49-D49</x:f>
        <x:v>-43000</x:v>
      </x:c>
      <x:c r="F49" s="19" t="n">
        <x:f>SUM($E$7:E49)</x:f>
        <x:v>2276000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528000</x:v>
      </x:c>
      <x:c r="D50" s="19" t="n">
        <x:v>0</x:v>
      </x:c>
      <x:c r="E50" s="19" t="n">
        <x:f>C50-D50</x:f>
        <x:v>528000</x:v>
      </x:c>
      <x:c r="F50" s="19" t="n">
        <x:f>SUM($E$7:E50)</x:f>
        <x:v>2804000</x:v>
      </x:c>
      <x:c r="G50" s="20" t="n">
        <x:v>11</x:v>
      </x:c>
      <x:c r="H50" s="20" t="n">
        <x:v>6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244000</x:v>
      </x:c>
      <x:c r="D51" s="19" t="n">
        <x:v>200000</x:v>
      </x:c>
      <x:c r="E51" s="19" t="n">
        <x:f>C51-D51</x:f>
        <x:v>44000</x:v>
      </x:c>
      <x:c r="F51" s="19" t="n">
        <x:f>SUM($E$7:E51)</x:f>
        <x:v>2848000</x:v>
      </x:c>
      <x:c r="G51" s="20" t="n">
        <x:v>12</x:v>
      </x:c>
      <x:c r="H51" s="20" t="n">
        <x:v>9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2808000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727000</x:v>
      </x:c>
      <x:c r="D53" s="19" t="n">
        <x:v>70000</x:v>
      </x:c>
      <x:c r="E53" s="19" t="n">
        <x:f>C53-D53</x:f>
        <x:v>657000</x:v>
      </x:c>
      <x:c r="F53" s="19" t="n">
        <x:f>SUM($E$7:E53)</x:f>
        <x:v>3465000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168000</x:v>
      </x:c>
      <x:c r="D54" s="19" t="n">
        <x:v>0</x:v>
      </x:c>
      <x:c r="E54" s="19" t="n">
        <x:f>C54-D54</x:f>
        <x:v>168000</x:v>
      </x:c>
      <x:c r="F54" s="19" t="n">
        <x:f>SUM($E$7:E54)</x:f>
        <x:v>3633000</x:v>
      </x:c>
      <x:c r="G54" s="20" t="n">
        <x:v>4</x:v>
      </x:c>
      <x:c r="H54" s="20" t="n">
        <x:v>3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250000</x:v>
      </x:c>
      <x:c r="D55" s="19" t="n">
        <x:v>99000</x:v>
      </x:c>
      <x:c r="E55" s="19" t="n">
        <x:f>C55-D55</x:f>
        <x:v>151000</x:v>
      </x:c>
      <x:c r="F55" s="19" t="n">
        <x:f>SUM($E$7:E55)</x:f>
        <x:v>3784000</x:v>
      </x:c>
      <x:c r="G55" s="20" t="n">
        <x:v>11</x:v>
      </x:c>
      <x:c r="H55" s="20" t="n">
        <x:v>7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3753000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7071000</x:v>
      </x:c>
      <x:c r="D57" s="21" t="n">
        <x:f>SUM(D7:D56)</x:f>
        <x:v>3318000</x:v>
      </x:c>
      <x:c r="E57" s="21" t="n">
        <x:f>SUM(E7:E56)</x:f>
        <x:v>3753000</x:v>
      </x:c>
      <x:c r="F57" s="21" t="n">
        <x:f>F56</x:f>
        <x:v>3753000</x:v>
      </x:c>
      <x:c r="G57" s="22" t="n">
        <x:f>SUM(G7:G56)</x:f>
        <x:v>351</x:v>
      </x:c>
      <x:c r="H57" s="22" t="n">
        <x:f>SUM(H7:H56)</x:f>
        <x:v>252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3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8fd03e1429f441b"/>
  </x:tableParts>
</x:worksheet>
</file>

<file path=xl/worksheets/sheet34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V04　半分利確と残りの広い短期追尾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追加担当だけを変更。半分利確と残りの広い短期追尾。基本担当と別入口は基準と同じ。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-29000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-33000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137000</x:v>
      </x:c>
      <x:c r="D13" s="19" t="n">
        <x:v>60000</x:v>
      </x:c>
      <x:c r="E13" s="19" t="n">
        <x:f>C13-D13</x:f>
        <x:v>77000</x:v>
      </x:c>
      <x:c r="F13" s="19" t="n">
        <x:f>SUM($E$7:E13)</x:f>
        <x:v>8000</x:v>
      </x:c>
      <x:c r="G13" s="20" t="n">
        <x:v>5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28000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146000</x:v>
      </x:c>
      <x:c r="D15" s="19" t="n">
        <x:v>48000</x:v>
      </x:c>
      <x:c r="E15" s="19" t="n">
        <x:f>C15-D15</x:f>
        <x:v>98000</x:v>
      </x:c>
      <x:c r="F15" s="19" t="n">
        <x:f>SUM($E$7:E15)</x:f>
        <x:v>126000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122000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331000</x:v>
      </x:c>
      <x:c r="D17" s="19" t="n">
        <x:v>151000</x:v>
      </x:c>
      <x:c r="E17" s="19" t="n">
        <x:f>C17-D17</x:f>
        <x:v>180000</x:v>
      </x:c>
      <x:c r="F17" s="19" t="n">
        <x:f>SUM($E$7:E17)</x:f>
        <x:v>302000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263000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129000</x:v>
      </x:c>
      <x:c r="D19" s="19" t="n">
        <x:v>127000</x:v>
      </x:c>
      <x:c r="E19" s="19" t="n">
        <x:f>C19-D19</x:f>
        <x:v>2000</x:v>
      </x:c>
      <x:c r="F19" s="19" t="n">
        <x:f>SUM($E$7:E19)</x:f>
        <x:v>265000</x:v>
      </x:c>
      <x:c r="G19" s="20" t="n">
        <x:v>8</x:v>
      </x:c>
      <x:c r="H19" s="20" t="n">
        <x:v>5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316000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391000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418000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355000</x:v>
      </x:c>
      <x:c r="D23" s="19" t="n">
        <x:v>84000</x:v>
      </x:c>
      <x:c r="E23" s="19" t="n">
        <x:f>C23-D23</x:f>
        <x:v>271000</x:v>
      </x:c>
      <x:c r="F23" s="19" t="n">
        <x:f>SUM($E$7:E23)</x:f>
        <x:v>689000</x:v>
      </x:c>
      <x:c r="G23" s="20" t="n">
        <x:v>4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143000</x:v>
      </x:c>
      <x:c r="D24" s="19" t="n">
        <x:v>85000</x:v>
      </x:c>
      <x:c r="E24" s="19" t="n">
        <x:f>C24-D24</x:f>
        <x:v>58000</x:v>
      </x:c>
      <x:c r="F24" s="19" t="n">
        <x:f>SUM($E$7:E24)</x:f>
        <x:v>747000</x:v>
      </x:c>
      <x:c r="G24" s="20" t="n">
        <x:v>11</x:v>
      </x:c>
      <x:c r="H24" s="20" t="n">
        <x:v>8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51000</x:v>
      </x:c>
      <x:c r="D25" s="19" t="n">
        <x:v>67000</x:v>
      </x:c>
      <x:c r="E25" s="19" t="n">
        <x:f>C25-D25</x:f>
        <x:v>-16000</x:v>
      </x:c>
      <x:c r="F25" s="19" t="n">
        <x:f>SUM($E$7:E25)</x:f>
        <x:v>731000</x:v>
      </x:c>
      <x:c r="G25" s="20" t="n">
        <x:v>7</x:v>
      </x:c>
      <x:c r="H25" s="20" t="n">
        <x:v>4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182000</x:v>
      </x:c>
      <x:c r="D26" s="19" t="n">
        <x:v>0</x:v>
      </x:c>
      <x:c r="E26" s="19" t="n">
        <x:f>C26-D26</x:f>
        <x:v>182000</x:v>
      </x:c>
      <x:c r="F26" s="19" t="n">
        <x:f>SUM($E$7:E26)</x:f>
        <x:v>913000</x:v>
      </x:c>
      <x:c r="G26" s="20" t="n">
        <x:v>9</x:v>
      </x:c>
      <x:c r="H26" s="20" t="n">
        <x:v>6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88000</x:v>
      </x:c>
      <x:c r="D27" s="19" t="n">
        <x:v>148000</x:v>
      </x:c>
      <x:c r="E27" s="19" t="n">
        <x:f>C27-D27</x:f>
        <x:v>-60000</x:v>
      </x:c>
      <x:c r="F27" s="19" t="n">
        <x:f>SUM($E$7:E27)</x:f>
        <x:v>853000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59000</x:v>
      </x:c>
      <x:c r="D28" s="19" t="n">
        <x:v>20000</x:v>
      </x:c>
      <x:c r="E28" s="19" t="n">
        <x:f>C28-D28</x:f>
        <x:v>39000</x:v>
      </x:c>
      <x:c r="F28" s="19" t="n">
        <x:f>SUM($E$7:E28)</x:f>
        <x:v>892000</x:v>
      </x:c>
      <x:c r="G28" s="20" t="n">
        <x:v>4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269000</x:v>
      </x:c>
      <x:c r="D29" s="19" t="n">
        <x:v>122000</x:v>
      </x:c>
      <x:c r="E29" s="19" t="n">
        <x:f>C29-D29</x:f>
        <x:v>147000</x:v>
      </x:c>
      <x:c r="F29" s="19" t="n">
        <x:f>SUM($E$7:E29)</x:f>
        <x:v>1039000</x:v>
      </x:c>
      <x:c r="G29" s="20" t="n">
        <x:v>10</x:v>
      </x:c>
      <x:c r="H29" s="20" t="n">
        <x:v>7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1029000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145000</x:v>
      </x:c>
      <x:c r="D31" s="19" t="n">
        <x:v>42000</x:v>
      </x:c>
      <x:c r="E31" s="19" t="n">
        <x:f>C31-D31</x:f>
        <x:v>103000</x:v>
      </x:c>
      <x:c r="F31" s="19" t="n">
        <x:f>SUM($E$7:E31)</x:f>
        <x:v>1132000</x:v>
      </x:c>
      <x:c r="G31" s="20" t="n">
        <x:v>7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1089000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153000</x:v>
      </x:c>
      <x:c r="D33" s="19" t="n">
        <x:v>130000</x:v>
      </x:c>
      <x:c r="E33" s="19" t="n">
        <x:f>C33-D33</x:f>
        <x:v>23000</x:v>
      </x:c>
      <x:c r="F33" s="19" t="n">
        <x:f>SUM($E$7:E33)</x:f>
        <x:v>1112000</x:v>
      </x:c>
      <x:c r="G33" s="20" t="n">
        <x:v>10</x:v>
      </x:c>
      <x:c r="H33" s="20" t="n">
        <x:v>8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113000</x:v>
      </x:c>
      <x:c r="D34" s="19" t="n">
        <x:v>0</x:v>
      </x:c>
      <x:c r="E34" s="19" t="n">
        <x:f>C34-D34</x:f>
        <x:v>113000</x:v>
      </x:c>
      <x:c r="F34" s="19" t="n">
        <x:f>SUM($E$7:E34)</x:f>
        <x:v>1225000</x:v>
      </x:c>
      <x:c r="G34" s="20" t="n">
        <x:v>7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111000</x:v>
      </x:c>
      <x:c r="D35" s="19" t="n">
        <x:v>68000</x:v>
      </x:c>
      <x:c r="E35" s="19" t="n">
        <x:f>C35-D35</x:f>
        <x:v>43000</x:v>
      </x:c>
      <x:c r="F35" s="19" t="n">
        <x:f>SUM($E$7:E35)</x:f>
        <x:v>1268000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1282000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1262000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1369000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115000</x:v>
      </x:c>
      <x:c r="D39" s="19" t="n">
        <x:v>117000</x:v>
      </x:c>
      <x:c r="E39" s="19" t="n">
        <x:f>C39-D39</x:f>
        <x:v>-2000</x:v>
      </x:c>
      <x:c r="F39" s="19" t="n">
        <x:f>SUM($E$7:E39)</x:f>
        <x:v>1367000</x:v>
      </x:c>
      <x:c r="G39" s="20" t="n">
        <x:v>12</x:v>
      </x:c>
      <x:c r="H39" s="20" t="n">
        <x:v>9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1314000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1391000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1566000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488000</x:v>
      </x:c>
      <x:c r="D43" s="19" t="n">
        <x:v>66000</x:v>
      </x:c>
      <x:c r="E43" s="19" t="n">
        <x:f>C43-D43</x:f>
        <x:v>422000</x:v>
      </x:c>
      <x:c r="F43" s="19" t="n">
        <x:f>SUM($E$7:E43)</x:f>
        <x:v>1988000</x:v>
      </x:c>
      <x:c r="G43" s="20" t="n">
        <x:v>8</x:v>
      </x:c>
      <x:c r="H43" s="20" t="n">
        <x:v>5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1968000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89000</x:v>
      </x:c>
      <x:c r="D45" s="19" t="n">
        <x:v>169000</x:v>
      </x:c>
      <x:c r="E45" s="19" t="n">
        <x:f>C45-D45</x:f>
        <x:v>-80000</x:v>
      </x:c>
      <x:c r="F45" s="19" t="n">
        <x:f>SUM($E$7:E45)</x:f>
        <x:v>1888000</x:v>
      </x:c>
      <x:c r="G45" s="20" t="n">
        <x:v>15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162000</x:v>
      </x:c>
      <x:c r="D46" s="19" t="n">
        <x:v>142000</x:v>
      </x:c>
      <x:c r="E46" s="19" t="n">
        <x:f>C46-D46</x:f>
        <x:v>20000</x:v>
      </x:c>
      <x:c r="F46" s="19" t="n">
        <x:f>SUM($E$7:E46)</x:f>
        <x:v>1908000</x:v>
      </x:c>
      <x:c r="G46" s="20" t="n">
        <x:v>13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393000</x:v>
      </x:c>
      <x:c r="D47" s="19" t="n">
        <x:v>0</x:v>
      </x:c>
      <x:c r="E47" s="19" t="n">
        <x:f>C47-D47</x:f>
        <x:v>393000</x:v>
      </x:c>
      <x:c r="F47" s="19" t="n">
        <x:f>SUM($E$7:E47)</x:f>
        <x:v>2301000</x:v>
      </x:c>
      <x:c r="G47" s="20" t="n">
        <x:v>4</x:v>
      </x:c>
      <x:c r="H47" s="20" t="n">
        <x:v>3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81000</x:v>
      </x:c>
      <x:c r="D48" s="19" t="n">
        <x:v>34000</x:v>
      </x:c>
      <x:c r="E48" s="19" t="n">
        <x:f>C48-D48</x:f>
        <x:v>47000</x:v>
      </x:c>
      <x:c r="F48" s="19" t="n">
        <x:f>SUM($E$7:E48)</x:f>
        <x:v>2348000</x:v>
      </x:c>
      <x:c r="G48" s="20" t="n">
        <x:v>8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138000</x:v>
      </x:c>
      <x:c r="D49" s="19" t="n">
        <x:v>214000</x:v>
      </x:c>
      <x:c r="E49" s="19" t="n">
        <x:f>C49-D49</x:f>
        <x:v>-76000</x:v>
      </x:c>
      <x:c r="F49" s="19" t="n">
        <x:f>SUM($E$7:E49)</x:f>
        <x:v>2272000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369000</x:v>
      </x:c>
      <x:c r="D50" s="19" t="n">
        <x:v>5000</x:v>
      </x:c>
      <x:c r="E50" s="19" t="n">
        <x:f>C50-D50</x:f>
        <x:v>364000</x:v>
      </x:c>
      <x:c r="F50" s="19" t="n">
        <x:f>SUM($E$7:E50)</x:f>
        <x:v>2636000</x:v>
      </x:c>
      <x:c r="G50" s="20" t="n">
        <x:v>9</x:v>
      </x:c>
      <x:c r="H50" s="20" t="n">
        <x:v>6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215000</x:v>
      </x:c>
      <x:c r="D51" s="19" t="n">
        <x:v>200000</x:v>
      </x:c>
      <x:c r="E51" s="19" t="n">
        <x:f>C51-D51</x:f>
        <x:v>15000</x:v>
      </x:c>
      <x:c r="F51" s="19" t="n">
        <x:f>SUM($E$7:E51)</x:f>
        <x:v>2651000</x:v>
      </x:c>
      <x:c r="G51" s="20" t="n">
        <x:v>11</x:v>
      </x:c>
      <x:c r="H51" s="20" t="n">
        <x:v>9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2611000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700000</x:v>
      </x:c>
      <x:c r="D53" s="19" t="n">
        <x:v>70000</x:v>
      </x:c>
      <x:c r="E53" s="19" t="n">
        <x:f>C53-D53</x:f>
        <x:v>630000</x:v>
      </x:c>
      <x:c r="F53" s="19" t="n">
        <x:f>SUM($E$7:E53)</x:f>
        <x:v>3241000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164000</x:v>
      </x:c>
      <x:c r="D54" s="19" t="n">
        <x:v>5000</x:v>
      </x:c>
      <x:c r="E54" s="19" t="n">
        <x:f>C54-D54</x:f>
        <x:v>159000</x:v>
      </x:c>
      <x:c r="F54" s="19" t="n">
        <x:f>SUM($E$7:E54)</x:f>
        <x:v>3400000</x:v>
      </x:c>
      <x:c r="G54" s="20" t="n">
        <x:v>4</x:v>
      </x:c>
      <x:c r="H54" s="20" t="n">
        <x:v>3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257000</x:v>
      </x:c>
      <x:c r="D55" s="19" t="n">
        <x:v>45000</x:v>
      </x:c>
      <x:c r="E55" s="19" t="n">
        <x:f>C55-D55</x:f>
        <x:v>212000</x:v>
      </x:c>
      <x:c r="F55" s="19" t="n">
        <x:f>SUM($E$7:E55)</x:f>
        <x:v>3612000</x:v>
      </x:c>
      <x:c r="G55" s="20" t="n">
        <x:v>4</x:v>
      </x:c>
      <x:c r="H55" s="20" t="n">
        <x:v>3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3581000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6738000</x:v>
      </x:c>
      <x:c r="D57" s="21" t="n">
        <x:f>SUM(D7:D56)</x:f>
        <x:v>3157000</x:v>
      </x:c>
      <x:c r="E57" s="21" t="n">
        <x:f>SUM(E7:E56)</x:f>
        <x:v>3581000</x:v>
      </x:c>
      <x:c r="F57" s="21" t="n">
        <x:f>F56</x:f>
        <x:v>3581000</x:v>
      </x:c>
      <x:c r="G57" s="22" t="n">
        <x:f>SUM(G7:G56)</x:f>
        <x:v>307</x:v>
      </x:c>
      <x:c r="H57" s="22" t="n">
        <x:f>SUM(H7:H56)</x:f>
        <x:v>234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3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39f83dcee3f4c56"/>
  </x:tableParts>
</x:worksheet>
</file>

<file path=xl/worksheets/sheet35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V05　半分利確後に押し戻りを待って回転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追加担当だけを変更。半分利確後に押し戻りを待って回転。基本担当と別入口は基準と同じ。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-29000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-33000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137000</x:v>
      </x:c>
      <x:c r="D13" s="19" t="n">
        <x:v>60000</x:v>
      </x:c>
      <x:c r="E13" s="19" t="n">
        <x:f>C13-D13</x:f>
        <x:v>77000</x:v>
      </x:c>
      <x:c r="F13" s="19" t="n">
        <x:f>SUM($E$7:E13)</x:f>
        <x:v>8000</x:v>
      </x:c>
      <x:c r="G13" s="20" t="n">
        <x:v>5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28000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146000</x:v>
      </x:c>
      <x:c r="D15" s="19" t="n">
        <x:v>48000</x:v>
      </x:c>
      <x:c r="E15" s="19" t="n">
        <x:f>C15-D15</x:f>
        <x:v>98000</x:v>
      </x:c>
      <x:c r="F15" s="19" t="n">
        <x:f>SUM($E$7:E15)</x:f>
        <x:v>126000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122000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331000</x:v>
      </x:c>
      <x:c r="D17" s="19" t="n">
        <x:v>151000</x:v>
      </x:c>
      <x:c r="E17" s="19" t="n">
        <x:f>C17-D17</x:f>
        <x:v>180000</x:v>
      </x:c>
      <x:c r="F17" s="19" t="n">
        <x:f>SUM($E$7:E17)</x:f>
        <x:v>302000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263000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129000</x:v>
      </x:c>
      <x:c r="D19" s="19" t="n">
        <x:v>127000</x:v>
      </x:c>
      <x:c r="E19" s="19" t="n">
        <x:f>C19-D19</x:f>
        <x:v>2000</x:v>
      </x:c>
      <x:c r="F19" s="19" t="n">
        <x:f>SUM($E$7:E19)</x:f>
        <x:v>265000</x:v>
      </x:c>
      <x:c r="G19" s="20" t="n">
        <x:v>8</x:v>
      </x:c>
      <x:c r="H19" s="20" t="n">
        <x:v>5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316000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391000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418000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355000</x:v>
      </x:c>
      <x:c r="D23" s="19" t="n">
        <x:v>84000</x:v>
      </x:c>
      <x:c r="E23" s="19" t="n">
        <x:f>C23-D23</x:f>
        <x:v>271000</x:v>
      </x:c>
      <x:c r="F23" s="19" t="n">
        <x:f>SUM($E$7:E23)</x:f>
        <x:v>689000</x:v>
      </x:c>
      <x:c r="G23" s="20" t="n">
        <x:v>4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143000</x:v>
      </x:c>
      <x:c r="D24" s="19" t="n">
        <x:v>85000</x:v>
      </x:c>
      <x:c r="E24" s="19" t="n">
        <x:f>C24-D24</x:f>
        <x:v>58000</x:v>
      </x:c>
      <x:c r="F24" s="19" t="n">
        <x:f>SUM($E$7:E24)</x:f>
        <x:v>747000</x:v>
      </x:c>
      <x:c r="G24" s="20" t="n">
        <x:v>11</x:v>
      </x:c>
      <x:c r="H24" s="20" t="n">
        <x:v>8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64000</x:v>
      </x:c>
      <x:c r="D25" s="19" t="n">
        <x:v>73000</x:v>
      </x:c>
      <x:c r="E25" s="19" t="n">
        <x:f>C25-D25</x:f>
        <x:v>-9000</x:v>
      </x:c>
      <x:c r="F25" s="19" t="n">
        <x:f>SUM($E$7:E25)</x:f>
        <x:v>738000</x:v>
      </x:c>
      <x:c r="G25" s="20" t="n">
        <x:v>9</x:v>
      </x:c>
      <x:c r="H25" s="20" t="n">
        <x:v>4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182000</x:v>
      </x:c>
      <x:c r="D26" s="19" t="n">
        <x:v>0</x:v>
      </x:c>
      <x:c r="E26" s="19" t="n">
        <x:f>C26-D26</x:f>
        <x:v>182000</x:v>
      </x:c>
      <x:c r="F26" s="19" t="n">
        <x:f>SUM($E$7:E26)</x:f>
        <x:v>920000</x:v>
      </x:c>
      <x:c r="G26" s="20" t="n">
        <x:v>9</x:v>
      </x:c>
      <x:c r="H26" s="20" t="n">
        <x:v>6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88000</x:v>
      </x:c>
      <x:c r="D27" s="19" t="n">
        <x:v>148000</x:v>
      </x:c>
      <x:c r="E27" s="19" t="n">
        <x:f>C27-D27</x:f>
        <x:v>-60000</x:v>
      </x:c>
      <x:c r="F27" s="19" t="n">
        <x:f>SUM($E$7:E27)</x:f>
        <x:v>860000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59000</x:v>
      </x:c>
      <x:c r="D28" s="19" t="n">
        <x:v>20000</x:v>
      </x:c>
      <x:c r="E28" s="19" t="n">
        <x:f>C28-D28</x:f>
        <x:v>39000</x:v>
      </x:c>
      <x:c r="F28" s="19" t="n">
        <x:f>SUM($E$7:E28)</x:f>
        <x:v>899000</x:v>
      </x:c>
      <x:c r="G28" s="20" t="n">
        <x:v>4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269000</x:v>
      </x:c>
      <x:c r="D29" s="19" t="n">
        <x:v>122000</x:v>
      </x:c>
      <x:c r="E29" s="19" t="n">
        <x:f>C29-D29</x:f>
        <x:v>147000</x:v>
      </x:c>
      <x:c r="F29" s="19" t="n">
        <x:f>SUM($E$7:E29)</x:f>
        <x:v>1046000</x:v>
      </x:c>
      <x:c r="G29" s="20" t="n">
        <x:v>10</x:v>
      </x:c>
      <x:c r="H29" s="20" t="n">
        <x:v>7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1036000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144000</x:v>
      </x:c>
      <x:c r="D31" s="19" t="n">
        <x:v>47000</x:v>
      </x:c>
      <x:c r="E31" s="19" t="n">
        <x:f>C31-D31</x:f>
        <x:v>97000</x:v>
      </x:c>
      <x:c r="F31" s="19" t="n">
        <x:f>SUM($E$7:E31)</x:f>
        <x:v>1133000</x:v>
      </x:c>
      <x:c r="G31" s="20" t="n">
        <x:v>8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1090000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153000</x:v>
      </x:c>
      <x:c r="D33" s="19" t="n">
        <x:v>130000</x:v>
      </x:c>
      <x:c r="E33" s="19" t="n">
        <x:f>C33-D33</x:f>
        <x:v>23000</x:v>
      </x:c>
      <x:c r="F33" s="19" t="n">
        <x:f>SUM($E$7:E33)</x:f>
        <x:v>1113000</x:v>
      </x:c>
      <x:c r="G33" s="20" t="n">
        <x:v>10</x:v>
      </x:c>
      <x:c r="H33" s="20" t="n">
        <x:v>8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113000</x:v>
      </x:c>
      <x:c r="D34" s="19" t="n">
        <x:v>0</x:v>
      </x:c>
      <x:c r="E34" s="19" t="n">
        <x:f>C34-D34</x:f>
        <x:v>113000</x:v>
      </x:c>
      <x:c r="F34" s="19" t="n">
        <x:f>SUM($E$7:E34)</x:f>
        <x:v>1226000</x:v>
      </x:c>
      <x:c r="G34" s="20" t="n">
        <x:v>7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111000</x:v>
      </x:c>
      <x:c r="D35" s="19" t="n">
        <x:v>68000</x:v>
      </x:c>
      <x:c r="E35" s="19" t="n">
        <x:f>C35-D35</x:f>
        <x:v>43000</x:v>
      </x:c>
      <x:c r="F35" s="19" t="n">
        <x:f>SUM($E$7:E35)</x:f>
        <x:v>1269000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1283000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1263000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1370000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115000</x:v>
      </x:c>
      <x:c r="D39" s="19" t="n">
        <x:v>117000</x:v>
      </x:c>
      <x:c r="E39" s="19" t="n">
        <x:f>C39-D39</x:f>
        <x:v>-2000</x:v>
      </x:c>
      <x:c r="F39" s="19" t="n">
        <x:f>SUM($E$7:E39)</x:f>
        <x:v>1368000</x:v>
      </x:c>
      <x:c r="G39" s="20" t="n">
        <x:v>12</x:v>
      </x:c>
      <x:c r="H39" s="20" t="n">
        <x:v>9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1315000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1392000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1567000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488000</x:v>
      </x:c>
      <x:c r="D43" s="19" t="n">
        <x:v>66000</x:v>
      </x:c>
      <x:c r="E43" s="19" t="n">
        <x:f>C43-D43</x:f>
        <x:v>422000</x:v>
      </x:c>
      <x:c r="F43" s="19" t="n">
        <x:f>SUM($E$7:E43)</x:f>
        <x:v>1989000</x:v>
      </x:c>
      <x:c r="G43" s="20" t="n">
        <x:v>8</x:v>
      </x:c>
      <x:c r="H43" s="20" t="n">
        <x:v>5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1969000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89000</x:v>
      </x:c>
      <x:c r="D45" s="19" t="n">
        <x:v>181000</x:v>
      </x:c>
      <x:c r="E45" s="19" t="n">
        <x:f>C45-D45</x:f>
        <x:v>-92000</x:v>
      </x:c>
      <x:c r="F45" s="19" t="n">
        <x:f>SUM($E$7:E45)</x:f>
        <x:v>1877000</x:v>
      </x:c>
      <x:c r="G45" s="20" t="n">
        <x:v>16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162000</x:v>
      </x:c>
      <x:c r="D46" s="19" t="n">
        <x:v>142000</x:v>
      </x:c>
      <x:c r="E46" s="19" t="n">
        <x:f>C46-D46</x:f>
        <x:v>20000</x:v>
      </x:c>
      <x:c r="F46" s="19" t="n">
        <x:f>SUM($E$7:E46)</x:f>
        <x:v>1897000</x:v>
      </x:c>
      <x:c r="G46" s="20" t="n">
        <x:v>13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393000</x:v>
      </x:c>
      <x:c r="D47" s="19" t="n">
        <x:v>0</x:v>
      </x:c>
      <x:c r="E47" s="19" t="n">
        <x:f>C47-D47</x:f>
        <x:v>393000</x:v>
      </x:c>
      <x:c r="F47" s="19" t="n">
        <x:f>SUM($E$7:E47)</x:f>
        <x:v>2290000</x:v>
      </x:c>
      <x:c r="G47" s="20" t="n">
        <x:v>4</x:v>
      </x:c>
      <x:c r="H47" s="20" t="n">
        <x:v>3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81000</x:v>
      </x:c>
      <x:c r="D48" s="19" t="n">
        <x:v>34000</x:v>
      </x:c>
      <x:c r="E48" s="19" t="n">
        <x:f>C48-D48</x:f>
        <x:v>47000</x:v>
      </x:c>
      <x:c r="F48" s="19" t="n">
        <x:f>SUM($E$7:E48)</x:f>
        <x:v>2337000</x:v>
      </x:c>
      <x:c r="G48" s="20" t="n">
        <x:v>8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138000</x:v>
      </x:c>
      <x:c r="D49" s="19" t="n">
        <x:v>214000</x:v>
      </x:c>
      <x:c r="E49" s="19" t="n">
        <x:f>C49-D49</x:f>
        <x:v>-76000</x:v>
      </x:c>
      <x:c r="F49" s="19" t="n">
        <x:f>SUM($E$7:E49)</x:f>
        <x:v>2261000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369000</x:v>
      </x:c>
      <x:c r="D50" s="19" t="n">
        <x:v>5000</x:v>
      </x:c>
      <x:c r="E50" s="19" t="n">
        <x:f>C50-D50</x:f>
        <x:v>364000</x:v>
      </x:c>
      <x:c r="F50" s="19" t="n">
        <x:f>SUM($E$7:E50)</x:f>
        <x:v>2625000</x:v>
      </x:c>
      <x:c r="G50" s="20" t="n">
        <x:v>9</x:v>
      </x:c>
      <x:c r="H50" s="20" t="n">
        <x:v>6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224000</x:v>
      </x:c>
      <x:c r="D51" s="19" t="n">
        <x:v>200000</x:v>
      </x:c>
      <x:c r="E51" s="19" t="n">
        <x:f>C51-D51</x:f>
        <x:v>24000</x:v>
      </x:c>
      <x:c r="F51" s="19" t="n">
        <x:f>SUM($E$7:E51)</x:f>
        <x:v>2649000</x:v>
      </x:c>
      <x:c r="G51" s="20" t="n">
        <x:v>12</x:v>
      </x:c>
      <x:c r="H51" s="20" t="n">
        <x:v>9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2609000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700000</x:v>
      </x:c>
      <x:c r="D53" s="19" t="n">
        <x:v>70000</x:v>
      </x:c>
      <x:c r="E53" s="19" t="n">
        <x:f>C53-D53</x:f>
        <x:v>630000</x:v>
      </x:c>
      <x:c r="F53" s="19" t="n">
        <x:f>SUM($E$7:E53)</x:f>
        <x:v>3239000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164000</x:v>
      </x:c>
      <x:c r="D54" s="19" t="n">
        <x:v>5000</x:v>
      </x:c>
      <x:c r="E54" s="19" t="n">
        <x:f>C54-D54</x:f>
        <x:v>159000</x:v>
      </x:c>
      <x:c r="F54" s="19" t="n">
        <x:f>SUM($E$7:E54)</x:f>
        <x:v>3398000</x:v>
      </x:c>
      <x:c r="G54" s="20" t="n">
        <x:v>4</x:v>
      </x:c>
      <x:c r="H54" s="20" t="n">
        <x:v>3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257000</x:v>
      </x:c>
      <x:c r="D55" s="19" t="n">
        <x:v>45000</x:v>
      </x:c>
      <x:c r="E55" s="19" t="n">
        <x:f>C55-D55</x:f>
        <x:v>212000</x:v>
      </x:c>
      <x:c r="F55" s="19" t="n">
        <x:f>SUM($E$7:E55)</x:f>
        <x:v>3610000</x:v>
      </x:c>
      <x:c r="G55" s="20" t="n">
        <x:v>4</x:v>
      </x:c>
      <x:c r="H55" s="20" t="n">
        <x:v>3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3579000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6759000</x:v>
      </x:c>
      <x:c r="D57" s="21" t="n">
        <x:f>SUM(D7:D56)</x:f>
        <x:v>3180000</x:v>
      </x:c>
      <x:c r="E57" s="21" t="n">
        <x:f>SUM(E7:E56)</x:f>
        <x:v>3579000</x:v>
      </x:c>
      <x:c r="F57" s="21" t="n">
        <x:f>F56</x:f>
        <x:v>3579000</x:v>
      </x:c>
      <x:c r="G57" s="22" t="n">
        <x:f>SUM(G7:G56)</x:f>
        <x:v>312</x:v>
      </x:c>
      <x:c r="H57" s="22" t="n">
        <x:f>SUM(H7:H56)</x:f>
        <x:v>234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3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41af569df36441b"/>
  </x:tableParts>
</x:worksheet>
</file>

<file path=xl/worksheets/sheet36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V06　全利確後の状態再確認・時刻待ちなし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追加担当だけを変更。全利確後の状態再確認・時刻待ちなし。基本担当と別入口は基準と同じ。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-29000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-33000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113000</x:v>
      </x:c>
      <x:c r="D13" s="19" t="n">
        <x:v>60000</x:v>
      </x:c>
      <x:c r="E13" s="19" t="n">
        <x:f>C13-D13</x:f>
        <x:v>53000</x:v>
      </x:c>
      <x:c r="F13" s="19" t="n">
        <x:f>SUM($E$7:E13)</x:f>
        <x:v>-16000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4000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157000</x:v>
      </x:c>
      <x:c r="D15" s="19" t="n">
        <x:v>66000</x:v>
      </x:c>
      <x:c r="E15" s="19" t="n">
        <x:f>C15-D15</x:f>
        <x:v>91000</x:v>
      </x:c>
      <x:c r="F15" s="19" t="n">
        <x:f>SUM($E$7:E15)</x:f>
        <x:v>95000</x:v>
      </x:c>
      <x:c r="G15" s="20" t="n">
        <x:v>6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91000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331000</x:v>
      </x:c>
      <x:c r="D17" s="19" t="n">
        <x:v>151000</x:v>
      </x:c>
      <x:c r="E17" s="19" t="n">
        <x:f>C17-D17</x:f>
        <x:v>180000</x:v>
      </x:c>
      <x:c r="F17" s="19" t="n">
        <x:f>SUM($E$7:E17)</x:f>
        <x:v>271000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232000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129000</x:v>
      </x:c>
      <x:c r="D19" s="19" t="n">
        <x:v>127000</x:v>
      </x:c>
      <x:c r="E19" s="19" t="n">
        <x:f>C19-D19</x:f>
        <x:v>2000</x:v>
      </x:c>
      <x:c r="F19" s="19" t="n">
        <x:f>SUM($E$7:E19)</x:f>
        <x:v>234000</x:v>
      </x:c>
      <x:c r="G19" s="20" t="n">
        <x:v>8</x:v>
      </x:c>
      <x:c r="H19" s="20" t="n">
        <x:v>5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285000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360000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387000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327000</x:v>
      </x:c>
      <x:c r="D23" s="19" t="n">
        <x:v>84000</x:v>
      </x:c>
      <x:c r="E23" s="19" t="n">
        <x:f>C23-D23</x:f>
        <x:v>243000</x:v>
      </x:c>
      <x:c r="F23" s="19" t="n">
        <x:f>SUM($E$7:E23)</x:f>
        <x:v>630000</x:v>
      </x:c>
      <x:c r="G23" s="20" t="n">
        <x:v>7</x:v>
      </x:c>
      <x:c r="H23" s="20" t="n">
        <x:v>5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148000</x:v>
      </x:c>
      <x:c r="D24" s="19" t="n">
        <x:v>103000</x:v>
      </x:c>
      <x:c r="E24" s="19" t="n">
        <x:f>C24-D24</x:f>
        <x:v>45000</x:v>
      </x:c>
      <x:c r="F24" s="19" t="n">
        <x:f>SUM($E$7:E24)</x:f>
        <x:v>675000</x:v>
      </x:c>
      <x:c r="G24" s="20" t="n">
        <x:v>13</x:v>
      </x:c>
      <x:c r="H24" s="20" t="n">
        <x:v>9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62000</x:v>
      </x:c>
      <x:c r="D25" s="19" t="n">
        <x:v>113000</x:v>
      </x:c>
      <x:c r="E25" s="19" t="n">
        <x:f>C25-D25</x:f>
        <x:v>-51000</x:v>
      </x:c>
      <x:c r="F25" s="19" t="n">
        <x:f>SUM($E$7:E25)</x:f>
        <x:v>624000</x:v>
      </x:c>
      <x:c r="G25" s="20" t="n">
        <x:v>12</x:v>
      </x:c>
      <x:c r="H25" s="20" t="n">
        <x:v>8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235000</x:v>
      </x:c>
      <x:c r="D26" s="19" t="n">
        <x:v>38000</x:v>
      </x:c>
      <x:c r="E26" s="19" t="n">
        <x:f>C26-D26</x:f>
        <x:v>197000</x:v>
      </x:c>
      <x:c r="F26" s="19" t="n">
        <x:f>SUM($E$7:E26)</x:f>
        <x:v>821000</x:v>
      </x:c>
      <x:c r="G26" s="20" t="n">
        <x:v>13</x:v>
      </x:c>
      <x:c r="H26" s="20" t="n">
        <x:v>8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85000</x:v>
      </x:c>
      <x:c r="D27" s="19" t="n">
        <x:v>148000</x:v>
      </x:c>
      <x:c r="E27" s="19" t="n">
        <x:f>C27-D27</x:f>
        <x:v>-63000</x:v>
      </x:c>
      <x:c r="F27" s="19" t="n">
        <x:f>SUM($E$7:E27)</x:f>
        <x:v>758000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98000</x:v>
      </x:c>
      <x:c r="D28" s="19" t="n">
        <x:v>36000</x:v>
      </x:c>
      <x:c r="E28" s="19" t="n">
        <x:f>C28-D28</x:f>
        <x:v>62000</x:v>
      </x:c>
      <x:c r="F28" s="19" t="n">
        <x:f>SUM($E$7:E28)</x:f>
        <x:v>820000</x:v>
      </x:c>
      <x:c r="G28" s="20" t="n">
        <x:v>6</x:v>
      </x:c>
      <x:c r="H28" s="20" t="n">
        <x:v>4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267000</x:v>
      </x:c>
      <x:c r="D29" s="19" t="n">
        <x:v>138000</x:v>
      </x:c>
      <x:c r="E29" s="19" t="n">
        <x:f>C29-D29</x:f>
        <x:v>129000</x:v>
      </x:c>
      <x:c r="F29" s="19" t="n">
        <x:f>SUM($E$7:E29)</x:f>
        <x:v>949000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939000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112000</x:v>
      </x:c>
      <x:c r="D31" s="19" t="n">
        <x:v>42000</x:v>
      </x:c>
      <x:c r="E31" s="19" t="n">
        <x:f>C31-D31</x:f>
        <x:v>70000</x:v>
      </x:c>
      <x:c r="F31" s="19" t="n">
        <x:f>SUM($E$7:E31)</x:f>
        <x:v>1009000</x:v>
      </x:c>
      <x:c r="G31" s="20" t="n">
        <x:v>9</x:v>
      </x:c>
      <x:c r="H31" s="20" t="n">
        <x:v>6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966000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201000</x:v>
      </x:c>
      <x:c r="D33" s="19" t="n">
        <x:v>130000</x:v>
      </x:c>
      <x:c r="E33" s="19" t="n">
        <x:f>C33-D33</x:f>
        <x:v>71000</x:v>
      </x:c>
      <x:c r="F33" s="19" t="n">
        <x:f>SUM($E$7:E33)</x:f>
        <x:v>1037000</x:v>
      </x:c>
      <x:c r="G33" s="20" t="n">
        <x:v>11</x:v>
      </x:c>
      <x:c r="H33" s="20" t="n">
        <x:v>9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147000</x:v>
      </x:c>
      <x:c r="D34" s="19" t="n">
        <x:v>22000</x:v>
      </x:c>
      <x:c r="E34" s="19" t="n">
        <x:f>C34-D34</x:f>
        <x:v>125000</x:v>
      </x:c>
      <x:c r="F34" s="19" t="n">
        <x:f>SUM($E$7:E34)</x:f>
        <x:v>1162000</x:v>
      </x:c>
      <x:c r="G34" s="20" t="n">
        <x:v>9</x:v>
      </x:c>
      <x:c r="H34" s="20" t="n">
        <x:v>6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134000</x:v>
      </x:c>
      <x:c r="D35" s="19" t="n">
        <x:v>114000</x:v>
      </x:c>
      <x:c r="E35" s="19" t="n">
        <x:f>C35-D35</x:f>
        <x:v>20000</x:v>
      </x:c>
      <x:c r="F35" s="19" t="n">
        <x:f>SUM($E$7:E35)</x:f>
        <x:v>1182000</x:v>
      </x:c>
      <x:c r="G35" s="20" t="n">
        <x:v>10</x:v>
      </x:c>
      <x:c r="H35" s="20" t="n">
        <x:v>7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1196000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1176000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1283000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83000</x:v>
      </x:c>
      <x:c r="D39" s="19" t="n">
        <x:v>165000</x:v>
      </x:c>
      <x:c r="E39" s="19" t="n">
        <x:f>C39-D39</x:f>
        <x:v>-82000</x:v>
      </x:c>
      <x:c r="F39" s="19" t="n">
        <x:f>SUM($E$7:E39)</x:f>
        <x:v>1201000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1148000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1225000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1400000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502000</x:v>
      </x:c>
      <x:c r="D43" s="19" t="n">
        <x:v>100000</x:v>
      </x:c>
      <x:c r="E43" s="19" t="n">
        <x:f>C43-D43</x:f>
        <x:v>402000</x:v>
      </x:c>
      <x:c r="F43" s="19" t="n">
        <x:f>SUM($E$7:E43)</x:f>
        <x:v>1802000</x:v>
      </x:c>
      <x:c r="G43" s="20" t="n">
        <x:v>9</x:v>
      </x:c>
      <x:c r="H43" s="20" t="n">
        <x:v>6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1782000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115000</x:v>
      </x:c>
      <x:c r="D45" s="19" t="n">
        <x:v>196000</x:v>
      </x:c>
      <x:c r="E45" s="19" t="n">
        <x:f>C45-D45</x:f>
        <x:v>-81000</x:v>
      </x:c>
      <x:c r="F45" s="19" t="n">
        <x:f>SUM($E$7:E45)</x:f>
        <x:v>1701000</x:v>
      </x:c>
      <x:c r="G45" s="20" t="n">
        <x:v>17</x:v>
      </x:c>
      <x:c r="H45" s="20" t="n">
        <x:v>13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207000</x:v>
      </x:c>
      <x:c r="D46" s="19" t="n">
        <x:v>142000</x:v>
      </x:c>
      <x:c r="E46" s="19" t="n">
        <x:f>C46-D46</x:f>
        <x:v>65000</x:v>
      </x:c>
      <x:c r="F46" s="19" t="n">
        <x:f>SUM($E$7:E46)</x:f>
        <x:v>1766000</x:v>
      </x:c>
      <x:c r="G46" s="20" t="n">
        <x:v>15</x:v>
      </x:c>
      <x:c r="H46" s="20" t="n">
        <x:v>12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430000</x:v>
      </x:c>
      <x:c r="D47" s="19" t="n">
        <x:v>40000</x:v>
      </x:c>
      <x:c r="E47" s="19" t="n">
        <x:f>C47-D47</x:f>
        <x:v>390000</x:v>
      </x:c>
      <x:c r="F47" s="19" t="n">
        <x:f>SUM($E$7:E47)</x:f>
        <x:v>2156000</x:v>
      </x:c>
      <x:c r="G47" s="20" t="n">
        <x:v>13</x:v>
      </x:c>
      <x:c r="H47" s="20" t="n">
        <x:v>8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150000</x:v>
      </x:c>
      <x:c r="D48" s="19" t="n">
        <x:v>61000</x:v>
      </x:c>
      <x:c r="E48" s="19" t="n">
        <x:f>C48-D48</x:f>
        <x:v>89000</x:v>
      </x:c>
      <x:c r="F48" s="19" t="n">
        <x:f>SUM($E$7:E48)</x:f>
        <x:v>2245000</x:v>
      </x:c>
      <x:c r="G48" s="20" t="n">
        <x:v>13</x:v>
      </x:c>
      <x:c r="H48" s="20" t="n">
        <x:v>8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165000</x:v>
      </x:c>
      <x:c r="D49" s="19" t="n">
        <x:v>254000</x:v>
      </x:c>
      <x:c r="E49" s="19" t="n">
        <x:f>C49-D49</x:f>
        <x:v>-89000</x:v>
      </x:c>
      <x:c r="F49" s="19" t="n">
        <x:f>SUM($E$7:E49)</x:f>
        <x:v>2156000</x:v>
      </x:c>
      <x:c r="G49" s="20" t="n">
        <x:v>16</x:v>
      </x:c>
      <x:c r="H49" s="20" t="n">
        <x:v>13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528000</x:v>
      </x:c>
      <x:c r="D50" s="19" t="n">
        <x:v>5000</x:v>
      </x:c>
      <x:c r="E50" s="19" t="n">
        <x:f>C50-D50</x:f>
        <x:v>523000</x:v>
      </x:c>
      <x:c r="F50" s="19" t="n">
        <x:f>SUM($E$7:E50)</x:f>
        <x:v>2679000</x:v>
      </x:c>
      <x:c r="G50" s="20" t="n">
        <x:v>12</x:v>
      </x:c>
      <x:c r="H50" s="20" t="n">
        <x:v>7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290000</x:v>
      </x:c>
      <x:c r="D51" s="19" t="n">
        <x:v>218000</x:v>
      </x:c>
      <x:c r="E51" s="19" t="n">
        <x:f>C51-D51</x:f>
        <x:v>72000</x:v>
      </x:c>
      <x:c r="F51" s="19" t="n">
        <x:f>SUM($E$7:E51)</x:f>
        <x:v>2751000</x:v>
      </x:c>
      <x:c r="G51" s="20" t="n">
        <x:v>13</x:v>
      </x:c>
      <x:c r="H51" s="20" t="n">
        <x:v>10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2711000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727000</x:v>
      </x:c>
      <x:c r="D53" s="19" t="n">
        <x:v>70000</x:v>
      </x:c>
      <x:c r="E53" s="19" t="n">
        <x:f>C53-D53</x:f>
        <x:v>657000</x:v>
      </x:c>
      <x:c r="F53" s="19" t="n">
        <x:f>SUM($E$7:E53)</x:f>
        <x:v>3368000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179000</x:v>
      </x:c>
      <x:c r="D54" s="19" t="n">
        <x:v>34000</x:v>
      </x:c>
      <x:c r="E54" s="19" t="n">
        <x:f>C54-D54</x:f>
        <x:v>145000</x:v>
      </x:c>
      <x:c r="F54" s="19" t="n">
        <x:f>SUM($E$7:E54)</x:f>
        <x:v>3513000</x:v>
      </x:c>
      <x:c r="G54" s="20" t="n">
        <x:v>6</x:v>
      </x:c>
      <x:c r="H54" s="20" t="n">
        <x:v>5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226000</x:v>
      </x:c>
      <x:c r="D55" s="19" t="n">
        <x:v>99000</x:v>
      </x:c>
      <x:c r="E55" s="19" t="n">
        <x:f>C55-D55</x:f>
        <x:v>127000</x:v>
      </x:c>
      <x:c r="F55" s="19" t="n">
        <x:f>SUM($E$7:E55)</x:f>
        <x:v>3640000</x:v>
      </x:c>
      <x:c r="G55" s="20" t="n">
        <x:v>7</x:v>
      </x:c>
      <x:c r="H55" s="20" t="n">
        <x:v>5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3609000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7303000</x:v>
      </x:c>
      <x:c r="D57" s="21" t="n">
        <x:f>SUM(D7:D56)</x:f>
        <x:v>3694000</x:v>
      </x:c>
      <x:c r="E57" s="21" t="n">
        <x:f>SUM(E7:E56)</x:f>
        <x:v>3609000</x:v>
      </x:c>
      <x:c r="F57" s="21" t="n">
        <x:f>F56</x:f>
        <x:v>3609000</x:v>
      </x:c>
      <x:c r="G57" s="22" t="n">
        <x:f>SUM(G7:G56)</x:f>
        <x:v>364</x:v>
      </x:c>
      <x:c r="H57" s="22" t="n">
        <x:f>SUM(H7:H56)</x:f>
        <x:v>267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3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7725e290b640c7"/>
  </x:tableParts>
</x:worksheet>
</file>

<file path=xl/worksheets/sheet37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V07　全利確後60秒と状態再確認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追加担当だけを変更。全利確後60秒と状態再確認。基本担当と別入口は基準と同じ。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-29000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-33000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113000</x:v>
      </x:c>
      <x:c r="D13" s="19" t="n">
        <x:v>60000</x:v>
      </x:c>
      <x:c r="E13" s="19" t="n">
        <x:f>C13-D13</x:f>
        <x:v>53000</x:v>
      </x:c>
      <x:c r="F13" s="19" t="n">
        <x:f>SUM($E$7:E13)</x:f>
        <x:v>-16000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4000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157000</x:v>
      </x:c>
      <x:c r="D15" s="19" t="n">
        <x:v>66000</x:v>
      </x:c>
      <x:c r="E15" s="19" t="n">
        <x:f>C15-D15</x:f>
        <x:v>91000</x:v>
      </x:c>
      <x:c r="F15" s="19" t="n">
        <x:f>SUM($E$7:E15)</x:f>
        <x:v>95000</x:v>
      </x:c>
      <x:c r="G15" s="20" t="n">
        <x:v>6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91000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331000</x:v>
      </x:c>
      <x:c r="D17" s="19" t="n">
        <x:v>151000</x:v>
      </x:c>
      <x:c r="E17" s="19" t="n">
        <x:f>C17-D17</x:f>
        <x:v>180000</x:v>
      </x:c>
      <x:c r="F17" s="19" t="n">
        <x:f>SUM($E$7:E17)</x:f>
        <x:v>271000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232000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129000</x:v>
      </x:c>
      <x:c r="D19" s="19" t="n">
        <x:v>127000</x:v>
      </x:c>
      <x:c r="E19" s="19" t="n">
        <x:f>C19-D19</x:f>
        <x:v>2000</x:v>
      </x:c>
      <x:c r="F19" s="19" t="n">
        <x:f>SUM($E$7:E19)</x:f>
        <x:v>234000</x:v>
      </x:c>
      <x:c r="G19" s="20" t="n">
        <x:v>8</x:v>
      </x:c>
      <x:c r="H19" s="20" t="n">
        <x:v>5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285000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360000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387000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327000</x:v>
      </x:c>
      <x:c r="D23" s="19" t="n">
        <x:v>84000</x:v>
      </x:c>
      <x:c r="E23" s="19" t="n">
        <x:f>C23-D23</x:f>
        <x:v>243000</x:v>
      </x:c>
      <x:c r="F23" s="19" t="n">
        <x:f>SUM($E$7:E23)</x:f>
        <x:v>630000</x:v>
      </x:c>
      <x:c r="G23" s="20" t="n">
        <x:v>7</x:v>
      </x:c>
      <x:c r="H23" s="20" t="n">
        <x:v>5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148000</x:v>
      </x:c>
      <x:c r="D24" s="19" t="n">
        <x:v>103000</x:v>
      </x:c>
      <x:c r="E24" s="19" t="n">
        <x:f>C24-D24</x:f>
        <x:v>45000</x:v>
      </x:c>
      <x:c r="F24" s="19" t="n">
        <x:f>SUM($E$7:E24)</x:f>
        <x:v>675000</x:v>
      </x:c>
      <x:c r="G24" s="20" t="n">
        <x:v>13</x:v>
      </x:c>
      <x:c r="H24" s="20" t="n">
        <x:v>9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62000</x:v>
      </x:c>
      <x:c r="D25" s="19" t="n">
        <x:v>113000</x:v>
      </x:c>
      <x:c r="E25" s="19" t="n">
        <x:f>C25-D25</x:f>
        <x:v>-51000</x:v>
      </x:c>
      <x:c r="F25" s="19" t="n">
        <x:f>SUM($E$7:E25)</x:f>
        <x:v>624000</x:v>
      </x:c>
      <x:c r="G25" s="20" t="n">
        <x:v>12</x:v>
      </x:c>
      <x:c r="H25" s="20" t="n">
        <x:v>8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235000</x:v>
      </x:c>
      <x:c r="D26" s="19" t="n">
        <x:v>38000</x:v>
      </x:c>
      <x:c r="E26" s="19" t="n">
        <x:f>C26-D26</x:f>
        <x:v>197000</x:v>
      </x:c>
      <x:c r="F26" s="19" t="n">
        <x:f>SUM($E$7:E26)</x:f>
        <x:v>821000</x:v>
      </x:c>
      <x:c r="G26" s="20" t="n">
        <x:v>13</x:v>
      </x:c>
      <x:c r="H26" s="20" t="n">
        <x:v>8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85000</x:v>
      </x:c>
      <x:c r="D27" s="19" t="n">
        <x:v>148000</x:v>
      </x:c>
      <x:c r="E27" s="19" t="n">
        <x:f>C27-D27</x:f>
        <x:v>-63000</x:v>
      </x:c>
      <x:c r="F27" s="19" t="n">
        <x:f>SUM($E$7:E27)</x:f>
        <x:v>758000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98000</x:v>
      </x:c>
      <x:c r="D28" s="19" t="n">
        <x:v>36000</x:v>
      </x:c>
      <x:c r="E28" s="19" t="n">
        <x:f>C28-D28</x:f>
        <x:v>62000</x:v>
      </x:c>
      <x:c r="F28" s="19" t="n">
        <x:f>SUM($E$7:E28)</x:f>
        <x:v>820000</x:v>
      </x:c>
      <x:c r="G28" s="20" t="n">
        <x:v>6</x:v>
      </x:c>
      <x:c r="H28" s="20" t="n">
        <x:v>4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267000</x:v>
      </x:c>
      <x:c r="D29" s="19" t="n">
        <x:v>138000</x:v>
      </x:c>
      <x:c r="E29" s="19" t="n">
        <x:f>C29-D29</x:f>
        <x:v>129000</x:v>
      </x:c>
      <x:c r="F29" s="19" t="n">
        <x:f>SUM($E$7:E29)</x:f>
        <x:v>949000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939000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112000</x:v>
      </x:c>
      <x:c r="D31" s="19" t="n">
        <x:v>42000</x:v>
      </x:c>
      <x:c r="E31" s="19" t="n">
        <x:f>C31-D31</x:f>
        <x:v>70000</x:v>
      </x:c>
      <x:c r="F31" s="19" t="n">
        <x:f>SUM($E$7:E31)</x:f>
        <x:v>1009000</x:v>
      </x:c>
      <x:c r="G31" s="20" t="n">
        <x:v>9</x:v>
      </x:c>
      <x:c r="H31" s="20" t="n">
        <x:v>6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966000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201000</x:v>
      </x:c>
      <x:c r="D33" s="19" t="n">
        <x:v>130000</x:v>
      </x:c>
      <x:c r="E33" s="19" t="n">
        <x:f>C33-D33</x:f>
        <x:v>71000</x:v>
      </x:c>
      <x:c r="F33" s="19" t="n">
        <x:f>SUM($E$7:E33)</x:f>
        <x:v>1037000</x:v>
      </x:c>
      <x:c r="G33" s="20" t="n">
        <x:v>11</x:v>
      </x:c>
      <x:c r="H33" s="20" t="n">
        <x:v>9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147000</x:v>
      </x:c>
      <x:c r="D34" s="19" t="n">
        <x:v>22000</x:v>
      </x:c>
      <x:c r="E34" s="19" t="n">
        <x:f>C34-D34</x:f>
        <x:v>125000</x:v>
      </x:c>
      <x:c r="F34" s="19" t="n">
        <x:f>SUM($E$7:E34)</x:f>
        <x:v>1162000</x:v>
      </x:c>
      <x:c r="G34" s="20" t="n">
        <x:v>9</x:v>
      </x:c>
      <x:c r="H34" s="20" t="n">
        <x:v>6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134000</x:v>
      </x:c>
      <x:c r="D35" s="19" t="n">
        <x:v>114000</x:v>
      </x:c>
      <x:c r="E35" s="19" t="n">
        <x:f>C35-D35</x:f>
        <x:v>20000</x:v>
      </x:c>
      <x:c r="F35" s="19" t="n">
        <x:f>SUM($E$7:E35)</x:f>
        <x:v>1182000</x:v>
      </x:c>
      <x:c r="G35" s="20" t="n">
        <x:v>10</x:v>
      </x:c>
      <x:c r="H35" s="20" t="n">
        <x:v>7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1196000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1176000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1283000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83000</x:v>
      </x:c>
      <x:c r="D39" s="19" t="n">
        <x:v>165000</x:v>
      </x:c>
      <x:c r="E39" s="19" t="n">
        <x:f>C39-D39</x:f>
        <x:v>-82000</x:v>
      </x:c>
      <x:c r="F39" s="19" t="n">
        <x:f>SUM($E$7:E39)</x:f>
        <x:v>1201000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1148000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1225000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1400000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502000</x:v>
      </x:c>
      <x:c r="D43" s="19" t="n">
        <x:v>100000</x:v>
      </x:c>
      <x:c r="E43" s="19" t="n">
        <x:f>C43-D43</x:f>
        <x:v>402000</x:v>
      </x:c>
      <x:c r="F43" s="19" t="n">
        <x:f>SUM($E$7:E43)</x:f>
        <x:v>1802000</x:v>
      </x:c>
      <x:c r="G43" s="20" t="n">
        <x:v>9</x:v>
      </x:c>
      <x:c r="H43" s="20" t="n">
        <x:v>6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1782000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115000</x:v>
      </x:c>
      <x:c r="D45" s="19" t="n">
        <x:v>196000</x:v>
      </x:c>
      <x:c r="E45" s="19" t="n">
        <x:f>C45-D45</x:f>
        <x:v>-81000</x:v>
      </x:c>
      <x:c r="F45" s="19" t="n">
        <x:f>SUM($E$7:E45)</x:f>
        <x:v>1701000</x:v>
      </x:c>
      <x:c r="G45" s="20" t="n">
        <x:v>17</x:v>
      </x:c>
      <x:c r="H45" s="20" t="n">
        <x:v>13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207000</x:v>
      </x:c>
      <x:c r="D46" s="19" t="n">
        <x:v>142000</x:v>
      </x:c>
      <x:c r="E46" s="19" t="n">
        <x:f>C46-D46</x:f>
        <x:v>65000</x:v>
      </x:c>
      <x:c r="F46" s="19" t="n">
        <x:f>SUM($E$7:E46)</x:f>
        <x:v>1766000</x:v>
      </x:c>
      <x:c r="G46" s="20" t="n">
        <x:v>15</x:v>
      </x:c>
      <x:c r="H46" s="20" t="n">
        <x:v>12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430000</x:v>
      </x:c>
      <x:c r="D47" s="19" t="n">
        <x:v>40000</x:v>
      </x:c>
      <x:c r="E47" s="19" t="n">
        <x:f>C47-D47</x:f>
        <x:v>390000</x:v>
      </x:c>
      <x:c r="F47" s="19" t="n">
        <x:f>SUM($E$7:E47)</x:f>
        <x:v>2156000</x:v>
      </x:c>
      <x:c r="G47" s="20" t="n">
        <x:v>13</x:v>
      </x:c>
      <x:c r="H47" s="20" t="n">
        <x:v>8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150000</x:v>
      </x:c>
      <x:c r="D48" s="19" t="n">
        <x:v>61000</x:v>
      </x:c>
      <x:c r="E48" s="19" t="n">
        <x:f>C48-D48</x:f>
        <x:v>89000</x:v>
      </x:c>
      <x:c r="F48" s="19" t="n">
        <x:f>SUM($E$7:E48)</x:f>
        <x:v>2245000</x:v>
      </x:c>
      <x:c r="G48" s="20" t="n">
        <x:v>13</x:v>
      </x:c>
      <x:c r="H48" s="20" t="n">
        <x:v>8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165000</x:v>
      </x:c>
      <x:c r="D49" s="19" t="n">
        <x:v>254000</x:v>
      </x:c>
      <x:c r="E49" s="19" t="n">
        <x:f>C49-D49</x:f>
        <x:v>-89000</x:v>
      </x:c>
      <x:c r="F49" s="19" t="n">
        <x:f>SUM($E$7:E49)</x:f>
        <x:v>2156000</x:v>
      </x:c>
      <x:c r="G49" s="20" t="n">
        <x:v>16</x:v>
      </x:c>
      <x:c r="H49" s="20" t="n">
        <x:v>13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528000</x:v>
      </x:c>
      <x:c r="D50" s="19" t="n">
        <x:v>24000</x:v>
      </x:c>
      <x:c r="E50" s="19" t="n">
        <x:f>C50-D50</x:f>
        <x:v>504000</x:v>
      </x:c>
      <x:c r="F50" s="19" t="n">
        <x:f>SUM($E$7:E50)</x:f>
        <x:v>2660000</x:v>
      </x:c>
      <x:c r="G50" s="20" t="n">
        <x:v>12</x:v>
      </x:c>
      <x:c r="H50" s="20" t="n">
        <x:v>7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290000</x:v>
      </x:c>
      <x:c r="D51" s="19" t="n">
        <x:v>200000</x:v>
      </x:c>
      <x:c r="E51" s="19" t="n">
        <x:f>C51-D51</x:f>
        <x:v>90000</x:v>
      </x:c>
      <x:c r="F51" s="19" t="n">
        <x:f>SUM($E$7:E51)</x:f>
        <x:v>2750000</x:v>
      </x:c>
      <x:c r="G51" s="20" t="n">
        <x:v>12</x:v>
      </x:c>
      <x:c r="H51" s="20" t="n">
        <x:v>9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2710000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727000</x:v>
      </x:c>
      <x:c r="D53" s="19" t="n">
        <x:v>70000</x:v>
      </x:c>
      <x:c r="E53" s="19" t="n">
        <x:f>C53-D53</x:f>
        <x:v>657000</x:v>
      </x:c>
      <x:c r="F53" s="19" t="n">
        <x:f>SUM($E$7:E53)</x:f>
        <x:v>3367000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179000</x:v>
      </x:c>
      <x:c r="D54" s="19" t="n">
        <x:v>34000</x:v>
      </x:c>
      <x:c r="E54" s="19" t="n">
        <x:f>C54-D54</x:f>
        <x:v>145000</x:v>
      </x:c>
      <x:c r="F54" s="19" t="n">
        <x:f>SUM($E$7:E54)</x:f>
        <x:v>3512000</x:v>
      </x:c>
      <x:c r="G54" s="20" t="n">
        <x:v>6</x:v>
      </x:c>
      <x:c r="H54" s="20" t="n">
        <x:v>5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226000</x:v>
      </x:c>
      <x:c r="D55" s="19" t="n">
        <x:v>99000</x:v>
      </x:c>
      <x:c r="E55" s="19" t="n">
        <x:f>C55-D55</x:f>
        <x:v>127000</x:v>
      </x:c>
      <x:c r="F55" s="19" t="n">
        <x:f>SUM($E$7:E55)</x:f>
        <x:v>3639000</x:v>
      </x:c>
      <x:c r="G55" s="20" t="n">
        <x:v>7</x:v>
      </x:c>
      <x:c r="H55" s="20" t="n">
        <x:v>5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3608000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7303000</x:v>
      </x:c>
      <x:c r="D57" s="21" t="n">
        <x:f>SUM(D7:D56)</x:f>
        <x:v>3695000</x:v>
      </x:c>
      <x:c r="E57" s="21" t="n">
        <x:f>SUM(E7:E56)</x:f>
        <x:v>3608000</x:v>
      </x:c>
      <x:c r="F57" s="21" t="n">
        <x:f>F56</x:f>
        <x:v>3608000</x:v>
      </x:c>
      <x:c r="G57" s="22" t="n">
        <x:f>SUM(G7:G56)</x:f>
        <x:v>363</x:v>
      </x:c>
      <x:c r="H57" s="22" t="n">
        <x:f>SUM(H7:H56)</x:f>
        <x:v>266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34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1ce202f43b74aaf"/>
  </x:tableParts>
</x:worksheet>
</file>

<file path=xl/worksheets/sheet38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V08　全利確後300秒と状態再確認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追加担当だけを変更。全利確後300秒と状態再確認。基本担当と別入口は基準と同じ。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-29000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-33000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113000</x:v>
      </x:c>
      <x:c r="D13" s="19" t="n">
        <x:v>60000</x:v>
      </x:c>
      <x:c r="E13" s="19" t="n">
        <x:f>C13-D13</x:f>
        <x:v>53000</x:v>
      </x:c>
      <x:c r="F13" s="19" t="n">
        <x:f>SUM($E$7:E13)</x:f>
        <x:v>-16000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4000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157000</x:v>
      </x:c>
      <x:c r="D15" s="19" t="n">
        <x:v>66000</x:v>
      </x:c>
      <x:c r="E15" s="19" t="n">
        <x:f>C15-D15</x:f>
        <x:v>91000</x:v>
      </x:c>
      <x:c r="F15" s="19" t="n">
        <x:f>SUM($E$7:E15)</x:f>
        <x:v>95000</x:v>
      </x:c>
      <x:c r="G15" s="20" t="n">
        <x:v>6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91000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331000</x:v>
      </x:c>
      <x:c r="D17" s="19" t="n">
        <x:v>151000</x:v>
      </x:c>
      <x:c r="E17" s="19" t="n">
        <x:f>C17-D17</x:f>
        <x:v>180000</x:v>
      </x:c>
      <x:c r="F17" s="19" t="n">
        <x:f>SUM($E$7:E17)</x:f>
        <x:v>271000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232000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129000</x:v>
      </x:c>
      <x:c r="D19" s="19" t="n">
        <x:v>127000</x:v>
      </x:c>
      <x:c r="E19" s="19" t="n">
        <x:f>C19-D19</x:f>
        <x:v>2000</x:v>
      </x:c>
      <x:c r="F19" s="19" t="n">
        <x:f>SUM($E$7:E19)</x:f>
        <x:v>234000</x:v>
      </x:c>
      <x:c r="G19" s="20" t="n">
        <x:v>8</x:v>
      </x:c>
      <x:c r="H19" s="20" t="n">
        <x:v>5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285000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360000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387000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302000</x:v>
      </x:c>
      <x:c r="D23" s="19" t="n">
        <x:v>110000</x:v>
      </x:c>
      <x:c r="E23" s="19" t="n">
        <x:f>C23-D23</x:f>
        <x:v>192000</x:v>
      </x:c>
      <x:c r="F23" s="19" t="n">
        <x:f>SUM($E$7:E23)</x:f>
        <x:v>579000</x:v>
      </x:c>
      <x:c r="G23" s="20" t="n">
        <x:v>6</x:v>
      </x:c>
      <x:c r="H23" s="20" t="n">
        <x:v>5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148000</x:v>
      </x:c>
      <x:c r="D24" s="19" t="n">
        <x:v>103000</x:v>
      </x:c>
      <x:c r="E24" s="19" t="n">
        <x:f>C24-D24</x:f>
        <x:v>45000</x:v>
      </x:c>
      <x:c r="F24" s="19" t="n">
        <x:f>SUM($E$7:E24)</x:f>
        <x:v>624000</x:v>
      </x:c>
      <x:c r="G24" s="20" t="n">
        <x:v>13</x:v>
      </x:c>
      <x:c r="H24" s="20" t="n">
        <x:v>9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62000</x:v>
      </x:c>
      <x:c r="D25" s="19" t="n">
        <x:v>113000</x:v>
      </x:c>
      <x:c r="E25" s="19" t="n">
        <x:f>C25-D25</x:f>
        <x:v>-51000</x:v>
      </x:c>
      <x:c r="F25" s="19" t="n">
        <x:f>SUM($E$7:E25)</x:f>
        <x:v>573000</x:v>
      </x:c>
      <x:c r="G25" s="20" t="n">
        <x:v>12</x:v>
      </x:c>
      <x:c r="H25" s="20" t="n">
        <x:v>8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235000</x:v>
      </x:c>
      <x:c r="D26" s="19" t="n">
        <x:v>38000</x:v>
      </x:c>
      <x:c r="E26" s="19" t="n">
        <x:f>C26-D26</x:f>
        <x:v>197000</x:v>
      </x:c>
      <x:c r="F26" s="19" t="n">
        <x:f>SUM($E$7:E26)</x:f>
        <x:v>770000</x:v>
      </x:c>
      <x:c r="G26" s="20" t="n">
        <x:v>13</x:v>
      </x:c>
      <x:c r="H26" s="20" t="n">
        <x:v>8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85000</x:v>
      </x:c>
      <x:c r="D27" s="19" t="n">
        <x:v>148000</x:v>
      </x:c>
      <x:c r="E27" s="19" t="n">
        <x:f>C27-D27</x:f>
        <x:v>-63000</x:v>
      </x:c>
      <x:c r="F27" s="19" t="n">
        <x:f>SUM($E$7:E27)</x:f>
        <x:v>707000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98000</x:v>
      </x:c>
      <x:c r="D28" s="19" t="n">
        <x:v>36000</x:v>
      </x:c>
      <x:c r="E28" s="19" t="n">
        <x:f>C28-D28</x:f>
        <x:v>62000</x:v>
      </x:c>
      <x:c r="F28" s="19" t="n">
        <x:f>SUM($E$7:E28)</x:f>
        <x:v>769000</x:v>
      </x:c>
      <x:c r="G28" s="20" t="n">
        <x:v>6</x:v>
      </x:c>
      <x:c r="H28" s="20" t="n">
        <x:v>4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267000</x:v>
      </x:c>
      <x:c r="D29" s="19" t="n">
        <x:v>138000</x:v>
      </x:c>
      <x:c r="E29" s="19" t="n">
        <x:f>C29-D29</x:f>
        <x:v>129000</x:v>
      </x:c>
      <x:c r="F29" s="19" t="n">
        <x:f>SUM($E$7:E29)</x:f>
        <x:v>898000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888000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96000</x:v>
      </x:c>
      <x:c r="D31" s="19" t="n">
        <x:v>62000</x:v>
      </x:c>
      <x:c r="E31" s="19" t="n">
        <x:f>C31-D31</x:f>
        <x:v>34000</x:v>
      </x:c>
      <x:c r="F31" s="19" t="n">
        <x:f>SUM($E$7:E31)</x:f>
        <x:v>922000</x:v>
      </x:c>
      <x:c r="G31" s="20" t="n">
        <x:v>8</x:v>
      </x:c>
      <x:c r="H31" s="20" t="n">
        <x:v>6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879000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201000</x:v>
      </x:c>
      <x:c r="D33" s="19" t="n">
        <x:v>130000</x:v>
      </x:c>
      <x:c r="E33" s="19" t="n">
        <x:f>C33-D33</x:f>
        <x:v>71000</x:v>
      </x:c>
      <x:c r="F33" s="19" t="n">
        <x:f>SUM($E$7:E33)</x:f>
        <x:v>950000</x:v>
      </x:c>
      <x:c r="G33" s="20" t="n">
        <x:v>11</x:v>
      </x:c>
      <x:c r="H33" s="20" t="n">
        <x:v>9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147000</x:v>
      </x:c>
      <x:c r="D34" s="19" t="n">
        <x:v>22000</x:v>
      </x:c>
      <x:c r="E34" s="19" t="n">
        <x:f>C34-D34</x:f>
        <x:v>125000</x:v>
      </x:c>
      <x:c r="F34" s="19" t="n">
        <x:f>SUM($E$7:E34)</x:f>
        <x:v>1075000</x:v>
      </x:c>
      <x:c r="G34" s="20" t="n">
        <x:v>9</x:v>
      </x:c>
      <x:c r="H34" s="20" t="n">
        <x:v>6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134000</x:v>
      </x:c>
      <x:c r="D35" s="19" t="n">
        <x:v>114000</x:v>
      </x:c>
      <x:c r="E35" s="19" t="n">
        <x:f>C35-D35</x:f>
        <x:v>20000</x:v>
      </x:c>
      <x:c r="F35" s="19" t="n">
        <x:f>SUM($E$7:E35)</x:f>
        <x:v>1095000</x:v>
      </x:c>
      <x:c r="G35" s="20" t="n">
        <x:v>10</x:v>
      </x:c>
      <x:c r="H35" s="20" t="n">
        <x:v>7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1109000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1089000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1196000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83000</x:v>
      </x:c>
      <x:c r="D39" s="19" t="n">
        <x:v>165000</x:v>
      </x:c>
      <x:c r="E39" s="19" t="n">
        <x:f>C39-D39</x:f>
        <x:v>-82000</x:v>
      </x:c>
      <x:c r="F39" s="19" t="n">
        <x:f>SUM($E$7:E39)</x:f>
        <x:v>1114000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1061000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1138000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1313000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502000</x:v>
      </x:c>
      <x:c r="D43" s="19" t="n">
        <x:v>100000</x:v>
      </x:c>
      <x:c r="E43" s="19" t="n">
        <x:f>C43-D43</x:f>
        <x:v>402000</x:v>
      </x:c>
      <x:c r="F43" s="19" t="n">
        <x:f>SUM($E$7:E43)</x:f>
        <x:v>1715000</x:v>
      </x:c>
      <x:c r="G43" s="20" t="n">
        <x:v>9</x:v>
      </x:c>
      <x:c r="H43" s="20" t="n">
        <x:v>6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1695000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115000</x:v>
      </x:c>
      <x:c r="D45" s="19" t="n">
        <x:v>196000</x:v>
      </x:c>
      <x:c r="E45" s="19" t="n">
        <x:f>C45-D45</x:f>
        <x:v>-81000</x:v>
      </x:c>
      <x:c r="F45" s="19" t="n">
        <x:f>SUM($E$7:E45)</x:f>
        <x:v>1614000</x:v>
      </x:c>
      <x:c r="G45" s="20" t="n">
        <x:v>17</x:v>
      </x:c>
      <x:c r="H45" s="20" t="n">
        <x:v>13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207000</x:v>
      </x:c>
      <x:c r="D46" s="19" t="n">
        <x:v>142000</x:v>
      </x:c>
      <x:c r="E46" s="19" t="n">
        <x:f>C46-D46</x:f>
        <x:v>65000</x:v>
      </x:c>
      <x:c r="F46" s="19" t="n">
        <x:f>SUM($E$7:E46)</x:f>
        <x:v>1679000</x:v>
      </x:c>
      <x:c r="G46" s="20" t="n">
        <x:v>15</x:v>
      </x:c>
      <x:c r="H46" s="20" t="n">
        <x:v>12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430000</x:v>
      </x:c>
      <x:c r="D47" s="19" t="n">
        <x:v>40000</x:v>
      </x:c>
      <x:c r="E47" s="19" t="n">
        <x:f>C47-D47</x:f>
        <x:v>390000</x:v>
      </x:c>
      <x:c r="F47" s="19" t="n">
        <x:f>SUM($E$7:E47)</x:f>
        <x:v>2069000</x:v>
      </x:c>
      <x:c r="G47" s="20" t="n">
        <x:v>13</x:v>
      </x:c>
      <x:c r="H47" s="20" t="n">
        <x:v>8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150000</x:v>
      </x:c>
      <x:c r="D48" s="19" t="n">
        <x:v>61000</x:v>
      </x:c>
      <x:c r="E48" s="19" t="n">
        <x:f>C48-D48</x:f>
        <x:v>89000</x:v>
      </x:c>
      <x:c r="F48" s="19" t="n">
        <x:f>SUM($E$7:E48)</x:f>
        <x:v>2158000</x:v>
      </x:c>
      <x:c r="G48" s="20" t="n">
        <x:v>13</x:v>
      </x:c>
      <x:c r="H48" s="20" t="n">
        <x:v>8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165000</x:v>
      </x:c>
      <x:c r="D49" s="19" t="n">
        <x:v>254000</x:v>
      </x:c>
      <x:c r="E49" s="19" t="n">
        <x:f>C49-D49</x:f>
        <x:v>-89000</x:v>
      </x:c>
      <x:c r="F49" s="19" t="n">
        <x:f>SUM($E$7:E49)</x:f>
        <x:v>2069000</x:v>
      </x:c>
      <x:c r="G49" s="20" t="n">
        <x:v>16</x:v>
      </x:c>
      <x:c r="H49" s="20" t="n">
        <x:v>13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528000</x:v>
      </x:c>
      <x:c r="D50" s="19" t="n">
        <x:v>24000</x:v>
      </x:c>
      <x:c r="E50" s="19" t="n">
        <x:f>C50-D50</x:f>
        <x:v>504000</x:v>
      </x:c>
      <x:c r="F50" s="19" t="n">
        <x:f>SUM($E$7:E50)</x:f>
        <x:v>2573000</x:v>
      </x:c>
      <x:c r="G50" s="20" t="n">
        <x:v>12</x:v>
      </x:c>
      <x:c r="H50" s="20" t="n">
        <x:v>7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290000</x:v>
      </x:c>
      <x:c r="D51" s="19" t="n">
        <x:v>200000</x:v>
      </x:c>
      <x:c r="E51" s="19" t="n">
        <x:f>C51-D51</x:f>
        <x:v>90000</x:v>
      </x:c>
      <x:c r="F51" s="19" t="n">
        <x:f>SUM($E$7:E51)</x:f>
        <x:v>2663000</x:v>
      </x:c>
      <x:c r="G51" s="20" t="n">
        <x:v>12</x:v>
      </x:c>
      <x:c r="H51" s="20" t="n">
        <x:v>9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2623000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727000</x:v>
      </x:c>
      <x:c r="D53" s="19" t="n">
        <x:v>70000</x:v>
      </x:c>
      <x:c r="E53" s="19" t="n">
        <x:f>C53-D53</x:f>
        <x:v>657000</x:v>
      </x:c>
      <x:c r="F53" s="19" t="n">
        <x:f>SUM($E$7:E53)</x:f>
        <x:v>3280000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179000</x:v>
      </x:c>
      <x:c r="D54" s="19" t="n">
        <x:v>34000</x:v>
      </x:c>
      <x:c r="E54" s="19" t="n">
        <x:f>C54-D54</x:f>
        <x:v>145000</x:v>
      </x:c>
      <x:c r="F54" s="19" t="n">
        <x:f>SUM($E$7:E54)</x:f>
        <x:v>3425000</x:v>
      </x:c>
      <x:c r="G54" s="20" t="n">
        <x:v>6</x:v>
      </x:c>
      <x:c r="H54" s="20" t="n">
        <x:v>5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226000</x:v>
      </x:c>
      <x:c r="D55" s="19" t="n">
        <x:v>99000</x:v>
      </x:c>
      <x:c r="E55" s="19" t="n">
        <x:f>C55-D55</x:f>
        <x:v>127000</x:v>
      </x:c>
      <x:c r="F55" s="19" t="n">
        <x:f>SUM($E$7:E55)</x:f>
        <x:v>3552000</x:v>
      </x:c>
      <x:c r="G55" s="20" t="n">
        <x:v>7</x:v>
      </x:c>
      <x:c r="H55" s="20" t="n">
        <x:v>5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3521000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7262000</x:v>
      </x:c>
      <x:c r="D57" s="21" t="n">
        <x:f>SUM(D7:D56)</x:f>
        <x:v>3741000</x:v>
      </x:c>
      <x:c r="E57" s="21" t="n">
        <x:f>SUM(E7:E56)</x:f>
        <x:v>3521000</x:v>
      </x:c>
      <x:c r="F57" s="21" t="n">
        <x:f>F56</x:f>
        <x:v>3521000</x:v>
      </x:c>
      <x:c r="G57" s="22" t="n">
        <x:f>SUM(G7:G56)</x:f>
        <x:v>361</x:v>
      </x:c>
      <x:c r="H57" s="22" t="n">
        <x:f>SUM(H7:H56)</x:f>
        <x:v>266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35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26db0b6b5b4e54"/>
  </x:tableParts>
</x:worksheet>
</file>

<file path=xl/worksheets/sheet39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V09　全利確後900秒と状態再確認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追加担当だけを変更。全利確後900秒と状態再確認。基本担当と別入口は基準と同じ。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-29000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-33000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113000</x:v>
      </x:c>
      <x:c r="D13" s="19" t="n">
        <x:v>60000</x:v>
      </x:c>
      <x:c r="E13" s="19" t="n">
        <x:f>C13-D13</x:f>
        <x:v>53000</x:v>
      </x:c>
      <x:c r="F13" s="19" t="n">
        <x:f>SUM($E$7:E13)</x:f>
        <x:v>-16000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4000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157000</x:v>
      </x:c>
      <x:c r="D15" s="19" t="n">
        <x:v>66000</x:v>
      </x:c>
      <x:c r="E15" s="19" t="n">
        <x:f>C15-D15</x:f>
        <x:v>91000</x:v>
      </x:c>
      <x:c r="F15" s="19" t="n">
        <x:f>SUM($E$7:E15)</x:f>
        <x:v>95000</x:v>
      </x:c>
      <x:c r="G15" s="20" t="n">
        <x:v>6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91000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331000</x:v>
      </x:c>
      <x:c r="D17" s="19" t="n">
        <x:v>151000</x:v>
      </x:c>
      <x:c r="E17" s="19" t="n">
        <x:f>C17-D17</x:f>
        <x:v>180000</x:v>
      </x:c>
      <x:c r="F17" s="19" t="n">
        <x:f>SUM($E$7:E17)</x:f>
        <x:v>271000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232000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129000</x:v>
      </x:c>
      <x:c r="D19" s="19" t="n">
        <x:v>127000</x:v>
      </x:c>
      <x:c r="E19" s="19" t="n">
        <x:f>C19-D19</x:f>
        <x:v>2000</x:v>
      </x:c>
      <x:c r="F19" s="19" t="n">
        <x:f>SUM($E$7:E19)</x:f>
        <x:v>234000</x:v>
      </x:c>
      <x:c r="G19" s="20" t="n">
        <x:v>8</x:v>
      </x:c>
      <x:c r="H19" s="20" t="n">
        <x:v>5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285000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360000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387000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302000</x:v>
      </x:c>
      <x:c r="D23" s="19" t="n">
        <x:v>110000</x:v>
      </x:c>
      <x:c r="E23" s="19" t="n">
        <x:f>C23-D23</x:f>
        <x:v>192000</x:v>
      </x:c>
      <x:c r="F23" s="19" t="n">
        <x:f>SUM($E$7:E23)</x:f>
        <x:v>579000</x:v>
      </x:c>
      <x:c r="G23" s="20" t="n">
        <x:v>6</x:v>
      </x:c>
      <x:c r="H23" s="20" t="n">
        <x:v>5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148000</x:v>
      </x:c>
      <x:c r="D24" s="19" t="n">
        <x:v>103000</x:v>
      </x:c>
      <x:c r="E24" s="19" t="n">
        <x:f>C24-D24</x:f>
        <x:v>45000</x:v>
      </x:c>
      <x:c r="F24" s="19" t="n">
        <x:f>SUM($E$7:E24)</x:f>
        <x:v>624000</x:v>
      </x:c>
      <x:c r="G24" s="20" t="n">
        <x:v>13</x:v>
      </x:c>
      <x:c r="H24" s="20" t="n">
        <x:v>9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62000</x:v>
      </x:c>
      <x:c r="D25" s="19" t="n">
        <x:v>113000</x:v>
      </x:c>
      <x:c r="E25" s="19" t="n">
        <x:f>C25-D25</x:f>
        <x:v>-51000</x:v>
      </x:c>
      <x:c r="F25" s="19" t="n">
        <x:f>SUM($E$7:E25)</x:f>
        <x:v>573000</x:v>
      </x:c>
      <x:c r="G25" s="20" t="n">
        <x:v>12</x:v>
      </x:c>
      <x:c r="H25" s="20" t="n">
        <x:v>8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340000</x:v>
      </x:c>
      <x:c r="D26" s="19" t="n">
        <x:v>24000</x:v>
      </x:c>
      <x:c r="E26" s="19" t="n">
        <x:f>C26-D26</x:f>
        <x:v>316000</x:v>
      </x:c>
      <x:c r="F26" s="19" t="n">
        <x:f>SUM($E$7:E26)</x:f>
        <x:v>889000</x:v>
      </x:c>
      <x:c r="G26" s="20" t="n">
        <x:v>14</x:v>
      </x:c>
      <x:c r="H26" s="20" t="n">
        <x:v>8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85000</x:v>
      </x:c>
      <x:c r="D27" s="19" t="n">
        <x:v>148000</x:v>
      </x:c>
      <x:c r="E27" s="19" t="n">
        <x:f>C27-D27</x:f>
        <x:v>-63000</x:v>
      </x:c>
      <x:c r="F27" s="19" t="n">
        <x:f>SUM($E$7:E27)</x:f>
        <x:v>826000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98000</x:v>
      </x:c>
      <x:c r="D28" s="19" t="n">
        <x:v>36000</x:v>
      </x:c>
      <x:c r="E28" s="19" t="n">
        <x:f>C28-D28</x:f>
        <x:v>62000</x:v>
      </x:c>
      <x:c r="F28" s="19" t="n">
        <x:f>SUM($E$7:E28)</x:f>
        <x:v>888000</x:v>
      </x:c>
      <x:c r="G28" s="20" t="n">
        <x:v>6</x:v>
      </x:c>
      <x:c r="H28" s="20" t="n">
        <x:v>4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267000</x:v>
      </x:c>
      <x:c r="D29" s="19" t="n">
        <x:v>138000</x:v>
      </x:c>
      <x:c r="E29" s="19" t="n">
        <x:f>C29-D29</x:f>
        <x:v>129000</x:v>
      </x:c>
      <x:c r="F29" s="19" t="n">
        <x:f>SUM($E$7:E29)</x:f>
        <x:v>1017000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1007000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96000</x:v>
      </x:c>
      <x:c r="D31" s="19" t="n">
        <x:v>62000</x:v>
      </x:c>
      <x:c r="E31" s="19" t="n">
        <x:f>C31-D31</x:f>
        <x:v>34000</x:v>
      </x:c>
      <x:c r="F31" s="19" t="n">
        <x:f>SUM($E$7:E31)</x:f>
        <x:v>1041000</x:v>
      </x:c>
      <x:c r="G31" s="20" t="n">
        <x:v>8</x:v>
      </x:c>
      <x:c r="H31" s="20" t="n">
        <x:v>6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998000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216000</x:v>
      </x:c>
      <x:c r="D33" s="19" t="n">
        <x:v>130000</x:v>
      </x:c>
      <x:c r="E33" s="19" t="n">
        <x:f>C33-D33</x:f>
        <x:v>86000</x:v>
      </x:c>
      <x:c r="F33" s="19" t="n">
        <x:f>SUM($E$7:E33)</x:f>
        <x:v>1084000</x:v>
      </x:c>
      <x:c r="G33" s="20" t="n">
        <x:v>12</x:v>
      </x:c>
      <x:c r="H33" s="20" t="n">
        <x:v>9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147000</x:v>
      </x:c>
      <x:c r="D34" s="19" t="n">
        <x:v>22000</x:v>
      </x:c>
      <x:c r="E34" s="19" t="n">
        <x:f>C34-D34</x:f>
        <x:v>125000</x:v>
      </x:c>
      <x:c r="F34" s="19" t="n">
        <x:f>SUM($E$7:E34)</x:f>
        <x:v>1209000</x:v>
      </x:c>
      <x:c r="G34" s="20" t="n">
        <x:v>9</x:v>
      </x:c>
      <x:c r="H34" s="20" t="n">
        <x:v>6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134000</x:v>
      </x:c>
      <x:c r="D35" s="19" t="n">
        <x:v>114000</x:v>
      </x:c>
      <x:c r="E35" s="19" t="n">
        <x:f>C35-D35</x:f>
        <x:v>20000</x:v>
      </x:c>
      <x:c r="F35" s="19" t="n">
        <x:f>SUM($E$7:E35)</x:f>
        <x:v>1229000</x:v>
      </x:c>
      <x:c r="G35" s="20" t="n">
        <x:v>10</x:v>
      </x:c>
      <x:c r="H35" s="20" t="n">
        <x:v>7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1243000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1223000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1330000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83000</x:v>
      </x:c>
      <x:c r="D39" s="19" t="n">
        <x:v>141000</x:v>
      </x:c>
      <x:c r="E39" s="19" t="n">
        <x:f>C39-D39</x:f>
        <x:v>-58000</x:v>
      </x:c>
      <x:c r="F39" s="19" t="n">
        <x:f>SUM($E$7:E39)</x:f>
        <x:v>1272000</x:v>
      </x:c>
      <x:c r="G39" s="20" t="n">
        <x:v>13</x:v>
      </x:c>
      <x:c r="H39" s="20" t="n">
        <x:v>10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1219000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1296000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1471000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502000</x:v>
      </x:c>
      <x:c r="D43" s="19" t="n">
        <x:v>92000</x:v>
      </x:c>
      <x:c r="E43" s="19" t="n">
        <x:f>C43-D43</x:f>
        <x:v>410000</x:v>
      </x:c>
      <x:c r="F43" s="19" t="n">
        <x:f>SUM($E$7:E43)</x:f>
        <x:v>1881000</x:v>
      </x:c>
      <x:c r="G43" s="20" t="n">
        <x:v>9</x:v>
      </x:c>
      <x:c r="H43" s="20" t="n">
        <x:v>6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1861000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115000</x:v>
      </x:c>
      <x:c r="D45" s="19" t="n">
        <x:v>196000</x:v>
      </x:c>
      <x:c r="E45" s="19" t="n">
        <x:f>C45-D45</x:f>
        <x:v>-81000</x:v>
      </x:c>
      <x:c r="F45" s="19" t="n">
        <x:f>SUM($E$7:E45)</x:f>
        <x:v>1780000</x:v>
      </x:c>
      <x:c r="G45" s="20" t="n">
        <x:v>17</x:v>
      </x:c>
      <x:c r="H45" s="20" t="n">
        <x:v>13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163000</x:v>
      </x:c>
      <x:c r="D46" s="19" t="n">
        <x:v>142000</x:v>
      </x:c>
      <x:c r="E46" s="19" t="n">
        <x:f>C46-D46</x:f>
        <x:v>21000</x:v>
      </x:c>
      <x:c r="F46" s="19" t="n">
        <x:f>SUM($E$7:E46)</x:f>
        <x:v>1801000</x:v>
      </x:c>
      <x:c r="G46" s="20" t="n">
        <x:v>14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391000</x:v>
      </x:c>
      <x:c r="D47" s="19" t="n">
        <x:v>16000</x:v>
      </x:c>
      <x:c r="E47" s="19" t="n">
        <x:f>C47-D47</x:f>
        <x:v>375000</x:v>
      </x:c>
      <x:c r="F47" s="19" t="n">
        <x:f>SUM($E$7:E47)</x:f>
        <x:v>2176000</x:v>
      </x:c>
      <x:c r="G47" s="20" t="n">
        <x:v>10</x:v>
      </x:c>
      <x:c r="H47" s="20" t="n">
        <x:v>6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155000</x:v>
      </x:c>
      <x:c r="D48" s="19" t="n">
        <x:v>61000</x:v>
      </x:c>
      <x:c r="E48" s="19" t="n">
        <x:f>C48-D48</x:f>
        <x:v>94000</x:v>
      </x:c>
      <x:c r="F48" s="19" t="n">
        <x:f>SUM($E$7:E48)</x:f>
        <x:v>2270000</x:v>
      </x:c>
      <x:c r="G48" s="20" t="n">
        <x:v>13</x:v>
      </x:c>
      <x:c r="H48" s="20" t="n">
        <x:v>8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165000</x:v>
      </x:c>
      <x:c r="D49" s="19" t="n">
        <x:v>264000</x:v>
      </x:c>
      <x:c r="E49" s="19" t="n">
        <x:f>C49-D49</x:f>
        <x:v>-99000</x:v>
      </x:c>
      <x:c r="F49" s="19" t="n">
        <x:f>SUM($E$7:E49)</x:f>
        <x:v>2171000</x:v>
      </x:c>
      <x:c r="G49" s="20" t="n">
        <x:v>16</x:v>
      </x:c>
      <x:c r="H49" s="20" t="n">
        <x:v>13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528000</x:v>
      </x:c>
      <x:c r="D50" s="19" t="n">
        <x:v>2000</x:v>
      </x:c>
      <x:c r="E50" s="19" t="n">
        <x:f>C50-D50</x:f>
        <x:v>526000</x:v>
      </x:c>
      <x:c r="F50" s="19" t="n">
        <x:f>SUM($E$7:E50)</x:f>
        <x:v>2697000</x:v>
      </x:c>
      <x:c r="G50" s="20" t="n">
        <x:v>12</x:v>
      </x:c>
      <x:c r="H50" s="20" t="n">
        <x:v>7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236000</x:v>
      </x:c>
      <x:c r="D51" s="19" t="n">
        <x:v>236000</x:v>
      </x:c>
      <x:c r="E51" s="19" t="n">
        <x:f>C51-D51</x:f>
        <x:v>0</x:v>
      </x:c>
      <x:c r="F51" s="19" t="n">
        <x:f>SUM($E$7:E51)</x:f>
        <x:v>2697000</x:v>
      </x:c>
      <x:c r="G51" s="20" t="n">
        <x:v>13</x:v>
      </x:c>
      <x:c r="H51" s="20" t="n">
        <x:v>10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2657000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727000</x:v>
      </x:c>
      <x:c r="D53" s="19" t="n">
        <x:v>70000</x:v>
      </x:c>
      <x:c r="E53" s="19" t="n">
        <x:f>C53-D53</x:f>
        <x:v>657000</x:v>
      </x:c>
      <x:c r="F53" s="19" t="n">
        <x:f>SUM($E$7:E53)</x:f>
        <x:v>3314000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170000</x:v>
      </x:c>
      <x:c r="D54" s="19" t="n">
        <x:v>34000</x:v>
      </x:c>
      <x:c r="E54" s="19" t="n">
        <x:f>C54-D54</x:f>
        <x:v>136000</x:v>
      </x:c>
      <x:c r="F54" s="19" t="n">
        <x:f>SUM($E$7:E54)</x:f>
        <x:v>3450000</x:v>
      </x:c>
      <x:c r="G54" s="20" t="n">
        <x:v>7</x:v>
      </x:c>
      <x:c r="H54" s="20" t="n">
        <x:v>5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226000</x:v>
      </x:c>
      <x:c r="D55" s="19" t="n">
        <x:v>99000</x:v>
      </x:c>
      <x:c r="E55" s="19" t="n">
        <x:f>C55-D55</x:f>
        <x:v>127000</x:v>
      </x:c>
      <x:c r="F55" s="19" t="n">
        <x:f>SUM($E$7:E55)</x:f>
        <x:v>3577000</x:v>
      </x:c>
      <x:c r="G55" s="20" t="n">
        <x:v>7</x:v>
      </x:c>
      <x:c r="H55" s="20" t="n">
        <x:v>5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3546000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7241000</x:v>
      </x:c>
      <x:c r="D57" s="21" t="n">
        <x:f>SUM(D7:D56)</x:f>
        <x:v>3695000</x:v>
      </x:c>
      <x:c r="E57" s="21" t="n">
        <x:f>SUM(E7:E56)</x:f>
        <x:v>3546000</x:v>
      </x:c>
      <x:c r="F57" s="21" t="n">
        <x:f>F56</x:f>
        <x:v>3546000</x:v>
      </x:c>
      <x:c r="G57" s="22" t="n">
        <x:f>SUM(G7:G56)</x:f>
        <x:v>360</x:v>
      </x:c>
      <x:c r="H57" s="22" t="n">
        <x:f>SUM(H7:H56)</x:f>
        <x:v>263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36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5c0437c4b74fa0"/>
  </x:tableParts>
</x:worksheet>
</file>

<file path=xl/worksheets/sheet40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V10　全利確後の押し戻り再参加と確認ドテン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追加担当だけを変更。全利確後の押し戻り再参加と確認ドテン。基本担当と別入口は基準と同じ。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-29000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-33000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144000</x:v>
      </x:c>
      <x:c r="D13" s="19" t="n">
        <x:v>114000</x:v>
      </x:c>
      <x:c r="E13" s="19" t="n">
        <x:f>C13-D13</x:f>
        <x:v>30000</x:v>
      </x:c>
      <x:c r="F13" s="19" t="n">
        <x:f>SUM($E$7:E13)</x:f>
        <x:v>-39000</x:v>
      </x:c>
      <x:c r="G13" s="20" t="n">
        <x:v>11</x:v>
      </x:c>
      <x:c r="H13" s="20" t="n">
        <x:v>7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-19000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186000</x:v>
      </x:c>
      <x:c r="D15" s="19" t="n">
        <x:v>92000</x:v>
      </x:c>
      <x:c r="E15" s="19" t="n">
        <x:f>C15-D15</x:f>
        <x:v>94000</x:v>
      </x:c>
      <x:c r="F15" s="19" t="n">
        <x:f>SUM($E$7:E15)</x:f>
        <x:v>75000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71000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364000</x:v>
      </x:c>
      <x:c r="D17" s="19" t="n">
        <x:v>216000</x:v>
      </x:c>
      <x:c r="E17" s="19" t="n">
        <x:f>C17-D17</x:f>
        <x:v>148000</x:v>
      </x:c>
      <x:c r="F17" s="19" t="n">
        <x:f>SUM($E$7:E17)</x:f>
        <x:v>219000</x:v>
      </x:c>
      <x:c r="G17" s="20" t="n">
        <x:v>18</x:v>
      </x:c>
      <x:c r="H17" s="20" t="n">
        <x:v>11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46000</x:v>
      </x:c>
      <x:c r="D18" s="19" t="n">
        <x:v>48000</x:v>
      </x:c>
      <x:c r="E18" s="19" t="n">
        <x:f>C18-D18</x:f>
        <x:v>-2000</x:v>
      </x:c>
      <x:c r="F18" s="19" t="n">
        <x:f>SUM($E$7:E18)</x:f>
        <x:v>217000</x:v>
      </x:c>
      <x:c r="G18" s="20" t="n">
        <x:v>7</x:v>
      </x:c>
      <x:c r="H18" s="20" t="n">
        <x:v>6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155000</x:v>
      </x:c>
      <x:c r="D19" s="19" t="n">
        <x:v>163000</x:v>
      </x:c>
      <x:c r="E19" s="19" t="n">
        <x:f>C19-D19</x:f>
        <x:v>-8000</x:v>
      </x:c>
      <x:c r="F19" s="19" t="n">
        <x:f>SUM($E$7:E19)</x:f>
        <x:v>209000</x:v>
      </x:c>
      <x:c r="G19" s="20" t="n">
        <x:v>13</x:v>
      </x:c>
      <x:c r="H19" s="20" t="n">
        <x:v>9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260000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335000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362000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317000</x:v>
      </x:c>
      <x:c r="D23" s="19" t="n">
        <x:v>172000</x:v>
      </x:c>
      <x:c r="E23" s="19" t="n">
        <x:f>C23-D23</x:f>
        <x:v>145000</x:v>
      </x:c>
      <x:c r="F23" s="19" t="n">
        <x:f>SUM($E$7:E23)</x:f>
        <x:v>507000</x:v>
      </x:c>
      <x:c r="G23" s="20" t="n">
        <x:v>13</x:v>
      </x:c>
      <x:c r="H23" s="20" t="n">
        <x:v>10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185000</x:v>
      </x:c>
      <x:c r="D24" s="19" t="n">
        <x:v>154000</x:v>
      </x:c>
      <x:c r="E24" s="19" t="n">
        <x:f>C24-D24</x:f>
        <x:v>31000</x:v>
      </x:c>
      <x:c r="F24" s="19" t="n">
        <x:f>SUM($E$7:E24)</x:f>
        <x:v>538000</x:v>
      </x:c>
      <x:c r="G24" s="20" t="n">
        <x:v>19</x:v>
      </x:c>
      <x:c r="H24" s="20" t="n">
        <x:v>13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56000</x:v>
      </x:c>
      <x:c r="D25" s="19" t="n">
        <x:v>198000</x:v>
      </x:c>
      <x:c r="E25" s="19" t="n">
        <x:f>C25-D25</x:f>
        <x:v>-142000</x:v>
      </x:c>
      <x:c r="F25" s="19" t="n">
        <x:f>SUM($E$7:E25)</x:f>
        <x:v>396000</x:v>
      </x:c>
      <x:c r="G25" s="20" t="n">
        <x:v>13</x:v>
      </x:c>
      <x:c r="H25" s="20" t="n">
        <x:v>10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258000</x:v>
      </x:c>
      <x:c r="D26" s="19" t="n">
        <x:v>61000</x:v>
      </x:c>
      <x:c r="E26" s="19" t="n">
        <x:f>C26-D26</x:f>
        <x:v>197000</x:v>
      </x:c>
      <x:c r="F26" s="19" t="n">
        <x:f>SUM($E$7:E26)</x:f>
        <x:v>593000</x:v>
      </x:c>
      <x:c r="G26" s="20" t="n">
        <x:v>24</x:v>
      </x:c>
      <x:c r="H26" s="20" t="n">
        <x:v>14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125000</x:v>
      </x:c>
      <x:c r="D27" s="19" t="n">
        <x:v>224000</x:v>
      </x:c>
      <x:c r="E27" s="19" t="n">
        <x:f>C27-D27</x:f>
        <x:v>-99000</x:v>
      </x:c>
      <x:c r="F27" s="19" t="n">
        <x:f>SUM($E$7:E27)</x:f>
        <x:v>494000</x:v>
      </x:c>
      <x:c r="G27" s="20" t="n">
        <x:v>17</x:v>
      </x:c>
      <x:c r="H27" s="20" t="n">
        <x:v>12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98000</x:v>
      </x:c>
      <x:c r="D28" s="19" t="n">
        <x:v>64000</x:v>
      </x:c>
      <x:c r="E28" s="19" t="n">
        <x:f>C28-D28</x:f>
        <x:v>34000</x:v>
      </x:c>
      <x:c r="F28" s="19" t="n">
        <x:f>SUM($E$7:E28)</x:f>
        <x:v>528000</x:v>
      </x:c>
      <x:c r="G28" s="20" t="n">
        <x:v>7</x:v>
      </x:c>
      <x:c r="H28" s="20" t="n">
        <x:v>5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281000</x:v>
      </x:c>
      <x:c r="D29" s="19" t="n">
        <x:v>138000</x:v>
      </x:c>
      <x:c r="E29" s="19" t="n">
        <x:f>C29-D29</x:f>
        <x:v>143000</x:v>
      </x:c>
      <x:c r="F29" s="19" t="n">
        <x:f>SUM($E$7:E29)</x:f>
        <x:v>671000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661000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170000</x:v>
      </x:c>
      <x:c r="D31" s="19" t="n">
        <x:v>118000</x:v>
      </x:c>
      <x:c r="E31" s="19" t="n">
        <x:f>C31-D31</x:f>
        <x:v>52000</x:v>
      </x:c>
      <x:c r="F31" s="19" t="n">
        <x:f>SUM($E$7:E31)</x:f>
        <x:v>713000</x:v>
      </x:c>
      <x:c r="G31" s="20" t="n">
        <x:v>16</x:v>
      </x:c>
      <x:c r="H31" s="20" t="n">
        <x:v>12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670000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201000</x:v>
      </x:c>
      <x:c r="D33" s="19" t="n">
        <x:v>130000</x:v>
      </x:c>
      <x:c r="E33" s="19" t="n">
        <x:f>C33-D33</x:f>
        <x:v>71000</x:v>
      </x:c>
      <x:c r="F33" s="19" t="n">
        <x:f>SUM($E$7:E33)</x:f>
        <x:v>741000</x:v>
      </x:c>
      <x:c r="G33" s="20" t="n">
        <x:v>11</x:v>
      </x:c>
      <x:c r="H33" s="20" t="n">
        <x:v>9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420000</x:v>
      </x:c>
      <x:c r="D34" s="19" t="n">
        <x:v>17000</x:v>
      </x:c>
      <x:c r="E34" s="19" t="n">
        <x:f>C34-D34</x:f>
        <x:v>403000</x:v>
      </x:c>
      <x:c r="F34" s="19" t="n">
        <x:f>SUM($E$7:E34)</x:f>
        <x:v>1144000</x:v>
      </x:c>
      <x:c r="G34" s="20" t="n">
        <x:v>14</x:v>
      </x:c>
      <x:c r="H34" s="20" t="n">
        <x:v>9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194000</x:v>
      </x:c>
      <x:c r="D35" s="19" t="n">
        <x:v>93000</x:v>
      </x:c>
      <x:c r="E35" s="19" t="n">
        <x:f>C35-D35</x:f>
        <x:v>101000</x:v>
      </x:c>
      <x:c r="F35" s="19" t="n">
        <x:f>SUM($E$7:E35)</x:f>
        <x:v>1245000</x:v>
      </x:c>
      <x:c r="G35" s="20" t="n">
        <x:v>15</x:v>
      </x:c>
      <x:c r="H35" s="20" t="n">
        <x:v>10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1259000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1239000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1346000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103000</x:v>
      </x:c>
      <x:c r="D39" s="19" t="n">
        <x:v>179000</x:v>
      </x:c>
      <x:c r="E39" s="19" t="n">
        <x:f>C39-D39</x:f>
        <x:v>-76000</x:v>
      </x:c>
      <x:c r="F39" s="19" t="n">
        <x:f>SUM($E$7:E39)</x:f>
        <x:v>1270000</x:v>
      </x:c>
      <x:c r="G39" s="20" t="n">
        <x:v>17</x:v>
      </x:c>
      <x:c r="H39" s="20" t="n">
        <x:v>13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1217000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246000</x:v>
      </x:c>
      <x:c r="D41" s="19" t="n">
        <x:v>182000</x:v>
      </x:c>
      <x:c r="E41" s="19" t="n">
        <x:f>C41-D41</x:f>
        <x:v>64000</x:v>
      </x:c>
      <x:c r="F41" s="19" t="n">
        <x:f>SUM($E$7:E41)</x:f>
        <x:v>1281000</x:v>
      </x:c>
      <x:c r="G41" s="20" t="n">
        <x:v>15</x:v>
      </x:c>
      <x:c r="H41" s="20" t="n">
        <x:v>12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1456000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653000</x:v>
      </x:c>
      <x:c r="D43" s="19" t="n">
        <x:v>351000</x:v>
      </x:c>
      <x:c r="E43" s="19" t="n">
        <x:f>C43-D43</x:f>
        <x:v>302000</x:v>
      </x:c>
      <x:c r="F43" s="19" t="n">
        <x:f>SUM($E$7:E43)</x:f>
        <x:v>1758000</x:v>
      </x:c>
      <x:c r="G43" s="20" t="n">
        <x:v>17</x:v>
      </x:c>
      <x:c r="H43" s="20" t="n">
        <x:v>12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248000</x:v>
      </x:c>
      <x:c r="D44" s="19" t="n">
        <x:v>111000</x:v>
      </x:c>
      <x:c r="E44" s="19" t="n">
        <x:f>C44-D44</x:f>
        <x:v>137000</x:v>
      </x:c>
      <x:c r="F44" s="19" t="n">
        <x:f>SUM($E$7:E44)</x:f>
        <x:v>1895000</x:v>
      </x:c>
      <x:c r="G44" s="20" t="n">
        <x:v>14</x:v>
      </x:c>
      <x:c r="H44" s="20" t="n">
        <x:v>9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179000</x:v>
      </x:c>
      <x:c r="D45" s="19" t="n">
        <x:v>168000</x:v>
      </x:c>
      <x:c r="E45" s="19" t="n">
        <x:f>C45-D45</x:f>
        <x:v>11000</x:v>
      </x:c>
      <x:c r="F45" s="19" t="n">
        <x:f>SUM($E$7:E45)</x:f>
        <x:v>1906000</x:v>
      </x:c>
      <x:c r="G45" s="20" t="n">
        <x:v>20</x:v>
      </x:c>
      <x:c r="H45" s="20" t="n">
        <x:v>14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158000</x:v>
      </x:c>
      <x:c r="D46" s="19" t="n">
        <x:v>163000</x:v>
      </x:c>
      <x:c r="E46" s="19" t="n">
        <x:f>C46-D46</x:f>
        <x:v>-5000</x:v>
      </x:c>
      <x:c r="F46" s="19" t="n">
        <x:f>SUM($E$7:E46)</x:f>
        <x:v>1901000</x:v>
      </x:c>
      <x:c r="G46" s="20" t="n">
        <x:v>15</x:v>
      </x:c>
      <x:c r="H46" s="20" t="n">
        <x:v>12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405000</x:v>
      </x:c>
      <x:c r="D47" s="19" t="n">
        <x:v>86000</x:v>
      </x:c>
      <x:c r="E47" s="19" t="n">
        <x:f>C47-D47</x:f>
        <x:v>319000</x:v>
      </x:c>
      <x:c r="F47" s="19" t="n">
        <x:f>SUM($E$7:E47)</x:f>
        <x:v>2220000</x:v>
      </x:c>
      <x:c r="G47" s="20" t="n">
        <x:v>16</x:v>
      </x:c>
      <x:c r="H47" s="20" t="n">
        <x:v>10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146000</x:v>
      </x:c>
      <x:c r="D48" s="19" t="n">
        <x:v>39000</x:v>
      </x:c>
      <x:c r="E48" s="19" t="n">
        <x:f>C48-D48</x:f>
        <x:v>107000</x:v>
      </x:c>
      <x:c r="F48" s="19" t="n">
        <x:f>SUM($E$7:E48)</x:f>
        <x:v>2327000</x:v>
      </x:c>
      <x:c r="G48" s="20" t="n">
        <x:v>16</x:v>
      </x:c>
      <x:c r="H48" s="20" t="n">
        <x:v>9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196000</x:v>
      </x:c>
      <x:c r="D49" s="19" t="n">
        <x:v>365000</x:v>
      </x:c>
      <x:c r="E49" s="19" t="n">
        <x:f>C49-D49</x:f>
        <x:v>-169000</x:v>
      </x:c>
      <x:c r="F49" s="19" t="n">
        <x:f>SUM($E$7:E49)</x:f>
        <x:v>2158000</x:v>
      </x:c>
      <x:c r="G49" s="20" t="n">
        <x:v>27</x:v>
      </x:c>
      <x:c r="H49" s="20" t="n">
        <x:v>20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515000</x:v>
      </x:c>
      <x:c r="D50" s="19" t="n">
        <x:v>49000</x:v>
      </x:c>
      <x:c r="E50" s="19" t="n">
        <x:f>C50-D50</x:f>
        <x:v>466000</x:v>
      </x:c>
      <x:c r="F50" s="19" t="n">
        <x:f>SUM($E$7:E50)</x:f>
        <x:v>2624000</x:v>
      </x:c>
      <x:c r="G50" s="20" t="n">
        <x:v>12</x:v>
      </x:c>
      <x:c r="H50" s="20" t="n">
        <x:v>8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242000</x:v>
      </x:c>
      <x:c r="D51" s="19" t="n">
        <x:v>279000</x:v>
      </x:c>
      <x:c r="E51" s="19" t="n">
        <x:f>C51-D51</x:f>
        <x:v>-37000</x:v>
      </x:c>
      <x:c r="F51" s="19" t="n">
        <x:f>SUM($E$7:E51)</x:f>
        <x:v>2587000</x:v>
      </x:c>
      <x:c r="G51" s="20" t="n">
        <x:v>21</x:v>
      </x:c>
      <x:c r="H51" s="20" t="n">
        <x:v>14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2547000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757000</x:v>
      </x:c>
      <x:c r="D53" s="19" t="n">
        <x:v>118000</x:v>
      </x:c>
      <x:c r="E53" s="19" t="n">
        <x:f>C53-D53</x:f>
        <x:v>639000</x:v>
      </x:c>
      <x:c r="F53" s="19" t="n">
        <x:f>SUM($E$7:E53)</x:f>
        <x:v>3186000</x:v>
      </x:c>
      <x:c r="G53" s="20" t="n">
        <x:v>15</x:v>
      </x:c>
      <x:c r="H53" s="20" t="n">
        <x:v>10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168000</x:v>
      </x:c>
      <x:c r="D54" s="19" t="n">
        <x:v>83000</x:v>
      </x:c>
      <x:c r="E54" s="19" t="n">
        <x:f>C54-D54</x:f>
        <x:v>85000</x:v>
      </x:c>
      <x:c r="F54" s="19" t="n">
        <x:f>SUM($E$7:E54)</x:f>
        <x:v>3271000</x:v>
      </x:c>
      <x:c r="G54" s="20" t="n">
        <x:v>7</x:v>
      </x:c>
      <x:c r="H54" s="20" t="n">
        <x:v>6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226000</x:v>
      </x:c>
      <x:c r="D55" s="19" t="n">
        <x:v>157000</x:v>
      </x:c>
      <x:c r="E55" s="19" t="n">
        <x:f>C55-D55</x:f>
        <x:v>69000</x:v>
      </x:c>
      <x:c r="F55" s="19" t="n">
        <x:f>SUM($E$7:E55)</x:f>
        <x:v>3340000</x:v>
      </x:c>
      <x:c r="G55" s="20" t="n">
        <x:v>9</x:v>
      </x:c>
      <x:c r="H55" s="20" t="n">
        <x:v>7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3309000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8364000</x:v>
      </x:c>
      <x:c r="D57" s="21" t="n">
        <x:f>SUM(D7:D56)</x:f>
        <x:v>5055000</x:v>
      </x:c>
      <x:c r="E57" s="21" t="n">
        <x:f>SUM(E7:E56)</x:f>
        <x:v>3309000</x:v>
      </x:c>
      <x:c r="F57" s="21" t="n">
        <x:f>F56</x:f>
        <x:v>3309000</x:v>
      </x:c>
      <x:c r="G57" s="22" t="n">
        <x:f>SUM(G7:G56)</x:f>
        <x:v>500</x:v>
      </x:c>
      <x:c r="H57" s="22" t="n">
        <x:f>SUM(H7:H56)</x:f>
        <x:v>356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37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07625d260e34ab0"/>
  </x:tableParts>
</x:worksheet>
</file>

<file path=xl/worksheets/sheet41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V11　継続効率による広保持と回転の切替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追加担当だけを変更。継続効率による広保持と回転の切替。基本担当と別入口は基準と同じ。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-29000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-33000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137000</x:v>
      </x:c>
      <x:c r="D13" s="19" t="n">
        <x:v>60000</x:v>
      </x:c>
      <x:c r="E13" s="19" t="n">
        <x:f>C13-D13</x:f>
        <x:v>77000</x:v>
      </x:c>
      <x:c r="F13" s="19" t="n">
        <x:f>SUM($E$7:E13)</x:f>
        <x:v>8000</x:v>
      </x:c>
      <x:c r="G13" s="20" t="n">
        <x:v>5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28000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200000</x:v>
      </x:c>
      <x:c r="D15" s="19" t="n">
        <x:v>118000</x:v>
      </x:c>
      <x:c r="E15" s="19" t="n">
        <x:f>C15-D15</x:f>
        <x:v>82000</x:v>
      </x:c>
      <x:c r="F15" s="19" t="n">
        <x:f>SUM($E$7:E15)</x:f>
        <x:v>110000</x:v>
      </x:c>
      <x:c r="G15" s="20" t="n">
        <x:v>10</x:v>
      </x:c>
      <x:c r="H15" s="20" t="n">
        <x:v>7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106000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331000</x:v>
      </x:c>
      <x:c r="D17" s="19" t="n">
        <x:v>192000</x:v>
      </x:c>
      <x:c r="E17" s="19" t="n">
        <x:f>C17-D17</x:f>
        <x:v>139000</x:v>
      </x:c>
      <x:c r="F17" s="19" t="n">
        <x:f>SUM($E$7:E17)</x:f>
        <x:v>245000</x:v>
      </x:c>
      <x:c r="G17" s="20" t="n">
        <x:v>12</x:v>
      </x:c>
      <x:c r="H17" s="20" t="n">
        <x:v>9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80000</x:v>
      </x:c>
      <x:c r="D18" s="19" t="n">
        <x:v>48000</x:v>
      </x:c>
      <x:c r="E18" s="19" t="n">
        <x:f>C18-D18</x:f>
        <x:v>32000</x:v>
      </x:c>
      <x:c r="F18" s="19" t="n">
        <x:f>SUM($E$7:E18)</x:f>
        <x:v>277000</x:v>
      </x:c>
      <x:c r="G18" s="20" t="n">
        <x:v>6</x:v>
      </x:c>
      <x:c r="H18" s="20" t="n">
        <x:v>6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308000</x:v>
      </x:c>
      <x:c r="D19" s="19" t="n">
        <x:v>107000</x:v>
      </x:c>
      <x:c r="E19" s="19" t="n">
        <x:f>C19-D19</x:f>
        <x:v>201000</x:v>
      </x:c>
      <x:c r="F19" s="19" t="n">
        <x:f>SUM($E$7:E19)</x:f>
        <x:v>478000</x:v>
      </x:c>
      <x:c r="G19" s="20" t="n">
        <x:v>14</x:v>
      </x:c>
      <x:c r="H19" s="20" t="n">
        <x:v>9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529000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604000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631000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472000</x:v>
      </x:c>
      <x:c r="D23" s="19" t="n">
        <x:v>84000</x:v>
      </x:c>
      <x:c r="E23" s="19" t="n">
        <x:f>C23-D23</x:f>
        <x:v>388000</x:v>
      </x:c>
      <x:c r="F23" s="19" t="n">
        <x:f>SUM($E$7:E23)</x:f>
        <x:v>1019000</x:v>
      </x:c>
      <x:c r="G23" s="20" t="n">
        <x:v>5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154000</x:v>
      </x:c>
      <x:c r="D24" s="19" t="n">
        <x:v>174000</x:v>
      </x:c>
      <x:c r="E24" s="19" t="n">
        <x:f>C24-D24</x:f>
        <x:v>-20000</x:v>
      </x:c>
      <x:c r="F24" s="19" t="n">
        <x:f>SUM($E$7:E24)</x:f>
        <x:v>999000</x:v>
      </x:c>
      <x:c r="G24" s="20" t="n">
        <x:v>16</x:v>
      </x:c>
      <x:c r="H24" s="20" t="n">
        <x:v>13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64000</x:v>
      </x:c>
      <x:c r="D25" s="19" t="n">
        <x:v>128000</x:v>
      </x:c>
      <x:c r="E25" s="19" t="n">
        <x:f>C25-D25</x:f>
        <x:v>-64000</x:v>
      </x:c>
      <x:c r="F25" s="19" t="n">
        <x:f>SUM($E$7:E25)</x:f>
        <x:v>935000</x:v>
      </x:c>
      <x:c r="G25" s="20" t="n">
        <x:v>10</x:v>
      </x:c>
      <x:c r="H25" s="20" t="n">
        <x:v>6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214000</x:v>
      </x:c>
      <x:c r="D26" s="19" t="n">
        <x:v>48000</x:v>
      </x:c>
      <x:c r="E26" s="19" t="n">
        <x:f>C26-D26</x:f>
        <x:v>166000</x:v>
      </x:c>
      <x:c r="F26" s="19" t="n">
        <x:f>SUM($E$7:E26)</x:f>
        <x:v>1101000</x:v>
      </x:c>
      <x:c r="G26" s="20" t="n">
        <x:v>15</x:v>
      </x:c>
      <x:c r="H26" s="20" t="n">
        <x:v>11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109000</x:v>
      </x:c>
      <x:c r="D27" s="19" t="n">
        <x:v>224000</x:v>
      </x:c>
      <x:c r="E27" s="19" t="n">
        <x:f>C27-D27</x:f>
        <x:v>-115000</x:v>
      </x:c>
      <x:c r="F27" s="19" t="n">
        <x:f>SUM($E$7:E27)</x:f>
        <x:v>986000</x:v>
      </x:c>
      <x:c r="G27" s="20" t="n">
        <x:v>17</x:v>
      </x:c>
      <x:c r="H27" s="20" t="n">
        <x:v>12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70000</x:v>
      </x:c>
      <x:c r="D28" s="19" t="n">
        <x:v>20000</x:v>
      </x:c>
      <x:c r="E28" s="19" t="n">
        <x:f>C28-D28</x:f>
        <x:v>50000</x:v>
      </x:c>
      <x:c r="F28" s="19" t="n">
        <x:f>SUM($E$7:E28)</x:f>
        <x:v>1036000</x:v>
      </x:c>
      <x:c r="G28" s="20" t="n">
        <x:v>5</x:v>
      </x:c>
      <x:c r="H28" s="20" t="n">
        <x:v>4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280000</x:v>
      </x:c>
      <x:c r="D29" s="19" t="n">
        <x:v>122000</x:v>
      </x:c>
      <x:c r="E29" s="19" t="n">
        <x:f>C29-D29</x:f>
        <x:v>158000</x:v>
      </x:c>
      <x:c r="F29" s="19" t="n">
        <x:f>SUM($E$7:E29)</x:f>
        <x:v>1194000</x:v>
      </x:c>
      <x:c r="G29" s="20" t="n">
        <x:v>10</x:v>
      </x:c>
      <x:c r="H29" s="20" t="n">
        <x:v>7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1184000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194000</x:v>
      </x:c>
      <x:c r="D31" s="19" t="n">
        <x:v>74000</x:v>
      </x:c>
      <x:c r="E31" s="19" t="n">
        <x:f>C31-D31</x:f>
        <x:v>120000</x:v>
      </x:c>
      <x:c r="F31" s="19" t="n">
        <x:f>SUM($E$7:E31)</x:f>
        <x:v>1304000</x:v>
      </x:c>
      <x:c r="G31" s="20" t="n">
        <x:v>11</x:v>
      </x:c>
      <x:c r="H31" s="20" t="n">
        <x:v>8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1261000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153000</x:v>
      </x:c>
      <x:c r="D33" s="19" t="n">
        <x:v>170000</x:v>
      </x:c>
      <x:c r="E33" s="19" t="n">
        <x:f>C33-D33</x:f>
        <x:v>-17000</x:v>
      </x:c>
      <x:c r="F33" s="19" t="n">
        <x:f>SUM($E$7:E33)</x:f>
        <x:v>1244000</x:v>
      </x:c>
      <x:c r="G33" s="20" t="n">
        <x:v>11</x:v>
      </x:c>
      <x:c r="H33" s="20" t="n">
        <x:v>9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343000</x:v>
      </x:c>
      <x:c r="D34" s="19" t="n">
        <x:v>1000</x:v>
      </x:c>
      <x:c r="E34" s="19" t="n">
        <x:f>C34-D34</x:f>
        <x:v>342000</x:v>
      </x:c>
      <x:c r="F34" s="19" t="n">
        <x:f>SUM($E$7:E34)</x:f>
        <x:v>1586000</x:v>
      </x:c>
      <x:c r="G34" s="20" t="n">
        <x:v>11</x:v>
      </x:c>
      <x:c r="H34" s="20" t="n">
        <x:v>8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111000</x:v>
      </x:c>
      <x:c r="D35" s="19" t="n">
        <x:v>98000</x:v>
      </x:c>
      <x:c r="E35" s="19" t="n">
        <x:f>C35-D35</x:f>
        <x:v>13000</x:v>
      </x:c>
      <x:c r="F35" s="19" t="n">
        <x:f>SUM($E$7:E35)</x:f>
        <x:v>1599000</x:v>
      </x:c>
      <x:c r="G35" s="20" t="n">
        <x:v>11</x:v>
      </x:c>
      <x:c r="H35" s="20" t="n">
        <x:v>7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1613000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1593000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1700000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126000</x:v>
      </x:c>
      <x:c r="D39" s="19" t="n">
        <x:v>173000</x:v>
      </x:c>
      <x:c r="E39" s="19" t="n">
        <x:f>C39-D39</x:f>
        <x:v>-47000</x:v>
      </x:c>
      <x:c r="F39" s="19" t="n">
        <x:f>SUM($E$7:E39)</x:f>
        <x:v>1653000</x:v>
      </x:c>
      <x:c r="G39" s="20" t="n">
        <x:v>17</x:v>
      </x:c>
      <x:c r="H39" s="20" t="n">
        <x:v>13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1600000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224000</x:v>
      </x:c>
      <x:c r="D41" s="19" t="n">
        <x:v>137000</x:v>
      </x:c>
      <x:c r="E41" s="19" t="n">
        <x:f>C41-D41</x:f>
        <x:v>87000</x:v>
      </x:c>
      <x:c r="F41" s="19" t="n">
        <x:f>SUM($E$7:E41)</x:f>
        <x:v>1687000</x:v>
      </x:c>
      <x:c r="G41" s="20" t="n">
        <x:v>13</x:v>
      </x:c>
      <x:c r="H41" s="20" t="n">
        <x:v>10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1862000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612000</x:v>
      </x:c>
      <x:c r="D43" s="19" t="n">
        <x:v>88000</x:v>
      </x:c>
      <x:c r="E43" s="19" t="n">
        <x:f>C43-D43</x:f>
        <x:v>524000</x:v>
      </x:c>
      <x:c r="F43" s="19" t="n">
        <x:f>SUM($E$7:E43)</x:f>
        <x:v>2386000</x:v>
      </x:c>
      <x:c r="G43" s="20" t="n">
        <x:v>10</x:v>
      </x:c>
      <x:c r="H43" s="20" t="n">
        <x:v>7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182000</x:v>
      </x:c>
      <x:c r="D44" s="19" t="n">
        <x:v>78000</x:v>
      </x:c>
      <x:c r="E44" s="19" t="n">
        <x:f>C44-D44</x:f>
        <x:v>104000</x:v>
      </x:c>
      <x:c r="F44" s="19" t="n">
        <x:f>SUM($E$7:E44)</x:f>
        <x:v>2490000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110000</x:v>
      </x:c>
      <x:c r="D45" s="19" t="n">
        <x:v>181000</x:v>
      </x:c>
      <x:c r="E45" s="19" t="n">
        <x:f>C45-D45</x:f>
        <x:v>-71000</x:v>
      </x:c>
      <x:c r="F45" s="19" t="n">
        <x:f>SUM($E$7:E45)</x:f>
        <x:v>2419000</x:v>
      </x:c>
      <x:c r="G45" s="20" t="n">
        <x:v>21</x:v>
      </x:c>
      <x:c r="H45" s="20" t="n">
        <x:v>14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161000</x:v>
      </x:c>
      <x:c r="D46" s="19" t="n">
        <x:v>169000</x:v>
      </x:c>
      <x:c r="E46" s="19" t="n">
        <x:f>C46-D46</x:f>
        <x:v>-8000</x:v>
      </x:c>
      <x:c r="F46" s="19" t="n">
        <x:f>SUM($E$7:E46)</x:f>
        <x:v>2411000</x:v>
      </x:c>
      <x:c r="G46" s="20" t="n">
        <x:v>14</x:v>
      </x:c>
      <x:c r="H46" s="20" t="n">
        <x:v>12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393000</x:v>
      </x:c>
      <x:c r="D47" s="19" t="n">
        <x:v>0</x:v>
      </x:c>
      <x:c r="E47" s="19" t="n">
        <x:f>C47-D47</x:f>
        <x:v>393000</x:v>
      </x:c>
      <x:c r="F47" s="19" t="n">
        <x:f>SUM($E$7:E47)</x:f>
        <x:v>2804000</x:v>
      </x:c>
      <x:c r="G47" s="20" t="n">
        <x:v>4</x:v>
      </x:c>
      <x:c r="H47" s="20" t="n">
        <x:v>3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126000</x:v>
      </x:c>
      <x:c r="D48" s="19" t="n">
        <x:v>37000</x:v>
      </x:c>
      <x:c r="E48" s="19" t="n">
        <x:f>C48-D48</x:f>
        <x:v>89000</x:v>
      </x:c>
      <x:c r="F48" s="19" t="n">
        <x:f>SUM($E$7:E48)</x:f>
        <x:v>2893000</x:v>
      </x:c>
      <x:c r="G48" s="20" t="n">
        <x:v>12</x:v>
      </x:c>
      <x:c r="H48" s="20" t="n">
        <x:v>9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194000</x:v>
      </x:c>
      <x:c r="D49" s="19" t="n">
        <x:v>242000</x:v>
      </x:c>
      <x:c r="E49" s="19" t="n">
        <x:f>C49-D49</x:f>
        <x:v>-48000</x:v>
      </x:c>
      <x:c r="F49" s="19" t="n">
        <x:f>SUM($E$7:E49)</x:f>
        <x:v>2845000</x:v>
      </x:c>
      <x:c r="G49" s="20" t="n">
        <x:v>22</x:v>
      </x:c>
      <x:c r="H49" s="20" t="n">
        <x:v>16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387000</x:v>
      </x:c>
      <x:c r="D50" s="19" t="n">
        <x:v>26000</x:v>
      </x:c>
      <x:c r="E50" s="19" t="n">
        <x:f>C50-D50</x:f>
        <x:v>361000</x:v>
      </x:c>
      <x:c r="F50" s="19" t="n">
        <x:f>SUM($E$7:E50)</x:f>
        <x:v>3206000</x:v>
      </x:c>
      <x:c r="G50" s="20" t="n">
        <x:v>10</x:v>
      </x:c>
      <x:c r="H50" s="20" t="n">
        <x:v>7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224000</x:v>
      </x:c>
      <x:c r="D51" s="19" t="n">
        <x:v>327000</x:v>
      </x:c>
      <x:c r="E51" s="19" t="n">
        <x:f>C51-D51</x:f>
        <x:v>-103000</x:v>
      </x:c>
      <x:c r="F51" s="19" t="n">
        <x:f>SUM($E$7:E51)</x:f>
        <x:v>3103000</x:v>
      </x:c>
      <x:c r="G51" s="20" t="n">
        <x:v>16</x:v>
      </x:c>
      <x:c r="H51" s="20" t="n">
        <x:v>12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3063000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844000</x:v>
      </x:c>
      <x:c r="D53" s="19" t="n">
        <x:v>74000</x:v>
      </x:c>
      <x:c r="E53" s="19" t="n">
        <x:f>C53-D53</x:f>
        <x:v>770000</x:v>
      </x:c>
      <x:c r="F53" s="19" t="n">
        <x:f>SUM($E$7:E53)</x:f>
        <x:v>3833000</x:v>
      </x:c>
      <x:c r="G53" s="20" t="n">
        <x:v>9</x:v>
      </x:c>
      <x:c r="H53" s="20" t="n">
        <x:v>6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164000</x:v>
      </x:c>
      <x:c r="D54" s="19" t="n">
        <x:v>45000</x:v>
      </x:c>
      <x:c r="E54" s="19" t="n">
        <x:f>C54-D54</x:f>
        <x:v>119000</x:v>
      </x:c>
      <x:c r="F54" s="19" t="n">
        <x:f>SUM($E$7:E54)</x:f>
        <x:v>3952000</x:v>
      </x:c>
      <x:c r="G54" s="20" t="n">
        <x:v>5</x:v>
      </x:c>
      <x:c r="H54" s="20" t="n">
        <x:v>4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257000</x:v>
      </x:c>
      <x:c r="D55" s="19" t="n">
        <x:v>45000</x:v>
      </x:c>
      <x:c r="E55" s="19" t="n">
        <x:f>C55-D55</x:f>
        <x:v>212000</x:v>
      </x:c>
      <x:c r="F55" s="19" t="n">
        <x:f>SUM($E$7:E55)</x:f>
        <x:v>4164000</x:v>
      </x:c>
      <x:c r="G55" s="20" t="n">
        <x:v>4</x:v>
      </x:c>
      <x:c r="H55" s="20" t="n">
        <x:v>3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4133000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8146000</x:v>
      </x:c>
      <x:c r="D57" s="21" t="n">
        <x:f>SUM(D7:D56)</x:f>
        <x:v>4013000</x:v>
      </x:c>
      <x:c r="E57" s="21" t="n">
        <x:f>SUM(E7:E56)</x:f>
        <x:v>4133000</x:v>
      </x:c>
      <x:c r="F57" s="21" t="n">
        <x:f>F56</x:f>
        <x:v>4133000</x:v>
      </x:c>
      <x:c r="G57" s="22" t="n">
        <x:f>SUM(G7:G56)</x:f>
        <x:v>398</x:v>
      </x:c>
      <x:c r="H57" s="22" t="n">
        <x:f>SUM(H7:H56)</x:f>
        <x:v>296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38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d180905f5724d1f"/>
  </x:tableParts>
</x:worksheet>
</file>

<file path=xl/worksheets/sheet42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V12　最高利益の60%保護と40pt以上の戻り許容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追加担当だけを変更。最高利益の60%保護と40pt以上の戻り許容。基本担当と別入口は基準と同じ。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-29000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-33000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116000</x:v>
      </x:c>
      <x:c r="D13" s="19" t="n">
        <x:v>60000</x:v>
      </x:c>
      <x:c r="E13" s="19" t="n">
        <x:f>C13-D13</x:f>
        <x:v>56000</x:v>
      </x:c>
      <x:c r="F13" s="19" t="n">
        <x:f>SUM($E$7:E13)</x:f>
        <x:v>-13000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7000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166000</x:v>
      </x:c>
      <x:c r="D15" s="19" t="n">
        <x:v>46000</x:v>
      </x:c>
      <x:c r="E15" s="19" t="n">
        <x:f>C15-D15</x:f>
        <x:v>120000</x:v>
      </x:c>
      <x:c r="F15" s="19" t="n">
        <x:f>SUM($E$7:E15)</x:f>
        <x:v>127000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123000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331000</x:v>
      </x:c>
      <x:c r="D17" s="19" t="n">
        <x:v>151000</x:v>
      </x:c>
      <x:c r="E17" s="19" t="n">
        <x:f>C17-D17</x:f>
        <x:v>180000</x:v>
      </x:c>
      <x:c r="F17" s="19" t="n">
        <x:f>SUM($E$7:E17)</x:f>
        <x:v>303000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264000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129000</x:v>
      </x:c>
      <x:c r="D19" s="19" t="n">
        <x:v>127000</x:v>
      </x:c>
      <x:c r="E19" s="19" t="n">
        <x:f>C19-D19</x:f>
        <x:v>2000</x:v>
      </x:c>
      <x:c r="F19" s="19" t="n">
        <x:f>SUM($E$7:E19)</x:f>
        <x:v>266000</x:v>
      </x:c>
      <x:c r="G19" s="20" t="n">
        <x:v>8</x:v>
      </x:c>
      <x:c r="H19" s="20" t="n">
        <x:v>5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317000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392000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419000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279000</x:v>
      </x:c>
      <x:c r="D23" s="19" t="n">
        <x:v>110000</x:v>
      </x:c>
      <x:c r="E23" s="19" t="n">
        <x:f>C23-D23</x:f>
        <x:v>169000</x:v>
      </x:c>
      <x:c r="F23" s="19" t="n">
        <x:f>SUM($E$7:E23)</x:f>
        <x:v>588000</x:v>
      </x:c>
      <x:c r="G23" s="20" t="n">
        <x:v>8</x:v>
      </x:c>
      <x:c r="H23" s="20" t="n">
        <x:v>6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148000</x:v>
      </x:c>
      <x:c r="D24" s="19" t="n">
        <x:v>85000</x:v>
      </x:c>
      <x:c r="E24" s="19" t="n">
        <x:f>C24-D24</x:f>
        <x:v>63000</x:v>
      </x:c>
      <x:c r="F24" s="19" t="n">
        <x:f>SUM($E$7:E24)</x:f>
        <x:v>651000</x:v>
      </x:c>
      <x:c r="G24" s="20" t="n">
        <x:v>12</x:v>
      </x:c>
      <x:c r="H24" s="20" t="n">
        <x:v>8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83000</x:v>
      </x:c>
      <x:c r="D25" s="19" t="n">
        <x:v>97000</x:v>
      </x:c>
      <x:c r="E25" s="19" t="n">
        <x:f>C25-D25</x:f>
        <x:v>-14000</x:v>
      </x:c>
      <x:c r="F25" s="19" t="n">
        <x:f>SUM($E$7:E25)</x:f>
        <x:v>637000</x:v>
      </x:c>
      <x:c r="G25" s="20" t="n">
        <x:v>11</x:v>
      </x:c>
      <x:c r="H25" s="20" t="n">
        <x:v>7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197000</x:v>
      </x:c>
      <x:c r="D26" s="19" t="n">
        <x:v>0</x:v>
      </x:c>
      <x:c r="E26" s="19" t="n">
        <x:f>C26-D26</x:f>
        <x:v>197000</x:v>
      </x:c>
      <x:c r="F26" s="19" t="n">
        <x:f>SUM($E$7:E26)</x:f>
        <x:v>834000</x:v>
      </x:c>
      <x:c r="G26" s="20" t="n">
        <x:v>11</x:v>
      </x:c>
      <x:c r="H26" s="20" t="n">
        <x:v>6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85000</x:v>
      </x:c>
      <x:c r="D27" s="19" t="n">
        <x:v>148000</x:v>
      </x:c>
      <x:c r="E27" s="19" t="n">
        <x:f>C27-D27</x:f>
        <x:v>-63000</x:v>
      </x:c>
      <x:c r="F27" s="19" t="n">
        <x:f>SUM($E$7:E27)</x:f>
        <x:v>771000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47000</x:v>
      </x:c>
      <x:c r="D28" s="19" t="n">
        <x:v>20000</x:v>
      </x:c>
      <x:c r="E28" s="19" t="n">
        <x:f>C28-D28</x:f>
        <x:v>27000</x:v>
      </x:c>
      <x:c r="F28" s="19" t="n">
        <x:f>SUM($E$7:E28)</x:f>
        <x:v>798000</x:v>
      </x:c>
      <x:c r="G28" s="20" t="n">
        <x:v>5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248000</x:v>
      </x:c>
      <x:c r="D29" s="19" t="n">
        <x:v>122000</x:v>
      </x:c>
      <x:c r="E29" s="19" t="n">
        <x:f>C29-D29</x:f>
        <x:v>126000</x:v>
      </x:c>
      <x:c r="F29" s="19" t="n">
        <x:f>SUM($E$7:E29)</x:f>
        <x:v>924000</x:v>
      </x:c>
      <x:c r="G29" s="20" t="n">
        <x:v>12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914000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109000</x:v>
      </x:c>
      <x:c r="D31" s="19" t="n">
        <x:v>42000</x:v>
      </x:c>
      <x:c r="E31" s="19" t="n">
        <x:f>C31-D31</x:f>
        <x:v>67000</x:v>
      </x:c>
      <x:c r="F31" s="19" t="n">
        <x:f>SUM($E$7:E31)</x:f>
        <x:v>981000</x:v>
      </x:c>
      <x:c r="G31" s="20" t="n">
        <x:v>9</x:v>
      </x:c>
      <x:c r="H31" s="20" t="n">
        <x:v>6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938000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181000</x:v>
      </x:c>
      <x:c r="D33" s="19" t="n">
        <x:v>130000</x:v>
      </x:c>
      <x:c r="E33" s="19" t="n">
        <x:f>C33-D33</x:f>
        <x:v>51000</x:v>
      </x:c>
      <x:c r="F33" s="19" t="n">
        <x:f>SUM($E$7:E33)</x:f>
        <x:v>989000</x:v>
      </x:c>
      <x:c r="G33" s="20" t="n">
        <x:v>10</x:v>
      </x:c>
      <x:c r="H33" s="20" t="n">
        <x:v>8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93000</x:v>
      </x:c>
      <x:c r="D34" s="19" t="n">
        <x:v>0</x:v>
      </x:c>
      <x:c r="E34" s="19" t="n">
        <x:f>C34-D34</x:f>
        <x:v>93000</x:v>
      </x:c>
      <x:c r="F34" s="19" t="n">
        <x:f>SUM($E$7:E34)</x:f>
        <x:v>1082000</x:v>
      </x:c>
      <x:c r="G34" s="20" t="n">
        <x:v>8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146000</x:v>
      </x:c>
      <x:c r="D35" s="19" t="n">
        <x:v>68000</x:v>
      </x:c>
      <x:c r="E35" s="19" t="n">
        <x:f>C35-D35</x:f>
        <x:v>78000</x:v>
      </x:c>
      <x:c r="F35" s="19" t="n">
        <x:f>SUM($E$7:E35)</x:f>
        <x:v>1160000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1174000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1154000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1261000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80000</x:v>
      </x:c>
      <x:c r="D39" s="19" t="n">
        <x:v>165000</x:v>
      </x:c>
      <x:c r="E39" s="19" t="n">
        <x:f>C39-D39</x:f>
        <x:v>-85000</x:v>
      </x:c>
      <x:c r="F39" s="19" t="n">
        <x:f>SUM($E$7:E39)</x:f>
        <x:v>1176000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1123000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1200000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1375000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505000</x:v>
      </x:c>
      <x:c r="D43" s="19" t="n">
        <x:v>66000</x:v>
      </x:c>
      <x:c r="E43" s="19" t="n">
        <x:f>C43-D43</x:f>
        <x:v>439000</x:v>
      </x:c>
      <x:c r="F43" s="19" t="n">
        <x:f>SUM($E$7:E43)</x:f>
        <x:v>1814000</x:v>
      </x:c>
      <x:c r="G43" s="20" t="n">
        <x:v>8</x:v>
      </x:c>
      <x:c r="H43" s="20" t="n">
        <x:v>5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1794000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124000</x:v>
      </x:c>
      <x:c r="D45" s="19" t="n">
        <x:v>168000</x:v>
      </x:c>
      <x:c r="E45" s="19" t="n">
        <x:f>C45-D45</x:f>
        <x:v>-44000</x:v>
      </x:c>
      <x:c r="F45" s="19" t="n">
        <x:f>SUM($E$7:E45)</x:f>
        <x:v>1750000</x:v>
      </x:c>
      <x:c r="G45" s="20" t="n">
        <x:v>16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166000</x:v>
      </x:c>
      <x:c r="D46" s="19" t="n">
        <x:v>142000</x:v>
      </x:c>
      <x:c r="E46" s="19" t="n">
        <x:f>C46-D46</x:f>
        <x:v>24000</x:v>
      </x:c>
      <x:c r="F46" s="19" t="n">
        <x:f>SUM($E$7:E46)</x:f>
        <x:v>1774000</x:v>
      </x:c>
      <x:c r="G46" s="20" t="n">
        <x:v>14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418000</x:v>
      </x:c>
      <x:c r="D47" s="19" t="n">
        <x:v>40000</x:v>
      </x:c>
      <x:c r="E47" s="19" t="n">
        <x:f>C47-D47</x:f>
        <x:v>378000</x:v>
      </x:c>
      <x:c r="F47" s="19" t="n">
        <x:f>SUM($E$7:E47)</x:f>
        <x:v>2152000</x:v>
      </x:c>
      <x:c r="G47" s="20" t="n">
        <x:v>13</x:v>
      </x:c>
      <x:c r="H47" s="20" t="n">
        <x:v>8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101000</x:v>
      </x:c>
      <x:c r="D48" s="19" t="n">
        <x:v>34000</x:v>
      </x:c>
      <x:c r="E48" s="19" t="n">
        <x:f>C48-D48</x:f>
        <x:v>67000</x:v>
      </x:c>
      <x:c r="F48" s="19" t="n">
        <x:f>SUM($E$7:E48)</x:f>
        <x:v>2219000</x:v>
      </x:c>
      <x:c r="G48" s="20" t="n">
        <x:v>10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165000</x:v>
      </x:c>
      <x:c r="D49" s="19" t="n">
        <x:v>214000</x:v>
      </x:c>
      <x:c r="E49" s="19" t="n">
        <x:f>C49-D49</x:f>
        <x:v>-49000</x:v>
      </x:c>
      <x:c r="F49" s="19" t="n">
        <x:f>SUM($E$7:E49)</x:f>
        <x:v>2170000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531000</x:v>
      </x:c>
      <x:c r="D50" s="19" t="n">
        <x:v>0</x:v>
      </x:c>
      <x:c r="E50" s="19" t="n">
        <x:f>C50-D50</x:f>
        <x:v>531000</x:v>
      </x:c>
      <x:c r="F50" s="19" t="n">
        <x:f>SUM($E$7:E50)</x:f>
        <x:v>2701000</x:v>
      </x:c>
      <x:c r="G50" s="20" t="n">
        <x:v>11</x:v>
      </x:c>
      <x:c r="H50" s="20" t="n">
        <x:v>6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245000</x:v>
      </x:c>
      <x:c r="D51" s="19" t="n">
        <x:v>200000</x:v>
      </x:c>
      <x:c r="E51" s="19" t="n">
        <x:f>C51-D51</x:f>
        <x:v>45000</x:v>
      </x:c>
      <x:c r="F51" s="19" t="n">
        <x:f>SUM($E$7:E51)</x:f>
        <x:v>2746000</x:v>
      </x:c>
      <x:c r="G51" s="20" t="n">
        <x:v>12</x:v>
      </x:c>
      <x:c r="H51" s="20" t="n">
        <x:v>9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2706000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727000</x:v>
      </x:c>
      <x:c r="D53" s="19" t="n">
        <x:v>70000</x:v>
      </x:c>
      <x:c r="E53" s="19" t="n">
        <x:f>C53-D53</x:f>
        <x:v>657000</x:v>
      </x:c>
      <x:c r="F53" s="19" t="n">
        <x:f>SUM($E$7:E53)</x:f>
        <x:v>3363000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171000</x:v>
      </x:c>
      <x:c r="D54" s="19" t="n">
        <x:v>0</x:v>
      </x:c>
      <x:c r="E54" s="19" t="n">
        <x:f>C54-D54</x:f>
        <x:v>171000</x:v>
      </x:c>
      <x:c r="F54" s="19" t="n">
        <x:f>SUM($E$7:E54)</x:f>
        <x:v>3534000</x:v>
      </x:c>
      <x:c r="G54" s="20" t="n">
        <x:v>4</x:v>
      </x:c>
      <x:c r="H54" s="20" t="n">
        <x:v>3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178000</x:v>
      </x:c>
      <x:c r="D55" s="19" t="n">
        <x:v>99000</x:v>
      </x:c>
      <x:c r="E55" s="19" t="n">
        <x:f>C55-D55</x:f>
        <x:v>79000</x:v>
      </x:c>
      <x:c r="F55" s="19" t="n">
        <x:f>SUM($E$7:E55)</x:f>
        <x:v>3613000</x:v>
      </x:c>
      <x:c r="G55" s="20" t="n">
        <x:v>7</x:v>
      </x:c>
      <x:c r="H55" s="20" t="n">
        <x:v>5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3582000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6924000</x:v>
      </x:c>
      <x:c r="D57" s="21" t="n">
        <x:f>SUM(D7:D56)</x:f>
        <x:v>3342000</x:v>
      </x:c>
      <x:c r="E57" s="21" t="n">
        <x:f>SUM(E7:E56)</x:f>
        <x:v>3582000</x:v>
      </x:c>
      <x:c r="F57" s="21" t="n">
        <x:f>F56</x:f>
        <x:v>3582000</x:v>
      </x:c>
      <x:c r="G57" s="22" t="n">
        <x:f>SUM(G7:G56)</x:f>
        <x:v>346</x:v>
      </x:c>
      <x:c r="H57" s="22" t="n">
        <x:f>SUM(H7:H56)</x:f>
        <x:v>250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39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e9bd923b9954685"/>
  </x:tableParts>
</x:worksheet>
</file>

<file path=xl/worksheets/sheet43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V13　広い帯と短期幅が乖離した時だけ回転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全50場で適用条件が成立せず、基準と全注文が同一。高い値幅に限定する案の効果は未判定。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-29000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-33000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107000</x:v>
      </x:c>
      <x:c r="D13" s="19" t="n">
        <x:v>60000</x:v>
      </x:c>
      <x:c r="E13" s="19" t="n">
        <x:f>C13-D13</x:f>
        <x:v>47000</x:v>
      </x:c>
      <x:c r="F13" s="19" t="n">
        <x:f>SUM($E$7:E13)</x:f>
        <x:v>-22000</x:v>
      </x:c>
      <x:c r="G13" s="20" t="n">
        <x:v>6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-2000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157000</x:v>
      </x:c>
      <x:c r="D15" s="19" t="n">
        <x:v>46000</x:v>
      </x:c>
      <x:c r="E15" s="19" t="n">
        <x:f>C15-D15</x:f>
        <x:v>111000</x:v>
      </x:c>
      <x:c r="F15" s="19" t="n">
        <x:f>SUM($E$7:E15)</x:f>
        <x:v>109000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105000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331000</x:v>
      </x:c>
      <x:c r="D17" s="19" t="n">
        <x:v>151000</x:v>
      </x:c>
      <x:c r="E17" s="19" t="n">
        <x:f>C17-D17</x:f>
        <x:v>180000</x:v>
      </x:c>
      <x:c r="F17" s="19" t="n">
        <x:f>SUM($E$7:E17)</x:f>
        <x:v>285000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246000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129000</x:v>
      </x:c>
      <x:c r="D19" s="19" t="n">
        <x:v>127000</x:v>
      </x:c>
      <x:c r="E19" s="19" t="n">
        <x:f>C19-D19</x:f>
        <x:v>2000</x:v>
      </x:c>
      <x:c r="F19" s="19" t="n">
        <x:f>SUM($E$7:E19)</x:f>
        <x:v>248000</x:v>
      </x:c>
      <x:c r="G19" s="20" t="n">
        <x:v>8</x:v>
      </x:c>
      <x:c r="H19" s="20" t="n">
        <x:v>5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299000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374000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401000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472000</x:v>
      </x:c>
      <x:c r="D23" s="19" t="n">
        <x:v>84000</x:v>
      </x:c>
      <x:c r="E23" s="19" t="n">
        <x:f>C23-D23</x:f>
        <x:v>388000</x:v>
      </x:c>
      <x:c r="F23" s="19" t="n">
        <x:f>SUM($E$7:E23)</x:f>
        <x:v>789000</x:v>
      </x:c>
      <x:c r="G23" s="20" t="n">
        <x:v>5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146000</x:v>
      </x:c>
      <x:c r="D24" s="19" t="n">
        <x:v>85000</x:v>
      </x:c>
      <x:c r="E24" s="19" t="n">
        <x:f>C24-D24</x:f>
        <x:v>61000</x:v>
      </x:c>
      <x:c r="F24" s="19" t="n">
        <x:f>SUM($E$7:E24)</x:f>
        <x:v>850000</x:v>
      </x:c>
      <x:c r="G24" s="20" t="n">
        <x:v>12</x:v>
      </x:c>
      <x:c r="H24" s="20" t="n">
        <x:v>8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65000</x:v>
      </x:c>
      <x:c r="D25" s="19" t="n">
        <x:v>107000</x:v>
      </x:c>
      <x:c r="E25" s="19" t="n">
        <x:f>C25-D25</x:f>
        <x:v>-42000</x:v>
      </x:c>
      <x:c r="F25" s="19" t="n">
        <x:f>SUM($E$7:E25)</x:f>
        <x:v>808000</x:v>
      </x:c>
      <x:c r="G25" s="20" t="n">
        <x:v>9</x:v>
      </x:c>
      <x:c r="H25" s="20" t="n">
        <x:v>5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182000</x:v>
      </x:c>
      <x:c r="D26" s="19" t="n">
        <x:v>0</x:v>
      </x:c>
      <x:c r="E26" s="19" t="n">
        <x:f>C26-D26</x:f>
        <x:v>182000</x:v>
      </x:c>
      <x:c r="F26" s="19" t="n">
        <x:f>SUM($E$7:E26)</x:f>
        <x:v>990000</x:v>
      </x:c>
      <x:c r="G26" s="20" t="n">
        <x:v>11</x:v>
      </x:c>
      <x:c r="H26" s="20" t="n">
        <x:v>6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85000</x:v>
      </x:c>
      <x:c r="D27" s="19" t="n">
        <x:v>148000</x:v>
      </x:c>
      <x:c r="E27" s="19" t="n">
        <x:f>C27-D27</x:f>
        <x:v>-63000</x:v>
      </x:c>
      <x:c r="F27" s="19" t="n">
        <x:f>SUM($E$7:E27)</x:f>
        <x:v>927000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94000</x:v>
      </x:c>
      <x:c r="D28" s="19" t="n">
        <x:v>20000</x:v>
      </x:c>
      <x:c r="E28" s="19" t="n">
        <x:f>C28-D28</x:f>
        <x:v>74000</x:v>
      </x:c>
      <x:c r="F28" s="19" t="n">
        <x:f>SUM($E$7:E28)</x:f>
        <x:v>1001000</x:v>
      </x:c>
      <x:c r="G28" s="20" t="n">
        <x:v>5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267000</x:v>
      </x:c>
      <x:c r="D29" s="19" t="n">
        <x:v>138000</x:v>
      </x:c>
      <x:c r="E29" s="19" t="n">
        <x:f>C29-D29</x:f>
        <x:v>129000</x:v>
      </x:c>
      <x:c r="F29" s="19" t="n">
        <x:f>SUM($E$7:E29)</x:f>
        <x:v>1130000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1120000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96000</x:v>
      </x:c>
      <x:c r="D31" s="19" t="n">
        <x:v>42000</x:v>
      </x:c>
      <x:c r="E31" s="19" t="n">
        <x:f>C31-D31</x:f>
        <x:v>54000</x:v>
      </x:c>
      <x:c r="F31" s="19" t="n">
        <x:f>SUM($E$7:E31)</x:f>
        <x:v>1174000</x:v>
      </x:c>
      <x:c r="G31" s="20" t="n">
        <x:v>7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1131000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181000</x:v>
      </x:c>
      <x:c r="D33" s="19" t="n">
        <x:v>130000</x:v>
      </x:c>
      <x:c r="E33" s="19" t="n">
        <x:f>C33-D33</x:f>
        <x:v>51000</x:v>
      </x:c>
      <x:c r="F33" s="19" t="n">
        <x:f>SUM($E$7:E33)</x:f>
        <x:v>1182000</x:v>
      </x:c>
      <x:c r="G33" s="20" t="n">
        <x:v>10</x:v>
      </x:c>
      <x:c r="H33" s="20" t="n">
        <x:v>8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144000</x:v>
      </x:c>
      <x:c r="D34" s="19" t="n">
        <x:v>0</x:v>
      </x:c>
      <x:c r="E34" s="19" t="n">
        <x:f>C34-D34</x:f>
        <x:v>144000</x:v>
      </x:c>
      <x:c r="F34" s="19" t="n">
        <x:f>SUM($E$7:E34)</x:f>
        <x:v>1326000</x:v>
      </x:c>
      <x:c r="G34" s="20" t="n">
        <x:v>8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134000</x:v>
      </x:c>
      <x:c r="D35" s="19" t="n">
        <x:v>68000</x:v>
      </x:c>
      <x:c r="E35" s="19" t="n">
        <x:f>C35-D35</x:f>
        <x:v>66000</x:v>
      </x:c>
      <x:c r="F35" s="19" t="n">
        <x:f>SUM($E$7:E35)</x:f>
        <x:v>1392000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1406000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1386000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1493000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83000</x:v>
      </x:c>
      <x:c r="D39" s="19" t="n">
        <x:v>165000</x:v>
      </x:c>
      <x:c r="E39" s="19" t="n">
        <x:f>C39-D39</x:f>
        <x:v>-82000</x:v>
      </x:c>
      <x:c r="F39" s="19" t="n">
        <x:f>SUM($E$7:E39)</x:f>
        <x:v>1411000</x:v>
      </x:c>
      <x:c r="G39" s="20" t="n">
        <x:v>14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1358000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1435000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1610000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502000</x:v>
      </x:c>
      <x:c r="D43" s="19" t="n">
        <x:v>66000</x:v>
      </x:c>
      <x:c r="E43" s="19" t="n">
        <x:f>C43-D43</x:f>
        <x:v>436000</x:v>
      </x:c>
      <x:c r="F43" s="19" t="n">
        <x:f>SUM($E$7:E43)</x:f>
        <x:v>2046000</x:v>
      </x:c>
      <x:c r="G43" s="20" t="n">
        <x:v>8</x:v>
      </x:c>
      <x:c r="H43" s="20" t="n">
        <x:v>5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2026000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87000</x:v>
      </x:c>
      <x:c r="D45" s="19" t="n">
        <x:v>168000</x:v>
      </x:c>
      <x:c r="E45" s="19" t="n">
        <x:f>C45-D45</x:f>
        <x:v>-81000</x:v>
      </x:c>
      <x:c r="F45" s="19" t="n">
        <x:f>SUM($E$7:E45)</x:f>
        <x:v>1945000</x:v>
      </x:c>
      <x:c r="G45" s="20" t="n">
        <x:v>15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160000</x:v>
      </x:c>
      <x:c r="D46" s="19" t="n">
        <x:v>142000</x:v>
      </x:c>
      <x:c r="E46" s="19" t="n">
        <x:f>C46-D46</x:f>
        <x:v>18000</x:v>
      </x:c>
      <x:c r="F46" s="19" t="n">
        <x:f>SUM($E$7:E46)</x:f>
        <x:v>1963000</x:v>
      </x:c>
      <x:c r="G46" s="20" t="n">
        <x:v>14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420000</x:v>
      </x:c>
      <x:c r="D47" s="19" t="n">
        <x:v>16000</x:v>
      </x:c>
      <x:c r="E47" s="19" t="n">
        <x:f>C47-D47</x:f>
        <x:v>404000</x:v>
      </x:c>
      <x:c r="F47" s="19" t="n">
        <x:f>SUM($E$7:E47)</x:f>
        <x:v>2367000</x:v>
      </x:c>
      <x:c r="G47" s="20" t="n">
        <x:v>12</x:v>
      </x:c>
      <x:c r="H47" s="20" t="n">
        <x:v>7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95000</x:v>
      </x:c>
      <x:c r="D48" s="19" t="n">
        <x:v>34000</x:v>
      </x:c>
      <x:c r="E48" s="19" t="n">
        <x:f>C48-D48</x:f>
        <x:v>61000</x:v>
      </x:c>
      <x:c r="F48" s="19" t="n">
        <x:f>SUM($E$7:E48)</x:f>
        <x:v>2428000</x:v>
      </x:c>
      <x:c r="G48" s="20" t="n">
        <x:v>9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165000</x:v>
      </x:c>
      <x:c r="D49" s="19" t="n">
        <x:v>214000</x:v>
      </x:c>
      <x:c r="E49" s="19" t="n">
        <x:f>C49-D49</x:f>
        <x:v>-49000</x:v>
      </x:c>
      <x:c r="F49" s="19" t="n">
        <x:f>SUM($E$7:E49)</x:f>
        <x:v>2379000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520000</x:v>
      </x:c>
      <x:c r="D50" s="19" t="n">
        <x:v>0</x:v>
      </x:c>
      <x:c r="E50" s="19" t="n">
        <x:f>C50-D50</x:f>
        <x:v>520000</x:v>
      </x:c>
      <x:c r="F50" s="19" t="n">
        <x:f>SUM($E$7:E50)</x:f>
        <x:v>2899000</x:v>
      </x:c>
      <x:c r="G50" s="20" t="n">
        <x:v>11</x:v>
      </x:c>
      <x:c r="H50" s="20" t="n">
        <x:v>6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242000</x:v>
      </x:c>
      <x:c r="D51" s="19" t="n">
        <x:v>200000</x:v>
      </x:c>
      <x:c r="E51" s="19" t="n">
        <x:f>C51-D51</x:f>
        <x:v>42000</x:v>
      </x:c>
      <x:c r="F51" s="19" t="n">
        <x:f>SUM($E$7:E51)</x:f>
        <x:v>2941000</x:v>
      </x:c>
      <x:c r="G51" s="20" t="n">
        <x:v>12</x:v>
      </x:c>
      <x:c r="H51" s="20" t="n">
        <x:v>9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2901000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727000</x:v>
      </x:c>
      <x:c r="D53" s="19" t="n">
        <x:v>70000</x:v>
      </x:c>
      <x:c r="E53" s="19" t="n">
        <x:f>C53-D53</x:f>
        <x:v>657000</x:v>
      </x:c>
      <x:c r="F53" s="19" t="n">
        <x:f>SUM($E$7:E53)</x:f>
        <x:v>3558000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164000</x:v>
      </x:c>
      <x:c r="D54" s="19" t="n">
        <x:v>10000</x:v>
      </x:c>
      <x:c r="E54" s="19" t="n">
        <x:f>C54-D54</x:f>
        <x:v>154000</x:v>
      </x:c>
      <x:c r="F54" s="19" t="n">
        <x:f>SUM($E$7:E54)</x:f>
        <x:v>3712000</x:v>
      </x:c>
      <x:c r="G54" s="20" t="n">
        <x:v>4</x:v>
      </x:c>
      <x:c r="H54" s="20" t="n">
        <x:v>3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218000</x:v>
      </x:c>
      <x:c r="D55" s="19" t="n">
        <x:v>99000</x:v>
      </x:c>
      <x:c r="E55" s="19" t="n">
        <x:f>C55-D55</x:f>
        <x:v>119000</x:v>
      </x:c>
      <x:c r="F55" s="19" t="n">
        <x:f>SUM($E$7:E55)</x:f>
        <x:v>3831000</x:v>
      </x:c>
      <x:c r="G55" s="20" t="n">
        <x:v>7</x:v>
      </x:c>
      <x:c r="H55" s="20" t="n">
        <x:v>5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3800000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7128000</x:v>
      </x:c>
      <x:c r="D57" s="21" t="n">
        <x:f>SUM(D7:D56)</x:f>
        <x:v>3328000</x:v>
      </x:c>
      <x:c r="E57" s="21" t="n">
        <x:f>SUM(E7:E56)</x:f>
        <x:v>3800000</x:v>
      </x:c>
      <x:c r="F57" s="21" t="n">
        <x:f>F56</x:f>
        <x:v>3800000</x:v>
      </x:c>
      <x:c r="G57" s="22" t="n">
        <x:f>SUM(G7:G56)</x:f>
        <x:v>335</x:v>
      </x:c>
      <x:c r="H57" s="22" t="n">
        <x:f>SUM(H7:H56)</x:f>
        <x:v>244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4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39f8a90115147dd"/>
  </x:tableParts>
</x:worksheet>
</file>

<file path=xl/worksheets/sheet44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V14　回転再投入に二市場の短期と板支持を要求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追加担当だけを変更。回転再投入に二市場の短期と板支持を要求。基本担当と別入口は基準と同じ。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-29000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-33000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137000</x:v>
      </x:c>
      <x:c r="D13" s="19" t="n">
        <x:v>60000</x:v>
      </x:c>
      <x:c r="E13" s="19" t="n">
        <x:f>C13-D13</x:f>
        <x:v>77000</x:v>
      </x:c>
      <x:c r="F13" s="19" t="n">
        <x:f>SUM($E$7:E13)</x:f>
        <x:v>8000</x:v>
      </x:c>
      <x:c r="G13" s="20" t="n">
        <x:v>5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28000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146000</x:v>
      </x:c>
      <x:c r="D15" s="19" t="n">
        <x:v>48000</x:v>
      </x:c>
      <x:c r="E15" s="19" t="n">
        <x:f>C15-D15</x:f>
        <x:v>98000</x:v>
      </x:c>
      <x:c r="F15" s="19" t="n">
        <x:f>SUM($E$7:E15)</x:f>
        <x:v>126000</x:v>
      </x:c>
      <x:c r="G15" s="20" t="n">
        <x:v>5</x:v>
      </x:c>
      <x:c r="H15" s="20" t="n">
        <x:v>4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122000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331000</x:v>
      </x:c>
      <x:c r="D17" s="19" t="n">
        <x:v>151000</x:v>
      </x:c>
      <x:c r="E17" s="19" t="n">
        <x:f>C17-D17</x:f>
        <x:v>180000</x:v>
      </x:c>
      <x:c r="F17" s="19" t="n">
        <x:f>SUM($E$7:E17)</x:f>
        <x:v>302000</x:v>
      </x:c>
      <x:c r="G17" s="20" t="n">
        <x:v>8</x:v>
      </x:c>
      <x:c r="H17" s="20" t="n">
        <x:v>7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9000</x:v>
      </x:c>
      <x:c r="D18" s="19" t="n">
        <x:v>48000</x:v>
      </x:c>
      <x:c r="E18" s="19" t="n">
        <x:f>C18-D18</x:f>
        <x:v>-39000</x:v>
      </x:c>
      <x:c r="F18" s="19" t="n">
        <x:f>SUM($E$7:E18)</x:f>
        <x:v>263000</x:v>
      </x:c>
      <x:c r="G18" s="20" t="n">
        <x:v>4</x:v>
      </x:c>
      <x:c r="H18" s="20" t="n">
        <x:v>4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129000</x:v>
      </x:c>
      <x:c r="D19" s="19" t="n">
        <x:v>127000</x:v>
      </x:c>
      <x:c r="E19" s="19" t="n">
        <x:f>C19-D19</x:f>
        <x:v>2000</x:v>
      </x:c>
      <x:c r="F19" s="19" t="n">
        <x:f>SUM($E$7:E19)</x:f>
        <x:v>265000</x:v>
      </x:c>
      <x:c r="G19" s="20" t="n">
        <x:v>8</x:v>
      </x:c>
      <x:c r="H19" s="20" t="n">
        <x:v>5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316000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391000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418000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355000</x:v>
      </x:c>
      <x:c r="D23" s="19" t="n">
        <x:v>84000</x:v>
      </x:c>
      <x:c r="E23" s="19" t="n">
        <x:f>C23-D23</x:f>
        <x:v>271000</x:v>
      </x:c>
      <x:c r="F23" s="19" t="n">
        <x:f>SUM($E$7:E23)</x:f>
        <x:v>689000</x:v>
      </x:c>
      <x:c r="G23" s="20" t="n">
        <x:v>4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143000</x:v>
      </x:c>
      <x:c r="D24" s="19" t="n">
        <x:v>85000</x:v>
      </x:c>
      <x:c r="E24" s="19" t="n">
        <x:f>C24-D24</x:f>
        <x:v>58000</x:v>
      </x:c>
      <x:c r="F24" s="19" t="n">
        <x:f>SUM($E$7:E24)</x:f>
        <x:v>747000</x:v>
      </x:c>
      <x:c r="G24" s="20" t="n">
        <x:v>11</x:v>
      </x:c>
      <x:c r="H24" s="20" t="n">
        <x:v>8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52000</x:v>
      </x:c>
      <x:c r="D25" s="19" t="n">
        <x:v>70000</x:v>
      </x:c>
      <x:c r="E25" s="19" t="n">
        <x:f>C25-D25</x:f>
        <x:v>-18000</x:v>
      </x:c>
      <x:c r="F25" s="19" t="n">
        <x:f>SUM($E$7:E25)</x:f>
        <x:v>729000</x:v>
      </x:c>
      <x:c r="G25" s="20" t="n">
        <x:v>9</x:v>
      </x:c>
      <x:c r="H25" s="20" t="n">
        <x:v>4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182000</x:v>
      </x:c>
      <x:c r="D26" s="19" t="n">
        <x:v>0</x:v>
      </x:c>
      <x:c r="E26" s="19" t="n">
        <x:f>C26-D26</x:f>
        <x:v>182000</x:v>
      </x:c>
      <x:c r="F26" s="19" t="n">
        <x:f>SUM($E$7:E26)</x:f>
        <x:v>911000</x:v>
      </x:c>
      <x:c r="G26" s="20" t="n">
        <x:v>9</x:v>
      </x:c>
      <x:c r="H26" s="20" t="n">
        <x:v>6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88000</x:v>
      </x:c>
      <x:c r="D27" s="19" t="n">
        <x:v>148000</x:v>
      </x:c>
      <x:c r="E27" s="19" t="n">
        <x:f>C27-D27</x:f>
        <x:v>-60000</x:v>
      </x:c>
      <x:c r="F27" s="19" t="n">
        <x:f>SUM($E$7:E27)</x:f>
        <x:v>851000</x:v>
      </x:c>
      <x:c r="G27" s="20" t="n">
        <x:v>11</x:v>
      </x:c>
      <x:c r="H27" s="20" t="n">
        <x:v>9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59000</x:v>
      </x:c>
      <x:c r="D28" s="19" t="n">
        <x:v>20000</x:v>
      </x:c>
      <x:c r="E28" s="19" t="n">
        <x:f>C28-D28</x:f>
        <x:v>39000</x:v>
      </x:c>
      <x:c r="F28" s="19" t="n">
        <x:f>SUM($E$7:E28)</x:f>
        <x:v>890000</x:v>
      </x:c>
      <x:c r="G28" s="20" t="n">
        <x:v>4</x:v>
      </x:c>
      <x:c r="H28" s="20" t="n">
        <x:v>3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269000</x:v>
      </x:c>
      <x:c r="D29" s="19" t="n">
        <x:v>122000</x:v>
      </x:c>
      <x:c r="E29" s="19" t="n">
        <x:f>C29-D29</x:f>
        <x:v>147000</x:v>
      </x:c>
      <x:c r="F29" s="19" t="n">
        <x:f>SUM($E$7:E29)</x:f>
        <x:v>1037000</x:v>
      </x:c>
      <x:c r="G29" s="20" t="n">
        <x:v>10</x:v>
      </x:c>
      <x:c r="H29" s="20" t="n">
        <x:v>7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1027000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144000</x:v>
      </x:c>
      <x:c r="D31" s="19" t="n">
        <x:v>47000</x:v>
      </x:c>
      <x:c r="E31" s="19" t="n">
        <x:f>C31-D31</x:f>
        <x:v>97000</x:v>
      </x:c>
      <x:c r="F31" s="19" t="n">
        <x:f>SUM($E$7:E31)</x:f>
        <x:v>1124000</x:v>
      </x:c>
      <x:c r="G31" s="20" t="n">
        <x:v>8</x:v>
      </x:c>
      <x:c r="H31" s="20" t="n">
        <x:v>5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1081000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153000</x:v>
      </x:c>
      <x:c r="D33" s="19" t="n">
        <x:v>130000</x:v>
      </x:c>
      <x:c r="E33" s="19" t="n">
        <x:f>C33-D33</x:f>
        <x:v>23000</x:v>
      </x:c>
      <x:c r="F33" s="19" t="n">
        <x:f>SUM($E$7:E33)</x:f>
        <x:v>1104000</x:v>
      </x:c>
      <x:c r="G33" s="20" t="n">
        <x:v>10</x:v>
      </x:c>
      <x:c r="H33" s="20" t="n">
        <x:v>8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113000</x:v>
      </x:c>
      <x:c r="D34" s="19" t="n">
        <x:v>0</x:v>
      </x:c>
      <x:c r="E34" s="19" t="n">
        <x:f>C34-D34</x:f>
        <x:v>113000</x:v>
      </x:c>
      <x:c r="F34" s="19" t="n">
        <x:f>SUM($E$7:E34)</x:f>
        <x:v>1217000</x:v>
      </x:c>
      <x:c r="G34" s="20" t="n">
        <x:v>7</x:v>
      </x:c>
      <x:c r="H34" s="20" t="n">
        <x:v>5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111000</x:v>
      </x:c>
      <x:c r="D35" s="19" t="n">
        <x:v>68000</x:v>
      </x:c>
      <x:c r="E35" s="19" t="n">
        <x:f>C35-D35</x:f>
        <x:v>43000</x:v>
      </x:c>
      <x:c r="F35" s="19" t="n">
        <x:f>SUM($E$7:E35)</x:f>
        <x:v>1260000</x:v>
      </x:c>
      <x:c r="G35" s="20" t="n">
        <x:v>9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1274000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1254000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1361000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115000</x:v>
      </x:c>
      <x:c r="D39" s="19" t="n">
        <x:v>117000</x:v>
      </x:c>
      <x:c r="E39" s="19" t="n">
        <x:f>C39-D39</x:f>
        <x:v>-2000</x:v>
      </x:c>
      <x:c r="F39" s="19" t="n">
        <x:f>SUM($E$7:E39)</x:f>
        <x:v>1359000</x:v>
      </x:c>
      <x:c r="G39" s="20" t="n">
        <x:v>12</x:v>
      </x:c>
      <x:c r="H39" s="20" t="n">
        <x:v>9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1306000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149000</x:v>
      </x:c>
      <x:c r="D41" s="19" t="n">
        <x:v>72000</x:v>
      </x:c>
      <x:c r="E41" s="19" t="n">
        <x:f>C41-D41</x:f>
        <x:v>77000</x:v>
      </x:c>
      <x:c r="F41" s="19" t="n">
        <x:f>SUM($E$7:E41)</x:f>
        <x:v>1383000</x:v>
      </x:c>
      <x:c r="G41" s="20" t="n">
        <x:v>6</x:v>
      </x:c>
      <x:c r="H41" s="20" t="n">
        <x:v>5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1558000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488000</x:v>
      </x:c>
      <x:c r="D43" s="19" t="n">
        <x:v>66000</x:v>
      </x:c>
      <x:c r="E43" s="19" t="n">
        <x:f>C43-D43</x:f>
        <x:v>422000</x:v>
      </x:c>
      <x:c r="F43" s="19" t="n">
        <x:f>SUM($E$7:E43)</x:f>
        <x:v>1980000</x:v>
      </x:c>
      <x:c r="G43" s="20" t="n">
        <x:v>8</x:v>
      </x:c>
      <x:c r="H43" s="20" t="n">
        <x:v>5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75000</x:v>
      </x:c>
      <x:c r="D44" s="19" t="n">
        <x:v>95000</x:v>
      </x:c>
      <x:c r="E44" s="19" t="n">
        <x:f>C44-D44</x:f>
        <x:v>-20000</x:v>
      </x:c>
      <x:c r="F44" s="19" t="n">
        <x:f>SUM($E$7:E44)</x:f>
        <x:v>1960000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89000</x:v>
      </x:c>
      <x:c r="D45" s="19" t="n">
        <x:v>181000</x:v>
      </x:c>
      <x:c r="E45" s="19" t="n">
        <x:f>C45-D45</x:f>
        <x:v>-92000</x:v>
      </x:c>
      <x:c r="F45" s="19" t="n">
        <x:f>SUM($E$7:E45)</x:f>
        <x:v>1868000</x:v>
      </x:c>
      <x:c r="G45" s="20" t="n">
        <x:v>16</x:v>
      </x:c>
      <x:c r="H45" s="20" t="n">
        <x:v>12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162000</x:v>
      </x:c>
      <x:c r="D46" s="19" t="n">
        <x:v>142000</x:v>
      </x:c>
      <x:c r="E46" s="19" t="n">
        <x:f>C46-D46</x:f>
        <x:v>20000</x:v>
      </x:c>
      <x:c r="F46" s="19" t="n">
        <x:f>SUM($E$7:E46)</x:f>
        <x:v>1888000</x:v>
      </x:c>
      <x:c r="G46" s="20" t="n">
        <x:v>13</x:v>
      </x:c>
      <x:c r="H46" s="20" t="n">
        <x:v>11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393000</x:v>
      </x:c>
      <x:c r="D47" s="19" t="n">
        <x:v>0</x:v>
      </x:c>
      <x:c r="E47" s="19" t="n">
        <x:f>C47-D47</x:f>
        <x:v>393000</x:v>
      </x:c>
      <x:c r="F47" s="19" t="n">
        <x:f>SUM($E$7:E47)</x:f>
        <x:v>2281000</x:v>
      </x:c>
      <x:c r="G47" s="20" t="n">
        <x:v>4</x:v>
      </x:c>
      <x:c r="H47" s="20" t="n">
        <x:v>3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81000</x:v>
      </x:c>
      <x:c r="D48" s="19" t="n">
        <x:v>34000</x:v>
      </x:c>
      <x:c r="E48" s="19" t="n">
        <x:f>C48-D48</x:f>
        <x:v>47000</x:v>
      </x:c>
      <x:c r="F48" s="19" t="n">
        <x:f>SUM($E$7:E48)</x:f>
        <x:v>2328000</x:v>
      </x:c>
      <x:c r="G48" s="20" t="n">
        <x:v>8</x:v>
      </x:c>
      <x:c r="H48" s="20" t="n">
        <x:v>6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138000</x:v>
      </x:c>
      <x:c r="D49" s="19" t="n">
        <x:v>214000</x:v>
      </x:c>
      <x:c r="E49" s="19" t="n">
        <x:f>C49-D49</x:f>
        <x:v>-76000</x:v>
      </x:c>
      <x:c r="F49" s="19" t="n">
        <x:f>SUM($E$7:E49)</x:f>
        <x:v>2252000</x:v>
      </x:c>
      <x:c r="G49" s="20" t="n">
        <x:v>15</x:v>
      </x:c>
      <x:c r="H49" s="20" t="n">
        <x:v>12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369000</x:v>
      </x:c>
      <x:c r="D50" s="19" t="n">
        <x:v>5000</x:v>
      </x:c>
      <x:c r="E50" s="19" t="n">
        <x:f>C50-D50</x:f>
        <x:v>364000</x:v>
      </x:c>
      <x:c r="F50" s="19" t="n">
        <x:f>SUM($E$7:E50)</x:f>
        <x:v>2616000</x:v>
      </x:c>
      <x:c r="G50" s="20" t="n">
        <x:v>9</x:v>
      </x:c>
      <x:c r="H50" s="20" t="n">
        <x:v>6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215000</x:v>
      </x:c>
      <x:c r="D51" s="19" t="n">
        <x:v>200000</x:v>
      </x:c>
      <x:c r="E51" s="19" t="n">
        <x:f>C51-D51</x:f>
        <x:v>15000</x:v>
      </x:c>
      <x:c r="F51" s="19" t="n">
        <x:f>SUM($E$7:E51)</x:f>
        <x:v>2631000</x:v>
      </x:c>
      <x:c r="G51" s="20" t="n">
        <x:v>11</x:v>
      </x:c>
      <x:c r="H51" s="20" t="n">
        <x:v>9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2591000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700000</x:v>
      </x:c>
      <x:c r="D53" s="19" t="n">
        <x:v>70000</x:v>
      </x:c>
      <x:c r="E53" s="19" t="n">
        <x:f>C53-D53</x:f>
        <x:v>630000</x:v>
      </x:c>
      <x:c r="F53" s="19" t="n">
        <x:f>SUM($E$7:E53)</x:f>
        <x:v>3221000</x:v>
      </x:c>
      <x:c r="G53" s="20" t="n">
        <x:v>7</x:v>
      </x:c>
      <x:c r="H53" s="20" t="n">
        <x:v>5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164000</x:v>
      </x:c>
      <x:c r="D54" s="19" t="n">
        <x:v>5000</x:v>
      </x:c>
      <x:c r="E54" s="19" t="n">
        <x:f>C54-D54</x:f>
        <x:v>159000</x:v>
      </x:c>
      <x:c r="F54" s="19" t="n">
        <x:f>SUM($E$7:E54)</x:f>
        <x:v>3380000</x:v>
      </x:c>
      <x:c r="G54" s="20" t="n">
        <x:v>4</x:v>
      </x:c>
      <x:c r="H54" s="20" t="n">
        <x:v>3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257000</x:v>
      </x:c>
      <x:c r="D55" s="19" t="n">
        <x:v>45000</x:v>
      </x:c>
      <x:c r="E55" s="19" t="n">
        <x:f>C55-D55</x:f>
        <x:v>212000</x:v>
      </x:c>
      <x:c r="F55" s="19" t="n">
        <x:f>SUM($E$7:E55)</x:f>
        <x:v>3592000</x:v>
      </x:c>
      <x:c r="G55" s="20" t="n">
        <x:v>4</x:v>
      </x:c>
      <x:c r="H55" s="20" t="n">
        <x:v>3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3561000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6738000</x:v>
      </x:c>
      <x:c r="D57" s="21" t="n">
        <x:f>SUM(D7:D56)</x:f>
        <x:v>3177000</x:v>
      </x:c>
      <x:c r="E57" s="21" t="n">
        <x:f>SUM(E7:E56)</x:f>
        <x:v>3561000</x:v>
      </x:c>
      <x:c r="F57" s="21" t="n">
        <x:f>F56</x:f>
        <x:v>3561000</x:v>
      </x:c>
      <x:c r="G57" s="22" t="n">
        <x:f>SUM(G7:G56)</x:f>
        <x:v>311</x:v>
      </x:c>
      <x:c r="H57" s="22" t="n">
        <x:f>SUM(H7:H56)</x:f>
        <x:v>234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4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0783e79422428c"/>
  </x:tableParts>
</x:worksheet>
</file>

<file path=xl/worksheets/sheet45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V15　回転玉利確と60秒再参加と確認ドテン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追加担当だけを変更。回転玉利確と60秒再参加と確認ドテン。基本担当と別入口は基準と同じ。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-29000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-33000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137000</x:v>
      </x:c>
      <x:c r="D13" s="19" t="n">
        <x:v>60000</x:v>
      </x:c>
      <x:c r="E13" s="19" t="n">
        <x:f>C13-D13</x:f>
        <x:v>77000</x:v>
      </x:c>
      <x:c r="F13" s="19" t="n">
        <x:f>SUM($E$7:E13)</x:f>
        <x:v>8000</x:v>
      </x:c>
      <x:c r="G13" s="20" t="n">
        <x:v>5</x:v>
      </x:c>
      <x:c r="H13" s="20" t="n">
        <x:v>4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28000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200000</x:v>
      </x:c>
      <x:c r="D15" s="19" t="n">
        <x:v>118000</x:v>
      </x:c>
      <x:c r="E15" s="19" t="n">
        <x:f>C15-D15</x:f>
        <x:v>82000</x:v>
      </x:c>
      <x:c r="F15" s="19" t="n">
        <x:f>SUM($E$7:E15)</x:f>
        <x:v>110000</x:v>
      </x:c>
      <x:c r="G15" s="20" t="n">
        <x:v>10</x:v>
      </x:c>
      <x:c r="H15" s="20" t="n">
        <x:v>7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106000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331000</x:v>
      </x:c>
      <x:c r="D17" s="19" t="n">
        <x:v>192000</x:v>
      </x:c>
      <x:c r="E17" s="19" t="n">
        <x:f>C17-D17</x:f>
        <x:v>139000</x:v>
      </x:c>
      <x:c r="F17" s="19" t="n">
        <x:f>SUM($E$7:E17)</x:f>
        <x:v>245000</x:v>
      </x:c>
      <x:c r="G17" s="20" t="n">
        <x:v>12</x:v>
      </x:c>
      <x:c r="H17" s="20" t="n">
        <x:v>9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80000</x:v>
      </x:c>
      <x:c r="D18" s="19" t="n">
        <x:v>48000</x:v>
      </x:c>
      <x:c r="E18" s="19" t="n">
        <x:f>C18-D18</x:f>
        <x:v>32000</x:v>
      </x:c>
      <x:c r="F18" s="19" t="n">
        <x:f>SUM($E$7:E18)</x:f>
        <x:v>277000</x:v>
      </x:c>
      <x:c r="G18" s="20" t="n">
        <x:v>6</x:v>
      </x:c>
      <x:c r="H18" s="20" t="n">
        <x:v>6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308000</x:v>
      </x:c>
      <x:c r="D19" s="19" t="n">
        <x:v>107000</x:v>
      </x:c>
      <x:c r="E19" s="19" t="n">
        <x:f>C19-D19</x:f>
        <x:v>201000</x:v>
      </x:c>
      <x:c r="F19" s="19" t="n">
        <x:f>SUM($E$7:E19)</x:f>
        <x:v>478000</x:v>
      </x:c>
      <x:c r="G19" s="20" t="n">
        <x:v>14</x:v>
      </x:c>
      <x:c r="H19" s="20" t="n">
        <x:v>9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529000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604000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631000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355000</x:v>
      </x:c>
      <x:c r="D23" s="19" t="n">
        <x:v>84000</x:v>
      </x:c>
      <x:c r="E23" s="19" t="n">
        <x:f>C23-D23</x:f>
        <x:v>271000</x:v>
      </x:c>
      <x:c r="F23" s="19" t="n">
        <x:f>SUM($E$7:E23)</x:f>
        <x:v>902000</x:v>
      </x:c>
      <x:c r="G23" s="20" t="n">
        <x:v>4</x:v>
      </x:c>
      <x:c r="H23" s="20" t="n">
        <x:v>4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154000</x:v>
      </x:c>
      <x:c r="D24" s="19" t="n">
        <x:v>174000</x:v>
      </x:c>
      <x:c r="E24" s="19" t="n">
        <x:f>C24-D24</x:f>
        <x:v>-20000</x:v>
      </x:c>
      <x:c r="F24" s="19" t="n">
        <x:f>SUM($E$7:E24)</x:f>
        <x:v>882000</x:v>
      </x:c>
      <x:c r="G24" s="20" t="n">
        <x:v>16</x:v>
      </x:c>
      <x:c r="H24" s="20" t="n">
        <x:v>13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64000</x:v>
      </x:c>
      <x:c r="D25" s="19" t="n">
        <x:v>128000</x:v>
      </x:c>
      <x:c r="E25" s="19" t="n">
        <x:f>C25-D25</x:f>
        <x:v>-64000</x:v>
      </x:c>
      <x:c r="F25" s="19" t="n">
        <x:f>SUM($E$7:E25)</x:f>
        <x:v>818000</x:v>
      </x:c>
      <x:c r="G25" s="20" t="n">
        <x:v>10</x:v>
      </x:c>
      <x:c r="H25" s="20" t="n">
        <x:v>6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214000</x:v>
      </x:c>
      <x:c r="D26" s="19" t="n">
        <x:v>48000</x:v>
      </x:c>
      <x:c r="E26" s="19" t="n">
        <x:f>C26-D26</x:f>
        <x:v>166000</x:v>
      </x:c>
      <x:c r="F26" s="19" t="n">
        <x:f>SUM($E$7:E26)</x:f>
        <x:v>984000</x:v>
      </x:c>
      <x:c r="G26" s="20" t="n">
        <x:v>15</x:v>
      </x:c>
      <x:c r="H26" s="20" t="n">
        <x:v>11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109000</x:v>
      </x:c>
      <x:c r="D27" s="19" t="n">
        <x:v>224000</x:v>
      </x:c>
      <x:c r="E27" s="19" t="n">
        <x:f>C27-D27</x:f>
        <x:v>-115000</x:v>
      </x:c>
      <x:c r="F27" s="19" t="n">
        <x:f>SUM($E$7:E27)</x:f>
        <x:v>869000</x:v>
      </x:c>
      <x:c r="G27" s="20" t="n">
        <x:v>17</x:v>
      </x:c>
      <x:c r="H27" s="20" t="n">
        <x:v>12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70000</x:v>
      </x:c>
      <x:c r="D28" s="19" t="n">
        <x:v>20000</x:v>
      </x:c>
      <x:c r="E28" s="19" t="n">
        <x:f>C28-D28</x:f>
        <x:v>50000</x:v>
      </x:c>
      <x:c r="F28" s="19" t="n">
        <x:f>SUM($E$7:E28)</x:f>
        <x:v>919000</x:v>
      </x:c>
      <x:c r="G28" s="20" t="n">
        <x:v>5</x:v>
      </x:c>
      <x:c r="H28" s="20" t="n">
        <x:v>4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280000</x:v>
      </x:c>
      <x:c r="D29" s="19" t="n">
        <x:v>122000</x:v>
      </x:c>
      <x:c r="E29" s="19" t="n">
        <x:f>C29-D29</x:f>
        <x:v>158000</x:v>
      </x:c>
      <x:c r="F29" s="19" t="n">
        <x:f>SUM($E$7:E29)</x:f>
        <x:v>1077000</x:v>
      </x:c>
      <x:c r="G29" s="20" t="n">
        <x:v>10</x:v>
      </x:c>
      <x:c r="H29" s="20" t="n">
        <x:v>7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1067000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194000</x:v>
      </x:c>
      <x:c r="D31" s="19" t="n">
        <x:v>74000</x:v>
      </x:c>
      <x:c r="E31" s="19" t="n">
        <x:f>C31-D31</x:f>
        <x:v>120000</x:v>
      </x:c>
      <x:c r="F31" s="19" t="n">
        <x:f>SUM($E$7:E31)</x:f>
        <x:v>1187000</x:v>
      </x:c>
      <x:c r="G31" s="20" t="n">
        <x:v>11</x:v>
      </x:c>
      <x:c r="H31" s="20" t="n">
        <x:v>8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1144000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153000</x:v>
      </x:c>
      <x:c r="D33" s="19" t="n">
        <x:v>170000</x:v>
      </x:c>
      <x:c r="E33" s="19" t="n">
        <x:f>C33-D33</x:f>
        <x:v>-17000</x:v>
      </x:c>
      <x:c r="F33" s="19" t="n">
        <x:f>SUM($E$7:E33)</x:f>
        <x:v>1127000</x:v>
      </x:c>
      <x:c r="G33" s="20" t="n">
        <x:v>11</x:v>
      </x:c>
      <x:c r="H33" s="20" t="n">
        <x:v>9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229000</x:v>
      </x:c>
      <x:c r="D34" s="19" t="n">
        <x:v>1000</x:v>
      </x:c>
      <x:c r="E34" s="19" t="n">
        <x:f>C34-D34</x:f>
        <x:v>228000</x:v>
      </x:c>
      <x:c r="F34" s="19" t="n">
        <x:f>SUM($E$7:E34)</x:f>
        <x:v>1355000</x:v>
      </x:c>
      <x:c r="G34" s="20" t="n">
        <x:v>10</x:v>
      </x:c>
      <x:c r="H34" s="20" t="n">
        <x:v>8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111000</x:v>
      </x:c>
      <x:c r="D35" s="19" t="n">
        <x:v>98000</x:v>
      </x:c>
      <x:c r="E35" s="19" t="n">
        <x:f>C35-D35</x:f>
        <x:v>13000</x:v>
      </x:c>
      <x:c r="F35" s="19" t="n">
        <x:f>SUM($E$7:E35)</x:f>
        <x:v>1368000</x:v>
      </x:c>
      <x:c r="G35" s="20" t="n">
        <x:v>11</x:v>
      </x:c>
      <x:c r="H35" s="20" t="n">
        <x:v>7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1382000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1362000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1469000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126000</x:v>
      </x:c>
      <x:c r="D39" s="19" t="n">
        <x:v>173000</x:v>
      </x:c>
      <x:c r="E39" s="19" t="n">
        <x:f>C39-D39</x:f>
        <x:v>-47000</x:v>
      </x:c>
      <x:c r="F39" s="19" t="n">
        <x:f>SUM($E$7:E39)</x:f>
        <x:v>1422000</x:v>
      </x:c>
      <x:c r="G39" s="20" t="n">
        <x:v>17</x:v>
      </x:c>
      <x:c r="H39" s="20" t="n">
        <x:v>13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1369000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224000</x:v>
      </x:c>
      <x:c r="D41" s="19" t="n">
        <x:v>137000</x:v>
      </x:c>
      <x:c r="E41" s="19" t="n">
        <x:f>C41-D41</x:f>
        <x:v>87000</x:v>
      </x:c>
      <x:c r="F41" s="19" t="n">
        <x:f>SUM($E$7:E41)</x:f>
        <x:v>1456000</x:v>
      </x:c>
      <x:c r="G41" s="20" t="n">
        <x:v>13</x:v>
      </x:c>
      <x:c r="H41" s="20" t="n">
        <x:v>10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1631000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612000</x:v>
      </x:c>
      <x:c r="D43" s="19" t="n">
        <x:v>88000</x:v>
      </x:c>
      <x:c r="E43" s="19" t="n">
        <x:f>C43-D43</x:f>
        <x:v>524000</x:v>
      </x:c>
      <x:c r="F43" s="19" t="n">
        <x:f>SUM($E$7:E43)</x:f>
        <x:v>2155000</x:v>
      </x:c>
      <x:c r="G43" s="20" t="n">
        <x:v>10</x:v>
      </x:c>
      <x:c r="H43" s="20" t="n">
        <x:v>7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182000</x:v>
      </x:c>
      <x:c r="D44" s="19" t="n">
        <x:v>78000</x:v>
      </x:c>
      <x:c r="E44" s="19" t="n">
        <x:f>C44-D44</x:f>
        <x:v>104000</x:v>
      </x:c>
      <x:c r="F44" s="19" t="n">
        <x:f>SUM($E$7:E44)</x:f>
        <x:v>2259000</x:v>
      </x:c>
      <x:c r="G44" s="20" t="n">
        <x:v>7</x:v>
      </x:c>
      <x:c r="H44" s="20" t="n">
        <x:v>5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110000</x:v>
      </x:c>
      <x:c r="D45" s="19" t="n">
        <x:v>181000</x:v>
      </x:c>
      <x:c r="E45" s="19" t="n">
        <x:f>C45-D45</x:f>
        <x:v>-71000</x:v>
      </x:c>
      <x:c r="F45" s="19" t="n">
        <x:f>SUM($E$7:E45)</x:f>
        <x:v>2188000</x:v>
      </x:c>
      <x:c r="G45" s="20" t="n">
        <x:v>21</x:v>
      </x:c>
      <x:c r="H45" s="20" t="n">
        <x:v>14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161000</x:v>
      </x:c>
      <x:c r="D46" s="19" t="n">
        <x:v>169000</x:v>
      </x:c>
      <x:c r="E46" s="19" t="n">
        <x:f>C46-D46</x:f>
        <x:v>-8000</x:v>
      </x:c>
      <x:c r="F46" s="19" t="n">
        <x:f>SUM($E$7:E46)</x:f>
        <x:v>2180000</x:v>
      </x:c>
      <x:c r="G46" s="20" t="n">
        <x:v>14</x:v>
      </x:c>
      <x:c r="H46" s="20" t="n">
        <x:v>12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393000</x:v>
      </x:c>
      <x:c r="D47" s="19" t="n">
        <x:v>0</x:v>
      </x:c>
      <x:c r="E47" s="19" t="n">
        <x:f>C47-D47</x:f>
        <x:v>393000</x:v>
      </x:c>
      <x:c r="F47" s="19" t="n">
        <x:f>SUM($E$7:E47)</x:f>
        <x:v>2573000</x:v>
      </x:c>
      <x:c r="G47" s="20" t="n">
        <x:v>4</x:v>
      </x:c>
      <x:c r="H47" s="20" t="n">
        <x:v>3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126000</x:v>
      </x:c>
      <x:c r="D48" s="19" t="n">
        <x:v>37000</x:v>
      </x:c>
      <x:c r="E48" s="19" t="n">
        <x:f>C48-D48</x:f>
        <x:v>89000</x:v>
      </x:c>
      <x:c r="F48" s="19" t="n">
        <x:f>SUM($E$7:E48)</x:f>
        <x:v>2662000</x:v>
      </x:c>
      <x:c r="G48" s="20" t="n">
        <x:v>12</x:v>
      </x:c>
      <x:c r="H48" s="20" t="n">
        <x:v>9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194000</x:v>
      </x:c>
      <x:c r="D49" s="19" t="n">
        <x:v>242000</x:v>
      </x:c>
      <x:c r="E49" s="19" t="n">
        <x:f>C49-D49</x:f>
        <x:v>-48000</x:v>
      </x:c>
      <x:c r="F49" s="19" t="n">
        <x:f>SUM($E$7:E49)</x:f>
        <x:v>2614000</x:v>
      </x:c>
      <x:c r="G49" s="20" t="n">
        <x:v>22</x:v>
      </x:c>
      <x:c r="H49" s="20" t="n">
        <x:v>16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387000</x:v>
      </x:c>
      <x:c r="D50" s="19" t="n">
        <x:v>26000</x:v>
      </x:c>
      <x:c r="E50" s="19" t="n">
        <x:f>C50-D50</x:f>
        <x:v>361000</x:v>
      </x:c>
      <x:c r="F50" s="19" t="n">
        <x:f>SUM($E$7:E50)</x:f>
        <x:v>2975000</x:v>
      </x:c>
      <x:c r="G50" s="20" t="n">
        <x:v>10</x:v>
      </x:c>
      <x:c r="H50" s="20" t="n">
        <x:v>7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224000</x:v>
      </x:c>
      <x:c r="D51" s="19" t="n">
        <x:v>327000</x:v>
      </x:c>
      <x:c r="E51" s="19" t="n">
        <x:f>C51-D51</x:f>
        <x:v>-103000</x:v>
      </x:c>
      <x:c r="F51" s="19" t="n">
        <x:f>SUM($E$7:E51)</x:f>
        <x:v>2872000</x:v>
      </x:c>
      <x:c r="G51" s="20" t="n">
        <x:v>16</x:v>
      </x:c>
      <x:c r="H51" s="20" t="n">
        <x:v>12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2832000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844000</x:v>
      </x:c>
      <x:c r="D53" s="19" t="n">
        <x:v>74000</x:v>
      </x:c>
      <x:c r="E53" s="19" t="n">
        <x:f>C53-D53</x:f>
        <x:v>770000</x:v>
      </x:c>
      <x:c r="F53" s="19" t="n">
        <x:f>SUM($E$7:E53)</x:f>
        <x:v>3602000</x:v>
      </x:c>
      <x:c r="G53" s="20" t="n">
        <x:v>9</x:v>
      </x:c>
      <x:c r="H53" s="20" t="n">
        <x:v>6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164000</x:v>
      </x:c>
      <x:c r="D54" s="19" t="n">
        <x:v>45000</x:v>
      </x:c>
      <x:c r="E54" s="19" t="n">
        <x:f>C54-D54</x:f>
        <x:v>119000</x:v>
      </x:c>
      <x:c r="F54" s="19" t="n">
        <x:f>SUM($E$7:E54)</x:f>
        <x:v>3721000</x:v>
      </x:c>
      <x:c r="G54" s="20" t="n">
        <x:v>5</x:v>
      </x:c>
      <x:c r="H54" s="20" t="n">
        <x:v>4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257000</x:v>
      </x:c>
      <x:c r="D55" s="19" t="n">
        <x:v>45000</x:v>
      </x:c>
      <x:c r="E55" s="19" t="n">
        <x:f>C55-D55</x:f>
        <x:v>212000</x:v>
      </x:c>
      <x:c r="F55" s="19" t="n">
        <x:f>SUM($E$7:E55)</x:f>
        <x:v>3933000</x:v>
      </x:c>
      <x:c r="G55" s="20" t="n">
        <x:v>4</x:v>
      </x:c>
      <x:c r="H55" s="20" t="n">
        <x:v>3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3902000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7915000</x:v>
      </x:c>
      <x:c r="D57" s="21" t="n">
        <x:f>SUM(D7:D56)</x:f>
        <x:v>4013000</x:v>
      </x:c>
      <x:c r="E57" s="21" t="n">
        <x:f>SUM(E7:E56)</x:f>
        <x:v>3902000</x:v>
      </x:c>
      <x:c r="F57" s="21" t="n">
        <x:f>F56</x:f>
        <x:v>3902000</x:v>
      </x:c>
      <x:c r="G57" s="22" t="n">
        <x:f>SUM(G7:G56)</x:f>
        <x:v>396</x:v>
      </x:c>
      <x:c r="H57" s="22" t="n">
        <x:f>SUM(H7:H56)</x:f>
        <x:v>296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4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a5c55e3eaff4ca2"/>
  </x:tableParts>
</x:worksheet>
</file>

<file path=xl/worksheets/sheet46.xml><?xml version="1.0" encoding="utf-8"?>
<x:worksheet xmlns:x="http://schemas.openxmlformats.org/spreadsheetml/2006/main">
  <x:sheetPr>
    <x:tabColor rgb="FF244A7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V17　V10の確認ドテンに40分差と平均の方向一致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日経mini・片方向10枚・手数料0円。利益と損失は完結した親取引の収支を分類。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6" t="str">
        <x:v>2026/09/21～10/23の全50場。ラージの次の正常気配をmini約定に代用した開発比較。</x:v>
      </x:c>
      <x:c r="B4" s="2"/>
      <x:c r="C4" s="2"/>
      <x:c r="D4" s="2"/>
      <x:c r="E4" s="2"/>
      <x:c r="F4" s="2"/>
      <x:c r="G4" s="2"/>
      <x:c r="H4" s="2"/>
      <x:c r="I4" s="2"/>
    </x:row>
    <x:row r="5" ht="23" customHeight="1">
      <x:c r="A5" s="6" t="str">
        <x:v>V10のドテンだけに公開40分の支持を追加。通常の入口・数量・出口は同じ。 この50場では平均位置確認の追加効果がなく、対照と全注文同一。</x:v>
      </x:c>
      <x:c r="B5" s="2"/>
      <x:c r="C5" s="2"/>
      <x:c r="D5" s="2"/>
      <x:c r="E5" s="2"/>
      <x:c r="F5" s="2"/>
      <x:c r="G5" s="2"/>
      <x:c r="H5" s="2"/>
      <x:c r="I5" s="2"/>
    </x:row>
    <x:row r="6" ht="40" customHeight="1">
      <x:c r="A6" s="15" t="str">
        <x:v>セッション</x:v>
      </x:c>
      <x:c r="B6" s="16" t="str">
        <x:v>区分</x:v>
      </x:c>
      <x:c r="C6" s="16" t="str">
        <x:v>利益（円）</x:v>
      </x:c>
      <x:c r="D6" s="16" t="str">
        <x:v>損失（円）</x:v>
      </x:c>
      <x:c r="E6" s="16" t="str">
        <x:v>収支（円）</x:v>
      </x:c>
      <x:c r="F6" s="16" t="str">
        <x:v>累計（円）</x:v>
      </x:c>
      <x:c r="G6" s="16" t="str">
        <x:v>新規件数</x:v>
      </x:c>
      <x:c r="H6" s="16" t="str">
        <x:v>親取引数</x:v>
      </x:c>
      <x:c r="I6" s="17" t="str">
        <x:v>始終値方向</x:v>
      </x:c>
    </x:row>
    <x:row r="7" ht="23" customHeight="1">
      <x:c r="A7" s="2" t="str">
        <x:v>2026-09-21_Day</x:v>
      </x:c>
      <x:c r="B7" s="2" t="str">
        <x:v>デイ</x:v>
      </x:c>
      <x:c r="C7" s="19" t="n">
        <x:v>105000</x:v>
      </x:c>
      <x:c r="D7" s="19" t="n">
        <x:v>0</x:v>
      </x:c>
      <x:c r="E7" s="19" t="n">
        <x:f>C7-D7</x:f>
        <x:v>105000</x:v>
      </x:c>
      <x:c r="F7" s="19" t="n">
        <x:f>SUM($E$7:E7)</x:f>
        <x:v>105000</x:v>
      </x:c>
      <x:c r="G7" s="20" t="n">
        <x:v>2</x:v>
      </x:c>
      <x:c r="H7" s="20" t="n">
        <x:v>2</x:v>
      </x:c>
      <x:c r="I7" s="20" t="str">
        <x:v>上昇</x:v>
      </x:c>
    </x:row>
    <x:row r="8" ht="23" customHeight="1">
      <x:c r="A8" s="2" t="str">
        <x:v>2026-09-21_Night</x:v>
      </x:c>
      <x:c r="B8" s="2" t="str">
        <x:v>ナイト</x:v>
      </x:c>
      <x:c r="C8" s="19" t="n">
        <x:v>0</x:v>
      </x:c>
      <x:c r="D8" s="19" t="n">
        <x:v>45000</x:v>
      </x:c>
      <x:c r="E8" s="19" t="n">
        <x:f>C8-D8</x:f>
        <x:v>-45000</x:v>
      </x:c>
      <x:c r="F8" s="19" t="n">
        <x:f>SUM($E$7:E8)</x:f>
        <x:v>60000</x:v>
      </x:c>
      <x:c r="G8" s="20" t="n">
        <x:v>1</x:v>
      </x:c>
      <x:c r="H8" s="20" t="n">
        <x:v>1</x:v>
      </x:c>
      <x:c r="I8" s="20" t="str">
        <x:v>上昇</x:v>
      </x:c>
    </x:row>
    <x:row r="9" ht="23" customHeight="1">
      <x:c r="A9" s="2" t="str">
        <x:v>2026-09-22_Day</x:v>
      </x:c>
      <x:c r="B9" s="2" t="str">
        <x:v>デイ</x:v>
      </x:c>
      <x:c r="C9" s="19" t="n">
        <x:v>0</x:v>
      </x:c>
      <x:c r="D9" s="19" t="n">
        <x:v>105000</x:v>
      </x:c>
      <x:c r="E9" s="19" t="n">
        <x:f>C9-D9</x:f>
        <x:v>-105000</x:v>
      </x:c>
      <x:c r="F9" s="19" t="n">
        <x:f>SUM($E$7:E9)</x:f>
        <x:v>-45000</x:v>
      </x:c>
      <x:c r="G9" s="20" t="n">
        <x:v>3</x:v>
      </x:c>
      <x:c r="H9" s="20" t="n">
        <x:v>3</x:v>
      </x:c>
      <x:c r="I9" s="20" t="str">
        <x:v>下落</x:v>
      </x:c>
    </x:row>
    <x:row r="10" ht="23" customHeight="1">
      <x:c r="A10" s="2" t="str">
        <x:v>2026-09-22_Night</x:v>
      </x:c>
      <x:c r="B10" s="2" t="str">
        <x:v>ナイト</x:v>
      </x:c>
      <x:c r="C10" s="19" t="n">
        <x:v>16000</x:v>
      </x:c>
      <x:c r="D10" s="19" t="n">
        <x:v>0</x:v>
      </x:c>
      <x:c r="E10" s="19" t="n">
        <x:f>C10-D10</x:f>
        <x:v>16000</x:v>
      </x:c>
      <x:c r="F10" s="19" t="n">
        <x:f>SUM($E$7:E10)</x:f>
        <x:v>-29000</x:v>
      </x:c>
      <x:c r="G10" s="20" t="n">
        <x:v>1</x:v>
      </x:c>
      <x:c r="H10" s="20" t="n">
        <x:v>1</x:v>
      </x:c>
      <x:c r="I10" s="20" t="str">
        <x:v>上昇</x:v>
      </x:c>
    </x:row>
    <x:row r="11" ht="23" customHeight="1">
      <x:c r="A11" s="2" t="str">
        <x:v>2026-09-23_Day</x:v>
      </x:c>
      <x:c r="B11" s="2" t="str">
        <x:v>デイ</x:v>
      </x:c>
      <x:c r="C11" s="19" t="n">
        <x:v>0</x:v>
      </x:c>
      <x:c r="D11" s="19" t="n">
        <x:v>4000</x:v>
      </x:c>
      <x:c r="E11" s="19" t="n">
        <x:f>C11-D11</x:f>
        <x:v>-4000</x:v>
      </x:c>
      <x:c r="F11" s="19" t="n">
        <x:f>SUM($E$7:E11)</x:f>
        <x:v>-33000</x:v>
      </x:c>
      <x:c r="G11" s="20" t="n">
        <x:v>1</x:v>
      </x:c>
      <x:c r="H11" s="20" t="n">
        <x:v>1</x:v>
      </x:c>
      <x:c r="I11" s="20" t="str">
        <x:v>下落</x:v>
      </x:c>
    </x:row>
    <x:row r="12" ht="23" customHeight="1">
      <x:c r="A12" s="2" t="str">
        <x:v>2026-09-23_Night</x:v>
      </x:c>
      <x:c r="B12" s="2" t="str">
        <x:v>ナイト</x:v>
      </x:c>
      <x:c r="C12" s="19" t="n">
        <x:v>4000</x:v>
      </x:c>
      <x:c r="D12" s="19" t="n">
        <x:v>40000</x:v>
      </x:c>
      <x:c r="E12" s="19" t="n">
        <x:f>C12-D12</x:f>
        <x:v>-36000</x:v>
      </x:c>
      <x:c r="F12" s="19" t="n">
        <x:f>SUM($E$7:E12)</x:f>
        <x:v>-69000</x:v>
      </x:c>
      <x:c r="G12" s="20" t="n">
        <x:v>3</x:v>
      </x:c>
      <x:c r="H12" s="20" t="n">
        <x:v>2</x:v>
      </x:c>
      <x:c r="I12" s="20" t="str">
        <x:v>下落</x:v>
      </x:c>
    </x:row>
    <x:row r="13" ht="23" customHeight="1">
      <x:c r="A13" s="2" t="str">
        <x:v>2026-09-24_Day</x:v>
      </x:c>
      <x:c r="B13" s="2" t="str">
        <x:v>デイ</x:v>
      </x:c>
      <x:c r="C13" s="19" t="n">
        <x:v>148000</x:v>
      </x:c>
      <x:c r="D13" s="19" t="n">
        <x:v>96000</x:v>
      </x:c>
      <x:c r="E13" s="19" t="n">
        <x:f>C13-D13</x:f>
        <x:v>52000</x:v>
      </x:c>
      <x:c r="F13" s="19" t="n">
        <x:f>SUM($E$7:E13)</x:f>
        <x:v>-17000</x:v>
      </x:c>
      <x:c r="G13" s="20" t="n">
        <x:v>11</x:v>
      </x:c>
      <x:c r="H13" s="20" t="n">
        <x:v>7</x:v>
      </x:c>
      <x:c r="I13" s="20" t="str">
        <x:v>下落</x:v>
      </x:c>
    </x:row>
    <x:row r="14" ht="23" customHeight="1">
      <x:c r="A14" s="2" t="str">
        <x:v>2026-09-24_Night</x:v>
      </x:c>
      <x:c r="B14" s="2" t="str">
        <x:v>ナイト</x:v>
      </x:c>
      <x:c r="C14" s="19" t="n">
        <x:v>20000</x:v>
      </x:c>
      <x:c r="D14" s="19" t="n">
        <x:v>0</x:v>
      </x:c>
      <x:c r="E14" s="19" t="n">
        <x:f>C14-D14</x:f>
        <x:v>20000</x:v>
      </x:c>
      <x:c r="F14" s="19" t="n">
        <x:f>SUM($E$7:E14)</x:f>
        <x:v>3000</x:v>
      </x:c>
      <x:c r="G14" s="20" t="n">
        <x:v>2</x:v>
      </x:c>
      <x:c r="H14" s="20" t="n">
        <x:v>1</x:v>
      </x:c>
      <x:c r="I14" s="20" t="str">
        <x:v>下落</x:v>
      </x:c>
    </x:row>
    <x:row r="15" ht="23" customHeight="1">
      <x:c r="A15" s="2" t="str">
        <x:v>2026-09-25_Day</x:v>
      </x:c>
      <x:c r="B15" s="2" t="str">
        <x:v>デイ</x:v>
      </x:c>
      <x:c r="C15" s="19" t="n">
        <x:v>224000</x:v>
      </x:c>
      <x:c r="D15" s="19" t="n">
        <x:v>62000</x:v>
      </x:c>
      <x:c r="E15" s="19" t="n">
        <x:f>C15-D15</x:f>
        <x:v>162000</x:v>
      </x:c>
      <x:c r="F15" s="19" t="n">
        <x:f>SUM($E$7:E15)</x:f>
        <x:v>165000</x:v>
      </x:c>
      <x:c r="G15" s="20" t="n">
        <x:v>11</x:v>
      </x:c>
      <x:c r="H15" s="20" t="n">
        <x:v>8</x:v>
      </x:c>
      <x:c r="I15" s="20" t="str">
        <x:v>上昇</x:v>
      </x:c>
    </x:row>
    <x:row r="16" ht="23" customHeight="1">
      <x:c r="A16" s="2" t="str">
        <x:v>2026-09-25_Night</x:v>
      </x:c>
      <x:c r="B16" s="2" t="str">
        <x:v>ナイト</x:v>
      </x:c>
      <x:c r="C16" s="19" t="n">
        <x:v>12000</x:v>
      </x:c>
      <x:c r="D16" s="19" t="n">
        <x:v>16000</x:v>
      </x:c>
      <x:c r="E16" s="19" t="n">
        <x:f>C16-D16</x:f>
        <x:v>-4000</x:v>
      </x:c>
      <x:c r="F16" s="19" t="n">
        <x:f>SUM($E$7:E16)</x:f>
        <x:v>161000</x:v>
      </x:c>
      <x:c r="G16" s="20" t="n">
        <x:v>2</x:v>
      </x:c>
      <x:c r="H16" s="20" t="n">
        <x:v>2</x:v>
      </x:c>
      <x:c r="I16" s="20" t="str">
        <x:v>上昇</x:v>
      </x:c>
    </x:row>
    <x:row r="17" ht="23" customHeight="1">
      <x:c r="A17" s="2" t="str">
        <x:v>2026-09-28_Day</x:v>
      </x:c>
      <x:c r="B17" s="2" t="str">
        <x:v>デイ</x:v>
      </x:c>
      <x:c r="C17" s="19" t="n">
        <x:v>397000</x:v>
      </x:c>
      <x:c r="D17" s="19" t="n">
        <x:v>170000</x:v>
      </x:c>
      <x:c r="E17" s="19" t="n">
        <x:f>C17-D17</x:f>
        <x:v>227000</x:v>
      </x:c>
      <x:c r="F17" s="19" t="n">
        <x:f>SUM($E$7:E17)</x:f>
        <x:v>388000</x:v>
      </x:c>
      <x:c r="G17" s="20" t="n">
        <x:v>11</x:v>
      </x:c>
      <x:c r="H17" s="20" t="n">
        <x:v>8</x:v>
      </x:c>
      <x:c r="I17" s="20" t="str">
        <x:v>下落</x:v>
      </x:c>
    </x:row>
    <x:row r="18" ht="23" customHeight="1">
      <x:c r="A18" s="2" t="str">
        <x:v>2026-09-28_Night</x:v>
      </x:c>
      <x:c r="B18" s="2" t="str">
        <x:v>ナイト</x:v>
      </x:c>
      <x:c r="C18" s="19" t="n">
        <x:v>10000</x:v>
      </x:c>
      <x:c r="D18" s="19" t="n">
        <x:v>48000</x:v>
      </x:c>
      <x:c r="E18" s="19" t="n">
        <x:f>C18-D18</x:f>
        <x:v>-38000</x:v>
      </x:c>
      <x:c r="F18" s="19" t="n">
        <x:f>SUM($E$7:E18)</x:f>
        <x:v>350000</x:v>
      </x:c>
      <x:c r="G18" s="20" t="n">
        <x:v>6</x:v>
      </x:c>
      <x:c r="H18" s="20" t="n">
        <x:v>5</x:v>
      </x:c>
      <x:c r="I18" s="20" t="str">
        <x:v>下落</x:v>
      </x:c>
    </x:row>
    <x:row r="19" ht="23" customHeight="1">
      <x:c r="A19" s="2" t="str">
        <x:v>2026-09-29_Day</x:v>
      </x:c>
      <x:c r="B19" s="2" t="str">
        <x:v>デイ</x:v>
      </x:c>
      <x:c r="C19" s="19" t="n">
        <x:v>339000</x:v>
      </x:c>
      <x:c r="D19" s="19" t="n">
        <x:v>134000</x:v>
      </x:c>
      <x:c r="E19" s="19" t="n">
        <x:f>C19-D19</x:f>
        <x:v>205000</x:v>
      </x:c>
      <x:c r="F19" s="19" t="n">
        <x:f>SUM($E$7:E19)</x:f>
        <x:v>555000</x:v>
      </x:c>
      <x:c r="G19" s="20" t="n">
        <x:v>15</x:v>
      </x:c>
      <x:c r="H19" s="20" t="n">
        <x:v>10</x:v>
      </x:c>
      <x:c r="I19" s="20" t="str">
        <x:v>下落</x:v>
      </x:c>
    </x:row>
    <x:row r="20" ht="23" customHeight="1">
      <x:c r="A20" s="2" t="str">
        <x:v>2026-09-29_Night</x:v>
      </x:c>
      <x:c r="B20" s="2" t="str">
        <x:v>ナイト</x:v>
      </x:c>
      <x:c r="C20" s="19" t="n">
        <x:v>73000</x:v>
      </x:c>
      <x:c r="D20" s="19" t="n">
        <x:v>22000</x:v>
      </x:c>
      <x:c r="E20" s="19" t="n">
        <x:f>C20-D20</x:f>
        <x:v>51000</x:v>
      </x:c>
      <x:c r="F20" s="19" t="n">
        <x:f>SUM($E$7:E20)</x:f>
        <x:v>606000</x:v>
      </x:c>
      <x:c r="G20" s="20" t="n">
        <x:v>6</x:v>
      </x:c>
      <x:c r="H20" s="20" t="n">
        <x:v>5</x:v>
      </x:c>
      <x:c r="I20" s="20" t="str">
        <x:v>上昇</x:v>
      </x:c>
    </x:row>
    <x:row r="21" ht="23" customHeight="1">
      <x:c r="A21" s="2" t="str">
        <x:v>2026-09-30_Day</x:v>
      </x:c>
      <x:c r="B21" s="2" t="str">
        <x:v>デイ</x:v>
      </x:c>
      <x:c r="C21" s="19" t="n">
        <x:v>175000</x:v>
      </x:c>
      <x:c r="D21" s="19" t="n">
        <x:v>100000</x:v>
      </x:c>
      <x:c r="E21" s="19" t="n">
        <x:f>C21-D21</x:f>
        <x:v>75000</x:v>
      </x:c>
      <x:c r="F21" s="19" t="n">
        <x:f>SUM($E$7:E21)</x:f>
        <x:v>681000</x:v>
      </x:c>
      <x:c r="G21" s="20" t="n">
        <x:v>7</x:v>
      </x:c>
      <x:c r="H21" s="20" t="n">
        <x:v>5</x:v>
      </x:c>
      <x:c r="I21" s="20" t="str">
        <x:v>上昇</x:v>
      </x:c>
    </x:row>
    <x:row r="22" ht="23" customHeight="1">
      <x:c r="A22" s="2" t="str">
        <x:v>2026-09-30_Night</x:v>
      </x:c>
      <x:c r="B22" s="2" t="str">
        <x:v>ナイト</x:v>
      </x:c>
      <x:c r="C22" s="19" t="n">
        <x:v>27000</x:v>
      </x:c>
      <x:c r="D22" s="19" t="n">
        <x:v>0</x:v>
      </x:c>
      <x:c r="E22" s="19" t="n">
        <x:f>C22-D22</x:f>
        <x:v>27000</x:v>
      </x:c>
      <x:c r="F22" s="19" t="n">
        <x:f>SUM($E$7:E22)</x:f>
        <x:v>708000</x:v>
      </x:c>
      <x:c r="G22" s="20" t="n">
        <x:v>3</x:v>
      </x:c>
      <x:c r="H22" s="20" t="n">
        <x:v>2</x:v>
      </x:c>
      <x:c r="I22" s="20" t="str">
        <x:v>下落</x:v>
      </x:c>
    </x:row>
    <x:row r="23" ht="23" customHeight="1">
      <x:c r="A23" s="2" t="str">
        <x:v>2026-10-01_Day</x:v>
      </x:c>
      <x:c r="B23" s="2" t="str">
        <x:v>デイ</x:v>
      </x:c>
      <x:c r="C23" s="19" t="n">
        <x:v>305000</x:v>
      </x:c>
      <x:c r="D23" s="19" t="n">
        <x:v>100000</x:v>
      </x:c>
      <x:c r="E23" s="19" t="n">
        <x:f>C23-D23</x:f>
        <x:v>205000</x:v>
      </x:c>
      <x:c r="F23" s="19" t="n">
        <x:f>SUM($E$7:E23)</x:f>
        <x:v>913000</x:v>
      </x:c>
      <x:c r="G23" s="20" t="n">
        <x:v>8</x:v>
      </x:c>
      <x:c r="H23" s="20" t="n">
        <x:v>6</x:v>
      </x:c>
      <x:c r="I23" s="20" t="str">
        <x:v>上昇</x:v>
      </x:c>
    </x:row>
    <x:row r="24" ht="23" customHeight="1">
      <x:c r="A24" s="2" t="str">
        <x:v>2026-10-01_Night</x:v>
      </x:c>
      <x:c r="B24" s="2" t="str">
        <x:v>ナイト</x:v>
      </x:c>
      <x:c r="C24" s="19" t="n">
        <x:v>256000</x:v>
      </x:c>
      <x:c r="D24" s="19" t="n">
        <x:v>129000</x:v>
      </x:c>
      <x:c r="E24" s="19" t="n">
        <x:f>C24-D24</x:f>
        <x:v>127000</x:v>
      </x:c>
      <x:c r="F24" s="19" t="n">
        <x:f>SUM($E$7:E24)</x:f>
        <x:v>1040000</x:v>
      </x:c>
      <x:c r="G24" s="20" t="n">
        <x:v>17</x:v>
      </x:c>
      <x:c r="H24" s="20" t="n">
        <x:v>12</x:v>
      </x:c>
      <x:c r="I24" s="20" t="str">
        <x:v>上昇</x:v>
      </x:c>
    </x:row>
    <x:row r="25" ht="23" customHeight="1">
      <x:c r="A25" s="2" t="str">
        <x:v>2026-10-02_Day</x:v>
      </x:c>
      <x:c r="B25" s="2" t="str">
        <x:v>デイ</x:v>
      </x:c>
      <x:c r="C25" s="19" t="n">
        <x:v>56000</x:v>
      </x:c>
      <x:c r="D25" s="19" t="n">
        <x:v>196000</x:v>
      </x:c>
      <x:c r="E25" s="19" t="n">
        <x:f>C25-D25</x:f>
        <x:v>-140000</x:v>
      </x:c>
      <x:c r="F25" s="19" t="n">
        <x:f>SUM($E$7:E25)</x:f>
        <x:v>900000</x:v>
      </x:c>
      <x:c r="G25" s="20" t="n">
        <x:v>13</x:v>
      </x:c>
      <x:c r="H25" s="20" t="n">
        <x:v>10</x:v>
      </x:c>
      <x:c r="I25" s="20" t="str">
        <x:v>上昇</x:v>
      </x:c>
    </x:row>
    <x:row r="26" ht="23" customHeight="1">
      <x:c r="A26" s="2" t="str">
        <x:v>2026-10-02_Night</x:v>
      </x:c>
      <x:c r="B26" s="2" t="str">
        <x:v>ナイト</x:v>
      </x:c>
      <x:c r="C26" s="19" t="n">
        <x:v>289000</x:v>
      </x:c>
      <x:c r="D26" s="19" t="n">
        <x:v>65000</x:v>
      </x:c>
      <x:c r="E26" s="19" t="n">
        <x:f>C26-D26</x:f>
        <x:v>224000</x:v>
      </x:c>
      <x:c r="F26" s="19" t="n">
        <x:f>SUM($E$7:E26)</x:f>
        <x:v>1124000</x:v>
      </x:c>
      <x:c r="G26" s="20" t="n">
        <x:v>21</x:v>
      </x:c>
      <x:c r="H26" s="20" t="n">
        <x:v>12</x:v>
      </x:c>
      <x:c r="I26" s="20" t="str">
        <x:v>上昇</x:v>
      </x:c>
    </x:row>
    <x:row r="27" ht="23" customHeight="1">
      <x:c r="A27" s="2" t="str">
        <x:v>2026-10-05_Day</x:v>
      </x:c>
      <x:c r="B27" s="2" t="str">
        <x:v>デイ</x:v>
      </x:c>
      <x:c r="C27" s="19" t="n">
        <x:v>127000</x:v>
      </x:c>
      <x:c r="D27" s="19" t="n">
        <x:v>166000</x:v>
      </x:c>
      <x:c r="E27" s="19" t="n">
        <x:f>C27-D27</x:f>
        <x:v>-39000</x:v>
      </x:c>
      <x:c r="F27" s="19" t="n">
        <x:f>SUM($E$7:E27)</x:f>
        <x:v>1085000</x:v>
      </x:c>
      <x:c r="G27" s="20" t="n">
        <x:v>18</x:v>
      </x:c>
      <x:c r="H27" s="20" t="n">
        <x:v>13</x:v>
      </x:c>
      <x:c r="I27" s="20" t="str">
        <x:v>上昇</x:v>
      </x:c>
    </x:row>
    <x:row r="28" ht="23" customHeight="1">
      <x:c r="A28" s="2" t="str">
        <x:v>2026-10-05_Night</x:v>
      </x:c>
      <x:c r="B28" s="2" t="str">
        <x:v>ナイト</x:v>
      </x:c>
      <x:c r="C28" s="19" t="n">
        <x:v>98000</x:v>
      </x:c>
      <x:c r="D28" s="19" t="n">
        <x:v>64000</x:v>
      </x:c>
      <x:c r="E28" s="19" t="n">
        <x:f>C28-D28</x:f>
        <x:v>34000</x:v>
      </x:c>
      <x:c r="F28" s="19" t="n">
        <x:f>SUM($E$7:E28)</x:f>
        <x:v>1119000</x:v>
      </x:c>
      <x:c r="G28" s="20" t="n">
        <x:v>7</x:v>
      </x:c>
      <x:c r="H28" s="20" t="n">
        <x:v>5</x:v>
      </x:c>
      <x:c r="I28" s="20" t="str">
        <x:v>下落</x:v>
      </x:c>
    </x:row>
    <x:row r="29" ht="23" customHeight="1">
      <x:c r="A29" s="2" t="str">
        <x:v>2026-10-06_Day</x:v>
      </x:c>
      <x:c r="B29" s="2" t="str">
        <x:v>デイ</x:v>
      </x:c>
      <x:c r="C29" s="19" t="n">
        <x:v>281000</x:v>
      </x:c>
      <x:c r="D29" s="19" t="n">
        <x:v>138000</x:v>
      </x:c>
      <x:c r="E29" s="19" t="n">
        <x:f>C29-D29</x:f>
        <x:v>143000</x:v>
      </x:c>
      <x:c r="F29" s="19" t="n">
        <x:f>SUM($E$7:E29)</x:f>
        <x:v>1262000</x:v>
      </x:c>
      <x:c r="G29" s="20" t="n">
        <x:v>11</x:v>
      </x:c>
      <x:c r="H29" s="20" t="n">
        <x:v>8</x:v>
      </x:c>
      <x:c r="I29" s="20" t="str">
        <x:v>上昇</x:v>
      </x:c>
    </x:row>
    <x:row r="30" ht="23" customHeight="1">
      <x:c r="A30" s="2" t="str">
        <x:v>2026-10-06_Night</x:v>
      </x:c>
      <x:c r="B30" s="2" t="str">
        <x:v>ナイト</x:v>
      </x:c>
      <x:c r="C30" s="19" t="n">
        <x:v>33000</x:v>
      </x:c>
      <x:c r="D30" s="19" t="n">
        <x:v>43000</x:v>
      </x:c>
      <x:c r="E30" s="19" t="n">
        <x:f>C30-D30</x:f>
        <x:v>-10000</x:v>
      </x:c>
      <x:c r="F30" s="19" t="n">
        <x:f>SUM($E$7:E30)</x:f>
        <x:v>1252000</x:v>
      </x:c>
      <x:c r="G30" s="20" t="n">
        <x:v>4</x:v>
      </x:c>
      <x:c r="H30" s="20" t="n">
        <x:v>3</x:v>
      </x:c>
      <x:c r="I30" s="20" t="str">
        <x:v>下落</x:v>
      </x:c>
    </x:row>
    <x:row r="31" ht="23" customHeight="1">
      <x:c r="A31" s="2" t="str">
        <x:v>2026-10-07_Day</x:v>
      </x:c>
      <x:c r="B31" s="2" t="str">
        <x:v>デイ</x:v>
      </x:c>
      <x:c r="C31" s="19" t="n">
        <x:v>116000</x:v>
      </x:c>
      <x:c r="D31" s="19" t="n">
        <x:v>72000</x:v>
      </x:c>
      <x:c r="E31" s="19" t="n">
        <x:f>C31-D31</x:f>
        <x:v>44000</x:v>
      </x:c>
      <x:c r="F31" s="19" t="n">
        <x:f>SUM($E$7:E31)</x:f>
        <x:v>1296000</x:v>
      </x:c>
      <x:c r="G31" s="20" t="n">
        <x:v>10</x:v>
      </x:c>
      <x:c r="H31" s="20" t="n">
        <x:v>8</x:v>
      </x:c>
      <x:c r="I31" s="20" t="str">
        <x:v>下落</x:v>
      </x:c>
    </x:row>
    <x:row r="32" ht="23" customHeight="1">
      <x:c r="A32" s="2" t="str">
        <x:v>2026-10-07_Night</x:v>
      </x:c>
      <x:c r="B32" s="2" t="str">
        <x:v>ナイト</x:v>
      </x:c>
      <x:c r="C32" s="19" t="n">
        <x:v>0</x:v>
      </x:c>
      <x:c r="D32" s="19" t="n">
        <x:v>43000</x:v>
      </x:c>
      <x:c r="E32" s="19" t="n">
        <x:f>C32-D32</x:f>
        <x:v>-43000</x:v>
      </x:c>
      <x:c r="F32" s="19" t="n">
        <x:f>SUM($E$7:E32)</x:f>
        <x:v>1253000</x:v>
      </x:c>
      <x:c r="G32" s="20" t="n">
        <x:v>4</x:v>
      </x:c>
      <x:c r="H32" s="20" t="n">
        <x:v>2</x:v>
      </x:c>
      <x:c r="I32" s="20" t="str">
        <x:v>下落</x:v>
      </x:c>
    </x:row>
    <x:row r="33" ht="23" customHeight="1">
      <x:c r="A33" s="2" t="str">
        <x:v>2026-10-08_Day</x:v>
      </x:c>
      <x:c r="B33" s="2" t="str">
        <x:v>デイ</x:v>
      </x:c>
      <x:c r="C33" s="19" t="n">
        <x:v>201000</x:v>
      </x:c>
      <x:c r="D33" s="19" t="n">
        <x:v>130000</x:v>
      </x:c>
      <x:c r="E33" s="19" t="n">
        <x:f>C33-D33</x:f>
        <x:v>71000</x:v>
      </x:c>
      <x:c r="F33" s="19" t="n">
        <x:f>SUM($E$7:E33)</x:f>
        <x:v>1324000</x:v>
      </x:c>
      <x:c r="G33" s="20" t="n">
        <x:v>11</x:v>
      </x:c>
      <x:c r="H33" s="20" t="n">
        <x:v>9</x:v>
      </x:c>
      <x:c r="I33" s="20" t="str">
        <x:v>下落</x:v>
      </x:c>
    </x:row>
    <x:row r="34" ht="23" customHeight="1">
      <x:c r="A34" s="2" t="str">
        <x:v>2026-10-08_Night</x:v>
      </x:c>
      <x:c r="B34" s="2" t="str">
        <x:v>ナイト</x:v>
      </x:c>
      <x:c r="C34" s="19" t="n">
        <x:v>319000</x:v>
      </x:c>
      <x:c r="D34" s="19" t="n">
        <x:v>20000</x:v>
      </x:c>
      <x:c r="E34" s="19" t="n">
        <x:f>C34-D34</x:f>
        <x:v>299000</x:v>
      </x:c>
      <x:c r="F34" s="19" t="n">
        <x:f>SUM($E$7:E34)</x:f>
        <x:v>1623000</x:v>
      </x:c>
      <x:c r="G34" s="20" t="n">
        <x:v>17</x:v>
      </x:c>
      <x:c r="H34" s="20" t="n">
        <x:v>10</x:v>
      </x:c>
      <x:c r="I34" s="20" t="str">
        <x:v>下落</x:v>
      </x:c>
    </x:row>
    <x:row r="35" ht="23" customHeight="1">
      <x:c r="A35" s="2" t="str">
        <x:v>2026-10-09_Day</x:v>
      </x:c>
      <x:c r="B35" s="2" t="str">
        <x:v>デイ</x:v>
      </x:c>
      <x:c r="C35" s="19" t="n">
        <x:v>339000</x:v>
      </x:c>
      <x:c r="D35" s="19" t="n">
        <x:v>25000</x:v>
      </x:c>
      <x:c r="E35" s="19" t="n">
        <x:f>C35-D35</x:f>
        <x:v>314000</x:v>
      </x:c>
      <x:c r="F35" s="19" t="n">
        <x:f>SUM($E$7:E35)</x:f>
        <x:v>1937000</x:v>
      </x:c>
      <x:c r="G35" s="20" t="n">
        <x:v>10</x:v>
      </x:c>
      <x:c r="H35" s="20" t="n">
        <x:v>6</x:v>
      </x:c>
      <x:c r="I35" s="20" t="str">
        <x:v>上昇</x:v>
      </x:c>
    </x:row>
    <x:row r="36" ht="23" customHeight="1">
      <x:c r="A36" s="2" t="str">
        <x:v>2026-10-09_Night</x:v>
      </x:c>
      <x:c r="B36" s="2" t="str">
        <x:v>ナイト</x:v>
      </x:c>
      <x:c r="C36" s="19" t="n">
        <x:v>14000</x:v>
      </x:c>
      <x:c r="D36" s="19" t="n">
        <x:v>0</x:v>
      </x:c>
      <x:c r="E36" s="19" t="n">
        <x:f>C36-D36</x:f>
        <x:v>14000</x:v>
      </x:c>
      <x:c r="F36" s="19" t="n">
        <x:f>SUM($E$7:E36)</x:f>
        <x:v>1951000</x:v>
      </x:c>
      <x:c r="G36" s="20" t="n">
        <x:v>1</x:v>
      </x:c>
      <x:c r="H36" s="20" t="n">
        <x:v>1</x:v>
      </x:c>
      <x:c r="I36" s="20" t="str">
        <x:v>下落</x:v>
      </x:c>
    </x:row>
    <x:row r="37" ht="23" customHeight="1">
      <x:c r="A37" s="2" t="str">
        <x:v>2026-10-12_Day</x:v>
      </x:c>
      <x:c r="B37" s="2" t="str">
        <x:v>デイ</x:v>
      </x:c>
      <x:c r="C37" s="19" t="n">
        <x:v>33000</x:v>
      </x:c>
      <x:c r="D37" s="19" t="n">
        <x:v>53000</x:v>
      </x:c>
      <x:c r="E37" s="19" t="n">
        <x:f>C37-D37</x:f>
        <x:v>-20000</x:v>
      </x:c>
      <x:c r="F37" s="19" t="n">
        <x:f>SUM($E$7:E37)</x:f>
        <x:v>1931000</x:v>
      </x:c>
      <x:c r="G37" s="20" t="n">
        <x:v>3</x:v>
      </x:c>
      <x:c r="H37" s="20" t="n">
        <x:v>3</x:v>
      </x:c>
      <x:c r="I37" s="20" t="str">
        <x:v>下落</x:v>
      </x:c>
    </x:row>
    <x:row r="38" ht="23" customHeight="1">
      <x:c r="A38" s="2" t="str">
        <x:v>2026-10-12_Night</x:v>
      </x:c>
      <x:c r="B38" s="2" t="str">
        <x:v>ナイト</x:v>
      </x:c>
      <x:c r="C38" s="19" t="n">
        <x:v>107000</x:v>
      </x:c>
      <x:c r="D38" s="19" t="n">
        <x:v>0</x:v>
      </x:c>
      <x:c r="E38" s="19" t="n">
        <x:f>C38-D38</x:f>
        <x:v>107000</x:v>
      </x:c>
      <x:c r="F38" s="19" t="n">
        <x:f>SUM($E$7:E38)</x:f>
        <x:v>2038000</x:v>
      </x:c>
      <x:c r="G38" s="20" t="n">
        <x:v>1</x:v>
      </x:c>
      <x:c r="H38" s="20" t="n">
        <x:v>1</x:v>
      </x:c>
      <x:c r="I38" s="20" t="str">
        <x:v>下落</x:v>
      </x:c>
    </x:row>
    <x:row r="39" ht="23" customHeight="1">
      <x:c r="A39" s="2" t="str">
        <x:v>2026-10-13_Day</x:v>
      </x:c>
      <x:c r="B39" s="2" t="str">
        <x:v>デイ</x:v>
      </x:c>
      <x:c r="C39" s="19" t="n">
        <x:v>103000</x:v>
      </x:c>
      <x:c r="D39" s="19" t="n">
        <x:v>141000</x:v>
      </x:c>
      <x:c r="E39" s="19" t="n">
        <x:f>C39-D39</x:f>
        <x:v>-38000</x:v>
      </x:c>
      <x:c r="F39" s="19" t="n">
        <x:f>SUM($E$7:E39)</x:f>
        <x:v>2000000</x:v>
      </x:c>
      <x:c r="G39" s="20" t="n">
        <x:v>15</x:v>
      </x:c>
      <x:c r="H39" s="20" t="n">
        <x:v>11</x:v>
      </x:c>
      <x:c r="I39" s="20" t="str">
        <x:v>下落</x:v>
      </x:c>
    </x:row>
    <x:row r="40" ht="23" customHeight="1">
      <x:c r="A40" s="2" t="str">
        <x:v>2026-10-13_Night</x:v>
      </x:c>
      <x:c r="B40" s="2" t="str">
        <x:v>ナイト</x:v>
      </x:c>
      <x:c r="C40" s="19" t="n">
        <x:v>0</x:v>
      </x:c>
      <x:c r="D40" s="19" t="n">
        <x:v>53000</x:v>
      </x:c>
      <x:c r="E40" s="19" t="n">
        <x:f>C40-D40</x:f>
        <x:v>-53000</x:v>
      </x:c>
      <x:c r="F40" s="19" t="n">
        <x:f>SUM($E$7:E40)</x:f>
        <x:v>1947000</x:v>
      </x:c>
      <x:c r="G40" s="20" t="n">
        <x:v>2</x:v>
      </x:c>
      <x:c r="H40" s="20" t="n">
        <x:v>2</x:v>
      </x:c>
      <x:c r="I40" s="20" t="str">
        <x:v>上昇</x:v>
      </x:c>
    </x:row>
    <x:row r="41" ht="23" customHeight="1">
      <x:c r="A41" s="2" t="str">
        <x:v>2026-10-14_Day</x:v>
      </x:c>
      <x:c r="B41" s="2" t="str">
        <x:v>デイ</x:v>
      </x:c>
      <x:c r="C41" s="19" t="n">
        <x:v>281000</x:v>
      </x:c>
      <x:c r="D41" s="19" t="n">
        <x:v>116000</x:v>
      </x:c>
      <x:c r="E41" s="19" t="n">
        <x:f>C41-D41</x:f>
        <x:v>165000</x:v>
      </x:c>
      <x:c r="F41" s="19" t="n">
        <x:f>SUM($E$7:E41)</x:f>
        <x:v>2112000</x:v>
      </x:c>
      <x:c r="G41" s="20" t="n">
        <x:v>14</x:v>
      </x:c>
      <x:c r="H41" s="20" t="n">
        <x:v>10</x:v>
      </x:c>
      <x:c r="I41" s="20" t="str">
        <x:v>上昇</x:v>
      </x:c>
    </x:row>
    <x:row r="42" ht="23" customHeight="1">
      <x:c r="A42" s="2" t="str">
        <x:v>2026-10-14_Night</x:v>
      </x:c>
      <x:c r="B42" s="2" t="str">
        <x:v>ナイト</x:v>
      </x:c>
      <x:c r="C42" s="19" t="n">
        <x:v>236000</x:v>
      </x:c>
      <x:c r="D42" s="19" t="n">
        <x:v>61000</x:v>
      </x:c>
      <x:c r="E42" s="19" t="n">
        <x:f>C42-D42</x:f>
        <x:v>175000</x:v>
      </x:c>
      <x:c r="F42" s="19" t="n">
        <x:f>SUM($E$7:E42)</x:f>
        <x:v>2287000</x:v>
      </x:c>
      <x:c r="G42" s="20" t="n">
        <x:v>4</x:v>
      </x:c>
      <x:c r="H42" s="20" t="n">
        <x:v>4</x:v>
      </x:c>
      <x:c r="I42" s="20" t="str">
        <x:v>下落</x:v>
      </x:c>
    </x:row>
    <x:row r="43" ht="23" customHeight="1">
      <x:c r="A43" s="2" t="str">
        <x:v>2026-10-15_Day</x:v>
      </x:c>
      <x:c r="B43" s="2" t="str">
        <x:v>デイ</x:v>
      </x:c>
      <x:c r="C43" s="19" t="n">
        <x:v>746000</x:v>
      </x:c>
      <x:c r="D43" s="19" t="n">
        <x:v>100000</x:v>
      </x:c>
      <x:c r="E43" s="19" t="n">
        <x:f>C43-D43</x:f>
        <x:v>646000</x:v>
      </x:c>
      <x:c r="F43" s="19" t="n">
        <x:f>SUM($E$7:E43)</x:f>
        <x:v>2933000</x:v>
      </x:c>
      <x:c r="G43" s="20" t="n">
        <x:v>15</x:v>
      </x:c>
      <x:c r="H43" s="20" t="n">
        <x:v>9</x:v>
      </x:c>
      <x:c r="I43" s="20" t="str">
        <x:v>下落</x:v>
      </x:c>
    </x:row>
    <x:row r="44" ht="23" customHeight="1">
      <x:c r="A44" s="2" t="str">
        <x:v>2026-10-15_Night</x:v>
      </x:c>
      <x:c r="B44" s="2" t="str">
        <x:v>ナイト</x:v>
      </x:c>
      <x:c r="C44" s="19" t="n">
        <x:v>216000</x:v>
      </x:c>
      <x:c r="D44" s="19" t="n">
        <x:v>120000</x:v>
      </x:c>
      <x:c r="E44" s="19" t="n">
        <x:f>C44-D44</x:f>
        <x:v>96000</x:v>
      </x:c>
      <x:c r="F44" s="19" t="n">
        <x:f>SUM($E$7:E44)</x:f>
        <x:v>3029000</x:v>
      </x:c>
      <x:c r="G44" s="20" t="n">
        <x:v>13</x:v>
      </x:c>
      <x:c r="H44" s="20" t="n">
        <x:v>9</x:v>
      </x:c>
      <x:c r="I44" s="20" t="str">
        <x:v>上昇</x:v>
      </x:c>
    </x:row>
    <x:row r="45" ht="23" customHeight="1">
      <x:c r="A45" s="2" t="str">
        <x:v>2026-10-16_Day</x:v>
      </x:c>
      <x:c r="B45" s="2" t="str">
        <x:v>デイ</x:v>
      </x:c>
      <x:c r="C45" s="19" t="n">
        <x:v>93000</x:v>
      </x:c>
      <x:c r="D45" s="19" t="n">
        <x:v>272000</x:v>
      </x:c>
      <x:c r="E45" s="19" t="n">
        <x:f>C45-D45</x:f>
        <x:v>-179000</x:v>
      </x:c>
      <x:c r="F45" s="19" t="n">
        <x:f>SUM($E$7:E45)</x:f>
        <x:v>2850000</x:v>
      </x:c>
      <x:c r="G45" s="20" t="n">
        <x:v>19</x:v>
      </x:c>
      <x:c r="H45" s="20" t="n">
        <x:v>14</x:v>
      </x:c>
      <x:c r="I45" s="20" t="str">
        <x:v>上昇</x:v>
      </x:c>
    </x:row>
    <x:row r="46" ht="23" customHeight="1">
      <x:c r="A46" s="2" t="str">
        <x:v>2026-10-16_Night</x:v>
      </x:c>
      <x:c r="B46" s="2" t="str">
        <x:v>ナイト</x:v>
      </x:c>
      <x:c r="C46" s="19" t="n">
        <x:v>202000</x:v>
      </x:c>
      <x:c r="D46" s="19" t="n">
        <x:v>142000</x:v>
      </x:c>
      <x:c r="E46" s="19" t="n">
        <x:f>C46-D46</x:f>
        <x:v>60000</x:v>
      </x:c>
      <x:c r="F46" s="19" t="n">
        <x:f>SUM($E$7:E46)</x:f>
        <x:v>2910000</x:v>
      </x:c>
      <x:c r="G46" s="20" t="n">
        <x:v>15</x:v>
      </x:c>
      <x:c r="H46" s="20" t="n">
        <x:v>12</x:v>
      </x:c>
      <x:c r="I46" s="20" t="str">
        <x:v>下落</x:v>
      </x:c>
    </x:row>
    <x:row r="47" ht="23" customHeight="1">
      <x:c r="A47" s="2" t="str">
        <x:v>2026-10-19_Day</x:v>
      </x:c>
      <x:c r="B47" s="2" t="str">
        <x:v>デイ</x:v>
      </x:c>
      <x:c r="C47" s="19" t="n">
        <x:v>356000</x:v>
      </x:c>
      <x:c r="D47" s="19" t="n">
        <x:v>98000</x:v>
      </x:c>
      <x:c r="E47" s="19" t="n">
        <x:f>C47-D47</x:f>
        <x:v>258000</x:v>
      </x:c>
      <x:c r="F47" s="19" t="n">
        <x:f>SUM($E$7:E47)</x:f>
        <x:v>3168000</x:v>
      </x:c>
      <x:c r="G47" s="20" t="n">
        <x:v>15</x:v>
      </x:c>
      <x:c r="H47" s="20" t="n">
        <x:v>10</x:v>
      </x:c>
      <x:c r="I47" s="20" t="str">
        <x:v>上昇</x:v>
      </x:c>
    </x:row>
    <x:row r="48" ht="23" customHeight="1">
      <x:c r="A48" s="2" t="str">
        <x:v>2026-10-19_Night</x:v>
      </x:c>
      <x:c r="B48" s="2" t="str">
        <x:v>ナイト</x:v>
      </x:c>
      <x:c r="C48" s="19" t="n">
        <x:v>96000</x:v>
      </x:c>
      <x:c r="D48" s="19" t="n">
        <x:v>93000</x:v>
      </x:c>
      <x:c r="E48" s="19" t="n">
        <x:f>C48-D48</x:f>
        <x:v>3000</x:v>
      </x:c>
      <x:c r="F48" s="19" t="n">
        <x:f>SUM($E$7:E48)</x:f>
        <x:v>3171000</x:v>
      </x:c>
      <x:c r="G48" s="20" t="n">
        <x:v>14</x:v>
      </x:c>
      <x:c r="H48" s="20" t="n">
        <x:v>9</x:v>
      </x:c>
      <x:c r="I48" s="20" t="str">
        <x:v>上昇</x:v>
      </x:c>
    </x:row>
    <x:row r="49" ht="23" customHeight="1">
      <x:c r="A49" s="2" t="str">
        <x:v>2026-10-20_Day</x:v>
      </x:c>
      <x:c r="B49" s="2" t="str">
        <x:v>デイ</x:v>
      </x:c>
      <x:c r="C49" s="19" t="n">
        <x:v>196000</x:v>
      </x:c>
      <x:c r="D49" s="19" t="n">
        <x:v>232000</x:v>
      </x:c>
      <x:c r="E49" s="19" t="n">
        <x:f>C49-D49</x:f>
        <x:v>-36000</x:v>
      </x:c>
      <x:c r="F49" s="19" t="n">
        <x:f>SUM($E$7:E49)</x:f>
        <x:v>3135000</x:v>
      </x:c>
      <x:c r="G49" s="20" t="n">
        <x:v>21</x:v>
      </x:c>
      <x:c r="H49" s="20" t="n">
        <x:v>15</x:v>
      </x:c>
      <x:c r="I49" s="20" t="str">
        <x:v>下落</x:v>
      </x:c>
    </x:row>
    <x:row r="50" ht="23" customHeight="1">
      <x:c r="A50" s="2" t="str">
        <x:v>2026-10-20_Night</x:v>
      </x:c>
      <x:c r="B50" s="2" t="str">
        <x:v>ナイト</x:v>
      </x:c>
      <x:c r="C50" s="19" t="n">
        <x:v>528000</x:v>
      </x:c>
      <x:c r="D50" s="19" t="n">
        <x:v>24000</x:v>
      </x:c>
      <x:c r="E50" s="19" t="n">
        <x:f>C50-D50</x:f>
        <x:v>504000</x:v>
      </x:c>
      <x:c r="F50" s="19" t="n">
        <x:f>SUM($E$7:E50)</x:f>
        <x:v>3639000</x:v>
      </x:c>
      <x:c r="G50" s="20" t="n">
        <x:v>12</x:v>
      </x:c>
      <x:c r="H50" s="20" t="n">
        <x:v>7</x:v>
      </x:c>
      <x:c r="I50" s="20" t="str">
        <x:v>上昇</x:v>
      </x:c>
    </x:row>
    <x:row r="51" ht="23" customHeight="1">
      <x:c r="A51" s="2" t="str">
        <x:v>2026-10-21_Day</x:v>
      </x:c>
      <x:c r="B51" s="2" t="str">
        <x:v>デイ</x:v>
      </x:c>
      <x:c r="C51" s="19" t="n">
        <x:v>298000</x:v>
      </x:c>
      <x:c r="D51" s="19" t="n">
        <x:v>204000</x:v>
      </x:c>
      <x:c r="E51" s="19" t="n">
        <x:f>C51-D51</x:f>
        <x:v>94000</x:v>
      </x:c>
      <x:c r="F51" s="19" t="n">
        <x:f>SUM($E$7:E51)</x:f>
        <x:v>3733000</x:v>
      </x:c>
      <x:c r="G51" s="20" t="n">
        <x:v>17</x:v>
      </x:c>
      <x:c r="H51" s="20" t="n">
        <x:v>12</x:v>
      </x:c>
      <x:c r="I51" s="20" t="str">
        <x:v>下落</x:v>
      </x:c>
    </x:row>
    <x:row r="52" ht="23" customHeight="1">
      <x:c r="A52" s="2" t="str">
        <x:v>2026-10-21_Night</x:v>
      </x:c>
      <x:c r="B52" s="2" t="str">
        <x:v>ナイト</x:v>
      </x:c>
      <x:c r="C52" s="19" t="n">
        <x:v>45000</x:v>
      </x:c>
      <x:c r="D52" s="19" t="n">
        <x:v>85000</x:v>
      </x:c>
      <x:c r="E52" s="19" t="n">
        <x:f>C52-D52</x:f>
        <x:v>-40000</x:v>
      </x:c>
      <x:c r="F52" s="19" t="n">
        <x:f>SUM($E$7:E52)</x:f>
        <x:v>3693000</x:v>
      </x:c>
      <x:c r="G52" s="20" t="n">
        <x:v>5</x:v>
      </x:c>
      <x:c r="H52" s="20" t="n">
        <x:v>4</x:v>
      </x:c>
      <x:c r="I52" s="20" t="str">
        <x:v>上昇</x:v>
      </x:c>
    </x:row>
    <x:row r="53" ht="23" customHeight="1">
      <x:c r="A53" s="2" t="str">
        <x:v>2026-10-22_Day</x:v>
      </x:c>
      <x:c r="B53" s="2" t="str">
        <x:v>デイ</x:v>
      </x:c>
      <x:c r="C53" s="19" t="n">
        <x:v>755000</x:v>
      </x:c>
      <x:c r="D53" s="19" t="n">
        <x:v>90000</x:v>
      </x:c>
      <x:c r="E53" s="19" t="n">
        <x:f>C53-D53</x:f>
        <x:v>665000</x:v>
      </x:c>
      <x:c r="F53" s="19" t="n">
        <x:f>SUM($E$7:E53)</x:f>
        <x:v>4358000</x:v>
      </x:c>
      <x:c r="G53" s="20" t="n">
        <x:v>12</x:v>
      </x:c>
      <x:c r="H53" s="20" t="n">
        <x:v>8</x:v>
      </x:c>
      <x:c r="I53" s="20" t="str">
        <x:v>下落</x:v>
      </x:c>
    </x:row>
    <x:row r="54" ht="23" customHeight="1">
      <x:c r="A54" s="2" t="str">
        <x:v>2026-10-22_Night</x:v>
      </x:c>
      <x:c r="B54" s="2" t="str">
        <x:v>ナイト</x:v>
      </x:c>
      <x:c r="C54" s="19" t="n">
        <x:v>168000</x:v>
      </x:c>
      <x:c r="D54" s="19" t="n">
        <x:v>83000</x:v>
      </x:c>
      <x:c r="E54" s="19" t="n">
        <x:f>C54-D54</x:f>
        <x:v>85000</x:v>
      </x:c>
      <x:c r="F54" s="19" t="n">
        <x:f>SUM($E$7:E54)</x:f>
        <x:v>4443000</x:v>
      </x:c>
      <x:c r="G54" s="20" t="n">
        <x:v>7</x:v>
      </x:c>
      <x:c r="H54" s="20" t="n">
        <x:v>6</x:v>
      </x:c>
      <x:c r="I54" s="20" t="str">
        <x:v>下落</x:v>
      </x:c>
    </x:row>
    <x:row r="55" ht="23" customHeight="1">
      <x:c r="A55" s="2" t="str">
        <x:v>2026-10-23_Day</x:v>
      </x:c>
      <x:c r="B55" s="2" t="str">
        <x:v>デイ</x:v>
      </x:c>
      <x:c r="C55" s="19" t="n">
        <x:v>252000</x:v>
      </x:c>
      <x:c r="D55" s="19" t="n">
        <x:v>75000</x:v>
      </x:c>
      <x:c r="E55" s="19" t="n">
        <x:f>C55-D55</x:f>
        <x:v>177000</x:v>
      </x:c>
      <x:c r="F55" s="19" t="n">
        <x:f>SUM($E$7:E55)</x:f>
        <x:v>4620000</x:v>
      </x:c>
      <x:c r="G55" s="20" t="n">
        <x:v>8</x:v>
      </x:c>
      <x:c r="H55" s="20" t="n">
        <x:v>5</x:v>
      </x:c>
      <x:c r="I55" s="20" t="str">
        <x:v>上昇</x:v>
      </x:c>
    </x:row>
    <x:row r="56" ht="23" customHeight="1">
      <x:c r="A56" s="2" t="str">
        <x:v>2026-10-23_Night</x:v>
      </x:c>
      <x:c r="B56" s="2" t="str">
        <x:v>ナイト</x:v>
      </x:c>
      <x:c r="C56" s="19" t="n">
        <x:v>22000</x:v>
      </x:c>
      <x:c r="D56" s="19" t="n">
        <x:v>53000</x:v>
      </x:c>
      <x:c r="E56" s="19" t="n">
        <x:f>C56-D56</x:f>
        <x:v>-31000</x:v>
      </x:c>
      <x:c r="F56" s="19" t="n">
        <x:f>SUM($E$7:E56)</x:f>
        <x:v>4589000</x:v>
      </x:c>
      <x:c r="G56" s="20" t="n">
        <x:v>10</x:v>
      </x:c>
      <x:c r="H56" s="20" t="n">
        <x:v>6</x:v>
      </x:c>
      <x:c r="I56" s="20" t="str">
        <x:v>上昇</x:v>
      </x:c>
    </x:row>
    <x:row r="57" ht="23" customHeight="1">
      <x:c r="A57" s="2" t="str">
        <x:v>累計</x:v>
      </x:c>
      <x:c r="B57" s="2"/>
      <x:c r="C57" s="21" t="n">
        <x:f>SUM(C7:C56)</x:f>
        <x:v>8717000</x:v>
      </x:c>
      <x:c r="D57" s="21" t="n">
        <x:f>SUM(D7:D56)</x:f>
        <x:v>4128000</x:v>
      </x:c>
      <x:c r="E57" s="21" t="n">
        <x:f>SUM(E7:E56)</x:f>
        <x:v>4589000</x:v>
      </x:c>
      <x:c r="F57" s="21" t="n">
        <x:f>F56</x:f>
        <x:v>4589000</x:v>
      </x:c>
      <x:c r="G57" s="22" t="n">
        <x:f>SUM(G7:G56)</x:f>
        <x:v>459</x:v>
      </x:c>
      <x:c r="H57" s="22" t="n">
        <x:f>SUM(H7:H56)</x:f>
        <x:v>325</x:v>
      </x:c>
      <x:c r="I57" s="2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</x:row>
  </x:sheetData>
  <x:conditionalFormatting sqref="C7:F57">
    <x:cfRule type="cellIs" dxfId="4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58b35e6d6764a6a"/>
  </x:tableParts>
</x:worksheet>
</file>