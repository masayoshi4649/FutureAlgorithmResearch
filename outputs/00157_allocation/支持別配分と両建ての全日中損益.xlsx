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worksheets/sheet32.xml" ContentType="application/vnd.openxmlformats-officedocument.spreadsheetml.worksheet+xml"/>
  <Override PartName="/xl/tables/table33.xml" ContentType="application/vnd.openxmlformats-officedocument.spreadsheetml.table+xml"/>
  <Override PartName="/xl/worksheets/sheet33.xml" ContentType="application/vnd.openxmlformats-officedocument.spreadsheetml.worksheet+xml"/>
  <Override PartName="/xl/tables/table34.xml" ContentType="application/vnd.openxmlformats-officedocument.spreadsheetml.table+xml"/>
  <Override PartName="/xl/worksheets/sheet34.xml" ContentType="application/vnd.openxmlformats-officedocument.spreadsheetml.worksheet+xml"/>
  <Override PartName="/xl/tables/table35.xml" ContentType="application/vnd.openxmlformats-officedocument.spreadsheetml.table+xml"/>
  <Override PartName="/xl/worksheets/sheet35.xml" ContentType="application/vnd.openxmlformats-officedocument.spreadsheetml.worksheet+xml"/>
  <Override PartName="/xl/tables/table36.xml" ContentType="application/vnd.openxmlformats-officedocument.spreadsheetml.table+xml"/>
  <Override PartName="/xl/worksheets/sheet36.xml" ContentType="application/vnd.openxmlformats-officedocument.spreadsheetml.worksheet+xml"/>
  <Override PartName="/xl/tables/table37.xml" ContentType="application/vnd.openxmlformats-officedocument.spreadsheetml.table+xml"/>
  <Override PartName="/xl/worksheets/sheet37.xml" ContentType="application/vnd.openxmlformats-officedocument.spreadsheetml.worksheet+xml"/>
  <Override PartName="/xl/tables/table38.xml" ContentType="application/vnd.openxmlformats-officedocument.spreadsheetml.table+xml"/>
  <Override PartName="/xl/worksheets/sheet38.xml" ContentType="application/vnd.openxmlformats-officedocument.spreadsheetml.worksheet+xml"/>
  <Override PartName="/xl/tables/table39.xml" ContentType="application/vnd.openxmlformats-officedocument.spreadsheetml.table+xml"/>
  <Override PartName="/xl/worksheets/sheet39.xml" ContentType="application/vnd.openxmlformats-officedocument.spreadsheetml.worksheet+xml"/>
  <Override PartName="/xl/tables/table40.xml" ContentType="application/vnd.openxmlformats-officedocument.spreadsheetml.table+xml"/>
  <Override PartName="/xl/worksheets/sheet40.xml" ContentType="application/vnd.openxmlformats-officedocument.spreadsheetml.worksheet+xml"/>
  <Override PartName="/xl/tables/table41.xml" ContentType="application/vnd.openxmlformats-officedocument.spreadsheetml.table+xml"/>
  <Override PartName="/xl/worksheets/sheet41.xml" ContentType="application/vnd.openxmlformats-officedocument.spreadsheetml.worksheet+xml"/>
  <Override PartName="/xl/tables/table42.xml" ContentType="application/vnd.openxmlformats-officedocument.spreadsheetml.table+xml"/>
  <Override PartName="/xl/worksheets/sheet42.xml" ContentType="application/vnd.openxmlformats-officedocument.spreadsheetml.worksheet+xml"/>
  <Override PartName="/xl/tables/table43.xml" ContentType="application/vnd.openxmlformats-officedocument.spreadsheetml.table+xml"/>
  <Override PartName="/xl/worksheets/sheet43.xml" ContentType="application/vnd.openxmlformats-officedocument.spreadsheetml.worksheet+xml"/>
  <Override PartName="/xl/tables/table44.xml" ContentType="application/vnd.openxmlformats-officedocument.spreadsheetml.table+xml"/>
  <Override PartName="/xl/worksheets/sheet44.xml" ContentType="application/vnd.openxmlformats-officedocument.spreadsheetml.worksheet+xml"/>
  <Override PartName="/xl/tables/table45.xml" ContentType="application/vnd.openxmlformats-officedocument.spreadsheetml.table+xml"/>
  <Override PartName="/xl/worksheets/sheet45.xml" ContentType="application/vnd.openxmlformats-officedocument.spreadsheetml.worksheet+xml"/>
  <Override PartName="/xl/tables/table46.xml" ContentType="application/vnd.openxmlformats-officedocument.spreadsheetml.table+xml"/>
  <Override PartName="/xl/worksheets/sheet46.xml" ContentType="application/vnd.openxmlformats-officedocument.spreadsheetml.worksheet+xml"/>
  <Override PartName="/xl/tables/table47.xml" ContentType="application/vnd.openxmlformats-officedocument.spreadsheetml.table+xml"/>
  <Override PartName="/xl/worksheets/sheet47.xml" ContentType="application/vnd.openxmlformats-officedocument.spreadsheetml.worksheet+xml"/>
  <Override PartName="/xl/tables/table48.xml" ContentType="application/vnd.openxmlformats-officedocument.spreadsheetml.table+xml"/>
  <Override PartName="/xl/worksheets/sheet48.xml" ContentType="application/vnd.openxmlformats-officedocument.spreadsheetml.worksheet+xml"/>
  <Override PartName="/xl/tables/table49.xml" ContentType="application/vnd.openxmlformats-officedocument.spreadsheetml.table+xml"/>
  <Override PartName="/xl/worksheets/sheet49.xml" ContentType="application/vnd.openxmlformats-officedocument.spreadsheetml.worksheet+xml"/>
  <Override PartName="/xl/tables/table50.xml" ContentType="application/vnd.openxmlformats-officedocument.spreadsheetml.table+xml"/>
  <Override PartName="/xl/worksheets/sheet50.xml" ContentType="application/vnd.openxmlformats-officedocument.spreadsheetml.worksheet+xml"/>
  <Override PartName="/xl/tables/table51.xml" ContentType="application/vnd.openxmlformats-officedocument.spreadsheetml.table+xml"/>
  <Override PartName="/xl/worksheets/sheet51.xml" ContentType="application/vnd.openxmlformats-officedocument.spreadsheetml.worksheet+xml"/>
  <Override PartName="/xl/tables/table52.xml" ContentType="application/vnd.openxmlformats-officedocument.spreadsheetml.table+xml"/>
  <Override PartName="/xl/worksheets/sheet52.xml" ContentType="application/vnd.openxmlformats-officedocument.spreadsheetml.worksheet+xml"/>
  <Override PartName="/xl/tables/table53.xml" ContentType="application/vnd.openxmlformats-officedocument.spreadsheetml.table+xml"/>
  <Override PartName="/xl/worksheets/sheet53.xml" ContentType="application/vnd.openxmlformats-officedocument.spreadsheetml.worksheet+xml"/>
  <Override PartName="/xl/tables/table54.xml" ContentType="application/vnd.openxmlformats-officedocument.spreadsheetml.table+xml"/>
  <Override PartName="/xl/worksheets/sheet54.xml" ContentType="application/vnd.openxmlformats-officedocument.spreadsheetml.worksheet+xml"/>
  <Override PartName="/xl/tables/table55.xml" ContentType="application/vnd.openxmlformats-officedocument.spreadsheetml.table+xml"/>
  <Override PartName="/xl/worksheets/sheet55.xml" ContentType="application/vnd.openxmlformats-officedocument.spreadsheetml.worksheet+xml"/>
  <Override PartName="/xl/tables/table56.xml" ContentType="application/vnd.openxmlformats-officedocument.spreadsheetml.table+xml"/>
  <Override PartName="/xl/worksheets/sheet56.xml" ContentType="application/vnd.openxmlformats-officedocument.spreadsheetml.worksheet+xml"/>
  <Override PartName="/xl/tables/table57.xml" ContentType="application/vnd.openxmlformats-officedocument.spreadsheetml.table+xml"/>
  <Override PartName="/xl/worksheets/sheet57.xml" ContentType="application/vnd.openxmlformats-officedocument.spreadsheetml.worksheet+xml"/>
  <Override PartName="/xl/tables/table58.xml" ContentType="application/vnd.openxmlformats-officedocument.spreadsheetml.table+xml"/>
  <Override PartName="/xl/worksheets/sheet58.xml" ContentType="application/vnd.openxmlformats-officedocument.spreadsheetml.worksheet+xml"/>
  <Override PartName="/xl/tables/table59.xml" ContentType="application/vnd.openxmlformats-officedocument.spreadsheetml.table+xml"/>
  <Override PartName="/xl/worksheets/sheet59.xml" ContentType="application/vnd.openxmlformats-officedocument.spreadsheetml.worksheet+xml"/>
  <Override PartName="/xl/tables/table60.xml" ContentType="application/vnd.openxmlformats-officedocument.spreadsheetml.table+xml"/>
  <Override PartName="/xl/worksheets/sheet60.xml" ContentType="application/vnd.openxmlformats-officedocument.spreadsheetml.worksheet+xml"/>
  <Override PartName="/xl/tables/table61.xml" ContentType="application/vnd.openxmlformats-officedocument.spreadsheetml.table+xml"/>
  <Override PartName="/xl/worksheets/sheet61.xml" ContentType="application/vnd.openxmlformats-officedocument.spreadsheetml.worksheet+xml"/>
  <Override PartName="/xl/tables/table62.xml" ContentType="application/vnd.openxmlformats-officedocument.spreadsheetml.table+xml"/>
  <Override PartName="/xl/worksheets/sheet62.xml" ContentType="application/vnd.openxmlformats-officedocument.spreadsheetml.worksheet+xml"/>
  <Override PartName="/xl/tables/table63.xml" ContentType="application/vnd.openxmlformats-officedocument.spreadsheetml.table+xml"/>
  <Override PartName="/xl/worksheets/sheet63.xml" ContentType="application/vnd.openxmlformats-officedocument.spreadsheetml.worksheet+xml"/>
  <Override PartName="/xl/tables/table64.xml" ContentType="application/vnd.openxmlformats-officedocument.spreadsheetml.table+xml"/>
  <Override PartName="/xl/worksheets/sheet64.xml" ContentType="application/vnd.openxmlformats-officedocument.spreadsheetml.worksheet+xml"/>
  <Override PartName="/xl/tables/table65.xml" ContentType="application/vnd.openxmlformats-officedocument.spreadsheetml.table+xml"/>
  <Override PartName="/xl/worksheets/sheet65.xml" ContentType="application/vnd.openxmlformats-officedocument.spreadsheetml.worksheet+xml"/>
  <Override PartName="/xl/tables/table66.xml" ContentType="application/vnd.openxmlformats-officedocument.spreadsheetml.table+xml"/>
  <Override PartName="/xl/worksheets/sheet66.xml" ContentType="application/vnd.openxmlformats-officedocument.spreadsheetml.worksheet+xml"/>
  <Override PartName="/xl/tables/table67.xml" ContentType="application/vnd.openxmlformats-officedocument.spreadsheetml.table+xml"/>
  <Override PartName="/xl/worksheets/sheet67.xml" ContentType="application/vnd.openxmlformats-officedocument.spreadsheetml.worksheet+xml"/>
  <Override PartName="/xl/tables/table68.xml" ContentType="application/vnd.openxmlformats-officedocument.spreadsheetml.table+xml"/>
  <Override PartName="/xl/worksheets/sheet68.xml" ContentType="application/vnd.openxmlformats-officedocument.spreadsheetml.worksheet+xml"/>
  <Override PartName="/xl/tables/table69.xml" ContentType="application/vnd.openxmlformats-officedocument.spreadsheetml.table+xml"/>
  <Override PartName="/xl/worksheets/sheet69.xml" ContentType="application/vnd.openxmlformats-officedocument.spreadsheetml.worksheet+xml"/>
  <Override PartName="/xl/tables/table70.xml" ContentType="application/vnd.openxmlformats-officedocument.spreadsheetml.table+xml"/>
  <Override PartName="/xl/worksheets/sheet70.xml" ContentType="application/vnd.openxmlformats-officedocument.spreadsheetml.worksheet+xml"/>
  <Override PartName="/xl/tables/table71.xml" ContentType="application/vnd.openxmlformats-officedocument.spreadsheetml.table+xml"/>
  <Override PartName="/xl/worksheets/sheet71.xml" ContentType="application/vnd.openxmlformats-officedocument.spreadsheetml.worksheet+xml"/>
  <Override PartName="/xl/tables/table72.xml" ContentType="application/vnd.openxmlformats-officedocument.spreadsheetml.table+xml"/>
  <Override PartName="/xl/worksheets/sheet72.xml" ContentType="application/vnd.openxmlformats-officedocument.spreadsheetml.worksheet+xml"/>
  <Override PartName="/xl/tables/table73.xml" ContentType="application/vnd.openxmlformats-officedocument.spreadsheetml.table+xml"/>
  <Override PartName="/xl/worksheets/sheet73.xml" ContentType="application/vnd.openxmlformats-officedocument.spreadsheetml.worksheet+xml"/>
  <Override PartName="/xl/tables/table74.xml" ContentType="application/vnd.openxmlformats-officedocument.spreadsheetml.table+xml"/>
  <Override PartName="/xl/worksheets/sheet74.xml" ContentType="application/vnd.openxmlformats-officedocument.spreadsheetml.worksheet+xml"/>
  <Override PartName="/xl/tables/table75.xml" ContentType="application/vnd.openxmlformats-officedocument.spreadsheetml.table+xml"/>
  <Override PartName="/xl/worksheets/sheet75.xml" ContentType="application/vnd.openxmlformats-officedocument.spreadsheetml.worksheet+xml"/>
  <Override PartName="/xl/tables/table76.xml" ContentType="application/vnd.openxmlformats-officedocument.spreadsheetml.table+xml"/>
  <Override PartName="/xl/worksheets/sheet76.xml" ContentType="application/vnd.openxmlformats-officedocument.spreadsheetml.worksheet+xml"/>
  <Override PartName="/xl/tables/table7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e573579a0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d2827fd82d754219"/>
    <x:sheet xmlns:r="http://schemas.openxmlformats.org/officeDocument/2006/relationships" name="日経_C00" sheetId="2" r:id="R1194fe1e78014011"/>
    <x:sheet xmlns:r="http://schemas.openxmlformats.org/officeDocument/2006/relationships" name="日経_K01" sheetId="3" r:id="R210ac6bbf84d41f8"/>
    <x:sheet xmlns:r="http://schemas.openxmlformats.org/officeDocument/2006/relationships" name="日経_J02" sheetId="4" r:id="R65351fadbd1e468f"/>
    <x:sheet xmlns:r="http://schemas.openxmlformats.org/officeDocument/2006/relationships" name="日経_J03" sheetId="5" r:id="Rb55807d03a59454e"/>
    <x:sheet xmlns:r="http://schemas.openxmlformats.org/officeDocument/2006/relationships" name="日経_J15" sheetId="6" r:id="Rb771dda0687e44e8"/>
    <x:sheet xmlns:r="http://schemas.openxmlformats.org/officeDocument/2006/relationships" name="日経_O01" sheetId="7" r:id="Rb28e65411d2c46f1"/>
    <x:sheet xmlns:r="http://schemas.openxmlformats.org/officeDocument/2006/relationships" name="日経_O02" sheetId="8" r:id="R314a88b884f646d9"/>
    <x:sheet xmlns:r="http://schemas.openxmlformats.org/officeDocument/2006/relationships" name="日経_O03" sheetId="9" r:id="R038f0050c0c24148"/>
    <x:sheet xmlns:r="http://schemas.openxmlformats.org/officeDocument/2006/relationships" name="日経_O04" sheetId="10" r:id="R615344356fa64955"/>
    <x:sheet xmlns:r="http://schemas.openxmlformats.org/officeDocument/2006/relationships" name="日経_O05" sheetId="11" r:id="R51058dba333b4969"/>
    <x:sheet xmlns:r="http://schemas.openxmlformats.org/officeDocument/2006/relationships" name="日経_O06" sheetId="12" r:id="R1b178bd876904b67"/>
    <x:sheet xmlns:r="http://schemas.openxmlformats.org/officeDocument/2006/relationships" name="日経_O07" sheetId="13" r:id="Ra76fa4f37e364250"/>
    <x:sheet xmlns:r="http://schemas.openxmlformats.org/officeDocument/2006/relationships" name="日経_O08" sheetId="14" r:id="Re153fa95d0f04a58"/>
    <x:sheet xmlns:r="http://schemas.openxmlformats.org/officeDocument/2006/relationships" name="日経_O09" sheetId="15" r:id="R2c45b8434ba84190"/>
    <x:sheet xmlns:r="http://schemas.openxmlformats.org/officeDocument/2006/relationships" name="日経_O10" sheetId="16" r:id="R5df300db22744838"/>
    <x:sheet xmlns:r="http://schemas.openxmlformats.org/officeDocument/2006/relationships" name="日経_O11" sheetId="17" r:id="R730b3eadcaa84584"/>
    <x:sheet xmlns:r="http://schemas.openxmlformats.org/officeDocument/2006/relationships" name="日経_J01" sheetId="18" r:id="R87ab3d645806410d"/>
    <x:sheet xmlns:r="http://schemas.openxmlformats.org/officeDocument/2006/relationships" name="日経_V_B00" sheetId="19" r:id="R60f4d713656d443d"/>
    <x:sheet xmlns:r="http://schemas.openxmlformats.org/officeDocument/2006/relationships" name="日経_V_B01" sheetId="20" r:id="R85435653e4a24f0f"/>
    <x:sheet xmlns:r="http://schemas.openxmlformats.org/officeDocument/2006/relationships" name="日経_C01" sheetId="21" r:id="R7d74e95beded4762"/>
    <x:sheet xmlns:r="http://schemas.openxmlformats.org/officeDocument/2006/relationships" name="日経_C02" sheetId="22" r:id="R98a90d6cd5014dd0"/>
    <x:sheet xmlns:r="http://schemas.openxmlformats.org/officeDocument/2006/relationships" name="日経_B00" sheetId="23" r:id="R5f91264f0c1c4f16"/>
    <x:sheet xmlns:r="http://schemas.openxmlformats.org/officeDocument/2006/relationships" name="日経_B01" sheetId="24" r:id="Ra8a71707713e4a22"/>
    <x:sheet xmlns:r="http://schemas.openxmlformats.org/officeDocument/2006/relationships" name="日経_Q00" sheetId="25" r:id="R4f6dbadcec7344b2"/>
    <x:sheet xmlns:r="http://schemas.openxmlformats.org/officeDocument/2006/relationships" name="日経_Q01" sheetId="26" r:id="Rea137a8534124ff3"/>
    <x:sheet xmlns:r="http://schemas.openxmlformats.org/officeDocument/2006/relationships" name="日経_Q02" sheetId="27" r:id="R0e76d92b25b849a5"/>
    <x:sheet xmlns:r="http://schemas.openxmlformats.org/officeDocument/2006/relationships" name="日経_Q03" sheetId="28" r:id="R373b3af3585a469b"/>
    <x:sheet xmlns:r="http://schemas.openxmlformats.org/officeDocument/2006/relationships" name="日経_Q04" sheetId="29" r:id="R2ef0899bb27042bd"/>
    <x:sheet xmlns:r="http://schemas.openxmlformats.org/officeDocument/2006/relationships" name="日経_Q05" sheetId="30" r:id="R6fe8173cd0164871"/>
    <x:sheet xmlns:r="http://schemas.openxmlformats.org/officeDocument/2006/relationships" name="日経_Q06" sheetId="31" r:id="R6f22534aa57f43b4"/>
    <x:sheet xmlns:r="http://schemas.openxmlformats.org/officeDocument/2006/relationships" name="日経_Q07" sheetId="32" r:id="R36240d4e248441d1"/>
    <x:sheet xmlns:r="http://schemas.openxmlformats.org/officeDocument/2006/relationships" name="日経_Q08" sheetId="33" r:id="Re1ddea54f86d4051"/>
    <x:sheet xmlns:r="http://schemas.openxmlformats.org/officeDocument/2006/relationships" name="日経_Q09" sheetId="34" r:id="R1ea2d02569d34243"/>
    <x:sheet xmlns:r="http://schemas.openxmlformats.org/officeDocument/2006/relationships" name="日経_Q10" sheetId="35" r:id="R8b0dfab39bef48de"/>
    <x:sheet xmlns:r="http://schemas.openxmlformats.org/officeDocument/2006/relationships" name="日経_Q11" sheetId="36" r:id="Rc6d2d5ab7f3e46ee"/>
    <x:sheet xmlns:r="http://schemas.openxmlformats.org/officeDocument/2006/relationships" name="日経_Q12" sheetId="37" r:id="R81a35c2e01d240b0"/>
    <x:sheet xmlns:r="http://schemas.openxmlformats.org/officeDocument/2006/relationships" name="日経_Q13" sheetId="38" r:id="R4fc6468778924902"/>
    <x:sheet xmlns:r="http://schemas.openxmlformats.org/officeDocument/2006/relationships" name="日経_H05" sheetId="39" r:id="R274a80ecfdd7484a"/>
    <x:sheet xmlns:r="http://schemas.openxmlformats.org/officeDocument/2006/relationships" name="日経_H08" sheetId="40" r:id="Rf93e7acd169b49df"/>
    <x:sheet xmlns:r="http://schemas.openxmlformats.org/officeDocument/2006/relationships" name="日経_D05" sheetId="41" r:id="Rcccfebbe599746f4"/>
    <x:sheet xmlns:r="http://schemas.openxmlformats.org/officeDocument/2006/relationships" name="日経_D08" sheetId="42" r:id="Rd7932db2e4364dc6"/>
    <x:sheet xmlns:r="http://schemas.openxmlformats.org/officeDocument/2006/relationships" name="日経_V_C01" sheetId="43" r:id="R0cbcc4f450cc4340"/>
    <x:sheet xmlns:r="http://schemas.openxmlformats.org/officeDocument/2006/relationships" name="日経_V_C02" sheetId="44" r:id="R949aa7d7ce1b4f04"/>
    <x:sheet xmlns:r="http://schemas.openxmlformats.org/officeDocument/2006/relationships" name="日経_V_Q00" sheetId="45" r:id="Rcea745cee8884008"/>
    <x:sheet xmlns:r="http://schemas.openxmlformats.org/officeDocument/2006/relationships" name="日経_V_Q01" sheetId="46" r:id="R2aeedc31495144eb"/>
    <x:sheet xmlns:r="http://schemas.openxmlformats.org/officeDocument/2006/relationships" name="日経_V_Q02" sheetId="47" r:id="R8d3ab6e6af3542b2"/>
    <x:sheet xmlns:r="http://schemas.openxmlformats.org/officeDocument/2006/relationships" name="日経_V_Q03" sheetId="48" r:id="R00e2e956219b40f6"/>
    <x:sheet xmlns:r="http://schemas.openxmlformats.org/officeDocument/2006/relationships" name="日経_V_Q04" sheetId="49" r:id="Rdbecf9524df64f42"/>
    <x:sheet xmlns:r="http://schemas.openxmlformats.org/officeDocument/2006/relationships" name="日経_V_Q05" sheetId="50" r:id="Ra363b35cd79c45d2"/>
    <x:sheet xmlns:r="http://schemas.openxmlformats.org/officeDocument/2006/relationships" name="日経_V_Q06" sheetId="51" r:id="Rb40cb853adf3439b"/>
    <x:sheet xmlns:r="http://schemas.openxmlformats.org/officeDocument/2006/relationships" name="日経_V_Q07" sheetId="52" r:id="R2d73e275e181447d"/>
    <x:sheet xmlns:r="http://schemas.openxmlformats.org/officeDocument/2006/relationships" name="日経_V_Q08" sheetId="53" r:id="R89b1890fe9b440db"/>
    <x:sheet xmlns:r="http://schemas.openxmlformats.org/officeDocument/2006/relationships" name="日経_V_Q09" sheetId="54" r:id="Re583bc6ca4824f60"/>
    <x:sheet xmlns:r="http://schemas.openxmlformats.org/officeDocument/2006/relationships" name="日経_V_Q10" sheetId="55" r:id="R5665f10c0e9640e8"/>
    <x:sheet xmlns:r="http://schemas.openxmlformats.org/officeDocument/2006/relationships" name="日経_V_Q11" sheetId="56" r:id="R68e5a423e86f4ba2"/>
    <x:sheet xmlns:r="http://schemas.openxmlformats.org/officeDocument/2006/relationships" name="日経_V_Q12" sheetId="57" r:id="Rfd31461b996e4b67"/>
    <x:sheet xmlns:r="http://schemas.openxmlformats.org/officeDocument/2006/relationships" name="日経_V_Q13" sheetId="58" r:id="Rb77b6676b9384450"/>
    <x:sheet xmlns:r="http://schemas.openxmlformats.org/officeDocument/2006/relationships" name="日経_V_H05" sheetId="59" r:id="R1640eef1866b4316"/>
    <x:sheet xmlns:r="http://schemas.openxmlformats.org/officeDocument/2006/relationships" name="日経_V_H08" sheetId="60" r:id="R26f98bc9432840d5"/>
    <x:sheet xmlns:r="http://schemas.openxmlformats.org/officeDocument/2006/relationships" name="日経_V_D05" sheetId="61" r:id="R1971beab33a44e15"/>
    <x:sheet xmlns:r="http://schemas.openxmlformats.org/officeDocument/2006/relationships" name="日経_V_D08" sheetId="62" r:id="R7b741833123e40df"/>
    <x:sheet xmlns:r="http://schemas.openxmlformats.org/officeDocument/2006/relationships" name="日経_J04" sheetId="63" r:id="R1d0d1596647e4d2d"/>
    <x:sheet xmlns:r="http://schemas.openxmlformats.org/officeDocument/2006/relationships" name="日経_J05" sheetId="64" r:id="R67374cc4729943e2"/>
    <x:sheet xmlns:r="http://schemas.openxmlformats.org/officeDocument/2006/relationships" name="日経_J06" sheetId="65" r:id="R5b1eb39e4e424a37"/>
    <x:sheet xmlns:r="http://schemas.openxmlformats.org/officeDocument/2006/relationships" name="日経_J07" sheetId="66" r:id="Rd726d616806e41fa"/>
    <x:sheet xmlns:r="http://schemas.openxmlformats.org/officeDocument/2006/relationships" name="日経_J08" sheetId="67" r:id="R8056608e721e425b"/>
    <x:sheet xmlns:r="http://schemas.openxmlformats.org/officeDocument/2006/relationships" name="日経_J09" sheetId="68" r:id="Ra21c47076a45417f"/>
    <x:sheet xmlns:r="http://schemas.openxmlformats.org/officeDocument/2006/relationships" name="日経_J10" sheetId="69" r:id="R223c0601726e4e37"/>
    <x:sheet xmlns:r="http://schemas.openxmlformats.org/officeDocument/2006/relationships" name="日経_J11" sheetId="70" r:id="R8104c1b29f1e4968"/>
    <x:sheet xmlns:r="http://schemas.openxmlformats.org/officeDocument/2006/relationships" name="日経_J12" sheetId="71" r:id="R138fe81382724547"/>
    <x:sheet xmlns:r="http://schemas.openxmlformats.org/officeDocument/2006/relationships" name="日経_J13" sheetId="72" r:id="Rdee064f37bc141d5"/>
    <x:sheet xmlns:r="http://schemas.openxmlformats.org/officeDocument/2006/relationships" name="日経_J14" sheetId="73" r:id="Rea31753793094637"/>
    <x:sheet xmlns:r="http://schemas.openxmlformats.org/officeDocument/2006/relationships" name="日経_K02" sheetId="74" r:id="Rfee071f77e314855"/>
    <x:sheet xmlns:r="http://schemas.openxmlformats.org/officeDocument/2006/relationships" name="数量比較" sheetId="75" r:id="R5fd9e40b16dd474c"/>
    <x:sheet xmlns:r="http://schemas.openxmlformats.org/officeDocument/2006/relationships" name="10月27日デイ途中" sheetId="76" r:id="R5808d5d256f3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&quot;—&quot;"/>
    <x:numFmt numFmtId="201" formatCode="0.00"/>
    <x:numFmt numFmtId="202" formatCode="0.0%"/>
  </x:numFmts>
  <x:fonts count="6">
    <x:font>
      <x:sz val="11"/>
      <x:name val="Carlito"/>
    </x:font>
    <x:font>
      <x:sz val="10"/>
      <x:color rgb="FF21384D"/>
      <x:name val="Yu Gothic"/>
    </x:font>
    <x:font>
      <x:b/>
      <x:sz val="14"/>
      <x:color rgb="FF21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1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76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805D17"/>
      </x:font>
      <x:fill>
        <x:patternFill patternType="solid">
          <x:bgColor rgb="FFFFF2D7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fcd6e4cd845ae" /><Relationship Type="http://schemas.openxmlformats.org/officeDocument/2006/relationships/theme" Target="/xl/theme/theme1.xml" Id="R2aa823c0ad6645f6" /><Relationship Type="http://schemas.openxmlformats.org/officeDocument/2006/relationships/sharedStrings" Target="/xl/sharedStrings.xml" Id="Ra0fb3b78124a4a4c" /><Relationship Type="http://schemas.openxmlformats.org/officeDocument/2006/relationships/worksheet" Target="/xl/worksheets/sheet1.xml" Id="Rd2827fd82d754219" /><Relationship Type="http://schemas.openxmlformats.org/officeDocument/2006/relationships/worksheet" Target="/xl/worksheets/sheet2.xml" Id="R1194fe1e78014011" /><Relationship Type="http://schemas.openxmlformats.org/officeDocument/2006/relationships/worksheet" Target="/xl/worksheets/sheet3.xml" Id="R210ac6bbf84d41f8" /><Relationship Type="http://schemas.openxmlformats.org/officeDocument/2006/relationships/worksheet" Target="/xl/worksheets/sheet4.xml" Id="R65351fadbd1e468f" /><Relationship Type="http://schemas.openxmlformats.org/officeDocument/2006/relationships/worksheet" Target="/xl/worksheets/sheet5.xml" Id="Rb55807d03a59454e" /><Relationship Type="http://schemas.openxmlformats.org/officeDocument/2006/relationships/worksheet" Target="/xl/worksheets/sheet6.xml" Id="Rb771dda0687e44e8" /><Relationship Type="http://schemas.openxmlformats.org/officeDocument/2006/relationships/worksheet" Target="/xl/worksheets/sheet7.xml" Id="Rb28e65411d2c46f1" /><Relationship Type="http://schemas.openxmlformats.org/officeDocument/2006/relationships/worksheet" Target="/xl/worksheets/sheet8.xml" Id="R314a88b884f646d9" /><Relationship Type="http://schemas.openxmlformats.org/officeDocument/2006/relationships/worksheet" Target="/xl/worksheets/sheet9.xml" Id="R038f0050c0c24148" /><Relationship Type="http://schemas.openxmlformats.org/officeDocument/2006/relationships/worksheet" Target="/xl/worksheets/sheet10.xml" Id="R615344356fa64955" /><Relationship Type="http://schemas.openxmlformats.org/officeDocument/2006/relationships/worksheet" Target="/xl/worksheets/sheet11.xml" Id="R51058dba333b4969" /><Relationship Type="http://schemas.openxmlformats.org/officeDocument/2006/relationships/worksheet" Target="/xl/worksheets/sheet12.xml" Id="R1b178bd876904b67" /><Relationship Type="http://schemas.openxmlformats.org/officeDocument/2006/relationships/worksheet" Target="/xl/worksheets/sheet13.xml" Id="Ra76fa4f37e364250" /><Relationship Type="http://schemas.openxmlformats.org/officeDocument/2006/relationships/worksheet" Target="/xl/worksheets/sheet14.xml" Id="Re153fa95d0f04a58" /><Relationship Type="http://schemas.openxmlformats.org/officeDocument/2006/relationships/worksheet" Target="/xl/worksheets/sheet15.xml" Id="R2c45b8434ba84190" /><Relationship Type="http://schemas.openxmlformats.org/officeDocument/2006/relationships/worksheet" Target="/xl/worksheets/sheet16.xml" Id="R5df300db22744838" /><Relationship Type="http://schemas.openxmlformats.org/officeDocument/2006/relationships/worksheet" Target="/xl/worksheets/sheet17.xml" Id="R730b3eadcaa84584" /><Relationship Type="http://schemas.openxmlformats.org/officeDocument/2006/relationships/worksheet" Target="/xl/worksheets/sheet18.xml" Id="R87ab3d645806410d" /><Relationship Type="http://schemas.openxmlformats.org/officeDocument/2006/relationships/worksheet" Target="/xl/worksheets/sheet19.xml" Id="R60f4d713656d443d" /><Relationship Type="http://schemas.openxmlformats.org/officeDocument/2006/relationships/worksheet" Target="/xl/worksheets/sheet20.xml" Id="R85435653e4a24f0f" /><Relationship Type="http://schemas.openxmlformats.org/officeDocument/2006/relationships/worksheet" Target="/xl/worksheets/sheet21.xml" Id="R7d74e95beded4762" /><Relationship Type="http://schemas.openxmlformats.org/officeDocument/2006/relationships/worksheet" Target="/xl/worksheets/sheet22.xml" Id="R98a90d6cd5014dd0" /><Relationship Type="http://schemas.openxmlformats.org/officeDocument/2006/relationships/worksheet" Target="/xl/worksheets/sheet23.xml" Id="R5f91264f0c1c4f16" /><Relationship Type="http://schemas.openxmlformats.org/officeDocument/2006/relationships/worksheet" Target="/xl/worksheets/sheet24.xml" Id="Ra8a71707713e4a22" /><Relationship Type="http://schemas.openxmlformats.org/officeDocument/2006/relationships/worksheet" Target="/xl/worksheets/sheet25.xml" Id="R4f6dbadcec7344b2" /><Relationship Type="http://schemas.openxmlformats.org/officeDocument/2006/relationships/worksheet" Target="/xl/worksheets/sheet26.xml" Id="Rea137a8534124ff3" /><Relationship Type="http://schemas.openxmlformats.org/officeDocument/2006/relationships/worksheet" Target="/xl/worksheets/sheet27.xml" Id="R0e76d92b25b849a5" /><Relationship Type="http://schemas.openxmlformats.org/officeDocument/2006/relationships/worksheet" Target="/xl/worksheets/sheet28.xml" Id="R373b3af3585a469b" /><Relationship Type="http://schemas.openxmlformats.org/officeDocument/2006/relationships/worksheet" Target="/xl/worksheets/sheet29.xml" Id="R2ef0899bb27042bd" /><Relationship Type="http://schemas.openxmlformats.org/officeDocument/2006/relationships/worksheet" Target="/xl/worksheets/sheet30.xml" Id="R6fe8173cd0164871" /><Relationship Type="http://schemas.openxmlformats.org/officeDocument/2006/relationships/worksheet" Target="/xl/worksheets/sheet31.xml" Id="R6f22534aa57f43b4" /><Relationship Type="http://schemas.openxmlformats.org/officeDocument/2006/relationships/worksheet" Target="/xl/worksheets/sheet32.xml" Id="R36240d4e248441d1" /><Relationship Type="http://schemas.openxmlformats.org/officeDocument/2006/relationships/worksheet" Target="/xl/worksheets/sheet33.xml" Id="Re1ddea54f86d4051" /><Relationship Type="http://schemas.openxmlformats.org/officeDocument/2006/relationships/worksheet" Target="/xl/worksheets/sheet34.xml" Id="R1ea2d02569d34243" /><Relationship Type="http://schemas.openxmlformats.org/officeDocument/2006/relationships/worksheet" Target="/xl/worksheets/sheet35.xml" Id="R8b0dfab39bef48de" /><Relationship Type="http://schemas.openxmlformats.org/officeDocument/2006/relationships/worksheet" Target="/xl/worksheets/sheet36.xml" Id="Rc6d2d5ab7f3e46ee" /><Relationship Type="http://schemas.openxmlformats.org/officeDocument/2006/relationships/worksheet" Target="/xl/worksheets/sheet37.xml" Id="R81a35c2e01d240b0" /><Relationship Type="http://schemas.openxmlformats.org/officeDocument/2006/relationships/worksheet" Target="/xl/worksheets/sheet38.xml" Id="R4fc6468778924902" /><Relationship Type="http://schemas.openxmlformats.org/officeDocument/2006/relationships/worksheet" Target="/xl/worksheets/sheet39.xml" Id="R274a80ecfdd7484a" /><Relationship Type="http://schemas.openxmlformats.org/officeDocument/2006/relationships/worksheet" Target="/xl/worksheets/sheet40.xml" Id="Rf93e7acd169b49df" /><Relationship Type="http://schemas.openxmlformats.org/officeDocument/2006/relationships/worksheet" Target="/xl/worksheets/sheet41.xml" Id="Rcccfebbe599746f4" /><Relationship Type="http://schemas.openxmlformats.org/officeDocument/2006/relationships/worksheet" Target="/xl/worksheets/sheet42.xml" Id="Rd7932db2e4364dc6" /><Relationship Type="http://schemas.openxmlformats.org/officeDocument/2006/relationships/worksheet" Target="/xl/worksheets/sheet43.xml" Id="R0cbcc4f450cc4340" /><Relationship Type="http://schemas.openxmlformats.org/officeDocument/2006/relationships/worksheet" Target="/xl/worksheets/sheet44.xml" Id="R949aa7d7ce1b4f04" /><Relationship Type="http://schemas.openxmlformats.org/officeDocument/2006/relationships/worksheet" Target="/xl/worksheets/sheet45.xml" Id="Rcea745cee8884008" /><Relationship Type="http://schemas.openxmlformats.org/officeDocument/2006/relationships/worksheet" Target="/xl/worksheets/sheet46.xml" Id="R2aeedc31495144eb" /><Relationship Type="http://schemas.openxmlformats.org/officeDocument/2006/relationships/worksheet" Target="/xl/worksheets/sheet47.xml" Id="R8d3ab6e6af3542b2" /><Relationship Type="http://schemas.openxmlformats.org/officeDocument/2006/relationships/worksheet" Target="/xl/worksheets/sheet48.xml" Id="R00e2e956219b40f6" /><Relationship Type="http://schemas.openxmlformats.org/officeDocument/2006/relationships/worksheet" Target="/xl/worksheets/sheet49.xml" Id="Rdbecf9524df64f42" /><Relationship Type="http://schemas.openxmlformats.org/officeDocument/2006/relationships/worksheet" Target="/xl/worksheets/sheet50.xml" Id="Ra363b35cd79c45d2" /><Relationship Type="http://schemas.openxmlformats.org/officeDocument/2006/relationships/worksheet" Target="/xl/worksheets/sheet51.xml" Id="Rb40cb853adf3439b" /><Relationship Type="http://schemas.openxmlformats.org/officeDocument/2006/relationships/worksheet" Target="/xl/worksheets/sheet52.xml" Id="R2d73e275e181447d" /><Relationship Type="http://schemas.openxmlformats.org/officeDocument/2006/relationships/worksheet" Target="/xl/worksheets/sheet53.xml" Id="R89b1890fe9b440db" /><Relationship Type="http://schemas.openxmlformats.org/officeDocument/2006/relationships/worksheet" Target="/xl/worksheets/sheet54.xml" Id="Re583bc6ca4824f60" /><Relationship Type="http://schemas.openxmlformats.org/officeDocument/2006/relationships/worksheet" Target="/xl/worksheets/sheet55.xml" Id="R5665f10c0e9640e8" /><Relationship Type="http://schemas.openxmlformats.org/officeDocument/2006/relationships/worksheet" Target="/xl/worksheets/sheet56.xml" Id="R68e5a423e86f4ba2" /><Relationship Type="http://schemas.openxmlformats.org/officeDocument/2006/relationships/worksheet" Target="/xl/worksheets/sheet57.xml" Id="Rfd31461b996e4b67" /><Relationship Type="http://schemas.openxmlformats.org/officeDocument/2006/relationships/worksheet" Target="/xl/worksheets/sheet58.xml" Id="Rb77b6676b9384450" /><Relationship Type="http://schemas.openxmlformats.org/officeDocument/2006/relationships/worksheet" Target="/xl/worksheets/sheet59.xml" Id="R1640eef1866b4316" /><Relationship Type="http://schemas.openxmlformats.org/officeDocument/2006/relationships/worksheet" Target="/xl/worksheets/sheet60.xml" Id="R26f98bc9432840d5" /><Relationship Type="http://schemas.openxmlformats.org/officeDocument/2006/relationships/worksheet" Target="/xl/worksheets/sheet61.xml" Id="R1971beab33a44e15" /><Relationship Type="http://schemas.openxmlformats.org/officeDocument/2006/relationships/worksheet" Target="/xl/worksheets/sheet62.xml" Id="R7b741833123e40df" /><Relationship Type="http://schemas.openxmlformats.org/officeDocument/2006/relationships/worksheet" Target="/xl/worksheets/sheet63.xml" Id="R1d0d1596647e4d2d" /><Relationship Type="http://schemas.openxmlformats.org/officeDocument/2006/relationships/worksheet" Target="/xl/worksheets/sheet64.xml" Id="R67374cc4729943e2" /><Relationship Type="http://schemas.openxmlformats.org/officeDocument/2006/relationships/worksheet" Target="/xl/worksheets/sheet65.xml" Id="R5b1eb39e4e424a37" /><Relationship Type="http://schemas.openxmlformats.org/officeDocument/2006/relationships/worksheet" Target="/xl/worksheets/sheet66.xml" Id="Rd726d616806e41fa" /><Relationship Type="http://schemas.openxmlformats.org/officeDocument/2006/relationships/worksheet" Target="/xl/worksheets/sheet67.xml" Id="R8056608e721e425b" /><Relationship Type="http://schemas.openxmlformats.org/officeDocument/2006/relationships/worksheet" Target="/xl/worksheets/sheet68.xml" Id="Ra21c47076a45417f" /><Relationship Type="http://schemas.openxmlformats.org/officeDocument/2006/relationships/worksheet" Target="/xl/worksheets/sheet69.xml" Id="R223c0601726e4e37" /><Relationship Type="http://schemas.openxmlformats.org/officeDocument/2006/relationships/worksheet" Target="/xl/worksheets/sheet70.xml" Id="R8104c1b29f1e4968" /><Relationship Type="http://schemas.openxmlformats.org/officeDocument/2006/relationships/worksheet" Target="/xl/worksheets/sheet71.xml" Id="R138fe81382724547" /><Relationship Type="http://schemas.openxmlformats.org/officeDocument/2006/relationships/worksheet" Target="/xl/worksheets/sheet72.xml" Id="Rdee064f37bc141d5" /><Relationship Type="http://schemas.openxmlformats.org/officeDocument/2006/relationships/worksheet" Target="/xl/worksheets/sheet73.xml" Id="Rea31753793094637" /><Relationship Type="http://schemas.openxmlformats.org/officeDocument/2006/relationships/worksheet" Target="/xl/worksheets/sheet74.xml" Id="Rfee071f77e314855" /><Relationship Type="http://schemas.openxmlformats.org/officeDocument/2006/relationships/worksheet" Target="/xl/worksheets/sheet75.xml" Id="R5fd9e40b16dd474c" /><Relationship Type="http://schemas.openxmlformats.org/officeDocument/2006/relationships/worksheet" Target="/xl/worksheets/sheet76.xml" Id="R5808d5d256f34571" /></Relationships>
</file>

<file path=xl/tables/table1.xml><?xml version="1.0" encoding="utf-8"?>
<x:table xmlns:x="http://schemas.openxmlformats.org/spreadsheetml/2006/main" id="74" name="D157_comparison" displayName="D157_comparison" ref="A5:N78" headerRowCount="1" totalsRowCount="0" totalsRowShown="0">
  <x:autoFilter ref="A5:N78"/>
  <x:tableColumns count="14">
    <x:tableColumn id="1" name="手法"/>
    <x:tableColumn id="2" name="簡単な説明"/>
    <x:tableColumn id="3" name="総利益（円）"/>
    <x:tableColumn id="4" name="総損失（円）"/>
    <x:tableColumn id="5" name="収支（円）"/>
    <x:tableColumn id="6" name="利益／損失"/>
    <x:tableColumn id="7" name="赤字場数"/>
    <x:tableColumn id="8" name="平均赤字（円）"/>
    <x:tableColumn id="9" name="最大赤字場（円）"/>
    <x:tableColumn id="10" name="上位3黒字除外（円）"/>
    <x:tableColumn id="11" name="新規回数"/>
    <x:tableColumn id="12" name="途中最悪収支（円）"/>
    <x:tableColumn id="13" name="最大下落額（円）"/>
    <x:tableColumn id="14" name="無取引場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5" name="D157_arithmetic" displayName="D157_arithmetic" ref="A82:N84" headerRowCount="1" totalsRowCount="0" totalsRowShown="0">
  <x:autoFilter ref="A82:N84"/>
  <x:tableColumns count="14">
    <x:tableColumn id="1" name="算術対照"/>
    <x:tableColumn id="2" name="計算条件"/>
    <x:tableColumn id="3" name="総利益（円）"/>
    <x:tableColumn id="4" name="総損失（円）"/>
    <x:tableColumn id="5" name="収支（円）"/>
    <x:tableColumn id="6" name="利益／損失"/>
    <x:tableColumn id="7" name="赤字場数"/>
    <x:tableColumn id="8" name="平均赤字（円）"/>
    <x:tableColumn id="9" name="最大赤字場（円）"/>
    <x:tableColumn id="10" name="上位3黒字除外（円）"/>
    <x:tableColumn id="11" name="新規回数"/>
    <x:tableColumn id="12" name="途中最悪収支（円）"/>
    <x:tableColumn id="13" name="最大下落額（円）"/>
    <x:tableColumn id="14" name="無取引場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D157_C00" displayName="D157_C0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D157_K01" displayName="D157_K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D157_J02" displayName="D157_J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D157_J03" displayName="D157_J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D157_J15" displayName="D157_J1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D157_O01" displayName="D157_O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D157_O02" displayName="D157_O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D157_O03" displayName="D157_O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D157_O04" displayName="D157_O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D157_O05" displayName="D157_O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D157_O06" displayName="D157_O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D157_O07" displayName="D157_O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D157_O08" displayName="D157_O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D157_O09" displayName="D157_O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5" name="D157_O10" displayName="D157_O1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6" name="D157_O11" displayName="D157_O1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7" name="D157_J01" displayName="D157_J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8" name="D157_V_B00" displayName="D157_V_B0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9" name="D157_V_B01" displayName="D157_V_B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0" name="D157_C01" displayName="D157_C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1" name="D157_C02" displayName="D157_C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D157_B00" displayName="D157_B0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3" name="D157_B01" displayName="D157_B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4" name="D157_Q00" displayName="D157_Q0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5" name="D157_Q01" displayName="D157_Q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6" name="D157_Q02" displayName="D157_Q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7" name="D157_Q03" displayName="D157_Q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8" name="D157_Q04" displayName="D157_Q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9" name="D157_Q05" displayName="D157_Q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0" name="D157_Q06" displayName="D157_Q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1" name="D157_Q07" displayName="D157_Q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2" name="D157_Q08" displayName="D157_Q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3" name="D157_Q09" displayName="D157_Q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4" name="D157_Q10" displayName="D157_Q1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5" name="D157_Q11" displayName="D157_Q1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6" name="D157_Q12" displayName="D157_Q1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7" name="D157_Q13" displayName="D157_Q1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8" name="D157_H05" displayName="D157_H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9" name="D157_H08" displayName="D157_H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0" name="D157_D05" displayName="D157_D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1" name="D157_D08" displayName="D157_D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2" name="D157_V_C01" displayName="D157_V_C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3" name="D157_V_C02" displayName="D157_V_C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4" name="D157_V_Q00" displayName="D157_V_Q0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5" name="D157_V_Q01" displayName="D157_V_Q0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6" name="D157_V_Q02" displayName="D157_V_Q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7" name="D157_V_Q03" displayName="D157_V_Q0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8" name="D157_V_Q04" displayName="D157_V_Q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49" name="D157_V_Q05" displayName="D157_V_Q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0" name="D157_V_Q06" displayName="D157_V_Q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1" name="D157_V_Q07" displayName="D157_V_Q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2" name="D157_V_Q08" displayName="D157_V_Q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3" name="D157_V_Q09" displayName="D157_V_Q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4" name="D157_V_Q10" displayName="D157_V_Q1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5" name="D157_V_Q11" displayName="D157_V_Q1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6" name="D157_V_Q12" displayName="D157_V_Q1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7" name="D157_V_Q13" displayName="D157_V_Q1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58" name="D157_V_H05" displayName="D157_V_H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59" name="D157_V_H08" displayName="D157_V_H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0" name="D157_V_D05" displayName="D157_V_D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1" name="D157_V_D08" displayName="D157_V_D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2" name="D157_J04" displayName="D157_J0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3" name="D157_J05" displayName="D157_J05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4" name="D157_J06" displayName="D157_J06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5" name="D157_J07" displayName="D157_J07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6" name="D157_J08" displayName="D157_J08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7" name="D157_J09" displayName="D157_J09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68" name="D157_J10" displayName="D157_J10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1.xml><?xml version="1.0" encoding="utf-8"?>
<x:table xmlns:x="http://schemas.openxmlformats.org/spreadsheetml/2006/main" id="69" name="D157_J11" displayName="D157_J11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2.xml><?xml version="1.0" encoding="utf-8"?>
<x:table xmlns:x="http://schemas.openxmlformats.org/spreadsheetml/2006/main" id="70" name="D157_J12" displayName="D157_J1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3.xml><?xml version="1.0" encoding="utf-8"?>
<x:table xmlns:x="http://schemas.openxmlformats.org/spreadsheetml/2006/main" id="71" name="D157_J13" displayName="D157_J13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4.xml><?xml version="1.0" encoding="utf-8"?>
<x:table xmlns:x="http://schemas.openxmlformats.org/spreadsheetml/2006/main" id="72" name="D157_J14" displayName="D157_J14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5.xml><?xml version="1.0" encoding="utf-8"?>
<x:table xmlns:x="http://schemas.openxmlformats.org/spreadsheetml/2006/main" id="73" name="D157_K02" displayName="D157_K02" ref="A5:H31" headerRowCount="1" totalsRowCount="0" totalsRowShown="0">
  <x:autoFilter ref="A5:H31"/>
  <x:tableColumns count="8">
    <x:tableColumn id="1" name="セッション"/>
    <x:tableColumn id="2" name="場の方向"/>
    <x:tableColumn id="3" name="利益（円）"/>
    <x:tableColumn id="4" name="損失（円）"/>
    <x:tableColumn id="5" name="収支（円）"/>
    <x:tableColumn id="6" name="累計（円）"/>
    <x:tableColumn id="7" name="途中最悪収支（円）"/>
    <x:tableColumn id="8" name="最大下落額（円）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76" name="D157_quantity" displayName="D157_quantity" ref="A5:L78" headerRowCount="1" totalsRowCount="0" totalsRowShown="0">
  <x:autoFilter ref="A5:L78"/>
  <x:tableColumns count="12">
    <x:tableColumn id="1" name="手法"/>
    <x:tableColumn id="2" name="平均gross枚数"/>
    <x:tableColumn id="3" name="平均net枚数"/>
    <x:tableColumn id="4" name="最大gross枚数"/>
    <x:tableColumn id="5" name="最大net枚数"/>
    <x:tableColumn id="6" name="初回平均枚数"/>
    <x:tableColumn id="7" name="初回中央値"/>
    <x:tableColumn id="8" name="初回最少枚数"/>
    <x:tableColumn id="9" name="初回最多枚数"/>
    <x:tableColumn id="10" name="初回親数"/>
    <x:tableColumn id="11" name="無取引場数"/>
    <x:tableColumn id="12" name="実保有時間率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7" name="D157_current" displayName="D157_current" ref="A5:K78" headerRowCount="1" totalsRowCount="0" totalsRowShown="0">
  <x:autoFilter ref="A5:K78"/>
  <x:tableColumns count="11">
    <x:tableColumn id="1" name="手法"/>
    <x:tableColumn id="2" name="完結親利益（円）"/>
    <x:tableColumn id="3" name="完結親損失（円）"/>
    <x:tableColumn id="4" name="継続親実現（円）"/>
    <x:tableColumn id="5" name="確定収支（円）"/>
    <x:tableColumn id="6" name="含み損益（円）"/>
    <x:tableColumn id="7" name="時価収支（円）"/>
    <x:tableColumn id="8" name="未返済枚数"/>
    <x:tableColumn id="9" name="新規回数"/>
    <x:tableColumn id="10" name="途中最悪収支（円）"/>
    <x:tableColumn id="11" name="最大下落額（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941dced2184857" /><Relationship Type="http://schemas.openxmlformats.org/officeDocument/2006/relationships/table" Target="/xl/tables/table2.xml" Id="Re171e9d9086e40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fb07d9f6a1144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0adf598c0ae49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8a87eec812e46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267bf4ee1bf48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5a830a8e37d46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0d3a6ae51db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38fdf60e26b544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920a98d8681a44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8d59af9d4dd46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bed156b9134642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d927e1b6631849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542a0d69468d4e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66a047986e634d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d7aa57c2a17d4aa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067426037ed14a3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ef35a61ceea0423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096566db73ae45d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a858fb69203c451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9e9371f44a98438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28e9a02d355b4aa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62edbaef513a4d9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3e8358d73f074e4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5.xml" Id="R5a86f3335991469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28b0a8bee85f49a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7.xml" Id="R96e76a0c681a4d7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8.xml" Id="R440374283e6645c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9.xml" Id="R680ae7b2e36546e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0.xml" Id="R6b7d8a50fc5f46f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1.xml" Id="R9ed264a388694b0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2.xml" Id="R550fe20d82364722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3.xml" Id="Re3cba3263287427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4.xml" Id="Ref97ff4412a243e5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5.xml" Id="R4566a313889a4bec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6.xml" Id="Rd0c2b698af124c94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7.xml" Id="R0097beb449274f3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8.xml" Id="Rbf02a114ed5f475c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9.xml" Id="Rb0625d2fc79d468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40.xml" Id="Rb9ac33103650470f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1.xml" Id="R96364366469d46b4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2.xml" Id="R186c017f22a344c6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3.xml" Id="Rc232aedf39c2436f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4.xml" Id="R3e8583a3695f4281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5.xml" Id="R8a93d8405d1a455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6.xml" Id="Raf7c055c060c4f72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7.xml" Id="R9b007aa092764f04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8.xml" Id="R82f29d0de26e4eb7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9.xml" Id="R2ee4f377716d43f6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50.xml" Id="R8f9b0392d9ee4298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1.xml" Id="R7f0b030381c3434b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2.xml" Id="R032c5fad73924cbe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3.xml" Id="R3b300b0959934a21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4.xml" Id="R2cc29a8b6b1145b3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5.xml" Id="R3a8857259e7a436e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6.xml" Id="R13882586057f4749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7.xml" Id="R5d102c6ad6eb4860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8.xml" Id="R34fe852f016640e0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9.xml" Id="R6686e4f2fb634d2e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60.xml" Id="Rc387ee175e60478f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1.xml" Id="Rfcd232794e98455e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2.xml" Id="Rc152a1f6906348c8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3.xml" Id="R3f87ab830e8c4ca6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4.xml" Id="R91bdc071e0e94ddf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5.xml" Id="Rdca6ef71f9ea41ae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6.xml" Id="R210561928cbc4882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7.xml" Id="R4a8ea70315924e62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8.xml" Id="Refb46eef8d0b42fe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9.xml" Id="R384fbf65108f4d82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70.xml" Id="Rcbcf846f280e4f58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1.xml" Id="Rcb11cdc5eb6d4052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2.xml" Id="R0265ce964f5c42af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3.xml" Id="Rb6f05c65570648eb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4.xml" Id="R8d1437529cce40b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5.xml" Id="R553d5330762b4c15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6.xml" Id="Ra70fb233c1484063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7.xml" Id="Ref1ca953f1464d96" /></Relationships>
</file>

<file path=xl/worksheets/sheet1.xml><?xml version="1.0" encoding="utf-8"?>
<x:worksheet xmlns:x="http://schemas.openxmlformats.org/spreadsheetml/2006/main">
  <x:sheetPr>
    <x:tabColor rgb="FF264D7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未校正支持による数量配分・両建ての比較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4" t="str">
        <x:v>2026/09/21～10/26の26完了デイ。10/27途中は別表。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4" t="str">
        <x:v>支持は確率ではない。micro片側100枚＝mini10枚相当、手数料0。無取引は勝ちに含めない。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3" customHeight="1">
      <x:c r="A5" s="10" t="str">
        <x:v>手法</x:v>
      </x:c>
      <x:c r="B5" s="10" t="str">
        <x:v>簡単な説明</x:v>
      </x:c>
      <x:c r="C5" s="10" t="str">
        <x:v>総利益（円）</x:v>
      </x:c>
      <x:c r="D5" s="10" t="str">
        <x:v>総損失（円）</x:v>
      </x:c>
      <x:c r="E5" s="10" t="str">
        <x:v>収支（円）</x:v>
      </x:c>
      <x:c r="F5" s="10" t="str">
        <x:v>利益／損失</x:v>
      </x:c>
      <x:c r="G5" s="10" t="str">
        <x:v>赤字場数</x:v>
      </x:c>
      <x:c r="H5" s="10" t="str">
        <x:v>平均赤字（円）</x:v>
      </x:c>
      <x:c r="I5" s="10" t="str">
        <x:v>最大赤字場（円）</x:v>
      </x:c>
      <x:c r="J5" s="10" t="str">
        <x:v>上位3黒字除外（円）</x:v>
      </x:c>
      <x:c r="K5" s="10" t="str">
        <x:v>新規回数</x:v>
      </x:c>
      <x:c r="L5" s="10" t="str">
        <x:v>途中最悪収支（円）</x:v>
      </x:c>
      <x:c r="M5" s="10" t="str">
        <x:v>最大下落額（円）</x:v>
      </x:c>
      <x:c r="N5" s="10" t="str">
        <x:v>無取引場数</x:v>
      </x:c>
    </x:row>
    <x:row r="6" ht="43" customHeight="1">
      <x:c r="A6" s="2" t="str">
        <x:v>C00</x:v>
      </x:c>
      <x:c r="B6" s="16" t="str">
        <x:v>同額基準：旧S01全通知の厳密micro換算</x:v>
      </x:c>
      <x:c r="C6" s="6" t="n">
        <x:f>'日経_C00'!C32</x:f>
        <x:v>4231000</x:v>
      </x:c>
      <x:c r="D6" s="6" t="n">
        <x:f>'日経_C00'!D32</x:f>
        <x:v>2296000</x:v>
      </x:c>
      <x:c r="E6" s="6" t="n">
        <x:f>'日経_C00'!E32</x:f>
        <x:v>1935000</x:v>
      </x:c>
      <x:c r="F6" s="17" t="n">
        <x:f>IF(D6=0,"",C6/D6)</x:f>
        <x:v>1.8427700348432057</x:v>
      </x:c>
      <x:c r="G6" s="6" t="n">
        <x:f>COUNTIFS('日経_C00'!$E$6:$E$31,"&lt;0")</x:f>
        <x:v>8</x:v>
      </x:c>
      <x:c r="H6" s="6" t="n">
        <x:f>IF(G6=0,0,-SUMIFS('日経_C00'!$E$6:$E$31,'日経_C00'!$E$6:$E$31,"&lt;0")/G6)</x:f>
        <x:v>53500</x:v>
      </x:c>
      <x:c r="I6" s="6" t="n">
        <x:f>MAX(0,-MIN('日経_C00'!$E$6:$E$31))</x:f>
        <x:v>113000</x:v>
      </x:c>
      <x:c r="J6" s="6" t="n">
        <x:f>E6-MAX(0,LARGE('日経_C00'!$E$6:$E$31,1))-MAX(0,LARGE('日経_C00'!$E$6:$E$31,2))-MAX(0,LARGE('日経_C00'!$E$6:$E$31,3))</x:f>
        <x:v>919000</x:v>
      </x:c>
      <x:c r="K6" s="6" t="n">
        <x:v>204</x:v>
      </x:c>
      <x:c r="L6" s="6" t="n">
        <x:f>'日経_C00'!G32</x:f>
        <x:v>-203000</x:v>
      </x:c>
      <x:c r="M6" s="6" t="n">
        <x:f>'日経_C00'!H32</x:f>
        <x:v>294000</x:v>
      </x:c>
      <x:c r="N6" s="6" t="n">
        <x:v>0</x:v>
      </x:c>
    </x:row>
    <x:row r="7" ht="43" customHeight="1">
      <x:c r="A7" s="2" t="str">
        <x:v>K01</x:v>
      </x:c>
      <x:c r="B7" s="16" t="str">
        <x:v>固定10micro：全Source初回10micro固定・追加比例・旧出口</x:v>
      </x:c>
      <x:c r="C7" s="6" t="n">
        <x:f>'日経_K01'!C32</x:f>
        <x:v>1248500</x:v>
      </x:c>
      <x:c r="D7" s="6" t="n">
        <x:f>'日経_K01'!D32</x:f>
        <x:v>765500</x:v>
      </x:c>
      <x:c r="E7" s="6" t="n">
        <x:f>'日経_K01'!E32</x:f>
        <x:v>483000</x:v>
      </x:c>
      <x:c r="F7" s="17" t="n">
        <x:f>IF(D7=0,"",C7/D7)</x:f>
        <x:v>1.6309601567602874</x:v>
      </x:c>
      <x:c r="G7" s="6" t="n">
        <x:f>COUNTIFS('日経_K01'!$E$6:$E$31,"&lt;0")</x:f>
        <x:v>9</x:v>
      </x:c>
      <x:c r="H7" s="6" t="n">
        <x:f>IF(G7=0,0,-SUMIFS('日経_K01'!$E$6:$E$31,'日経_K01'!$E$6:$E$31,"&lt;0")/G7)</x:f>
        <x:v>17666.666666666668</x:v>
      </x:c>
      <x:c r="I7" s="6" t="n">
        <x:f>MAX(0,-MIN('日経_K01'!$E$6:$E$31))</x:f>
        <x:v>36400</x:v>
      </x:c>
      <x:c r="J7" s="6" t="n">
        <x:f>E7-MAX(0,LARGE('日経_K01'!$E$6:$E$31,1))-MAX(0,LARGE('日経_K01'!$E$6:$E$31,2))-MAX(0,LARGE('日経_K01'!$E$6:$E$31,3))</x:f>
        <x:v>165800</x:v>
      </x:c>
      <x:c r="K7" s="6" t="n">
        <x:v>204</x:v>
      </x:c>
      <x:c r="L7" s="6" t="n">
        <x:f>'日経_K01'!G32</x:f>
        <x:v>-61000</x:v>
      </x:c>
      <x:c r="M7" s="6" t="n">
        <x:f>'日経_K01'!H32</x:f>
        <x:v>95400</x:v>
      </x:c>
      <x:c r="N7" s="6" t="n">
        <x:v>0</x:v>
      </x:c>
    </x:row>
    <x:row r="8" ht="43" customHeight="1">
      <x:c r="A8" s="2" t="str">
        <x:v>J02</x:v>
      </x:c>
      <x:c r="B8" s="16" t="str">
        <x:v>少量開始：全Source初回採用・旧出口・最低10micro</x:v>
      </x:c>
      <x:c r="C8" s="6" t="n">
        <x:f>'日経_J02'!C32</x:f>
        <x:v>3459400</x:v>
      </x:c>
      <x:c r="D8" s="6" t="n">
        <x:f>'日経_J02'!D32</x:f>
        <x:v>1699400</x:v>
      </x:c>
      <x:c r="E8" s="6" t="n">
        <x:f>'日経_J02'!E32</x:f>
        <x:v>1760000</x:v>
      </x:c>
      <x:c r="F8" s="17" t="n">
        <x:f>IF(D8=0,"",C8/D8)</x:f>
        <x:v>2.03565964458044</x:v>
      </x:c>
      <x:c r="G8" s="6" t="n">
        <x:f>COUNTIFS('日経_J02'!$E$6:$E$31,"&lt;0")</x:f>
        <x:v>9</x:v>
      </x:c>
      <x:c r="H8" s="6" t="n">
        <x:f>IF(G8=0,0,-SUMIFS('日経_J02'!$E$6:$E$31,'日経_J02'!$E$6:$E$31,"&lt;0")/G8)</x:f>
        <x:v>72144.44444444444</x:v>
      </x:c>
      <x:c r="I8" s="6" t="n">
        <x:f>MAX(0,-MIN('日経_J02'!$E$6:$E$31))</x:f>
        <x:v>130600</x:v>
      </x:c>
      <x:c r="J8" s="6" t="n">
        <x:f>E8-MAX(0,LARGE('日経_J02'!$E$6:$E$31,1))-MAX(0,LARGE('日経_J02'!$E$6:$E$31,2))-MAX(0,LARGE('日経_J02'!$E$6:$E$31,3))</x:f>
        <x:v>586200</x:v>
      </x:c>
      <x:c r="K8" s="6" t="n">
        <x:v>204</x:v>
      </x:c>
      <x:c r="L8" s="6" t="n">
        <x:f>'日経_J02'!G32</x:f>
        <x:v>-189200</x:v>
      </x:c>
      <x:c r="M8" s="6" t="n">
        <x:f>'日経_J02'!H32</x:f>
        <x:v>263800</x:v>
      </x:c>
      <x:c r="N8" s="6" t="n">
        <x:v>0</x:v>
      </x:c>
    </x:row>
    <x:row r="9" ht="43" customHeight="1">
      <x:c r="A9" s="2" t="str">
        <x:v>J03</x:v>
      </x:c>
      <x:c r="B9" s="16" t="str">
        <x:v>少量開始：全Source初回採用・旧出口・最低20micro</x:v>
      </x:c>
      <x:c r="C9" s="6" t="n">
        <x:f>'日経_J03'!C32</x:f>
        <x:v>4398800</x:v>
      </x:c>
      <x:c r="D9" s="6" t="n">
        <x:f>'日経_J03'!D32</x:f>
        <x:v>2353300</x:v>
      </x:c>
      <x:c r="E9" s="6" t="n">
        <x:f>'日経_J03'!E32</x:f>
        <x:v>2045500</x:v>
      </x:c>
      <x:c r="F9" s="17" t="n">
        <x:f>IF(D9=0,"",C9/D9)</x:f>
        <x:v>1.8692049462456974</x:v>
      </x:c>
      <x:c r="G9" s="6" t="n">
        <x:f>COUNTIFS('日経_J03'!$E$6:$E$31,"&lt;0")</x:f>
        <x:v>9</x:v>
      </x:c>
      <x:c r="H9" s="6" t="n">
        <x:f>IF(G9=0,0,-SUMIFS('日経_J03'!$E$6:$E$31,'日経_J03'!$E$6:$E$31,"&lt;0")/G9)</x:f>
        <x:v>76188.88888888889</x:v>
      </x:c>
      <x:c r="I9" s="6" t="n">
        <x:f>MAX(0,-MIN('日経_J03'!$E$6:$E$31))</x:f>
        <x:v>146900</x:v>
      </x:c>
      <x:c r="J9" s="6" t="n">
        <x:f>E9-MAX(0,LARGE('日経_J03'!$E$6:$E$31,1))-MAX(0,LARGE('日経_J03'!$E$6:$E$31,2))-MAX(0,LARGE('日経_J03'!$E$6:$E$31,3))</x:f>
        <x:v>749600</x:v>
      </x:c>
      <x:c r="K9" s="6" t="n">
        <x:v>204</x:v>
      </x:c>
      <x:c r="L9" s="6" t="n">
        <x:f>'日経_J03'!G32</x:f>
        <x:v>-217400</x:v>
      </x:c>
      <x:c r="M9" s="6" t="n">
        <x:f>'日経_J03'!H32</x:f>
        <x:v>294400</x:v>
      </x:c>
      <x:c r="N9" s="6" t="n">
        <x:v>0</x:v>
      </x:c>
    </x:row>
    <x:row r="10" ht="43" customHeight="1">
      <x:c r="A10" s="2" t="str">
        <x:v>J15</x:v>
      </x:c>
      <x:c r="B10" s="16" t="str">
        <x:v>少量開始：旧出口・最低10・支持量の二乗抑制</x:v>
      </x:c>
      <x:c r="C10" s="6" t="n">
        <x:f>'日経_J15'!C32</x:f>
        <x:v>2268700</x:v>
      </x:c>
      <x:c r="D10" s="6" t="n">
        <x:f>'日経_J15'!D32</x:f>
        <x:v>1164100</x:v>
      </x:c>
      <x:c r="E10" s="6" t="n">
        <x:f>'日経_J15'!E32</x:f>
        <x:v>1104600</x:v>
      </x:c>
      <x:c r="F10" s="17" t="n">
        <x:f>IF(D10=0,"",C10/D10)</x:f>
        <x:v>1.9488875526157547</x:v>
      </x:c>
      <x:c r="G10" s="6" t="n">
        <x:f>COUNTIFS('日経_J15'!$E$6:$E$31,"&lt;0")</x:f>
        <x:v>10</x:v>
      </x:c>
      <x:c r="H10" s="6" t="n">
        <x:f>IF(G10=0,0,-SUMIFS('日経_J15'!$E$6:$E$31,'日経_J15'!$E$6:$E$31,"&lt;0")/G10)</x:f>
        <x:v>40720</x:v>
      </x:c>
      <x:c r="I10" s="6" t="n">
        <x:f>MAX(0,-MIN('日経_J15'!$E$6:$E$31))</x:f>
        <x:v>103300</x:v>
      </x:c>
      <x:c r="J10" s="6" t="n">
        <x:f>E10-MAX(0,LARGE('日経_J15'!$E$6:$E$31,1))-MAX(0,LARGE('日経_J15'!$E$6:$E$31,2))-MAX(0,LARGE('日経_J15'!$E$6:$E$31,3))</x:f>
        <x:v>313800</x:v>
      </x:c>
      <x:c r="K10" s="6" t="n">
        <x:v>204</x:v>
      </x:c>
      <x:c r="L10" s="6" t="n">
        <x:f>'日経_J15'!G32</x:f>
        <x:v>-143500</x:v>
      </x:c>
      <x:c r="M10" s="6" t="n">
        <x:f>'日経_J15'!H32</x:f>
        <x:v>181000</x:v>
      </x:c>
      <x:c r="N10" s="6" t="n">
        <x:v>0</x:v>
      </x:c>
    </x:row>
    <x:row r="11" ht="43" customHeight="1">
      <x:c r="A11" s="2" t="str">
        <x:v>O01</x:v>
      </x:c>
      <x:c r="B11" s="16" t="str">
        <x:v>旧出口と独自管理：旧元玉出口＋順行40pt追加</x:v>
      </x:c>
      <x:c r="C11" s="6" t="n">
        <x:f>'日経_O01'!C32</x:f>
        <x:v>6541600</x:v>
      </x:c>
      <x:c r="D11" s="6" t="n">
        <x:f>'日経_O01'!D32</x:f>
        <x:v>3204800</x:v>
      </x:c>
      <x:c r="E11" s="6" t="n">
        <x:f>'日経_O01'!E32</x:f>
        <x:v>3336800</x:v>
      </x:c>
      <x:c r="F11" s="17" t="n">
        <x:f>IF(D11=0,"",C11/D11)</x:f>
        <x:v>2.04118821767349</x:v>
      </x:c>
      <x:c r="G11" s="6" t="n">
        <x:f>COUNTIFS('日経_O01'!$E$6:$E$31,"&lt;0")</x:f>
        <x:v>10</x:v>
      </x:c>
      <x:c r="H11" s="6" t="n">
        <x:f>IF(G11=0,0,-SUMIFS('日経_O01'!$E$6:$E$31,'日経_O01'!$E$6:$E$31,"&lt;0")/G11)</x:f>
        <x:v>110890</x:v>
      </x:c>
      <x:c r="I11" s="6" t="n">
        <x:f>MAX(0,-MIN('日経_O01'!$E$6:$E$31))</x:f>
        <x:v>310500</x:v>
      </x:c>
      <x:c r="J11" s="6" t="n">
        <x:f>E11-MAX(0,LARGE('日経_O01'!$E$6:$E$31,1))-MAX(0,LARGE('日経_O01'!$E$6:$E$31,2))-MAX(0,LARGE('日経_O01'!$E$6:$E$31,3))</x:f>
        <x:v>1188700</x:v>
      </x:c>
      <x:c r="K11" s="6" t="n">
        <x:v>394</x:v>
      </x:c>
      <x:c r="L11" s="6" t="n">
        <x:f>'日経_O01'!G32</x:f>
        <x:v>-347300</x:v>
      </x:c>
      <x:c r="M11" s="6" t="n">
        <x:f>'日経_O01'!H32</x:f>
        <x:v>498500</x:v>
      </x:c>
      <x:c r="N11" s="6" t="n">
        <x:v>0</x:v>
      </x:c>
    </x:row>
    <x:row r="12" ht="43" customHeight="1">
      <x:c r="A12" s="2" t="str">
        <x:v>O02</x:v>
      </x:c>
      <x:c r="B12" s="16" t="str">
        <x:v>旧出口と独自管理：O01＋短期支持のカバー/復帰</x:v>
      </x:c>
      <x:c r="C12" s="6" t="n">
        <x:f>'日経_O02'!C32</x:f>
        <x:v>5237500</x:v>
      </x:c>
      <x:c r="D12" s="6" t="n">
        <x:f>'日経_O02'!D32</x:f>
        <x:v>3420700</x:v>
      </x:c>
      <x:c r="E12" s="6" t="n">
        <x:f>'日経_O02'!E32</x:f>
        <x:v>1816800</x:v>
      </x:c>
      <x:c r="F12" s="17" t="n">
        <x:f>IF(D12=0,"",C12/D12)</x:f>
        <x:v>1.531119361534189</x:v>
      </x:c>
      <x:c r="G12" s="6" t="n">
        <x:f>COUNTIFS('日経_O02'!$E$6:$E$31,"&lt;0")</x:f>
        <x:v>11</x:v>
      </x:c>
      <x:c r="H12" s="6" t="n">
        <x:f>IF(G12=0,0,-SUMIFS('日経_O02'!$E$6:$E$31,'日経_O02'!$E$6:$E$31,"&lt;0")/G12)</x:f>
        <x:v>134090.9090909091</x:v>
      </x:c>
      <x:c r="I12" s="6" t="n">
        <x:f>MAX(0,-MIN('日経_O02'!$E$6:$E$31))</x:f>
        <x:v>336200</x:v>
      </x:c>
      <x:c r="J12" s="6" t="n">
        <x:f>E12-MAX(0,LARGE('日経_O02'!$E$6:$E$31,1))-MAX(0,LARGE('日経_O02'!$E$6:$E$31,2))-MAX(0,LARGE('日経_O02'!$E$6:$E$31,3))</x:f>
        <x:v>218900</x:v>
      </x:c>
      <x:c r="K12" s="6" t="n">
        <x:v>902</x:v>
      </x:c>
      <x:c r="L12" s="6" t="n">
        <x:f>'日経_O02'!G32</x:f>
        <x:v>-373000</x:v>
      </x:c>
      <x:c r="M12" s="6" t="n">
        <x:f>'日経_O02'!H32</x:f>
        <x:v>518100</x:v>
      </x:c>
      <x:c r="N12" s="6" t="n">
        <x:v>0</x:v>
      </x:c>
    </x:row>
    <x:row r="13" ht="43" customHeight="1">
      <x:c r="A13" s="2" t="str">
        <x:v>O03</x:v>
      </x:c>
      <x:c r="B13" s="16" t="str">
        <x:v>旧出口と独自管理：O02＋逆玉だけ40pt利益開始/40pt追尾/建値床</x:v>
      </x:c>
      <x:c r="C13" s="6" t="n">
        <x:f>'日経_O03'!C32</x:f>
        <x:v>5234100</x:v>
      </x:c>
      <x:c r="D13" s="6" t="n">
        <x:f>'日経_O03'!D32</x:f>
        <x:v>3421700</x:v>
      </x:c>
      <x:c r="E13" s="6" t="n">
        <x:f>'日経_O03'!E32</x:f>
        <x:v>1812400</x:v>
      </x:c>
      <x:c r="F13" s="17" t="n">
        <x:f>IF(D13=0,"",C13/D13)</x:f>
        <x:v>1.5296782301195313</x:v>
      </x:c>
      <x:c r="G13" s="6" t="n">
        <x:f>COUNTIFS('日経_O03'!$E$6:$E$31,"&lt;0")</x:f>
        <x:v>11</x:v>
      </x:c>
      <x:c r="H13" s="6" t="n">
        <x:f>IF(G13=0,0,-SUMIFS('日経_O03'!$E$6:$E$31,'日経_O03'!$E$6:$E$31,"&lt;0")/G13)</x:f>
        <x:v>134300</x:v>
      </x:c>
      <x:c r="I13" s="6" t="n">
        <x:f>MAX(0,-MIN('日経_O03'!$E$6:$E$31))</x:f>
        <x:v>336200</x:v>
      </x:c>
      <x:c r="J13" s="6" t="n">
        <x:f>E13-MAX(0,LARGE('日経_O03'!$E$6:$E$31,1))-MAX(0,LARGE('日経_O03'!$E$6:$E$31,2))-MAX(0,LARGE('日経_O03'!$E$6:$E$31,3))</x:f>
        <x:v>216600</x:v>
      </x:c>
      <x:c r="K13" s="6" t="n">
        <x:v>904</x:v>
      </x:c>
      <x:c r="L13" s="6" t="n">
        <x:f>'日経_O03'!G32</x:f>
        <x:v>-373000</x:v>
      </x:c>
      <x:c r="M13" s="6" t="n">
        <x:f>'日経_O03'!H32</x:f>
        <x:v>518100</x:v>
      </x:c>
      <x:c r="N13" s="6" t="n">
        <x:v>0</x:v>
      </x:c>
    </x:row>
    <x:row r="14" ht="43" customHeight="1">
      <x:c r="A14" s="2" t="str">
        <x:v>O04</x:v>
      </x:c>
      <x:c r="B14" s="16" t="str">
        <x:v>旧出口と独自管理：O03＋逆行20pt後20pt回復・累計25micro</x:v>
      </x:c>
      <x:c r="C14" s="6" t="n">
        <x:f>'日経_O04'!C32</x:f>
        <x:v>5321400</x:v>
      </x:c>
      <x:c r="D14" s="6" t="n">
        <x:f>'日経_O04'!D32</x:f>
        <x:v>3532200</x:v>
      </x:c>
      <x:c r="E14" s="6" t="n">
        <x:f>'日経_O04'!E32</x:f>
        <x:v>1789200</x:v>
      </x:c>
      <x:c r="F14" s="17" t="n">
        <x:f>IF(D14=0,"",C14/D14)</x:f>
        <x:v>1.50653983353151</x:v>
      </x:c>
      <x:c r="G14" s="6" t="n">
        <x:f>COUNTIFS('日経_O04'!$E$6:$E$31,"&lt;0")</x:f>
        <x:v>10</x:v>
      </x:c>
      <x:c r="H14" s="6" t="n">
        <x:f>IF(G14=0,0,-SUMIFS('日経_O04'!$E$6:$E$31,'日経_O04'!$E$6:$E$31,"&lt;0")/G14)</x:f>
        <x:v>135800</x:v>
      </x:c>
      <x:c r="I14" s="6" t="n">
        <x:f>MAX(0,-MIN('日経_O04'!$E$6:$E$31))</x:f>
        <x:v>287000</x:v>
      </x:c>
      <x:c r="J14" s="6" t="n">
        <x:f>E14-MAX(0,LARGE('日経_O04'!$E$6:$E$31,1))-MAX(0,LARGE('日経_O04'!$E$6:$E$31,2))-MAX(0,LARGE('日経_O04'!$E$6:$E$31,3))</x:f>
        <x:v>403000</x:v>
      </x:c>
      <x:c r="K14" s="6" t="n">
        <x:v>1011</x:v>
      </x:c>
      <x:c r="L14" s="6" t="n">
        <x:f>'日経_O04'!G32</x:f>
        <x:v>-324900</x:v>
      </x:c>
      <x:c r="M14" s="6" t="n">
        <x:f>'日経_O04'!H32</x:f>
        <x:v>476800</x:v>
      </x:c>
      <x:c r="N14" s="6" t="n">
        <x:v>0</x:v>
      </x:c>
    </x:row>
    <x:row r="15" ht="43" customHeight="1">
      <x:c r="A15" s="2" t="str">
        <x:v>O05</x:v>
      </x:c>
      <x:c r="B15" s="16" t="str">
        <x:v>旧出口と独自管理：O03＋逆行40pt後20pt回復・累計25micro</x:v>
      </x:c>
      <x:c r="C15" s="6" t="n">
        <x:f>'日経_O05'!C32</x:f>
        <x:v>5303200</x:v>
      </x:c>
      <x:c r="D15" s="6" t="n">
        <x:f>'日経_O05'!D32</x:f>
        <x:v>3630500</x:v>
      </x:c>
      <x:c r="E15" s="6" t="n">
        <x:f>'日経_O05'!E32</x:f>
        <x:v>1672700</x:v>
      </x:c>
      <x:c r="F15" s="17" t="n">
        <x:f>IF(D15=0,"",C15/D15)</x:f>
        <x:v>1.4607354358903732</x:v>
      </x:c>
      <x:c r="G15" s="6" t="n">
        <x:f>COUNTIFS('日経_O05'!$E$6:$E$31,"&lt;0")</x:f>
        <x:v>10</x:v>
      </x:c>
      <x:c r="H15" s="6" t="n">
        <x:f>IF(G15=0,0,-SUMIFS('日経_O05'!$E$6:$E$31,'日経_O05'!$E$6:$E$31,"&lt;0")/G15)</x:f>
        <x:v>148290</x:v>
      </x:c>
      <x:c r="I15" s="6" t="n">
        <x:f>MAX(0,-MIN('日経_O05'!$E$6:$E$31))</x:f>
        <x:v>288000</x:v>
      </x:c>
      <x:c r="J15" s="6" t="n">
        <x:f>E15-MAX(0,LARGE('日経_O05'!$E$6:$E$31,1))-MAX(0,LARGE('日経_O05'!$E$6:$E$31,2))-MAX(0,LARGE('日経_O05'!$E$6:$E$31,3))</x:f>
        <x:v>131100</x:v>
      </x:c>
      <x:c r="K15" s="6" t="n">
        <x:v>989</x:v>
      </x:c>
      <x:c r="L15" s="6" t="n">
        <x:f>'日経_O05'!G32</x:f>
        <x:v>-380600</x:v>
      </x:c>
      <x:c r="M15" s="6" t="n">
        <x:f>'日経_O05'!H32</x:f>
        <x:v>600400</x:v>
      </x:c>
      <x:c r="N15" s="6" t="n">
        <x:v>0</x:v>
      </x:c>
    </x:row>
    <x:row r="16" ht="43" customHeight="1">
      <x:c r="A16" s="2" t="str">
        <x:v>O06</x:v>
      </x:c>
      <x:c r="B16" s="16" t="str">
        <x:v>旧出口と独自管理：O03＋逆行60pt後20pt回復・累計25micro</x:v>
      </x:c>
      <x:c r="C16" s="6" t="n">
        <x:f>'日経_O06'!C32</x:f>
        <x:v>5422000</x:v>
      </x:c>
      <x:c r="D16" s="6" t="n">
        <x:f>'日経_O06'!D32</x:f>
        <x:v>3548600</x:v>
      </x:c>
      <x:c r="E16" s="6" t="n">
        <x:f>'日経_O06'!E32</x:f>
        <x:v>1873400</x:v>
      </x:c>
      <x:c r="F16" s="17" t="n">
        <x:f>IF(D16=0,"",C16/D16)</x:f>
        <x:v>1.5279265062278082</x:v>
      </x:c>
      <x:c r="G16" s="6" t="n">
        <x:f>COUNTIFS('日経_O06'!$E$6:$E$31,"&lt;0")</x:f>
        <x:v>10</x:v>
      </x:c>
      <x:c r="H16" s="6" t="n">
        <x:f>IF(G16=0,0,-SUMIFS('日経_O06'!$E$6:$E$31,'日経_O06'!$E$6:$E$31,"&lt;0")/G16)</x:f>
        <x:v>146530</x:v>
      </x:c>
      <x:c r="I16" s="6" t="n">
        <x:f>MAX(0,-MIN('日経_O06'!$E$6:$E$31))</x:f>
        <x:v>275600</x:v>
      </x:c>
      <x:c r="J16" s="6" t="n">
        <x:f>E16-MAX(0,LARGE('日経_O06'!$E$6:$E$31,1))-MAX(0,LARGE('日経_O06'!$E$6:$E$31,2))-MAX(0,LARGE('日経_O06'!$E$6:$E$31,3))</x:f>
        <x:v>241700</x:v>
      </x:c>
      <x:c r="K16" s="6" t="n">
        <x:v>962</x:v>
      </x:c>
      <x:c r="L16" s="6" t="n">
        <x:f>'日経_O06'!G32</x:f>
        <x:v>-359200</x:v>
      </x:c>
      <x:c r="M16" s="6" t="n">
        <x:f>'日経_O06'!H32</x:f>
        <x:v>619300</x:v>
      </x:c>
      <x:c r="N16" s="6" t="n">
        <x:v>0</x:v>
      </x:c>
    </x:row>
    <x:row r="17" ht="43" customHeight="1">
      <x:c r="A17" s="2" t="str">
        <x:v>O07</x:v>
      </x:c>
      <x:c r="B17" s="16" t="str">
        <x:v>旧出口と独自管理：O05の逆行回復追加上限50micro</x:v>
      </x:c>
      <x:c r="C17" s="6" t="n">
        <x:f>'日経_O07'!C32</x:f>
        <x:v>5533600</x:v>
      </x:c>
      <x:c r="D17" s="6" t="n">
        <x:f>'日経_O07'!D32</x:f>
        <x:v>3871100</x:v>
      </x:c>
      <x:c r="E17" s="6" t="n">
        <x:f>'日経_O07'!E32</x:f>
        <x:v>1662500</x:v>
      </x:c>
      <x:c r="F17" s="17" t="n">
        <x:f>IF(D17=0,"",C17/D17)</x:f>
        <x:v>1.429464493296479</x:v>
      </x:c>
      <x:c r="G17" s="6" t="n">
        <x:f>COUNTIFS('日経_O07'!$E$6:$E$31,"&lt;0")</x:f>
        <x:v>10</x:v>
      </x:c>
      <x:c r="H17" s="6" t="n">
        <x:f>IF(G17=0,0,-SUMIFS('日経_O07'!$E$6:$E$31,'日経_O07'!$E$6:$E$31,"&lt;0")/G17)</x:f>
        <x:v>160430</x:v>
      </x:c>
      <x:c r="I17" s="6" t="n">
        <x:f>MAX(0,-MIN('日経_O07'!$E$6:$E$31))</x:f>
        <x:v>301300</x:v>
      </x:c>
      <x:c r="J17" s="6" t="n">
        <x:f>E17-MAX(0,LARGE('日経_O07'!$E$6:$E$31,1))-MAX(0,LARGE('日経_O07'!$E$6:$E$31,2))-MAX(0,LARGE('日経_O07'!$E$6:$E$31,3))</x:f>
        <x:v>141800</x:v>
      </x:c>
      <x:c r="K17" s="6" t="n">
        <x:v>1014</x:v>
      </x:c>
      <x:c r="L17" s="6" t="n">
        <x:f>'日経_O07'!G32</x:f>
        <x:v>-406700</x:v>
      </x:c>
      <x:c r="M17" s="6" t="n">
        <x:f>'日経_O07'!H32</x:f>
        <x:v>660700</x:v>
      </x:c>
      <x:c r="N17" s="6" t="n">
        <x:v>0</x:v>
      </x:c>
    </x:row>
    <x:row r="18" ht="43" customHeight="1">
      <x:c r="A18" s="2" t="str">
        <x:v>O08</x:v>
      </x:c>
      <x:c r="B18" s="16" t="str">
        <x:v>旧出口と独自管理：O05と同Canonical・両側実保有</x:v>
      </x:c>
      <x:c r="C18" s="6" t="n">
        <x:f>'日経_O08'!C32</x:f>
        <x:v>5274900</x:v>
      </x:c>
      <x:c r="D18" s="6" t="n">
        <x:f>'日経_O08'!D32</x:f>
        <x:v>3632800</x:v>
      </x:c>
      <x:c r="E18" s="6" t="n">
        <x:f>'日経_O08'!E32</x:f>
        <x:v>1642100</x:v>
      </x:c>
      <x:c r="F18" s="17" t="n">
        <x:f>IF(D18=0,"",C18/D18)</x:f>
        <x:v>1.452020480070469</x:v>
      </x:c>
      <x:c r="G18" s="6" t="n">
        <x:f>COUNTIFS('日経_O08'!$E$6:$E$31,"&lt;0")</x:f>
        <x:v>10</x:v>
      </x:c>
      <x:c r="H18" s="6" t="n">
        <x:f>IF(G18=0,0,-SUMIFS('日経_O08'!$E$6:$E$31,'日経_O08'!$E$6:$E$31,"&lt;0")/G18)</x:f>
        <x:v>149640</x:v>
      </x:c>
      <x:c r="I18" s="6" t="n">
        <x:f>MAX(0,-MIN('日経_O08'!$E$6:$E$31))</x:f>
        <x:v>288000</x:v>
      </x:c>
      <x:c r="J18" s="6" t="n">
        <x:f>E18-MAX(0,LARGE('日経_O08'!$E$6:$E$31,1))-MAX(0,LARGE('日経_O08'!$E$6:$E$31,2))-MAX(0,LARGE('日経_O08'!$E$6:$E$31,3))</x:f>
        <x:v>100500</x:v>
      </x:c>
      <x:c r="K18" s="6" t="n">
        <x:v>835</x:v>
      </x:c>
      <x:c r="L18" s="6" t="n">
        <x:f>'日経_O08'!G32</x:f>
        <x:v>-380600</x:v>
      </x:c>
      <x:c r="M18" s="6" t="n">
        <x:f>'日経_O08'!H32</x:f>
        <x:v>600400</x:v>
      </x:c>
      <x:c r="N18" s="6" t="n">
        <x:v>0</x:v>
      </x:c>
    </x:row>
    <x:row r="19" ht="43" customHeight="1">
      <x:c r="A19" s="2" t="str">
        <x:v>O09</x:v>
      </x:c>
      <x:c r="B19" s="16" t="str">
        <x:v>旧出口と独自管理：O05＋場開始比赤字8～16万円で数量抑制/停止</x:v>
      </x:c>
      <x:c r="C19" s="6" t="n">
        <x:f>'日経_O09'!C32</x:f>
        <x:v>3819600</x:v>
      </x:c>
      <x:c r="D19" s="6" t="n">
        <x:f>'日経_O09'!D32</x:f>
        <x:v>2835600</x:v>
      </x:c>
      <x:c r="E19" s="6" t="n">
        <x:f>'日経_O09'!E32</x:f>
        <x:v>984000</x:v>
      </x:c>
      <x:c r="F19" s="17" t="n">
        <x:f>IF(D19=0,"",C19/D19)</x:f>
        <x:v>1.347016504443504</x:v>
      </x:c>
      <x:c r="G19" s="6" t="n">
        <x:f>COUNTIFS('日経_O09'!$E$6:$E$31,"&lt;0")</x:f>
        <x:v>13</x:v>
      </x:c>
      <x:c r="H19" s="6" t="n">
        <x:f>IF(G19=0,0,-SUMIFS('日経_O09'!$E$6:$E$31,'日経_O09'!$E$6:$E$31,"&lt;0")/G19)</x:f>
        <x:v>129946.15384615384</x:v>
      </x:c>
      <x:c r="I19" s="6" t="n">
        <x:f>MAX(0,-MIN('日経_O09'!$E$6:$E$31))</x:f>
        <x:v>163000</x:v>
      </x:c>
      <x:c r="J19" s="6" t="n">
        <x:f>E19-MAX(0,LARGE('日経_O09'!$E$6:$E$31,1))-MAX(0,LARGE('日経_O09'!$E$6:$E$31,2))-MAX(0,LARGE('日経_O09'!$E$6:$E$31,3))</x:f>
        <x:v>-557600</x:v>
      </x:c>
      <x:c r="K19" s="6" t="n">
        <x:v>696</x:v>
      </x:c>
      <x:c r="L19" s="6" t="n">
        <x:f>'日経_O09'!G32</x:f>
        <x:v>-163000</x:v>
      </x:c>
      <x:c r="M19" s="6" t="n">
        <x:f>'日経_O09'!H32</x:f>
        <x:v>420200</x:v>
      </x:c>
      <x:c r="N19" s="6" t="n">
        <x:v>0</x:v>
      </x:c>
    </x:row>
    <x:row r="20" ht="43" customHeight="1">
      <x:c r="A20" s="2" t="str">
        <x:v>O10</x:v>
      </x:c>
      <x:c r="B20" s="16" t="str">
        <x:v>旧出口と独自管理：O03＋長期支持0.1未満/短期反対0.5以上15秒で親返済</x:v>
      </x:c>
      <x:c r="C20" s="6" t="n">
        <x:f>'日経_O10'!C32</x:f>
        <x:v>3623400</x:v>
      </x:c>
      <x:c r="D20" s="6" t="n">
        <x:f>'日経_O10'!D32</x:f>
        <x:v>3820600</x:v>
      </x:c>
      <x:c r="E20" s="6" t="n">
        <x:f>'日経_O10'!E32</x:f>
        <x:v>-197200</x:v>
      </x:c>
      <x:c r="F20" s="17" t="n">
        <x:f>IF(D20=0,"",C20/D20)</x:f>
        <x:v>0.9483850704077893</x:v>
      </x:c>
      <x:c r="G20" s="6" t="n">
        <x:f>COUNTIFS('日経_O10'!$E$6:$E$31,"&lt;0")</x:f>
        <x:v>14</x:v>
      </x:c>
      <x:c r="H20" s="6" t="n">
        <x:f>IF(G20=0,0,-SUMIFS('日経_O10'!$E$6:$E$31,'日経_O10'!$E$6:$E$31,"&lt;0")/G20)</x:f>
        <x:v>154935.7142857143</x:v>
      </x:c>
      <x:c r="I20" s="6" t="n">
        <x:f>MAX(0,-MIN('日経_O10'!$E$6:$E$31))</x:f>
        <x:v>345900</x:v>
      </x:c>
      <x:c r="J20" s="6" t="n">
        <x:f>E20-MAX(0,LARGE('日経_O10'!$E$6:$E$31,1))-MAX(0,LARGE('日経_O10'!$E$6:$E$31,2))-MAX(0,LARGE('日経_O10'!$E$6:$E$31,3))</x:f>
        <x:v>-1258400</x:v>
      </x:c>
      <x:c r="K20" s="6" t="n">
        <x:v>707</x:v>
      </x:c>
      <x:c r="L20" s="6" t="n">
        <x:f>'日経_O10'!G32</x:f>
        <x:v>-373000</x:v>
      </x:c>
      <x:c r="M20" s="6" t="n">
        <x:f>'日経_O10'!H32</x:f>
        <x:v>448100</x:v>
      </x:c>
      <x:c r="N20" s="6" t="n">
        <x:v>0</x:v>
      </x:c>
    </x:row>
    <x:row r="21" ht="43" customHeight="1">
      <x:c r="A21" s="2" t="str">
        <x:v>O11</x:v>
      </x:c>
      <x:c r="B21" s="16" t="str">
        <x:v>旧出口と独自管理：O05＋長期支持0.1未満/短期反対0.5以上15秒で親返済</x:v>
      </x:c>
      <x:c r="C21" s="6" t="n">
        <x:f>'日経_O11'!C32</x:f>
        <x:v>3856700</x:v>
      </x:c>
      <x:c r="D21" s="6" t="n">
        <x:f>'日経_O11'!D32</x:f>
        <x:v>3984300</x:v>
      </x:c>
      <x:c r="E21" s="6" t="n">
        <x:f>'日経_O11'!E32</x:f>
        <x:v>-127600</x:v>
      </x:c>
      <x:c r="F21" s="17" t="n">
        <x:f>IF(D21=0,"",C21/D21)</x:f>
        <x:v>0.967974299124062</x:v>
      </x:c>
      <x:c r="G21" s="6" t="n">
        <x:f>COUNTIFS('日経_O11'!$E$6:$E$31,"&lt;0")</x:f>
        <x:v>13</x:v>
      </x:c>
      <x:c r="H21" s="6" t="n">
        <x:f>IF(G21=0,0,-SUMIFS('日経_O11'!$E$6:$E$31,'日経_O11'!$E$6:$E$31,"&lt;0")/G21)</x:f>
        <x:v>171269.23076923078</x:v>
      </x:c>
      <x:c r="I21" s="6" t="n">
        <x:f>MAX(0,-MIN('日経_O11'!$E$6:$E$31))</x:f>
        <x:v>379500</x:v>
      </x:c>
      <x:c r="J21" s="6" t="n">
        <x:f>E21-MAX(0,LARGE('日経_O11'!$E$6:$E$31,1))-MAX(0,LARGE('日経_O11'!$E$6:$E$31,2))-MAX(0,LARGE('日経_O11'!$E$6:$E$31,3))</x:f>
        <x:v>-1203200</x:v>
      </x:c>
      <x:c r="K21" s="6" t="n">
        <x:v>787</x:v>
      </x:c>
      <x:c r="L21" s="6" t="n">
        <x:f>'日経_O11'!G32</x:f>
        <x:v>-379500</x:v>
      </x:c>
      <x:c r="M21" s="6" t="n">
        <x:f>'日経_O11'!H32</x:f>
        <x:v>518200</x:v>
      </x:c>
      <x:c r="N21" s="6" t="n">
        <x:v>0</x:v>
      </x:c>
    </x:row>
    <x:row r="22" ht="43" customHeight="1">
      <x:c r="A22" s="2" t="str">
        <x:v>J01</x:v>
      </x:c>
      <x:c r="B22" s="16" t="str">
        <x:v>少量開始：全Source初回採用・旧出口・最低5micro</x:v>
      </x:c>
      <x:c r="C22" s="6" t="n">
        <x:f>'日経_J01'!C32</x:f>
        <x:v>2986400</x:v>
      </x:c>
      <x:c r="D22" s="6" t="n">
        <x:f>'日経_J01'!D32</x:f>
        <x:v>1369200</x:v>
      </x:c>
      <x:c r="E22" s="6" t="n">
        <x:f>'日経_J01'!E32</x:f>
        <x:v>1617200</x:v>
      </x:c>
      <x:c r="F22" s="17" t="n">
        <x:f>IF(D22=0,"",C22/D22)</x:f>
        <x:v>2.1811276657902425</x:v>
      </x:c>
      <x:c r="G22" s="6" t="n">
        <x:f>COUNTIFS('日経_J01'!$E$6:$E$31,"&lt;0")</x:f>
        <x:v>9</x:v>
      </x:c>
      <x:c r="H22" s="6" t="n">
        <x:f>IF(G22=0,0,-SUMIFS('日経_J01'!$E$6:$E$31,'日経_J01'!$E$6:$E$31,"&lt;0")/G22)</x:f>
        <x:v>68877.77777777778</x:v>
      </x:c>
      <x:c r="I22" s="6" t="n">
        <x:f>MAX(0,-MIN('日経_J01'!$E$6:$E$31))</x:f>
        <x:v>122800</x:v>
      </x:c>
      <x:c r="J22" s="6" t="n">
        <x:f>E22-MAX(0,LARGE('日経_J01'!$E$6:$E$31,1))-MAX(0,LARGE('日経_J01'!$E$6:$E$31,2))-MAX(0,LARGE('日経_J01'!$E$6:$E$31,3))</x:f>
        <x:v>474300</x:v>
      </x:c>
      <x:c r="K22" s="6" t="n">
        <x:v>204</x:v>
      </x:c>
      <x:c r="L22" s="6" t="n">
        <x:f>'日経_J01'!G32</x:f>
        <x:v>-169600</x:v>
      </x:c>
      <x:c r="M22" s="6" t="n">
        <x:f>'日経_J01'!H32</x:f>
        <x:v>252800</x:v>
      </x:c>
      <x:c r="N22" s="6" t="n">
        <x:v>0</x:v>
      </x:c>
    </x:row>
    <x:row r="23" ht="43" customHeight="1">
      <x:c r="A23" s="2" t="str">
        <x:v>V_B00</x:v>
      </x:c>
      <x:c r="B23" s="16" t="str">
        <x:v>条件比較：観測修正／旧Source出口＋旧数量＋初回支持選抜</x:v>
      </x:c>
      <x:c r="C23" s="6" t="n">
        <x:f>'日経_V_B00'!C32</x:f>
        <x:v>2011000</x:v>
      </x:c>
      <x:c r="D23" s="6" t="n">
        <x:f>'日経_V_B00'!D32</x:f>
        <x:v>761000</x:v>
      </x:c>
      <x:c r="E23" s="6" t="n">
        <x:f>'日経_V_B00'!E32</x:f>
        <x:v>1250000</x:v>
      </x:c>
      <x:c r="F23" s="17" t="n">
        <x:f>IF(D23=0,"",C23/D23)</x:f>
        <x:v>2.64257555847569</x:v>
      </x:c>
      <x:c r="G23" s="6" t="n">
        <x:f>COUNTIFS('日経_V_B00'!$E$6:$E$31,"&lt;0")</x:f>
        <x:v>7</x:v>
      </x:c>
      <x:c r="H23" s="6" t="n">
        <x:f>IF(G23=0,0,-SUMIFS('日経_V_B00'!$E$6:$E$31,'日経_V_B00'!$E$6:$E$31,"&lt;0")/G23)</x:f>
        <x:v>49714.28571428572</x:v>
      </x:c>
      <x:c r="I23" s="6" t="n">
        <x:f>MAX(0,-MIN('日経_V_B00'!$E$6:$E$31))</x:f>
        <x:v>98000</x:v>
      </x:c>
      <x:c r="J23" s="6" t="n">
        <x:f>E23-MAX(0,LARGE('日経_V_B00'!$E$6:$E$31,1))-MAX(0,LARGE('日経_V_B00'!$E$6:$E$31,2))-MAX(0,LARGE('日経_V_B00'!$E$6:$E$31,3))</x:f>
        <x:v>258000</x:v>
      </x:c>
      <x:c r="K23" s="6" t="n">
        <x:v>74</x:v>
      </x:c>
      <x:c r="L23" s="6" t="n">
        <x:f>'日経_V_B00'!G32</x:f>
        <x:v>-98000</x:v>
      </x:c>
      <x:c r="M23" s="6" t="n">
        <x:f>'日経_V_B00'!H32</x:f>
        <x:v>192000</x:v>
      </x:c>
      <x:c r="N23" s="6" t="n">
        <x:v>5</x:v>
      </x:c>
    </x:row>
    <x:row r="24" ht="43" customHeight="1">
      <x:c r="A24" s="2" t="str">
        <x:v>V_B01</x:v>
      </x:c>
      <x:c r="B24" s="16" t="str">
        <x:v>条件比較：観測修正／旧Source出口＋初回線形micro量/元追加比例</x:v>
      </x:c>
      <x:c r="C24" s="6" t="n">
        <x:f>'日経_V_B01'!C32</x:f>
        <x:v>2406500</x:v>
      </x:c>
      <x:c r="D24" s="6" t="n">
        <x:f>'日経_V_B01'!D32</x:f>
        <x:v>905500</x:v>
      </x:c>
      <x:c r="E24" s="6" t="n">
        <x:f>'日経_V_B01'!E32</x:f>
        <x:v>1501000</x:v>
      </x:c>
      <x:c r="F24" s="17" t="n">
        <x:f>IF(D24=0,"",C24/D24)</x:f>
        <x:v>2.657647708448371</x:v>
      </x:c>
      <x:c r="G24" s="6" t="n">
        <x:f>COUNTIFS('日経_V_B01'!$E$6:$E$31,"&lt;0")</x:f>
        <x:v>8</x:v>
      </x:c>
      <x:c r="H24" s="6" t="n">
        <x:f>IF(G24=0,0,-SUMIFS('日経_V_B01'!$E$6:$E$31,'日経_V_B01'!$E$6:$E$31,"&lt;0")/G24)</x:f>
        <x:v>69987.5</x:v>
      </x:c>
      <x:c r="I24" s="6" t="n">
        <x:f>MAX(0,-MIN('日経_V_B01'!$E$6:$E$31))</x:f>
        <x:v>109500</x:v>
      </x:c>
      <x:c r="J24" s="6" t="n">
        <x:f>E24-MAX(0,LARGE('日経_V_B01'!$E$6:$E$31,1))-MAX(0,LARGE('日経_V_B01'!$E$6:$E$31,2))-MAX(0,LARGE('日経_V_B01'!$E$6:$E$31,3))</x:f>
        <x:v>359900</x:v>
      </x:c>
      <x:c r="K24" s="6" t="n">
        <x:v>74</x:v>
      </x:c>
      <x:c r="L24" s="6" t="n">
        <x:f>'日経_V_B01'!G32</x:f>
        <x:v>-154800</x:v>
      </x:c>
      <x:c r="M24" s="6" t="n">
        <x:f>'日経_V_B01'!H32</x:f>
        <x:v>252800</x:v>
      </x:c>
      <x:c r="N24" s="6" t="n">
        <x:v>5</x:v>
      </x:c>
    </x:row>
    <x:row r="25" ht="43" customHeight="1">
      <x:c r="A25" s="2" t="str">
        <x:v>C01</x:v>
      </x:c>
      <x:c r="B25" s="16" t="str">
        <x:v>条件比較：旧数量＋各玉80pt防御/40pt利益開始40pt追尾/親8万円</x:v>
      </x:c>
      <x:c r="C25" s="6" t="n">
        <x:f>'日経_C01'!C32</x:f>
        <x:v>1042000</x:v>
      </x:c>
      <x:c r="D25" s="6" t="n">
        <x:f>'日経_C01'!D32</x:f>
        <x:v>1451000</x:v>
      </x:c>
      <x:c r="E25" s="6" t="n">
        <x:f>'日経_C01'!E32</x:f>
        <x:v>-409000</x:v>
      </x:c>
      <x:c r="F25" s="17" t="n">
        <x:f>IF(D25=0,"",C25/D25)</x:f>
        <x:v>0.7181254307374225</x:v>
      </x:c>
      <x:c r="G25" s="6" t="n">
        <x:f>COUNTIFS('日経_C01'!$E$6:$E$31,"&lt;0")</x:f>
        <x:v>15</x:v>
      </x:c>
      <x:c r="H25" s="6" t="n">
        <x:f>IF(G25=0,0,-SUMIFS('日経_C01'!$E$6:$E$31,'日経_C01'!$E$6:$E$31,"&lt;0")/G25)</x:f>
        <x:v>45600</x:v>
      </x:c>
      <x:c r="I25" s="6" t="n">
        <x:f>MAX(0,-MIN('日経_C01'!$E$6:$E$31))</x:f>
        <x:v>131000</x:v>
      </x:c>
      <x:c r="J25" s="6" t="n">
        <x:f>E25-MAX(0,LARGE('日経_C01'!$E$6:$E$31,1))-MAX(0,LARGE('日経_C01'!$E$6:$E$31,2))-MAX(0,LARGE('日経_C01'!$E$6:$E$31,3))</x:f>
        <x:v>-547000</x:v>
      </x:c>
      <x:c r="K25" s="6" t="n">
        <x:v>190</x:v>
      </x:c>
      <x:c r="L25" s="6" t="n">
        <x:f>'日経_C01'!G32</x:f>
        <x:v>-149000</x:v>
      </x:c>
      <x:c r="M25" s="6" t="n">
        <x:f>'日経_C01'!H32</x:f>
        <x:v>149000</x:v>
      </x:c>
      <x:c r="N25" s="6" t="n">
        <x:v>0</x:v>
      </x:c>
    </x:row>
    <x:row r="26" ht="43" customHeight="1">
      <x:c r="A26" s="2" t="str">
        <x:v>C02</x:v>
      </x:c>
      <x:c r="B26" s="16" t="str">
        <x:v>条件比較：C01＋初回支持選抜</x:v>
      </x:c>
      <x:c r="C26" s="6" t="n">
        <x:f>'日経_C02'!C32</x:f>
        <x:v>9000</x:v>
      </x:c>
      <x:c r="D26" s="6" t="n">
        <x:f>'日経_C02'!D32</x:f>
        <x:v>32000</x:v>
      </x:c>
      <x:c r="E26" s="6" t="n">
        <x:f>'日経_C02'!E32</x:f>
        <x:v>-23000</x:v>
      </x:c>
      <x:c r="F26" s="17" t="n">
        <x:f>IF(D26=0,"",C26/D26)</x:f>
        <x:v>0.28125</x:v>
      </x:c>
      <x:c r="G26" s="6" t="n">
        <x:f>COUNTIFS('日経_C02'!$E$6:$E$31,"&lt;0")</x:f>
        <x:v>2</x:v>
      </x:c>
      <x:c r="H26" s="6" t="n">
        <x:f>IF(G26=0,0,-SUMIFS('日経_C02'!$E$6:$E$31,'日経_C02'!$E$6:$E$31,"&lt;0")/G26)</x:f>
        <x:v>16000</x:v>
      </x:c>
      <x:c r="I26" s="6" t="n">
        <x:f>MAX(0,-MIN('日経_C02'!$E$6:$E$31))</x:f>
        <x:v>16000</x:v>
      </x:c>
      <x:c r="J26" s="6" t="n">
        <x:f>E26-MAX(0,LARGE('日経_C02'!$E$6:$E$31,1))-MAX(0,LARGE('日経_C02'!$E$6:$E$31,2))-MAX(0,LARGE('日経_C02'!$E$6:$E$31,3))</x:f>
        <x:v>-32000</x:v>
      </x:c>
      <x:c r="K26" s="6" t="n">
        <x:v>5</x:v>
      </x:c>
      <x:c r="L26" s="6" t="n">
        <x:f>'日経_C02'!G32</x:f>
        <x:v>-16000</x:v>
      </x:c>
      <x:c r="M26" s="6" t="n">
        <x:f>'日経_C02'!H32</x:f>
        <x:v>22000</x:v>
      </x:c>
      <x:c r="N26" s="6" t="n">
        <x:v>22</x:v>
      </x:c>
    </x:row>
    <x:row r="27" ht="43" customHeight="1">
      <x:c r="A27" s="2" t="str">
        <x:v>B00</x:v>
      </x:c>
      <x:c r="B27" s="16" t="str">
        <x:v>条件比較：旧Source出口＋旧数量＋初回支持選抜</x:v>
      </x:c>
      <x:c r="C27" s="6" t="n">
        <x:f>'日経_B00'!C32</x:f>
        <x:v>153000</x:v>
      </x:c>
      <x:c r="D27" s="6" t="n">
        <x:f>'日経_B00'!D32</x:f>
        <x:v>0</x:v>
      </x:c>
      <x:c r="E27" s="6" t="n">
        <x:f>'日経_B00'!E32</x:f>
        <x:v>153000</x:v>
      </x:c>
      <x:c r="F27" s="17" t="str">
        <x:f>IF(D27=0,"",C27/D27)</x:f>
      </x:c>
      <x:c r="G27" s="6" t="n">
        <x:f>COUNTIFS('日経_B00'!$E$6:$E$31,"&lt;0")</x:f>
        <x:v>0</x:v>
      </x:c>
      <x:c r="H27" s="6" t="n">
        <x:f>IF(G27=0,0,-SUMIFS('日経_B00'!$E$6:$E$31,'日経_B00'!$E$6:$E$31,"&lt;0")/G27)</x:f>
        <x:v>0</x:v>
      </x:c>
      <x:c r="I27" s="6" t="n">
        <x:f>MAX(0,-MIN('日経_B00'!$E$6:$E$31))</x:f>
        <x:v>0</x:v>
      </x:c>
      <x:c r="J27" s="6" t="n">
        <x:f>E27-MAX(0,LARGE('日経_B00'!$E$6:$E$31,1))-MAX(0,LARGE('日経_B00'!$E$6:$E$31,2))-MAX(0,LARGE('日経_B00'!$E$6:$E$31,3))</x:f>
        <x:v>2000</x:v>
      </x:c>
      <x:c r="K27" s="6" t="n">
        <x:v>7</x:v>
      </x:c>
      <x:c r="L27" s="6" t="n">
        <x:f>'日経_B00'!G32</x:f>
        <x:v>-20000</x:v>
      </x:c>
      <x:c r="M27" s="6" t="n">
        <x:f>'日経_B00'!H32</x:f>
        <x:v>88000</x:v>
      </x:c>
      <x:c r="N27" s="6" t="n">
        <x:v>22</x:v>
      </x:c>
    </x:row>
    <x:row r="28" ht="43" customHeight="1">
      <x:c r="A28" s="2" t="str">
        <x:v>B01</x:v>
      </x:c>
      <x:c r="B28" s="16" t="str">
        <x:v>条件比較：旧Source出口＋初回線形micro量/元追加比例</x:v>
      </x:c>
      <x:c r="C28" s="6" t="n">
        <x:f>'日経_B01'!C32</x:f>
        <x:v>398200</x:v>
      </x:c>
      <x:c r="D28" s="6" t="n">
        <x:f>'日経_B01'!D32</x:f>
        <x:v>0</x:v>
      </x:c>
      <x:c r="E28" s="6" t="n">
        <x:f>'日経_B01'!E32</x:f>
        <x:v>398200</x:v>
      </x:c>
      <x:c r="F28" s="17" t="str">
        <x:f>IF(D28=0,"",C28/D28)</x:f>
      </x:c>
      <x:c r="G28" s="6" t="n">
        <x:f>COUNTIFS('日経_B01'!$E$6:$E$31,"&lt;0")</x:f>
        <x:v>0</x:v>
      </x:c>
      <x:c r="H28" s="6" t="n">
        <x:f>IF(G28=0,0,-SUMIFS('日経_B01'!$E$6:$E$31,'日経_B01'!$E$6:$E$31,"&lt;0")/G28)</x:f>
        <x:v>0</x:v>
      </x:c>
      <x:c r="I28" s="6" t="n">
        <x:f>MAX(0,-MIN('日経_B01'!$E$6:$E$31))</x:f>
        <x:v>0</x:v>
      </x:c>
      <x:c r="J28" s="6" t="n">
        <x:f>E28-MAX(0,LARGE('日経_B01'!$E$6:$E$31,1))-MAX(0,LARGE('日経_B01'!$E$6:$E$31,2))-MAX(0,LARGE('日経_B01'!$E$6:$E$31,3))</x:f>
        <x:v>3000</x:v>
      </x:c>
      <x:c r="K28" s="6" t="n">
        <x:v>7</x:v>
      </x:c>
      <x:c r="L28" s="6" t="n">
        <x:f>'日経_B01'!G32</x:f>
        <x:v>-71000</x:v>
      </x:c>
      <x:c r="M28" s="6" t="n">
        <x:f>'日経_B01'!H32</x:f>
        <x:v>228800</x:v>
      </x:c>
      <x:c r="N28" s="6" t="n">
        <x:v>22</x:v>
      </x:c>
    </x:row>
    <x:row r="29" ht="43" customHeight="1">
      <x:c r="A29" s="2" t="str">
        <x:v>Q00</x:v>
      </x:c>
      <x:c r="B29" s="16" t="str">
        <x:v>条件比較：支持初回・10micro刻み・元追加比例</x:v>
      </x:c>
      <x:c r="C29" s="6" t="n">
        <x:f>'日経_Q00'!C32</x:f>
        <x:v>12000</x:v>
      </x:c>
      <x:c r="D29" s="6" t="n">
        <x:f>'日経_Q00'!D32</x:f>
        <x:v>80000</x:v>
      </x:c>
      <x:c r="E29" s="6" t="n">
        <x:f>'日経_Q00'!E32</x:f>
        <x:v>-68000</x:v>
      </x:c>
      <x:c r="F29" s="17" t="n">
        <x:f>IF(D29=0,"",C29/D29)</x:f>
        <x:v>0.15</x:v>
      </x:c>
      <x:c r="G29" s="6" t="n">
        <x:f>COUNTIFS('日経_Q00'!$E$6:$E$31,"&lt;0")</x:f>
        <x:v>2</x:v>
      </x:c>
      <x:c r="H29" s="6" t="n">
        <x:f>IF(G29=0,0,-SUMIFS('日経_Q00'!$E$6:$E$31,'日経_Q00'!$E$6:$E$31,"&lt;0")/G29)</x:f>
        <x:v>40000</x:v>
      </x:c>
      <x:c r="I29" s="6" t="n">
        <x:f>MAX(0,-MIN('日経_Q00'!$E$6:$E$31))</x:f>
        <x:v>56000</x:v>
      </x:c>
      <x:c r="J29" s="6" t="n">
        <x:f>E29-MAX(0,LARGE('日経_Q00'!$E$6:$E$31,1))-MAX(0,LARGE('日経_Q00'!$E$6:$E$31,2))-MAX(0,LARGE('日経_Q00'!$E$6:$E$31,3))</x:f>
        <x:v>-80000</x:v>
      </x:c>
      <x:c r="K29" s="6" t="n">
        <x:v>5</x:v>
      </x:c>
      <x:c r="L29" s="6" t="n">
        <x:f>'日経_Q00'!G32</x:f>
        <x:v>-56000</x:v>
      </x:c>
      <x:c r="M29" s="6" t="n">
        <x:f>'日経_Q00'!H32</x:f>
        <x:v>77000</x:v>
      </x:c>
      <x:c r="N29" s="6" t="n">
        <x:v>22</x:v>
      </x:c>
    </x:row>
    <x:row r="30" ht="43" customHeight="1">
      <x:c r="A30" s="2" t="str">
        <x:v>Q01</x:v>
      </x:c>
      <x:c r="B30" s="16" t="str">
        <x:v>条件比較：支持初回・1micro刻み・元追加比例</x:v>
      </x:c>
      <x:c r="C30" s="6" t="n">
        <x:f>'日経_Q01'!C32</x:f>
        <x:v>15600</x:v>
      </x:c>
      <x:c r="D30" s="6" t="n">
        <x:f>'日経_Q01'!D32</x:f>
        <x:v>80800</x:v>
      </x:c>
      <x:c r="E30" s="6" t="n">
        <x:f>'日経_Q01'!E32</x:f>
        <x:v>-65200</x:v>
      </x:c>
      <x:c r="F30" s="17" t="n">
        <x:f>IF(D30=0,"",C30/D30)</x:f>
        <x:v>0.19306930693069307</x:v>
      </x:c>
      <x:c r="G30" s="6" t="n">
        <x:f>COUNTIFS('日経_Q01'!$E$6:$E$31,"&lt;0")</x:f>
        <x:v>2</x:v>
      </x:c>
      <x:c r="H30" s="6" t="n">
        <x:f>IF(G30=0,0,-SUMIFS('日経_Q01'!$E$6:$E$31,'日経_Q01'!$E$6:$E$31,"&lt;0")/G30)</x:f>
        <x:v>40400</x:v>
      </x:c>
      <x:c r="I30" s="6" t="n">
        <x:f>MAX(0,-MIN('日経_Q01'!$E$6:$E$31))</x:f>
        <x:v>56800</x:v>
      </x:c>
      <x:c r="J30" s="6" t="n">
        <x:f>E30-MAX(0,LARGE('日経_Q01'!$E$6:$E$31,1))-MAX(0,LARGE('日経_Q01'!$E$6:$E$31,2))-MAX(0,LARGE('日経_Q01'!$E$6:$E$31,3))</x:f>
        <x:v>-80800</x:v>
      </x:c>
      <x:c r="K30" s="6" t="n">
        <x:v>5</x:v>
      </x:c>
      <x:c r="L30" s="6" t="n">
        <x:f>'日経_Q01'!G32</x:f>
        <x:v>-56800</x:v>
      </x:c>
      <x:c r="M30" s="6" t="n">
        <x:f>'日経_Q01'!H32</x:f>
        <x:v>78100</x:v>
      </x:c>
      <x:c r="N30" s="6" t="n">
        <x:v>22</x:v>
      </x:c>
    </x:row>
    <x:row r="31" ht="43" customHeight="1">
      <x:c r="A31" s="2" t="str">
        <x:v>Q02</x:v>
      </x:c>
      <x:c r="B31" s="16" t="str">
        <x:v>条件比較：初回数量式を二乗抑制</x:v>
      </x:c>
      <x:c r="C31" s="6" t="n">
        <x:f>'日経_Q02'!C32</x:f>
        <x:v>6700</x:v>
      </x:c>
      <x:c r="D31" s="6" t="n">
        <x:f>'日経_Q02'!D32</x:f>
        <x:v>47200</x:v>
      </x:c>
      <x:c r="E31" s="6" t="n">
        <x:f>'日経_Q02'!E32</x:f>
        <x:v>-40500</x:v>
      </x:c>
      <x:c r="F31" s="17" t="n">
        <x:f>IF(D31=0,"",C31/D31)</x:f>
        <x:v>0.1419491525423729</x:v>
      </x:c>
      <x:c r="G31" s="6" t="n">
        <x:f>COUNTIFS('日経_Q02'!$E$6:$E$31,"&lt;0")</x:f>
        <x:v>2</x:v>
      </x:c>
      <x:c r="H31" s="6" t="n">
        <x:f>IF(G31=0,0,-SUMIFS('日経_Q02'!$E$6:$E$31,'日経_Q02'!$E$6:$E$31,"&lt;0")/G31)</x:f>
        <x:v>23600</x:v>
      </x:c>
      <x:c r="I31" s="6" t="n">
        <x:f>MAX(0,-MIN('日経_Q02'!$E$6:$E$31))</x:f>
        <x:v>40000</x:v>
      </x:c>
      <x:c r="J31" s="6" t="n">
        <x:f>E31-MAX(0,LARGE('日経_Q02'!$E$6:$E$31,1))-MAX(0,LARGE('日経_Q02'!$E$6:$E$31,2))-MAX(0,LARGE('日経_Q02'!$E$6:$E$31,3))</x:f>
        <x:v>-47200</x:v>
      </x:c>
      <x:c r="K31" s="6" t="n">
        <x:v>5</x:v>
      </x:c>
      <x:c r="L31" s="6" t="n">
        <x:f>'日経_Q02'!G32</x:f>
        <x:v>-40000</x:v>
      </x:c>
      <x:c r="M31" s="6" t="n">
        <x:f>'日経_Q02'!H32</x:f>
        <x:v>55000</x:v>
      </x:c>
      <x:c r="N31" s="6" t="n">
        <x:v>22</x:v>
      </x:c>
    </x:row>
    <x:row r="32" ht="43" customHeight="1">
      <x:c r="A32" s="2" t="str">
        <x:v>Q03</x:v>
      </x:c>
      <x:c r="B32" s="16" t="str">
        <x:v>条件比較：順行40ptで支持目標まで追加</x:v>
      </x:c>
      <x:c r="C32" s="6" t="n">
        <x:f>'日経_Q03'!C32</x:f>
        <x:v>2600</x:v>
      </x:c>
      <x:c r="D32" s="6" t="n">
        <x:f>'日経_Q03'!D32</x:f>
        <x:v>110500</x:v>
      </x:c>
      <x:c r="E32" s="6" t="n">
        <x:f>'日経_Q03'!E32</x:f>
        <x:v>-107900</x:v>
      </x:c>
      <x:c r="F32" s="17" t="n">
        <x:f>IF(D32=0,"",C32/D32)</x:f>
        <x:v>0.023529411764705882</x:v>
      </x:c>
      <x:c r="G32" s="6" t="n">
        <x:f>COUNTIFS('日経_Q03'!$E$6:$E$31,"&lt;0")</x:f>
        <x:v>3</x:v>
      </x:c>
      <x:c r="H32" s="6" t="n">
        <x:f>IF(G32=0,0,-SUMIFS('日経_Q03'!$E$6:$E$31,'日経_Q03'!$E$6:$E$31,"&lt;0")/G32)</x:f>
        <x:v>36833.333333333336</x:v>
      </x:c>
      <x:c r="I32" s="6" t="n">
        <x:f>MAX(0,-MIN('日経_Q03'!$E$6:$E$31))</x:f>
        <x:v>56800</x:v>
      </x:c>
      <x:c r="J32" s="6" t="n">
        <x:f>E32-MAX(0,LARGE('日経_Q03'!$E$6:$E$31,1))-MAX(0,LARGE('日経_Q03'!$E$6:$E$31,2))-MAX(0,LARGE('日経_Q03'!$E$6:$E$31,3))</x:f>
        <x:v>-110500</x:v>
      </x:c>
      <x:c r="K32" s="6" t="n">
        <x:v>7</x:v>
      </x:c>
      <x:c r="L32" s="6" t="n">
        <x:f>'日経_Q03'!G32</x:f>
        <x:v>-56800</x:v>
      </x:c>
      <x:c r="M32" s="6" t="n">
        <x:f>'日経_Q03'!H32</x:f>
        <x:v>78100</x:v>
      </x:c>
      <x:c r="N32" s="6" t="n">
        <x:v>22</x:v>
      </x:c>
    </x:row>
    <x:row r="33" ht="43" customHeight="1">
      <x:c r="A33" s="2" t="str">
        <x:v>Q04</x:v>
      </x:c>
      <x:c r="B33" s="16" t="str">
        <x:v>条件比較：二乗抑制＋順行追加</x:v>
      </x:c>
      <x:c r="C33" s="6" t="n">
        <x:f>'日経_Q04'!C32</x:f>
        <x:v>200</x:v>
      </x:c>
      <x:c r="D33" s="6" t="n">
        <x:f>'日経_Q04'!D32</x:f>
        <x:v>88000</x:v>
      </x:c>
      <x:c r="E33" s="6" t="n">
        <x:f>'日経_Q04'!E32</x:f>
        <x:v>-87800</x:v>
      </x:c>
      <x:c r="F33" s="17" t="n">
        <x:f>IF(D33=0,"",C33/D33)</x:f>
        <x:v>0.0022727272727272726</x:v>
      </x:c>
      <x:c r="G33" s="6" t="n">
        <x:f>COUNTIFS('日経_Q04'!$E$6:$E$31,"&lt;0")</x:f>
        <x:v>3</x:v>
      </x:c>
      <x:c r="H33" s="6" t="n">
        <x:f>IF(G33=0,0,-SUMIFS('日経_Q04'!$E$6:$E$31,'日経_Q04'!$E$6:$E$31,"&lt;0")/G33)</x:f>
        <x:v>29333.333333333332</x:v>
      </x:c>
      <x:c r="I33" s="6" t="n">
        <x:f>MAX(0,-MIN('日経_Q04'!$E$6:$E$31))</x:f>
        <x:v>40800</x:v>
      </x:c>
      <x:c r="J33" s="6" t="n">
        <x:f>E33-MAX(0,LARGE('日経_Q04'!$E$6:$E$31,1))-MAX(0,LARGE('日経_Q04'!$E$6:$E$31,2))-MAX(0,LARGE('日経_Q04'!$E$6:$E$31,3))</x:f>
        <x:v>-88000</x:v>
      </x:c>
      <x:c r="K33" s="6" t="n">
        <x:v>7</x:v>
      </x:c>
      <x:c r="L33" s="6" t="n">
        <x:f>'日経_Q04'!G32</x:f>
        <x:v>-40800</x:v>
      </x:c>
      <x:c r="M33" s="6" t="n">
        <x:f>'日経_Q04'!H32</x:f>
        <x:v>82400</x:v>
      </x:c>
      <x:c r="N33" s="6" t="n">
        <x:v>22</x:v>
      </x:c>
    </x:row>
    <x:row r="34" ht="43" customHeight="1">
      <x:c r="A34" s="2" t="str">
        <x:v>Q05</x:v>
      </x:c>
      <x:c r="B34" s="16" t="str">
        <x:v>条件比較：順行追加＋短期反対支持でセーブ/復帰</x:v>
      </x:c>
      <x:c r="C34" s="6" t="n">
        <x:f>'日経_Q05'!C32</x:f>
        <x:v>2600</x:v>
      </x:c>
      <x:c r="D34" s="6" t="n">
        <x:f>'日経_Q05'!D32</x:f>
        <x:v>116000</x:v>
      </x:c>
      <x:c r="E34" s="6" t="n">
        <x:f>'日経_Q05'!E32</x:f>
        <x:v>-113400</x:v>
      </x:c>
      <x:c r="F34" s="17" t="n">
        <x:f>IF(D34=0,"",C34/D34)</x:f>
        <x:v>0.022413793103448276</x:v>
      </x:c>
      <x:c r="G34" s="6" t="n">
        <x:f>COUNTIFS('日経_Q05'!$E$6:$E$31,"&lt;0")</x:f>
        <x:v>3</x:v>
      </x:c>
      <x:c r="H34" s="6" t="n">
        <x:f>IF(G34=0,0,-SUMIFS('日経_Q05'!$E$6:$E$31,'日経_Q05'!$E$6:$E$31,"&lt;0")/G34)</x:f>
        <x:v>38666.666666666664</x:v>
      </x:c>
      <x:c r="I34" s="6" t="n">
        <x:f>MAX(0,-MIN('日経_Q05'!$E$6:$E$31))</x:f>
        <x:v>56200</x:v>
      </x:c>
      <x:c r="J34" s="6" t="n">
        <x:f>E34-MAX(0,LARGE('日経_Q05'!$E$6:$E$31,1))-MAX(0,LARGE('日経_Q05'!$E$6:$E$31,2))-MAX(0,LARGE('日経_Q05'!$E$6:$E$31,3))</x:f>
        <x:v>-116000</x:v>
      </x:c>
      <x:c r="K34" s="6" t="n">
        <x:v>13</x:v>
      </x:c>
      <x:c r="L34" s="6" t="n">
        <x:f>'日経_Q05'!G32</x:f>
        <x:v>-56200</x:v>
      </x:c>
      <x:c r="M34" s="6" t="n">
        <x:f>'日経_Q05'!H32</x:f>
        <x:v>77500</x:v>
      </x:c>
      <x:c r="N34" s="6" t="n">
        <x:v>22</x:v>
      </x:c>
    </x:row>
    <x:row r="35" ht="43" customHeight="1">
      <x:c r="A35" s="2" t="str">
        <x:v>Q06</x:v>
      </x:c>
      <x:c r="B35" s="16" t="str">
        <x:v>条件比較：二乗抑制＋セーブ/復帰</x:v>
      </x:c>
      <x:c r="C35" s="6" t="n">
        <x:f>'日経_Q06'!C32</x:f>
        <x:v>200</x:v>
      </x:c>
      <x:c r="D35" s="6" t="n">
        <x:f>'日経_Q06'!D32</x:f>
        <x:v>93500</x:v>
      </x:c>
      <x:c r="E35" s="6" t="n">
        <x:f>'日経_Q06'!E32</x:f>
        <x:v>-93300</x:v>
      </x:c>
      <x:c r="F35" s="17" t="n">
        <x:f>IF(D35=0,"",C35/D35)</x:f>
        <x:v>0.0021390374331550803</x:v>
      </x:c>
      <x:c r="G35" s="6" t="n">
        <x:f>COUNTIFS('日経_Q06'!$E$6:$E$31,"&lt;0")</x:f>
        <x:v>3</x:v>
      </x:c>
      <x:c r="H35" s="6" t="n">
        <x:f>IF(G35=0,0,-SUMIFS('日経_Q06'!$E$6:$E$31,'日経_Q06'!$E$6:$E$31,"&lt;0")/G35)</x:f>
        <x:v>31166.666666666668</x:v>
      </x:c>
      <x:c r="I35" s="6" t="n">
        <x:f>MAX(0,-MIN('日経_Q06'!$E$6:$E$31))</x:f>
        <x:v>40800</x:v>
      </x:c>
      <x:c r="J35" s="6" t="n">
        <x:f>E35-MAX(0,LARGE('日経_Q06'!$E$6:$E$31,1))-MAX(0,LARGE('日経_Q06'!$E$6:$E$31,2))-MAX(0,LARGE('日経_Q06'!$E$6:$E$31,3))</x:f>
        <x:v>-93500</x:v>
      </x:c>
      <x:c r="K35" s="6" t="n">
        <x:v>13</x:v>
      </x:c>
      <x:c r="L35" s="6" t="n">
        <x:f>'日経_Q06'!G32</x:f>
        <x:v>-40800</x:v>
      </x:c>
      <x:c r="M35" s="6" t="n">
        <x:f>'日経_Q06'!H32</x:f>
        <x:v>82400</x:v>
      </x:c>
      <x:c r="N35" s="6" t="n">
        <x:v>22</x:v>
      </x:c>
    </x:row>
    <x:row r="36" ht="43" customHeight="1">
      <x:c r="A36" s="2" t="str">
        <x:v>Q07</x:v>
      </x:c>
      <x:c r="B36" s="16" t="str">
        <x:v>条件比較：逆行20pt後20pt回復・累計25micro</x:v>
      </x:c>
      <x:c r="C36" s="6" t="n">
        <x:f>'日経_Q07'!C32</x:f>
        <x:v>2600</x:v>
      </x:c>
      <x:c r="D36" s="6" t="n">
        <x:f>'日経_Q07'!D32</x:f>
        <x:v>104000</x:v>
      </x:c>
      <x:c r="E36" s="6" t="n">
        <x:f>'日経_Q07'!E32</x:f>
        <x:v>-101400</x:v>
      </x:c>
      <x:c r="F36" s="17" t="n">
        <x:f>IF(D36=0,"",C36/D36)</x:f>
        <x:v>0.025</x:v>
      </x:c>
      <x:c r="G36" s="6" t="n">
        <x:f>COUNTIFS('日経_Q07'!$E$6:$E$31,"&lt;0")</x:f>
        <x:v>3</x:v>
      </x:c>
      <x:c r="H36" s="6" t="n">
        <x:f>IF(G36=0,0,-SUMIFS('日経_Q07'!$E$6:$E$31,'日経_Q07'!$E$6:$E$31,"&lt;0")/G36)</x:f>
        <x:v>34666.666666666664</x:v>
      </x:c>
      <x:c r="I36" s="6" t="n">
        <x:f>MAX(0,-MIN('日経_Q07'!$E$6:$E$31))</x:f>
        <x:v>65100</x:v>
      </x:c>
      <x:c r="J36" s="6" t="n">
        <x:f>E36-MAX(0,LARGE('日経_Q07'!$E$6:$E$31,1))-MAX(0,LARGE('日経_Q07'!$E$6:$E$31,2))-MAX(0,LARGE('日経_Q07'!$E$6:$E$31,3))</x:f>
        <x:v>-104000</x:v>
      </x:c>
      <x:c r="K36" s="6" t="n">
        <x:v>14</x:v>
      </x:c>
      <x:c r="L36" s="6" t="n">
        <x:f>'日経_Q07'!G32</x:f>
        <x:v>-65100</x:v>
      </x:c>
      <x:c r="M36" s="6" t="n">
        <x:f>'日経_Q07'!H32</x:f>
        <x:v>86400</x:v>
      </x:c>
      <x:c r="N36" s="6" t="n">
        <x:v>22</x:v>
      </x:c>
    </x:row>
    <x:row r="37" ht="43" customHeight="1">
      <x:c r="A37" s="2" t="str">
        <x:v>Q08</x:v>
      </x:c>
      <x:c r="B37" s="16" t="str">
        <x:v>条件比較：逆行40pt後20pt回復・累計25micro</x:v>
      </x:c>
      <x:c r="C37" s="6" t="n">
        <x:f>'日経_Q08'!C32</x:f>
        <x:v>2600</x:v>
      </x:c>
      <x:c r="D37" s="6" t="n">
        <x:f>'日経_Q08'!D32</x:f>
        <x:v>116000</x:v>
      </x:c>
      <x:c r="E37" s="6" t="n">
        <x:f>'日経_Q08'!E32</x:f>
        <x:v>-113400</x:v>
      </x:c>
      <x:c r="F37" s="17" t="n">
        <x:f>IF(D37=0,"",C37/D37)</x:f>
        <x:v>0.022413793103448276</x:v>
      </x:c>
      <x:c r="G37" s="6" t="n">
        <x:f>COUNTIFS('日経_Q08'!$E$6:$E$31,"&lt;0")</x:f>
        <x:v>3</x:v>
      </x:c>
      <x:c r="H37" s="6" t="n">
        <x:f>IF(G37=0,0,-SUMIFS('日経_Q08'!$E$6:$E$31,'日経_Q08'!$E$6:$E$31,"&lt;0")/G37)</x:f>
        <x:v>38666.666666666664</x:v>
      </x:c>
      <x:c r="I37" s="6" t="n">
        <x:f>MAX(0,-MIN('日経_Q08'!$E$6:$E$31))</x:f>
        <x:v>56200</x:v>
      </x:c>
      <x:c r="J37" s="6" t="n">
        <x:f>E37-MAX(0,LARGE('日経_Q08'!$E$6:$E$31,1))-MAX(0,LARGE('日経_Q08'!$E$6:$E$31,2))-MAX(0,LARGE('日経_Q08'!$E$6:$E$31,3))</x:f>
        <x:v>-116000</x:v>
      </x:c>
      <x:c r="K37" s="6" t="n">
        <x:v>13</x:v>
      </x:c>
      <x:c r="L37" s="6" t="n">
        <x:f>'日経_Q08'!G32</x:f>
        <x:v>-56200</x:v>
      </x:c>
      <x:c r="M37" s="6" t="n">
        <x:f>'日経_Q08'!H32</x:f>
        <x:v>77500</x:v>
      </x:c>
      <x:c r="N37" s="6" t="n">
        <x:v>22</x:v>
      </x:c>
    </x:row>
    <x:row r="38" ht="43" customHeight="1">
      <x:c r="A38" s="2" t="str">
        <x:v>Q09</x:v>
      </x:c>
      <x:c r="B38" s="16" t="str">
        <x:v>条件比較：逆行60pt後20pt回復・累計25micro</x:v>
      </x:c>
      <x:c r="C38" s="6" t="n">
        <x:f>'日経_Q09'!C32</x:f>
        <x:v>2600</x:v>
      </x:c>
      <x:c r="D38" s="6" t="n">
        <x:f>'日経_Q09'!D32</x:f>
        <x:v>116000</x:v>
      </x:c>
      <x:c r="E38" s="6" t="n">
        <x:f>'日経_Q09'!E32</x:f>
        <x:v>-113400</x:v>
      </x:c>
      <x:c r="F38" s="17" t="n">
        <x:f>IF(D38=0,"",C38/D38)</x:f>
        <x:v>0.022413793103448276</x:v>
      </x:c>
      <x:c r="G38" s="6" t="n">
        <x:f>COUNTIFS('日経_Q09'!$E$6:$E$31,"&lt;0")</x:f>
        <x:v>3</x:v>
      </x:c>
      <x:c r="H38" s="6" t="n">
        <x:f>IF(G38=0,0,-SUMIFS('日経_Q09'!$E$6:$E$31,'日経_Q09'!$E$6:$E$31,"&lt;0")/G38)</x:f>
        <x:v>38666.666666666664</x:v>
      </x:c>
      <x:c r="I38" s="6" t="n">
        <x:f>MAX(0,-MIN('日経_Q09'!$E$6:$E$31))</x:f>
        <x:v>56200</x:v>
      </x:c>
      <x:c r="J38" s="6" t="n">
        <x:f>E38-MAX(0,LARGE('日経_Q09'!$E$6:$E$31,1))-MAX(0,LARGE('日経_Q09'!$E$6:$E$31,2))-MAX(0,LARGE('日経_Q09'!$E$6:$E$31,3))</x:f>
        <x:v>-116000</x:v>
      </x:c>
      <x:c r="K38" s="6" t="n">
        <x:v>13</x:v>
      </x:c>
      <x:c r="L38" s="6" t="n">
        <x:f>'日経_Q09'!G32</x:f>
        <x:v>-56200</x:v>
      </x:c>
      <x:c r="M38" s="6" t="n">
        <x:f>'日経_Q09'!H32</x:f>
        <x:v>77500</x:v>
      </x:c>
      <x:c r="N38" s="6" t="n">
        <x:v>22</x:v>
      </x:c>
    </x:row>
    <x:row r="39" ht="43" customHeight="1">
      <x:c r="A39" s="2" t="str">
        <x:v>Q10</x:v>
      </x:c>
      <x:c r="B39" s="16" t="str">
        <x:v>条件比較：逆行40pt後20pt回復・累計50micro</x:v>
      </x:c>
      <x:c r="C39" s="6" t="n">
        <x:f>'日経_Q10'!C32</x:f>
        <x:v>2600</x:v>
      </x:c>
      <x:c r="D39" s="6" t="n">
        <x:f>'日経_Q10'!D32</x:f>
        <x:v>116000</x:v>
      </x:c>
      <x:c r="E39" s="6" t="n">
        <x:f>'日経_Q10'!E32</x:f>
        <x:v>-113400</x:v>
      </x:c>
      <x:c r="F39" s="17" t="n">
        <x:f>IF(D39=0,"",C39/D39)</x:f>
        <x:v>0.022413793103448276</x:v>
      </x:c>
      <x:c r="G39" s="6" t="n">
        <x:f>COUNTIFS('日経_Q10'!$E$6:$E$31,"&lt;0")</x:f>
        <x:v>3</x:v>
      </x:c>
      <x:c r="H39" s="6" t="n">
        <x:f>IF(G39=0,0,-SUMIFS('日経_Q10'!$E$6:$E$31,'日経_Q10'!$E$6:$E$31,"&lt;0")/G39)</x:f>
        <x:v>38666.666666666664</x:v>
      </x:c>
      <x:c r="I39" s="6" t="n">
        <x:f>MAX(0,-MIN('日経_Q10'!$E$6:$E$31))</x:f>
        <x:v>56200</x:v>
      </x:c>
      <x:c r="J39" s="6" t="n">
        <x:f>E39-MAX(0,LARGE('日経_Q10'!$E$6:$E$31,1))-MAX(0,LARGE('日経_Q10'!$E$6:$E$31,2))-MAX(0,LARGE('日経_Q10'!$E$6:$E$31,3))</x:f>
        <x:v>-116000</x:v>
      </x:c>
      <x:c r="K39" s="6" t="n">
        <x:v>13</x:v>
      </x:c>
      <x:c r="L39" s="6" t="n">
        <x:f>'日経_Q10'!G32</x:f>
        <x:v>-56200</x:v>
      </x:c>
      <x:c r="M39" s="6" t="n">
        <x:f>'日経_Q10'!H32</x:f>
        <x:v>77500</x:v>
      </x:c>
      <x:c r="N39" s="6" t="n">
        <x:v>22</x:v>
      </x:c>
    </x:row>
    <x:row r="40" ht="43" customHeight="1">
      <x:c r="A40" s="2" t="str">
        <x:v>Q11</x:v>
      </x:c>
      <x:c r="B40" s="16" t="str">
        <x:v>条件比較：二乗抑制＋逆行40pt/累計25micro</x:v>
      </x:c>
      <x:c r="C40" s="6" t="n">
        <x:f>'日経_Q11'!C32</x:f>
        <x:v>200</x:v>
      </x:c>
      <x:c r="D40" s="6" t="n">
        <x:f>'日経_Q11'!D32</x:f>
        <x:v>93500</x:v>
      </x:c>
      <x:c r="E40" s="6" t="n">
        <x:f>'日経_Q11'!E32</x:f>
        <x:v>-93300</x:v>
      </x:c>
      <x:c r="F40" s="17" t="n">
        <x:f>IF(D40=0,"",C40/D40)</x:f>
        <x:v>0.0021390374331550803</x:v>
      </x:c>
      <x:c r="G40" s="6" t="n">
        <x:f>COUNTIFS('日経_Q11'!$E$6:$E$31,"&lt;0")</x:f>
        <x:v>3</x:v>
      </x:c>
      <x:c r="H40" s="6" t="n">
        <x:f>IF(G40=0,0,-SUMIFS('日経_Q11'!$E$6:$E$31,'日経_Q11'!$E$6:$E$31,"&lt;0")/G40)</x:f>
        <x:v>31166.666666666668</x:v>
      </x:c>
      <x:c r="I40" s="6" t="n">
        <x:f>MAX(0,-MIN('日経_Q11'!$E$6:$E$31))</x:f>
        <x:v>40800</x:v>
      </x:c>
      <x:c r="J40" s="6" t="n">
        <x:f>E40-MAX(0,LARGE('日経_Q11'!$E$6:$E$31,1))-MAX(0,LARGE('日経_Q11'!$E$6:$E$31,2))-MAX(0,LARGE('日経_Q11'!$E$6:$E$31,3))</x:f>
        <x:v>-93500</x:v>
      </x:c>
      <x:c r="K40" s="6" t="n">
        <x:v>13</x:v>
      </x:c>
      <x:c r="L40" s="6" t="n">
        <x:f>'日経_Q11'!G32</x:f>
        <x:v>-40800</x:v>
      </x:c>
      <x:c r="M40" s="6" t="n">
        <x:f>'日経_Q11'!H32</x:f>
        <x:v>82400</x:v>
      </x:c>
      <x:c r="N40" s="6" t="n">
        <x:v>22</x:v>
      </x:c>
    </x:row>
    <x:row r="41" ht="43" customHeight="1">
      <x:c r="A41" s="2" t="str">
        <x:v>Q12</x:v>
      </x:c>
      <x:c r="B41" s="16" t="str">
        <x:v>条件比較：セーブ有・順行追加80pt</x:v>
      </x:c>
      <x:c r="C41" s="6" t="n">
        <x:f>'日経_Q12'!C32</x:f>
        <x:v>2600</x:v>
      </x:c>
      <x:c r="D41" s="6" t="n">
        <x:f>'日経_Q12'!D32</x:f>
        <x:v>127900</x:v>
      </x:c>
      <x:c r="E41" s="6" t="n">
        <x:f>'日経_Q12'!E32</x:f>
        <x:v>-125300</x:v>
      </x:c>
      <x:c r="F41" s="17" t="n">
        <x:f>IF(D41=0,"",C41/D41)</x:f>
        <x:v>0.020328381548084442</x:v>
      </x:c>
      <x:c r="G41" s="6" t="n">
        <x:f>COUNTIFS('日経_Q12'!$E$6:$E$31,"&lt;0")</x:f>
        <x:v>3</x:v>
      </x:c>
      <x:c r="H41" s="6" t="n">
        <x:f>IF(G41=0,0,-SUMIFS('日経_Q12'!$E$6:$E$31,'日経_Q12'!$E$6:$E$31,"&lt;0")/G41)</x:f>
        <x:v>42633.333333333336</x:v>
      </x:c>
      <x:c r="I41" s="6" t="n">
        <x:f>MAX(0,-MIN('日経_Q12'!$E$6:$E$31))</x:f>
        <x:v>56200</x:v>
      </x:c>
      <x:c r="J41" s="6" t="n">
        <x:f>E41-MAX(0,LARGE('日経_Q12'!$E$6:$E$31,1))-MAX(0,LARGE('日経_Q12'!$E$6:$E$31,2))-MAX(0,LARGE('日経_Q12'!$E$6:$E$31,3))</x:f>
        <x:v>-127900</x:v>
      </x:c>
      <x:c r="K41" s="6" t="n">
        <x:v>12</x:v>
      </x:c>
      <x:c r="L41" s="6" t="n">
        <x:f>'日経_Q12'!G32</x:f>
        <x:v>-56200</x:v>
      </x:c>
      <x:c r="M41" s="6" t="n">
        <x:f>'日経_Q12'!H32</x:f>
        <x:v>77500</x:v>
      </x:c>
      <x:c r="N41" s="6" t="n">
        <x:v>22</x:v>
      </x:c>
    </x:row>
    <x:row r="42" ht="43" customHeight="1">
      <x:c r="A42" s="2" t="str">
        <x:v>Q13</x:v>
      </x:c>
      <x:c r="B42" s="16" t="str">
        <x:v>条件比較：セーブ有・順行追加20pt</x:v>
      </x:c>
      <x:c r="C42" s="6" t="n">
        <x:f>'日経_Q13'!C32</x:f>
        <x:v>2600</x:v>
      </x:c>
      <x:c r="D42" s="6" t="n">
        <x:f>'日経_Q13'!D32</x:f>
        <x:v>103500</x:v>
      </x:c>
      <x:c r="E42" s="6" t="n">
        <x:f>'日経_Q13'!E32</x:f>
        <x:v>-100900</x:v>
      </x:c>
      <x:c r="F42" s="17" t="n">
        <x:f>IF(D42=0,"",C42/D42)</x:f>
        <x:v>0.025120772946859903</x:v>
      </x:c>
      <x:c r="G42" s="6" t="n">
        <x:f>COUNTIFS('日経_Q13'!$E$6:$E$31,"&lt;0")</x:f>
        <x:v>3</x:v>
      </x:c>
      <x:c r="H42" s="6" t="n">
        <x:f>IF(G42=0,0,-SUMIFS('日経_Q13'!$E$6:$E$31,'日経_Q13'!$E$6:$E$31,"&lt;0")/G42)</x:f>
        <x:v>34500</x:v>
      </x:c>
      <x:c r="I42" s="6" t="n">
        <x:f>MAX(0,-MIN('日経_Q13'!$E$6:$E$31))</x:f>
        <x:v>65900</x:v>
      </x:c>
      <x:c r="J42" s="6" t="n">
        <x:f>E42-MAX(0,LARGE('日経_Q13'!$E$6:$E$31,1))-MAX(0,LARGE('日経_Q13'!$E$6:$E$31,2))-MAX(0,LARGE('日経_Q13'!$E$6:$E$31,3))</x:f>
        <x:v>-103500</x:v>
      </x:c>
      <x:c r="K42" s="6" t="n">
        <x:v>14</x:v>
      </x:c>
      <x:c r="L42" s="6" t="n">
        <x:f>'日経_Q13'!G32</x:f>
        <x:v>-65900</x:v>
      </x:c>
      <x:c r="M42" s="6" t="n">
        <x:f>'日経_Q13'!H32</x:f>
        <x:v>85300</x:v>
      </x:c>
      <x:c r="N42" s="6" t="n">
        <x:v>22</x:v>
      </x:c>
    </x:row>
    <x:row r="43" ht="43" customHeight="1">
      <x:c r="A43" s="2" t="str">
        <x:v>H05</x:v>
      </x:c>
      <x:c r="B43" s="16" t="str">
        <x:v>親内両建て：同じCanonical判断を両側保有で実行</x:v>
      </x:c>
      <x:c r="C43" s="6" t="n">
        <x:f>'日経_H05'!C32</x:f>
        <x:v>2600</x:v>
      </x:c>
      <x:c r="D43" s="6" t="n">
        <x:f>'日経_H05'!D32</x:f>
        <x:v>116000</x:v>
      </x:c>
      <x:c r="E43" s="6" t="n">
        <x:f>'日経_H05'!E32</x:f>
        <x:v>-113400</x:v>
      </x:c>
      <x:c r="F43" s="17" t="n">
        <x:f>IF(D43=0,"",C43/D43)</x:f>
        <x:v>0.022413793103448276</x:v>
      </x:c>
      <x:c r="G43" s="6" t="n">
        <x:f>COUNTIFS('日経_H05'!$E$6:$E$31,"&lt;0")</x:f>
        <x:v>3</x:v>
      </x:c>
      <x:c r="H43" s="6" t="n">
        <x:f>IF(G43=0,0,-SUMIFS('日経_H05'!$E$6:$E$31,'日経_H05'!$E$6:$E$31,"&lt;0")/G43)</x:f>
        <x:v>38666.666666666664</x:v>
      </x:c>
      <x:c r="I43" s="6" t="n">
        <x:f>MAX(0,-MIN('日経_H05'!$E$6:$E$31))</x:f>
        <x:v>56200</x:v>
      </x:c>
      <x:c r="J43" s="6" t="n">
        <x:f>E43-MAX(0,LARGE('日経_H05'!$E$6:$E$31,1))-MAX(0,LARGE('日経_H05'!$E$6:$E$31,2))-MAX(0,LARGE('日経_H05'!$E$6:$E$31,3))</x:f>
        <x:v>-116000</x:v>
      </x:c>
      <x:c r="K43" s="6" t="n">
        <x:v>10</x:v>
      </x:c>
      <x:c r="L43" s="6" t="n">
        <x:f>'日経_H05'!G32</x:f>
        <x:v>-56200</x:v>
      </x:c>
      <x:c r="M43" s="6" t="n">
        <x:f>'日経_H05'!H32</x:f>
        <x:v>77500</x:v>
      </x:c>
      <x:c r="N43" s="6" t="n">
        <x:v>22</x:v>
      </x:c>
    </x:row>
    <x:row r="44" ht="43" customHeight="1">
      <x:c r="A44" s="2" t="str">
        <x:v>H08</x:v>
      </x:c>
      <x:c r="B44" s="16" t="str">
        <x:v>親内両建て：同じCanonical判断を両側保有で実行</x:v>
      </x:c>
      <x:c r="C44" s="6" t="n">
        <x:f>'日経_H08'!C32</x:f>
        <x:v>2600</x:v>
      </x:c>
      <x:c r="D44" s="6" t="n">
        <x:f>'日経_H08'!D32</x:f>
        <x:v>116000</x:v>
      </x:c>
      <x:c r="E44" s="6" t="n">
        <x:f>'日経_H08'!E32</x:f>
        <x:v>-113400</x:v>
      </x:c>
      <x:c r="F44" s="17" t="n">
        <x:f>IF(D44=0,"",C44/D44)</x:f>
        <x:v>0.022413793103448276</x:v>
      </x:c>
      <x:c r="G44" s="6" t="n">
        <x:f>COUNTIFS('日経_H08'!$E$6:$E$31,"&lt;0")</x:f>
        <x:v>3</x:v>
      </x:c>
      <x:c r="H44" s="6" t="n">
        <x:f>IF(G44=0,0,-SUMIFS('日経_H08'!$E$6:$E$31,'日経_H08'!$E$6:$E$31,"&lt;0")/G44)</x:f>
        <x:v>38666.666666666664</x:v>
      </x:c>
      <x:c r="I44" s="6" t="n">
        <x:f>MAX(0,-MIN('日経_H08'!$E$6:$E$31))</x:f>
        <x:v>56200</x:v>
      </x:c>
      <x:c r="J44" s="6" t="n">
        <x:f>E44-MAX(0,LARGE('日経_H08'!$E$6:$E$31,1))-MAX(0,LARGE('日経_H08'!$E$6:$E$31,2))-MAX(0,LARGE('日経_H08'!$E$6:$E$31,3))</x:f>
        <x:v>-116000</x:v>
      </x:c>
      <x:c r="K44" s="6" t="n">
        <x:v>10</x:v>
      </x:c>
      <x:c r="L44" s="6" t="n">
        <x:f>'日経_H08'!G32</x:f>
        <x:v>-56200</x:v>
      </x:c>
      <x:c r="M44" s="6" t="n">
        <x:f>'日経_H08'!H32</x:f>
        <x:v>77500</x:v>
      </x:c>
      <x:c r="N44" s="6" t="n">
        <x:v>22</x:v>
      </x:c>
    </x:row>
    <x:row r="45" ht="43" customHeight="1">
      <x:c r="A45" s="2" t="str">
        <x:v>D05</x:v>
      </x:c>
      <x:c r="B45" s="16" t="str">
        <x:v>場赤字の抑制：場開始比赤字8～16万円で新規量抑制/16万円停止</x:v>
      </x:c>
      <x:c r="C45" s="6" t="n">
        <x:f>'日経_D05'!C32</x:f>
        <x:v>2600</x:v>
      </x:c>
      <x:c r="D45" s="6" t="n">
        <x:f>'日経_D05'!D32</x:f>
        <x:v>116000</x:v>
      </x:c>
      <x:c r="E45" s="6" t="n">
        <x:f>'日経_D05'!E32</x:f>
        <x:v>-113400</x:v>
      </x:c>
      <x:c r="F45" s="17" t="n">
        <x:f>IF(D45=0,"",C45/D45)</x:f>
        <x:v>0.022413793103448276</x:v>
      </x:c>
      <x:c r="G45" s="6" t="n">
        <x:f>COUNTIFS('日経_D05'!$E$6:$E$31,"&lt;0")</x:f>
        <x:v>3</x:v>
      </x:c>
      <x:c r="H45" s="6" t="n">
        <x:f>IF(G45=0,0,-SUMIFS('日経_D05'!$E$6:$E$31,'日経_D05'!$E$6:$E$31,"&lt;0")/G45)</x:f>
        <x:v>38666.666666666664</x:v>
      </x:c>
      <x:c r="I45" s="6" t="n">
        <x:f>MAX(0,-MIN('日経_D05'!$E$6:$E$31))</x:f>
        <x:v>56200</x:v>
      </x:c>
      <x:c r="J45" s="6" t="n">
        <x:f>E45-MAX(0,LARGE('日経_D05'!$E$6:$E$31,1))-MAX(0,LARGE('日経_D05'!$E$6:$E$31,2))-MAX(0,LARGE('日経_D05'!$E$6:$E$31,3))</x:f>
        <x:v>-116000</x:v>
      </x:c>
      <x:c r="K45" s="6" t="n">
        <x:v>13</x:v>
      </x:c>
      <x:c r="L45" s="6" t="n">
        <x:f>'日経_D05'!G32</x:f>
        <x:v>-56200</x:v>
      </x:c>
      <x:c r="M45" s="6" t="n">
        <x:f>'日経_D05'!H32</x:f>
        <x:v>77500</x:v>
      </x:c>
      <x:c r="N45" s="6" t="n">
        <x:v>22</x:v>
      </x:c>
    </x:row>
    <x:row r="46" ht="43" customHeight="1">
      <x:c r="A46" s="2" t="str">
        <x:v>D08</x:v>
      </x:c>
      <x:c r="B46" s="16" t="str">
        <x:v>場赤字の抑制：場開始比赤字8～16万円で新規量抑制/16万円停止</x:v>
      </x:c>
      <x:c r="C46" s="6" t="n">
        <x:f>'日経_D08'!C32</x:f>
        <x:v>2600</x:v>
      </x:c>
      <x:c r="D46" s="6" t="n">
        <x:f>'日経_D08'!D32</x:f>
        <x:v>116000</x:v>
      </x:c>
      <x:c r="E46" s="6" t="n">
        <x:f>'日経_D08'!E32</x:f>
        <x:v>-113400</x:v>
      </x:c>
      <x:c r="F46" s="17" t="n">
        <x:f>IF(D46=0,"",C46/D46)</x:f>
        <x:v>0.022413793103448276</x:v>
      </x:c>
      <x:c r="G46" s="6" t="n">
        <x:f>COUNTIFS('日経_D08'!$E$6:$E$31,"&lt;0")</x:f>
        <x:v>3</x:v>
      </x:c>
      <x:c r="H46" s="6" t="n">
        <x:f>IF(G46=0,0,-SUMIFS('日経_D08'!$E$6:$E$31,'日経_D08'!$E$6:$E$31,"&lt;0")/G46)</x:f>
        <x:v>38666.666666666664</x:v>
      </x:c>
      <x:c r="I46" s="6" t="n">
        <x:f>MAX(0,-MIN('日経_D08'!$E$6:$E$31))</x:f>
        <x:v>56200</x:v>
      </x:c>
      <x:c r="J46" s="6" t="n">
        <x:f>E46-MAX(0,LARGE('日経_D08'!$E$6:$E$31,1))-MAX(0,LARGE('日経_D08'!$E$6:$E$31,2))-MAX(0,LARGE('日経_D08'!$E$6:$E$31,3))</x:f>
        <x:v>-116000</x:v>
      </x:c>
      <x:c r="K46" s="6" t="n">
        <x:v>13</x:v>
      </x:c>
      <x:c r="L46" s="6" t="n">
        <x:f>'日経_D08'!G32</x:f>
        <x:v>-56200</x:v>
      </x:c>
      <x:c r="M46" s="6" t="n">
        <x:f>'日経_D08'!H32</x:f>
        <x:v>77500</x:v>
      </x:c>
      <x:c r="N46" s="6" t="n">
        <x:v>22</x:v>
      </x:c>
    </x:row>
    <x:row r="47" ht="43" customHeight="1">
      <x:c r="A47" s="2" t="str">
        <x:v>V_C01</x:v>
      </x:c>
      <x:c r="B47" s="16" t="str">
        <x:v>条件比較：観測修正／旧数量＋各玉80pt防御/40pt利益開始40pt追尾/親8万円</x:v>
      </x:c>
      <x:c r="C47" s="6" t="n">
        <x:f>'日経_V_C01'!C32</x:f>
        <x:v>1037000</x:v>
      </x:c>
      <x:c r="D47" s="6" t="n">
        <x:f>'日経_V_C01'!D32</x:f>
        <x:v>1471000</x:v>
      </x:c>
      <x:c r="E47" s="6" t="n">
        <x:f>'日経_V_C01'!E32</x:f>
        <x:v>-434000</x:v>
      </x:c>
      <x:c r="F47" s="17" t="n">
        <x:f>IF(D47=0,"",C47/D47)</x:f>
        <x:v>0.7049626104690686</x:v>
      </x:c>
      <x:c r="G47" s="6" t="n">
        <x:f>COUNTIFS('日経_V_C01'!$E$6:$E$31,"&lt;0")</x:f>
        <x:v>14</x:v>
      </x:c>
      <x:c r="H47" s="6" t="n">
        <x:f>IF(G47=0,0,-SUMIFS('日経_V_C01'!$E$6:$E$31,'日経_V_C01'!$E$6:$E$31,"&lt;0")/G47)</x:f>
        <x:v>50285.71428571428</x:v>
      </x:c>
      <x:c r="I47" s="6" t="n">
        <x:f>MAX(0,-MIN('日経_V_C01'!$E$6:$E$31))</x:f>
        <x:v>131000</x:v>
      </x:c>
      <x:c r="J47" s="6" t="n">
        <x:f>E47-MAX(0,LARGE('日経_V_C01'!$E$6:$E$31,1))-MAX(0,LARGE('日経_V_C01'!$E$6:$E$31,2))-MAX(0,LARGE('日経_V_C01'!$E$6:$E$31,3))</x:f>
        <x:v>-572000</x:v>
      </x:c>
      <x:c r="K47" s="6" t="n">
        <x:v>189</x:v>
      </x:c>
      <x:c r="L47" s="6" t="n">
        <x:f>'日経_V_C01'!G32</x:f>
        <x:v>-149000</x:v>
      </x:c>
      <x:c r="M47" s="6" t="n">
        <x:f>'日経_V_C01'!H32</x:f>
        <x:v>149000</x:v>
      </x:c>
      <x:c r="N47" s="6" t="n">
        <x:v>0</x:v>
      </x:c>
    </x:row>
    <x:row r="48" ht="43" customHeight="1">
      <x:c r="A48" s="2" t="str">
        <x:v>V_C02</x:v>
      </x:c>
      <x:c r="B48" s="16" t="str">
        <x:v>条件比較：観測修正／C01＋初回支持選抜</x:v>
      </x:c>
      <x:c r="C48" s="6" t="n">
        <x:f>'日経_V_C02'!C32</x:f>
        <x:v>251000</x:v>
      </x:c>
      <x:c r="D48" s="6" t="n">
        <x:f>'日経_V_C02'!D32</x:f>
        <x:v>534000</x:v>
      </x:c>
      <x:c r="E48" s="6" t="n">
        <x:f>'日経_V_C02'!E32</x:f>
        <x:v>-283000</x:v>
      </x:c>
      <x:c r="F48" s="17" t="n">
        <x:f>IF(D48=0,"",C48/D48)</x:f>
        <x:v>0.4700374531835206</x:v>
      </x:c>
      <x:c r="G48" s="6" t="n">
        <x:f>COUNTIFS('日経_V_C02'!$E$6:$E$31,"&lt;0")</x:f>
        <x:v>13</x:v>
      </x:c>
      <x:c r="H48" s="6" t="n">
        <x:f>IF(G48=0,0,-SUMIFS('日経_V_C02'!$E$6:$E$31,'日経_V_C02'!$E$6:$E$31,"&lt;0")/G48)</x:f>
        <x:v>29384.615384615383</x:v>
      </x:c>
      <x:c r="I48" s="6" t="n">
        <x:f>MAX(0,-MIN('日経_V_C02'!$E$6:$E$31))</x:f>
        <x:v>67000</x:v>
      </x:c>
      <x:c r="J48" s="6" t="n">
        <x:f>E48-MAX(0,LARGE('日経_V_C02'!$E$6:$E$31,1))-MAX(0,LARGE('日経_V_C02'!$E$6:$E$31,2))-MAX(0,LARGE('日経_V_C02'!$E$6:$E$31,3))</x:f>
        <x:v>-367000</x:v>
      </x:c>
      <x:c r="K48" s="6" t="n">
        <x:v>64</x:v>
      </x:c>
      <x:c r="L48" s="6" t="n">
        <x:f>'日経_V_C02'!G32</x:f>
        <x:v>-72000</x:v>
      </x:c>
      <x:c r="M48" s="6" t="n">
        <x:f>'日経_V_C02'!H32</x:f>
        <x:v>90000</x:v>
      </x:c>
      <x:c r="N48" s="6" t="n">
        <x:v>5</x:v>
      </x:c>
    </x:row>
    <x:row r="49" ht="43" customHeight="1">
      <x:c r="A49" s="2" t="str">
        <x:v>V_Q00</x:v>
      </x:c>
      <x:c r="B49" s="16" t="str">
        <x:v>条件比較：観測修正／支持初回・10micro刻み・元追加比例</x:v>
      </x:c>
      <x:c r="C49" s="6" t="n">
        <x:f>'日経_V_Q00'!C32</x:f>
        <x:v>242000</x:v>
      </x:c>
      <x:c r="D49" s="6" t="n">
        <x:f>'日経_V_Q00'!D32</x:f>
        <x:v>702000</x:v>
      </x:c>
      <x:c r="E49" s="6" t="n">
        <x:f>'日経_V_Q00'!E32</x:f>
        <x:v>-460000</x:v>
      </x:c>
      <x:c r="F49" s="17" t="n">
        <x:f>IF(D49=0,"",C49/D49)</x:f>
        <x:v>0.34472934472934474</x:v>
      </x:c>
      <x:c r="G49" s="6" t="n">
        <x:f>COUNTIFS('日経_V_Q00'!$E$6:$E$31,"&lt;0")</x:f>
        <x:v>13</x:v>
      </x:c>
      <x:c r="H49" s="6" t="n">
        <x:f>IF(G49=0,0,-SUMIFS('日経_V_Q00'!$E$6:$E$31,'日経_V_Q00'!$E$6:$E$31,"&lt;0")/G49)</x:f>
        <x:v>45461.53846153846</x:v>
      </x:c>
      <x:c r="I49" s="6" t="n">
        <x:f>MAX(0,-MIN('日経_V_Q00'!$E$6:$E$31))</x:f>
        <x:v>119000</x:v>
      </x:c>
      <x:c r="J49" s="6" t="n">
        <x:f>E49-MAX(0,LARGE('日経_V_Q00'!$E$6:$E$31,1))-MAX(0,LARGE('日経_V_Q00'!$E$6:$E$31,2))-MAX(0,LARGE('日経_V_Q00'!$E$6:$E$31,3))</x:f>
        <x:v>-575000</x:v>
      </x:c>
      <x:c r="K49" s="6" t="n">
        <x:v>56</x:v>
      </x:c>
      <x:c r="L49" s="6" t="n">
        <x:f>'日経_V_Q00'!G32</x:f>
        <x:v>-119000</x:v>
      </x:c>
      <x:c r="M49" s="6" t="n">
        <x:f>'日経_V_Q00'!H32</x:f>
        <x:v>140000</x:v>
      </x:c>
      <x:c r="N49" s="6" t="n">
        <x:v>5</x:v>
      </x:c>
    </x:row>
    <x:row r="50" ht="43" customHeight="1">
      <x:c r="A50" s="2" t="str">
        <x:v>V_Q01</x:v>
      </x:c>
      <x:c r="B50" s="16" t="str">
        <x:v>条件比較：観測修正／支持初回・1micro刻み・元追加比例</x:v>
      </x:c>
      <x:c r="C50" s="6" t="n">
        <x:f>'日経_V_Q01'!C32</x:f>
        <x:v>300600</x:v>
      </x:c>
      <x:c r="D50" s="6" t="n">
        <x:f>'日経_V_Q01'!D32</x:f>
        <x:v>774900</x:v>
      </x:c>
      <x:c r="E50" s="6" t="n">
        <x:f>'日経_V_Q01'!E32</x:f>
        <x:v>-474300</x:v>
      </x:c>
      <x:c r="F50" s="17" t="n">
        <x:f>IF(D50=0,"",C50/D50)</x:f>
        <x:v>0.3879210220673635</x:v>
      </x:c>
      <x:c r="G50" s="6" t="n">
        <x:f>COUNTIFS('日経_V_Q01'!$E$6:$E$31,"&lt;0")</x:f>
        <x:v>13</x:v>
      </x:c>
      <x:c r="H50" s="6" t="n">
        <x:f>IF(G50=0,0,-SUMIFS('日経_V_Q01'!$E$6:$E$31,'日経_V_Q01'!$E$6:$E$31,"&lt;0")/G50)</x:f>
        <x:v>48146.153846153844</x:v>
      </x:c>
      <x:c r="I50" s="6" t="n">
        <x:f>MAX(0,-MIN('日経_V_Q01'!$E$6:$E$31))</x:f>
        <x:v>122200</x:v>
      </x:c>
      <x:c r="J50" s="6" t="n">
        <x:f>E50-MAX(0,LARGE('日経_V_Q01'!$E$6:$E$31,1))-MAX(0,LARGE('日経_V_Q01'!$E$6:$E$31,2))-MAX(0,LARGE('日経_V_Q01'!$E$6:$E$31,3))</x:f>
        <x:v>-609000</x:v>
      </x:c>
      <x:c r="K50" s="6" t="n">
        <x:v>64</x:v>
      </x:c>
      <x:c r="L50" s="6" t="n">
        <x:f>'日経_V_Q01'!G32</x:f>
        <x:v>-122200</x:v>
      </x:c>
      <x:c r="M50" s="6" t="n">
        <x:f>'日経_V_Q01'!H32</x:f>
        <x:v>143500</x:v>
      </x:c>
      <x:c r="N50" s="6" t="n">
        <x:v>5</x:v>
      </x:c>
    </x:row>
    <x:row r="51" ht="43" customHeight="1">
      <x:c r="A51" s="2" t="str">
        <x:v>V_Q02</x:v>
      </x:c>
      <x:c r="B51" s="16" t="str">
        <x:v>条件比較：観測修正／初回数量式を二乗抑制</x:v>
      </x:c>
      <x:c r="C51" s="6" t="n">
        <x:f>'日経_V_Q02'!C32</x:f>
        <x:v>113000</x:v>
      </x:c>
      <x:c r="D51" s="6" t="n">
        <x:f>'日経_V_Q02'!D32</x:f>
        <x:v>404900</x:v>
      </x:c>
      <x:c r="E51" s="6" t="n">
        <x:f>'日経_V_Q02'!E32</x:f>
        <x:v>-291900</x:v>
      </x:c>
      <x:c r="F51" s="17" t="n">
        <x:f>IF(D51=0,"",C51/D51)</x:f>
        <x:v>0.27908125463077305</x:v>
      </x:c>
      <x:c r="G51" s="6" t="n">
        <x:f>COUNTIFS('日経_V_Q02'!$E$6:$E$31,"&lt;0")</x:f>
        <x:v>13</x:v>
      </x:c>
      <x:c r="H51" s="6" t="n">
        <x:f>IF(G51=0,0,-SUMIFS('日経_V_Q02'!$E$6:$E$31,'日経_V_Q02'!$E$6:$E$31,"&lt;0")/G51)</x:f>
        <x:v>27753.846153846152</x:v>
      </x:c>
      <x:c r="I51" s="6" t="n">
        <x:f>MAX(0,-MIN('日経_V_Q02'!$E$6:$E$31))</x:f>
        <x:v>67300</x:v>
      </x:c>
      <x:c r="J51" s="6" t="n">
        <x:f>E51-MAX(0,LARGE('日経_V_Q02'!$E$6:$E$31,1))-MAX(0,LARGE('日経_V_Q02'!$E$6:$E$31,2))-MAX(0,LARGE('日経_V_Q02'!$E$6:$E$31,3))</x:f>
        <x:v>-357300</x:v>
      </x:c>
      <x:c r="K51" s="6" t="n">
        <x:v>62</x:v>
      </x:c>
      <x:c r="L51" s="6" t="n">
        <x:f>'日経_V_Q02'!G32</x:f>
        <x:v>-67300</x:v>
      </x:c>
      <x:c r="M51" s="6" t="n">
        <x:f>'日経_V_Q02'!H32</x:f>
        <x:v>82300</x:v>
      </x:c>
      <x:c r="N51" s="6" t="n">
        <x:v>5</x:v>
      </x:c>
    </x:row>
    <x:row r="52" ht="43" customHeight="1">
      <x:c r="A52" s="2" t="str">
        <x:v>V_Q03</x:v>
      </x:c>
      <x:c r="B52" s="16" t="str">
        <x:v>条件比較：観測修正／順行40ptで支持目標まで追加</x:v>
      </x:c>
      <x:c r="C52" s="6" t="n">
        <x:f>'日経_V_Q03'!C32</x:f>
        <x:v>338300</x:v>
      </x:c>
      <x:c r="D52" s="6" t="n">
        <x:f>'日経_V_Q03'!D32</x:f>
        <x:v>1296800</x:v>
      </x:c>
      <x:c r="E52" s="6" t="n">
        <x:f>'日経_V_Q03'!E32</x:f>
        <x:v>-958500</x:v>
      </x:c>
      <x:c r="F52" s="17" t="n">
        <x:f>IF(D52=0,"",C52/D52)</x:f>
        <x:v>0.26087291795188156</x:v>
      </x:c>
      <x:c r="G52" s="6" t="n">
        <x:f>COUNTIFS('日経_V_Q03'!$E$6:$E$31,"&lt;0")</x:f>
        <x:v>18</x:v>
      </x:c>
      <x:c r="H52" s="6" t="n">
        <x:f>IF(G52=0,0,-SUMIFS('日経_V_Q03'!$E$6:$E$31,'日経_V_Q03'!$E$6:$E$31,"&lt;0")/G52)</x:f>
        <x:v>58766.666666666664</x:v>
      </x:c>
      <x:c r="I52" s="6" t="n">
        <x:f>MAX(0,-MIN('日経_V_Q03'!$E$6:$E$31))</x:f>
        <x:v>167000</x:v>
      </x:c>
      <x:c r="J52" s="6" t="n">
        <x:f>E52-MAX(0,LARGE('日経_V_Q03'!$E$6:$E$31,1))-MAX(0,LARGE('日経_V_Q03'!$E$6:$E$31,2))-MAX(0,LARGE('日経_V_Q03'!$E$6:$E$31,3))</x:f>
        <x:v>-1057800</x:v>
      </x:c>
      <x:c r="K52" s="6" t="n">
        <x:v>135</x:v>
      </x:c>
      <x:c r="L52" s="6" t="n">
        <x:f>'日経_V_Q03'!G32</x:f>
        <x:v>-167000</x:v>
      </x:c>
      <x:c r="M52" s="6" t="n">
        <x:f>'日経_V_Q03'!H32</x:f>
        <x:v>188300</x:v>
      </x:c>
      <x:c r="N52" s="6" t="n">
        <x:v>5</x:v>
      </x:c>
    </x:row>
    <x:row r="53" ht="43" customHeight="1">
      <x:c r="A53" s="2" t="str">
        <x:v>V_Q04</x:v>
      </x:c>
      <x:c r="B53" s="16" t="str">
        <x:v>条件比較：観測修正／二乗抑制＋順行追加</x:v>
      </x:c>
      <x:c r="C53" s="6" t="n">
        <x:f>'日経_V_Q04'!C32</x:f>
        <x:v>153900</x:v>
      </x:c>
      <x:c r="D53" s="6" t="n">
        <x:f>'日経_V_Q04'!D32</x:f>
        <x:v>786200</x:v>
      </x:c>
      <x:c r="E53" s="6" t="n">
        <x:f>'日経_V_Q04'!E32</x:f>
        <x:v>-632300</x:v>
      </x:c>
      <x:c r="F53" s="17" t="n">
        <x:f>IF(D53=0,"",C53/D53)</x:f>
        <x:v>0.19575171712032563</x:v>
      </x:c>
      <x:c r="G53" s="6" t="n">
        <x:f>COUNTIFS('日経_V_Q04'!$E$6:$E$31,"&lt;0")</x:f>
        <x:v>18</x:v>
      </x:c>
      <x:c r="H53" s="6" t="n">
        <x:f>IF(G53=0,0,-SUMIFS('日経_V_Q04'!$E$6:$E$31,'日経_V_Q04'!$E$6:$E$31,"&lt;0")/G53)</x:f>
        <x:v>38666.666666666664</x:v>
      </x:c>
      <x:c r="I53" s="6" t="n">
        <x:f>MAX(0,-MIN('日経_V_Q04'!$E$6:$E$31))</x:f>
        <x:v>101600</x:v>
      </x:c>
      <x:c r="J53" s="6" t="n">
        <x:f>E53-MAX(0,LARGE('日経_V_Q04'!$E$6:$E$31,1))-MAX(0,LARGE('日経_V_Q04'!$E$6:$E$31,2))-MAX(0,LARGE('日経_V_Q04'!$E$6:$E$31,3))</x:f>
        <x:v>-696000</x:v>
      </x:c>
      <x:c r="K53" s="6" t="n">
        <x:v>130</x:v>
      </x:c>
      <x:c r="L53" s="6" t="n">
        <x:f>'日経_V_Q04'!G32</x:f>
        <x:v>-101600</x:v>
      </x:c>
      <x:c r="M53" s="6" t="n">
        <x:f>'日経_V_Q04'!H32</x:f>
        <x:v>117500</x:v>
      </x:c>
      <x:c r="N53" s="6" t="n">
        <x:v>5</x:v>
      </x:c>
    </x:row>
    <x:row r="54" ht="43" customHeight="1">
      <x:c r="A54" s="2" t="str">
        <x:v>V_Q05</x:v>
      </x:c>
      <x:c r="B54" s="16" t="str">
        <x:v>条件比較：観測修正／順行追加＋短期反対支持でセーブ/復帰</x:v>
      </x:c>
      <x:c r="C54" s="6" t="n">
        <x:f>'日経_V_Q05'!C32</x:f>
        <x:v>270500</x:v>
      </x:c>
      <x:c r="D54" s="6" t="n">
        <x:f>'日経_V_Q05'!D32</x:f>
        <x:v>1422700</x:v>
      </x:c>
      <x:c r="E54" s="6" t="n">
        <x:f>'日経_V_Q05'!E32</x:f>
        <x:v>-1152200</x:v>
      </x:c>
      <x:c r="F54" s="17" t="n">
        <x:f>IF(D54=0,"",C54/D54)</x:f>
        <x:v>0.19013144021930134</x:v>
      </x:c>
      <x:c r="G54" s="6" t="n">
        <x:f>COUNTIFS('日経_V_Q05'!$E$6:$E$31,"&lt;0")</x:f>
        <x:v>18</x:v>
      </x:c>
      <x:c r="H54" s="6" t="n">
        <x:f>IF(G54=0,0,-SUMIFS('日経_V_Q05'!$E$6:$E$31,'日経_V_Q05'!$E$6:$E$31,"&lt;0")/G54)</x:f>
        <x:v>67422.22222222222</x:v>
      </x:c>
      <x:c r="I54" s="6" t="n">
        <x:f>MAX(0,-MIN('日経_V_Q05'!$E$6:$E$31))</x:f>
        <x:v>174800</x:v>
      </x:c>
      <x:c r="J54" s="6" t="n">
        <x:f>E54-MAX(0,LARGE('日経_V_Q05'!$E$6:$E$31,1))-MAX(0,LARGE('日経_V_Q05'!$E$6:$E$31,2))-MAX(0,LARGE('日経_V_Q05'!$E$6:$E$31,3))</x:f>
        <x:v>-1213600</x:v>
      </x:c>
      <x:c r="K54" s="6" t="n">
        <x:v>193</x:v>
      </x:c>
      <x:c r="L54" s="6" t="n">
        <x:f>'日経_V_Q05'!G32</x:f>
        <x:v>-174800</x:v>
      </x:c>
      <x:c r="M54" s="6" t="n">
        <x:f>'日経_V_Q05'!H32</x:f>
        <x:v>185600</x:v>
      </x:c>
      <x:c r="N54" s="6" t="n">
        <x:v>5</x:v>
      </x:c>
    </x:row>
    <x:row r="55" ht="43" customHeight="1">
      <x:c r="A55" s="2" t="str">
        <x:v>V_Q06</x:v>
      </x:c>
      <x:c r="B55" s="16" t="str">
        <x:v>条件比較：観測修正／二乗抑制＋セーブ/復帰</x:v>
      </x:c>
      <x:c r="C55" s="6" t="n">
        <x:f>'日経_V_Q06'!C32</x:f>
        <x:v>110600</x:v>
      </x:c>
      <x:c r="D55" s="6" t="n">
        <x:f>'日経_V_Q06'!D32</x:f>
        <x:v>940800</x:v>
      </x:c>
      <x:c r="E55" s="6" t="n">
        <x:f>'日経_V_Q06'!E32</x:f>
        <x:v>-830200</x:v>
      </x:c>
      <x:c r="F55" s="17" t="n">
        <x:f>IF(D55=0,"",C55/D55)</x:f>
        <x:v>0.11755952380952381</x:v>
      </x:c>
      <x:c r="G55" s="6" t="n">
        <x:f>COUNTIFS('日経_V_Q06'!$E$6:$E$31,"&lt;0")</x:f>
        <x:v>19</x:v>
      </x:c>
      <x:c r="H55" s="6" t="n">
        <x:f>IF(G55=0,0,-SUMIFS('日経_V_Q06'!$E$6:$E$31,'日経_V_Q06'!$E$6:$E$31,"&lt;0")/G55)</x:f>
        <x:v>45073.68421052631</x:v>
      </x:c>
      <x:c r="I55" s="6" t="n">
        <x:f>MAX(0,-MIN('日経_V_Q06'!$E$6:$E$31))</x:f>
        <x:v>116600</x:v>
      </x:c>
      <x:c r="J55" s="6" t="n">
        <x:f>E55-MAX(0,LARGE('日経_V_Q06'!$E$6:$E$31,1))-MAX(0,LARGE('日経_V_Q06'!$E$6:$E$31,2))-MAX(0,LARGE('日経_V_Q06'!$E$6:$E$31,3))</x:f>
        <x:v>-856400</x:v>
      </x:c>
      <x:c r="K55" s="6" t="n">
        <x:v>196</x:v>
      </x:c>
      <x:c r="L55" s="6" t="n">
        <x:f>'日経_V_Q06'!G32</x:f>
        <x:v>-116600</x:v>
      </x:c>
      <x:c r="M55" s="6" t="n">
        <x:f>'日経_V_Q06'!H32</x:f>
        <x:v>123800</x:v>
      </x:c>
      <x:c r="N55" s="6" t="n">
        <x:v>5</x:v>
      </x:c>
    </x:row>
    <x:row r="56" ht="43" customHeight="1">
      <x:c r="A56" s="2" t="str">
        <x:v>V_Q07</x:v>
      </x:c>
      <x:c r="B56" s="16" t="str">
        <x:v>条件比較：観測修正／逆行20pt後20pt回復・累計25micro</x:v>
      </x:c>
      <x:c r="C56" s="6" t="n">
        <x:f>'日経_V_Q07'!C32</x:f>
        <x:v>245100</x:v>
      </x:c>
      <x:c r="D56" s="6" t="n">
        <x:f>'日経_V_Q07'!D32</x:f>
        <x:v>1629000</x:v>
      </x:c>
      <x:c r="E56" s="6" t="n">
        <x:f>'日経_V_Q07'!E32</x:f>
        <x:v>-1383900</x:v>
      </x:c>
      <x:c r="F56" s="17" t="n">
        <x:f>IF(D56=0,"",C56/D56)</x:f>
        <x:v>0.15046040515653775</x:v>
      </x:c>
      <x:c r="G56" s="6" t="n">
        <x:f>COUNTIFS('日経_V_Q07'!$E$6:$E$31,"&lt;0")</x:f>
        <x:v>19</x:v>
      </x:c>
      <x:c r="H56" s="6" t="n">
        <x:f>IF(G56=0,0,-SUMIFS('日経_V_Q07'!$E$6:$E$31,'日経_V_Q07'!$E$6:$E$31,"&lt;0")/G56)</x:f>
        <x:v>76778.94736842105</x:v>
      </x:c>
      <x:c r="I56" s="6" t="n">
        <x:f>MAX(0,-MIN('日経_V_Q07'!$E$6:$E$31))</x:f>
        <x:v>193900</x:v>
      </x:c>
      <x:c r="J56" s="6" t="n">
        <x:f>E56-MAX(0,LARGE('日経_V_Q07'!$E$6:$E$31,1))-MAX(0,LARGE('日経_V_Q07'!$E$6:$E$31,2))-MAX(0,LARGE('日経_V_Q07'!$E$6:$E$31,3))</x:f>
        <x:v>-1458800</x:v>
      </x:c>
      <x:c r="K56" s="6" t="n">
        <x:v>257</x:v>
      </x:c>
      <x:c r="L56" s="6" t="n">
        <x:f>'日経_V_Q07'!G32</x:f>
        <x:v>-193900</x:v>
      </x:c>
      <x:c r="M56" s="6" t="n">
        <x:f>'日経_V_Q07'!H32</x:f>
        <x:v>201100</x:v>
      </x:c>
      <x:c r="N56" s="6" t="n">
        <x:v>5</x:v>
      </x:c>
    </x:row>
    <x:row r="57" ht="43" customHeight="1">
      <x:c r="A57" s="2" t="str">
        <x:v>V_Q08</x:v>
      </x:c>
      <x:c r="B57" s="16" t="str">
        <x:v>条件比較：観測修正／逆行40pt後20pt回復・累計25micro</x:v>
      </x:c>
      <x:c r="C57" s="6" t="n">
        <x:f>'日経_V_Q08'!C32</x:f>
        <x:v>315600</x:v>
      </x:c>
      <x:c r="D57" s="6" t="n">
        <x:f>'日経_V_Q08'!D32</x:f>
        <x:v>1441200</x:v>
      </x:c>
      <x:c r="E57" s="6" t="n">
        <x:f>'日経_V_Q08'!E32</x:f>
        <x:v>-1125600</x:v>
      </x:c>
      <x:c r="F57" s="17" t="n">
        <x:f>IF(D57=0,"",C57/D57)</x:f>
        <x:v>0.2189841798501249</x:v>
      </x:c>
      <x:c r="G57" s="6" t="n">
        <x:f>COUNTIFS('日経_V_Q08'!$E$6:$E$31,"&lt;0")</x:f>
        <x:v>19</x:v>
      </x:c>
      <x:c r="H57" s="6" t="n">
        <x:f>IF(G57=0,0,-SUMIFS('日経_V_Q08'!$E$6:$E$31,'日経_V_Q08'!$E$6:$E$31,"&lt;0")/G57)</x:f>
        <x:v>62736.84210526316</x:v>
      </x:c>
      <x:c r="I57" s="6" t="n">
        <x:f>MAX(0,-MIN('日経_V_Q08'!$E$6:$E$31))</x:f>
        <x:v>174300</x:v>
      </x:c>
      <x:c r="J57" s="6" t="n">
        <x:f>E57-MAX(0,LARGE('日経_V_Q08'!$E$6:$E$31,1))-MAX(0,LARGE('日経_V_Q08'!$E$6:$E$31,2))-MAX(0,LARGE('日経_V_Q08'!$E$6:$E$31,3))</x:f>
        <x:v>-1192000</x:v>
      </x:c>
      <x:c r="K57" s="6" t="n">
        <x:v>225</x:v>
      </x:c>
      <x:c r="L57" s="6" t="n">
        <x:f>'日経_V_Q08'!G32</x:f>
        <x:v>-174300</x:v>
      </x:c>
      <x:c r="M57" s="6" t="n">
        <x:f>'日経_V_Q08'!H32</x:f>
        <x:v>188000</x:v>
      </x:c>
      <x:c r="N57" s="6" t="n">
        <x:v>5</x:v>
      </x:c>
    </x:row>
    <x:row r="58" ht="43" customHeight="1">
      <x:c r="A58" s="2" t="str">
        <x:v>V_Q09</x:v>
      </x:c>
      <x:c r="B58" s="16" t="str">
        <x:v>条件比較：観測修正／逆行60pt後20pt回復・累計25micro</x:v>
      </x:c>
      <x:c r="C58" s="6" t="n">
        <x:f>'日経_V_Q09'!C32</x:f>
        <x:v>284400</x:v>
      </x:c>
      <x:c r="D58" s="6" t="n">
        <x:f>'日経_V_Q09'!D32</x:f>
        <x:v>1433000</x:v>
      </x:c>
      <x:c r="E58" s="6" t="n">
        <x:f>'日経_V_Q09'!E32</x:f>
        <x:v>-1148600</x:v>
      </x:c>
      <x:c r="F58" s="17" t="n">
        <x:f>IF(D58=0,"",C58/D58)</x:f>
        <x:v>0.19846475924633636</x:v>
      </x:c>
      <x:c r="G58" s="6" t="n">
        <x:f>COUNTIFS('日経_V_Q09'!$E$6:$E$31,"&lt;0")</x:f>
        <x:v>19</x:v>
      </x:c>
      <x:c r="H58" s="6" t="n">
        <x:f>IF(G58=0,0,-SUMIFS('日経_V_Q09'!$E$6:$E$31,'日経_V_Q09'!$E$6:$E$31,"&lt;0")/G58)</x:f>
        <x:v>63294.73684210526</x:v>
      </x:c>
      <x:c r="I58" s="6" t="n">
        <x:f>MAX(0,-MIN('日経_V_Q09'!$E$6:$E$31))</x:f>
        <x:v>172000</x:v>
      </x:c>
      <x:c r="J58" s="6" t="n">
        <x:f>E58-MAX(0,LARGE('日経_V_Q09'!$E$6:$E$31,1))-MAX(0,LARGE('日経_V_Q09'!$E$6:$E$31,2))-MAX(0,LARGE('日経_V_Q09'!$E$6:$E$31,3))</x:f>
        <x:v>-1202600</x:v>
      </x:c>
      <x:c r="K58" s="6" t="n">
        <x:v>219</x:v>
      </x:c>
      <x:c r="L58" s="6" t="n">
        <x:f>'日経_V_Q09'!G32</x:f>
        <x:v>-172000</x:v>
      </x:c>
      <x:c r="M58" s="6" t="n">
        <x:f>'日経_V_Q09'!H32</x:f>
        <x:v>185600</x:v>
      </x:c>
      <x:c r="N58" s="6" t="n">
        <x:v>5</x:v>
      </x:c>
    </x:row>
    <x:row r="59" ht="43" customHeight="1">
      <x:c r="A59" s="2" t="str">
        <x:v>V_Q10</x:v>
      </x:c>
      <x:c r="B59" s="16" t="str">
        <x:v>条件比較：観測修正／逆行40pt後20pt回復・累計50micro</x:v>
      </x:c>
      <x:c r="C59" s="6" t="n">
        <x:f>'日経_V_Q10'!C32</x:f>
        <x:v>321800</x:v>
      </x:c>
      <x:c r="D59" s="6" t="n">
        <x:f>'日経_V_Q10'!D32</x:f>
        <x:v>1438500</x:v>
      </x:c>
      <x:c r="E59" s="6" t="n">
        <x:f>'日経_V_Q10'!E32</x:f>
        <x:v>-1116700</x:v>
      </x:c>
      <x:c r="F59" s="17" t="n">
        <x:f>IF(D59=0,"",C59/D59)</x:f>
        <x:v>0.22370524852276677</x:v>
      </x:c>
      <x:c r="G59" s="6" t="n">
        <x:f>COUNTIFS('日経_V_Q10'!$E$6:$E$31,"&lt;0")</x:f>
        <x:v>19</x:v>
      </x:c>
      <x:c r="H59" s="6" t="n">
        <x:f>IF(G59=0,0,-SUMIFS('日経_V_Q10'!$E$6:$E$31,'日経_V_Q10'!$E$6:$E$31,"&lt;0")/G59)</x:f>
        <x:v>62352.63157894737</x:v>
      </x:c>
      <x:c r="I59" s="6" t="n">
        <x:f>MAX(0,-MIN('日経_V_Q10'!$E$6:$E$31))</x:f>
        <x:v>174300</x:v>
      </x:c>
      <x:c r="J59" s="6" t="n">
        <x:f>E59-MAX(0,LARGE('日経_V_Q10'!$E$6:$E$31,1))-MAX(0,LARGE('日経_V_Q10'!$E$6:$E$31,2))-MAX(0,LARGE('日経_V_Q10'!$E$6:$E$31,3))</x:f>
        <x:v>-1184700</x:v>
      </x:c>
      <x:c r="K59" s="6" t="n">
        <x:v>234</x:v>
      </x:c>
      <x:c r="L59" s="6" t="n">
        <x:f>'日経_V_Q10'!G32</x:f>
        <x:v>-174300</x:v>
      </x:c>
      <x:c r="M59" s="6" t="n">
        <x:f>'日経_V_Q10'!H32</x:f>
        <x:v>188000</x:v>
      </x:c>
      <x:c r="N59" s="6" t="n">
        <x:v>5</x:v>
      </x:c>
    </x:row>
    <x:row r="60" ht="43" customHeight="1">
      <x:c r="A60" s="2" t="str">
        <x:v>V_Q11</x:v>
      </x:c>
      <x:c r="B60" s="16" t="str">
        <x:v>条件比較：観測修正／二乗抑制＋逆行40pt/累計25micro</x:v>
      </x:c>
      <x:c r="C60" s="6" t="n">
        <x:f>'日経_V_Q11'!C32</x:f>
        <x:v>155500</x:v>
      </x:c>
      <x:c r="D60" s="6" t="n">
        <x:f>'日経_V_Q11'!D32</x:f>
        <x:v>988400</x:v>
      </x:c>
      <x:c r="E60" s="6" t="n">
        <x:f>'日経_V_Q11'!E32</x:f>
        <x:v>-832900</x:v>
      </x:c>
      <x:c r="F60" s="17" t="n">
        <x:f>IF(D60=0,"",C60/D60)</x:f>
        <x:v>0.1573249696479158</x:v>
      </x:c>
      <x:c r="G60" s="6" t="n">
        <x:f>COUNTIFS('日経_V_Q11'!$E$6:$E$31,"&lt;0")</x:f>
        <x:v>19</x:v>
      </x:c>
      <x:c r="H60" s="6" t="n">
        <x:f>IF(G60=0,0,-SUMIFS('日経_V_Q11'!$E$6:$E$31,'日経_V_Q11'!$E$6:$E$31,"&lt;0")/G60)</x:f>
        <x:v>45936.84210526316</x:v>
      </x:c>
      <x:c r="I60" s="6" t="n">
        <x:f>MAX(0,-MIN('日経_V_Q11'!$E$6:$E$31))</x:f>
        <x:v>116900</x:v>
      </x:c>
      <x:c r="J60" s="6" t="n">
        <x:f>E60-MAX(0,LARGE('日経_V_Q11'!$E$6:$E$31,1))-MAX(0,LARGE('日経_V_Q11'!$E$6:$E$31,2))-MAX(0,LARGE('日経_V_Q11'!$E$6:$E$31,3))</x:f>
        <x:v>-872800</x:v>
      </x:c>
      <x:c r="K60" s="6" t="n">
        <x:v>235</x:v>
      </x:c>
      <x:c r="L60" s="6" t="n">
        <x:f>'日経_V_Q11'!G32</x:f>
        <x:v>-116900</x:v>
      </x:c>
      <x:c r="M60" s="6" t="n">
        <x:f>'日経_V_Q11'!H32</x:f>
        <x:v>129000</x:v>
      </x:c>
      <x:c r="N60" s="6" t="n">
        <x:v>5</x:v>
      </x:c>
    </x:row>
    <x:row r="61" ht="43" customHeight="1">
      <x:c r="A61" s="2" t="str">
        <x:v>V_Q12</x:v>
      </x:c>
      <x:c r="B61" s="16" t="str">
        <x:v>条件比較：観測修正／セーブ有・順行追加80pt</x:v>
      </x:c>
      <x:c r="C61" s="6" t="n">
        <x:f>'日経_V_Q12'!C32</x:f>
        <x:v>271200</x:v>
      </x:c>
      <x:c r="D61" s="6" t="n">
        <x:f>'日経_V_Q12'!D32</x:f>
        <x:v>1392800</x:v>
      </x:c>
      <x:c r="E61" s="6" t="n">
        <x:f>'日経_V_Q12'!E32</x:f>
        <x:v>-1121600</x:v>
      </x:c>
      <x:c r="F61" s="17" t="n">
        <x:f>IF(D61=0,"",C61/D61)</x:f>
        <x:v>0.19471568064330844</x:v>
      </x:c>
      <x:c r="G61" s="6" t="n">
        <x:f>COUNTIFS('日経_V_Q12'!$E$6:$E$31,"&lt;0")</x:f>
        <x:v>17</x:v>
      </x:c>
      <x:c r="H61" s="6" t="n">
        <x:f>IF(G61=0,0,-SUMIFS('日経_V_Q12'!$E$6:$E$31,'日経_V_Q12'!$E$6:$E$31,"&lt;0")/G61)</x:f>
        <x:v>76152.94117647059</x:v>
      </x:c>
      <x:c r="I61" s="6" t="n">
        <x:f>MAX(0,-MIN('日経_V_Q12'!$E$6:$E$31))</x:f>
        <x:v>156200</x:v>
      </x:c>
      <x:c r="J61" s="6" t="n">
        <x:f>E61-MAX(0,LARGE('日経_V_Q12'!$E$6:$E$31,1))-MAX(0,LARGE('日経_V_Q12'!$E$6:$E$31,2))-MAX(0,LARGE('日経_V_Q12'!$E$6:$E$31,3))</x:f>
        <x:v>-1292200</x:v>
      </x:c>
      <x:c r="K61" s="6" t="n">
        <x:v>129</x:v>
      </x:c>
      <x:c r="L61" s="6" t="n">
        <x:f>'日経_V_Q12'!G32</x:f>
        <x:v>-156200</x:v>
      </x:c>
      <x:c r="M61" s="6" t="n">
        <x:f>'日経_V_Q12'!H32</x:f>
        <x:v>177500</x:v>
      </x:c>
      <x:c r="N61" s="6" t="n">
        <x:v>5</x:v>
      </x:c>
    </x:row>
    <x:row r="62" ht="43" customHeight="1">
      <x:c r="A62" s="2" t="str">
        <x:v>V_Q13</x:v>
      </x:c>
      <x:c r="B62" s="16" t="str">
        <x:v>条件比較：観測修正／セーブ有・順行追加20pt</x:v>
      </x:c>
      <x:c r="C62" s="6" t="n">
        <x:f>'日経_V_Q13'!C32</x:f>
        <x:v>179700</x:v>
      </x:c>
      <x:c r="D62" s="6" t="n">
        <x:f>'日経_V_Q13'!D32</x:f>
        <x:v>1610800</x:v>
      </x:c>
      <x:c r="E62" s="6" t="n">
        <x:f>'日経_V_Q13'!E32</x:f>
        <x:v>-1431100</x:v>
      </x:c>
      <x:c r="F62" s="17" t="n">
        <x:f>IF(D62=0,"",C62/D62)</x:f>
        <x:v>0.11155947355351378</x:v>
      </x:c>
      <x:c r="G62" s="6" t="n">
        <x:f>COUNTIFS('日経_V_Q13'!$E$6:$E$31,"&lt;0")</x:f>
        <x:v>19</x:v>
      </x:c>
      <x:c r="H62" s="6" t="n">
        <x:f>IF(G62=0,0,-SUMIFS('日経_V_Q13'!$E$6:$E$31,'日経_V_Q13'!$E$6:$E$31,"&lt;0")/G62)</x:f>
        <x:v>77415.78947368421</x:v>
      </x:c>
      <x:c r="I62" s="6" t="n">
        <x:f>MAX(0,-MIN('日経_V_Q13'!$E$6:$E$31))</x:f>
        <x:v>196400</x:v>
      </x:c>
      <x:c r="J62" s="6" t="n">
        <x:f>E62-MAX(0,LARGE('日経_V_Q13'!$E$6:$E$31,1))-MAX(0,LARGE('日経_V_Q13'!$E$6:$E$31,2))-MAX(0,LARGE('日経_V_Q13'!$E$6:$E$31,3))</x:f>
        <x:v>-1470900</x:v>
      </x:c>
      <x:c r="K62" s="6" t="n">
        <x:v>271</x:v>
      </x:c>
      <x:c r="L62" s="6" t="n">
        <x:f>'日経_V_Q13'!G32</x:f>
        <x:v>-207400</x:v>
      </x:c>
      <x:c r="M62" s="6" t="n">
        <x:f>'日経_V_Q13'!H32</x:f>
        <x:v>229200</x:v>
      </x:c>
      <x:c r="N62" s="6" t="n">
        <x:v>5</x:v>
      </x:c>
    </x:row>
    <x:row r="63" ht="43" customHeight="1">
      <x:c r="A63" s="2" t="str">
        <x:v>V_H05</x:v>
      </x:c>
      <x:c r="B63" s="16" t="str">
        <x:v>親内両建て：観測修正／同じCanonical判断を両側保有で実行</x:v>
      </x:c>
      <x:c r="C63" s="6" t="n">
        <x:f>'日経_V_H05'!C32</x:f>
        <x:v>270500</x:v>
      </x:c>
      <x:c r="D63" s="6" t="n">
        <x:f>'日経_V_H05'!D32</x:f>
        <x:v>1423200</x:v>
      </x:c>
      <x:c r="E63" s="6" t="n">
        <x:f>'日経_V_H05'!E32</x:f>
        <x:v>-1152700</x:v>
      </x:c>
      <x:c r="F63" s="17" t="n">
        <x:f>IF(D63=0,"",C63/D63)</x:f>
        <x:v>0.1900646430578977</x:v>
      </x:c>
      <x:c r="G63" s="6" t="n">
        <x:f>COUNTIFS('日経_V_H05'!$E$6:$E$31,"&lt;0")</x:f>
        <x:v>18</x:v>
      </x:c>
      <x:c r="H63" s="6" t="n">
        <x:f>IF(G63=0,0,-SUMIFS('日経_V_H05'!$E$6:$E$31,'日経_V_H05'!$E$6:$E$31,"&lt;0")/G63)</x:f>
        <x:v>67450</x:v>
      </x:c>
      <x:c r="I63" s="6" t="n">
        <x:f>MAX(0,-MIN('日経_V_H05'!$E$6:$E$31))</x:f>
        <x:v>174800</x:v>
      </x:c>
      <x:c r="J63" s="6" t="n">
        <x:f>E63-MAX(0,LARGE('日経_V_H05'!$E$6:$E$31,1))-MAX(0,LARGE('日経_V_H05'!$E$6:$E$31,2))-MAX(0,LARGE('日経_V_H05'!$E$6:$E$31,3))</x:f>
        <x:v>-1214100</x:v>
      </x:c>
      <x:c r="K63" s="6" t="n">
        <x:v>175</x:v>
      </x:c>
      <x:c r="L63" s="6" t="n">
        <x:f>'日経_V_H05'!G32</x:f>
        <x:v>-174800</x:v>
      </x:c>
      <x:c r="M63" s="6" t="n">
        <x:f>'日経_V_H05'!H32</x:f>
        <x:v>185600</x:v>
      </x:c>
      <x:c r="N63" s="6" t="n">
        <x:v>5</x:v>
      </x:c>
    </x:row>
    <x:row r="64" ht="43" customHeight="1">
      <x:c r="A64" s="2" t="str">
        <x:v>V_H08</x:v>
      </x:c>
      <x:c r="B64" s="16" t="str">
        <x:v>親内両建て：観測修正／同じCanonical判断を両側保有で実行</x:v>
      </x:c>
      <x:c r="C64" s="6" t="n">
        <x:f>'日経_V_H08'!C32</x:f>
        <x:v>315600</x:v>
      </x:c>
      <x:c r="D64" s="6" t="n">
        <x:f>'日経_V_H08'!D32</x:f>
        <x:v>1441700</x:v>
      </x:c>
      <x:c r="E64" s="6" t="n">
        <x:f>'日経_V_H08'!E32</x:f>
        <x:v>-1126100</x:v>
      </x:c>
      <x:c r="F64" s="17" t="n">
        <x:f>IF(D64=0,"",C64/D64)</x:f>
        <x:v>0.2189082333356454</x:v>
      </x:c>
      <x:c r="G64" s="6" t="n">
        <x:f>COUNTIFS('日経_V_H08'!$E$6:$E$31,"&lt;0")</x:f>
        <x:v>19</x:v>
      </x:c>
      <x:c r="H64" s="6" t="n">
        <x:f>IF(G64=0,0,-SUMIFS('日経_V_H08'!$E$6:$E$31,'日経_V_H08'!$E$6:$E$31,"&lt;0")/G64)</x:f>
        <x:v>62763.15789473684</x:v>
      </x:c>
      <x:c r="I64" s="6" t="n">
        <x:f>MAX(0,-MIN('日経_V_H08'!$E$6:$E$31))</x:f>
        <x:v>174300</x:v>
      </x:c>
      <x:c r="J64" s="6" t="n">
        <x:f>E64-MAX(0,LARGE('日経_V_H08'!$E$6:$E$31,1))-MAX(0,LARGE('日経_V_H08'!$E$6:$E$31,2))-MAX(0,LARGE('日経_V_H08'!$E$6:$E$31,3))</x:f>
        <x:v>-1192500</x:v>
      </x:c>
      <x:c r="K64" s="6" t="n">
        <x:v>202</x:v>
      </x:c>
      <x:c r="L64" s="6" t="n">
        <x:f>'日経_V_H08'!G32</x:f>
        <x:v>-174300</x:v>
      </x:c>
      <x:c r="M64" s="6" t="n">
        <x:f>'日経_V_H08'!H32</x:f>
        <x:v>188000</x:v>
      </x:c>
      <x:c r="N64" s="6" t="n">
        <x:v>5</x:v>
      </x:c>
    </x:row>
    <x:row r="65" ht="43" customHeight="1">
      <x:c r="A65" s="2" t="str">
        <x:v>V_D05</x:v>
      </x:c>
      <x:c r="B65" s="16" t="str">
        <x:v>場赤字の抑制：観測修正／場開始比赤字8～16万円で新規量抑制/16万円停止</x:v>
      </x:c>
      <x:c r="C65" s="6" t="n">
        <x:f>'日経_V_D05'!C32</x:f>
        <x:v>252800</x:v>
      </x:c>
      <x:c r="D65" s="6" t="n">
        <x:f>'日経_V_D05'!D32</x:f>
        <x:v>1344100</x:v>
      </x:c>
      <x:c r="E65" s="6" t="n">
        <x:f>'日経_V_D05'!E32</x:f>
        <x:v>-1091300</x:v>
      </x:c>
      <x:c r="F65" s="17" t="n">
        <x:f>IF(D65=0,"",C65/D65)</x:f>
        <x:v>0.18808124395506287</x:v>
      </x:c>
      <x:c r="G65" s="6" t="n">
        <x:f>COUNTIFS('日経_V_D05'!$E$6:$E$31,"&lt;0")</x:f>
        <x:v>18</x:v>
      </x:c>
      <x:c r="H65" s="6" t="n">
        <x:f>IF(G65=0,0,-SUMIFS('日経_V_D05'!$E$6:$E$31,'日経_V_D05'!$E$6:$E$31,"&lt;0")/G65)</x:f>
        <x:v>64038.88888888889</x:v>
      </x:c>
      <x:c r="I65" s="6" t="n">
        <x:f>MAX(0,-MIN('日経_V_D05'!$E$6:$E$31))</x:f>
        <x:v>144300</x:v>
      </x:c>
      <x:c r="J65" s="6" t="n">
        <x:f>E65-MAX(0,LARGE('日経_V_D05'!$E$6:$E$31,1))-MAX(0,LARGE('日経_V_D05'!$E$6:$E$31,2))-MAX(0,LARGE('日経_V_D05'!$E$6:$E$31,3))</x:f>
        <x:v>-1152700</x:v>
      </x:c>
      <x:c r="K65" s="6" t="n">
        <x:v>192</x:v>
      </x:c>
      <x:c r="L65" s="6" t="n">
        <x:f>'日経_V_D05'!G32</x:f>
        <x:v>-144300</x:v>
      </x:c>
      <x:c r="M65" s="6" t="n">
        <x:f>'日経_V_D05'!H32</x:f>
        <x:v>165600</x:v>
      </x:c>
      <x:c r="N65" s="6" t="n">
        <x:v>5</x:v>
      </x:c>
    </x:row>
    <x:row r="66" ht="43" customHeight="1">
      <x:c r="A66" s="2" t="str">
        <x:v>V_D08</x:v>
      </x:c>
      <x:c r="B66" s="16" t="str">
        <x:v>場赤字の抑制：観測修正／場開始比赤字8～16万円で新規量抑制/16万円停止</x:v>
      </x:c>
      <x:c r="C66" s="6" t="n">
        <x:f>'日経_V_D08'!C32</x:f>
        <x:v>291600</x:v>
      </x:c>
      <x:c r="D66" s="6" t="n">
        <x:f>'日経_V_D08'!D32</x:f>
        <x:v>1362000</x:v>
      </x:c>
      <x:c r="E66" s="6" t="n">
        <x:f>'日経_V_D08'!E32</x:f>
        <x:v>-1070400</x:v>
      </x:c>
      <x:c r="F66" s="17" t="n">
        <x:f>IF(D66=0,"",C66/D66)</x:f>
        <x:v>0.21409691629955946</x:v>
      </x:c>
      <x:c r="G66" s="6" t="n">
        <x:f>COUNTIFS('日経_V_D08'!$E$6:$E$31,"&lt;0")</x:f>
        <x:v>19</x:v>
      </x:c>
      <x:c r="H66" s="6" t="n">
        <x:f>IF(G66=0,0,-SUMIFS('日経_V_D08'!$E$6:$E$31,'日経_V_D08'!$E$6:$E$31,"&lt;0")/G66)</x:f>
        <x:v>59831.57894736842</x:v>
      </x:c>
      <x:c r="I66" s="6" t="n">
        <x:f>MAX(0,-MIN('日経_V_D08'!$E$6:$E$31))</x:f>
        <x:v>149100</x:v>
      </x:c>
      <x:c r="J66" s="6" t="n">
        <x:f>E66-MAX(0,LARGE('日経_V_D08'!$E$6:$E$31,1))-MAX(0,LARGE('日経_V_D08'!$E$6:$E$31,2))-MAX(0,LARGE('日経_V_D08'!$E$6:$E$31,3))</x:f>
        <x:v>-1136800</x:v>
      </x:c>
      <x:c r="K66" s="6" t="n">
        <x:v>224</x:v>
      </x:c>
      <x:c r="L66" s="6" t="n">
        <x:f>'日経_V_D08'!G32</x:f>
        <x:v>-149100</x:v>
      </x:c>
      <x:c r="M66" s="6" t="n">
        <x:f>'日経_V_D08'!H32</x:f>
        <x:v>170400</x:v>
      </x:c>
      <x:c r="N66" s="6" t="n">
        <x:v>5</x:v>
      </x:c>
    </x:row>
    <x:row r="67" ht="43" customHeight="1">
      <x:c r="A67" s="2" t="str">
        <x:v>J04</x:v>
      </x:c>
      <x:c r="B67" s="16" t="str">
        <x:v>少量開始：新共通出口・最低5micro</x:v>
      </x:c>
      <x:c r="C67" s="6" t="n">
        <x:f>'日経_J04'!C32</x:f>
        <x:v>489200</x:v>
      </x:c>
      <x:c r="D67" s="6" t="n">
        <x:f>'日経_J04'!D32</x:f>
        <x:v>1076000</x:v>
      </x:c>
      <x:c r="E67" s="6" t="n">
        <x:f>'日経_J04'!E32</x:f>
        <x:v>-586800</x:v>
      </x:c>
      <x:c r="F67" s="17" t="n">
        <x:f>IF(D67=0,"",C67/D67)</x:f>
        <x:v>0.4546468401486989</x:v>
      </x:c>
      <x:c r="G67" s="6" t="n">
        <x:f>COUNTIFS('日経_J04'!$E$6:$E$31,"&lt;0")</x:f>
        <x:v>18</x:v>
      </x:c>
      <x:c r="H67" s="6" t="n">
        <x:f>IF(G67=0,0,-SUMIFS('日経_J04'!$E$6:$E$31,'日経_J04'!$E$6:$E$31,"&lt;0")/G67)</x:f>
        <x:v>42233.333333333336</x:v>
      </x:c>
      <x:c r="I67" s="6" t="n">
        <x:f>MAX(0,-MIN('日経_J04'!$E$6:$E$31))</x:f>
        <x:v>139100</x:v>
      </x:c>
      <x:c r="J67" s="6" t="n">
        <x:f>E67-MAX(0,LARGE('日経_J04'!$E$6:$E$31,1))-MAX(0,LARGE('日経_J04'!$E$6:$E$31,2))-MAX(0,LARGE('日経_J04'!$E$6:$E$31,3))</x:f>
        <x:v>-730700</x:v>
      </x:c>
      <x:c r="K67" s="6" t="n">
        <x:v>189</x:v>
      </x:c>
      <x:c r="L67" s="6" t="n">
        <x:f>'日経_J04'!G32</x:f>
        <x:v>-140900</x:v>
      </x:c>
      <x:c r="M67" s="6" t="n">
        <x:f>'日経_J04'!H32</x:f>
        <x:v>162500</x:v>
      </x:c>
      <x:c r="N67" s="6" t="n">
        <x:v>0</x:v>
      </x:c>
    </x:row>
    <x:row r="68" ht="43" customHeight="1">
      <x:c r="A68" s="2" t="str">
        <x:v>J05</x:v>
      </x:c>
      <x:c r="B68" s="16" t="str">
        <x:v>少量開始：新共通出口・最低10micro</x:v>
      </x:c>
      <x:c r="C68" s="6" t="n">
        <x:f>'日経_J05'!C32</x:f>
        <x:v>640900</x:v>
      </x:c>
      <x:c r="D68" s="6" t="n">
        <x:f>'日経_J05'!D32</x:f>
        <x:v>1281600</x:v>
      </x:c>
      <x:c r="E68" s="6" t="n">
        <x:f>'日経_J05'!E32</x:f>
        <x:v>-640700</x:v>
      </x:c>
      <x:c r="F68" s="17" t="n">
        <x:f>IF(D68=0,"",C68/D68)</x:f>
        <x:v>0.5000780274656679</x:v>
      </x:c>
      <x:c r="G68" s="6" t="n">
        <x:f>COUNTIFS('日経_J05'!$E$6:$E$31,"&lt;0")</x:f>
        <x:v>18</x:v>
      </x:c>
      <x:c r="H68" s="6" t="n">
        <x:f>IF(G68=0,0,-SUMIFS('日経_J05'!$E$6:$E$31,'日経_J05'!$E$6:$E$31,"&lt;0")/G68)</x:f>
        <x:v>46416.666666666664</x:v>
      </x:c>
      <x:c r="I68" s="6" t="n">
        <x:f>MAX(0,-MIN('日経_J05'!$E$6:$E$31))</x:f>
        <x:v>148900</x:v>
      </x:c>
      <x:c r="J68" s="6" t="n">
        <x:f>E68-MAX(0,LARGE('日経_J05'!$E$6:$E$31,1))-MAX(0,LARGE('日経_J05'!$E$6:$E$31,2))-MAX(0,LARGE('日経_J05'!$E$6:$E$31,3))</x:f>
        <x:v>-793300</x:v>
      </x:c>
      <x:c r="K68" s="6" t="n">
        <x:v>189</x:v>
      </x:c>
      <x:c r="L68" s="6" t="n">
        <x:f>'日経_J05'!G32</x:f>
        <x:v>-149700</x:v>
      </x:c>
      <x:c r="M68" s="6" t="n">
        <x:f>'日経_J05'!H32</x:f>
        <x:v>171900</x:v>
      </x:c>
      <x:c r="N68" s="6" t="n">
        <x:v>0</x:v>
      </x:c>
    </x:row>
    <x:row r="69" ht="43" customHeight="1">
      <x:c r="A69" s="2" t="str">
        <x:v>J06</x:v>
      </x:c>
      <x:c r="B69" s="16" t="str">
        <x:v>少量開始：新共通出口・最低20micro</x:v>
      </x:c>
      <x:c r="C69" s="6" t="n">
        <x:f>'日経_J06'!C32</x:f>
        <x:v>947500</x:v>
      </x:c>
      <x:c r="D69" s="6" t="n">
        <x:f>'日経_J06'!D32</x:f>
        <x:v>1686500</x:v>
      </x:c>
      <x:c r="E69" s="6" t="n">
        <x:f>'日経_J06'!E32</x:f>
        <x:v>-739000</x:v>
      </x:c>
      <x:c r="F69" s="17" t="n">
        <x:f>IF(D69=0,"",C69/D69)</x:f>
        <x:v>0.5618144085383932</x:v>
      </x:c>
      <x:c r="G69" s="6" t="n">
        <x:f>COUNTIFS('日経_J06'!$E$6:$E$31,"&lt;0")</x:f>
        <x:v>18</x:v>
      </x:c>
      <x:c r="H69" s="6" t="n">
        <x:f>IF(G69=0,0,-SUMIFS('日経_J06'!$E$6:$E$31,'日経_J06'!$E$6:$E$31,"&lt;0")/G69)</x:f>
        <x:v>54266.666666666664</x:v>
      </x:c>
      <x:c r="I69" s="6" t="n">
        <x:f>MAX(0,-MIN('日経_J06'!$E$6:$E$31))</x:f>
        <x:v>166300</x:v>
      </x:c>
      <x:c r="J69" s="6" t="n">
        <x:f>E69-MAX(0,LARGE('日経_J06'!$E$6:$E$31,1))-MAX(0,LARGE('日経_J06'!$E$6:$E$31,2))-MAX(0,LARGE('日経_J06'!$E$6:$E$31,3))</x:f>
        <x:v>-916200</x:v>
      </x:c>
      <x:c r="K69" s="6" t="n">
        <x:v>189</x:v>
      </x:c>
      <x:c r="L69" s="6" t="n">
        <x:f>'日経_J06'!G32</x:f>
        <x:v>-166300</x:v>
      </x:c>
      <x:c r="M69" s="6" t="n">
        <x:f>'日経_J06'!H32</x:f>
        <x:v>189400</x:v>
      </x:c>
      <x:c r="N69" s="6" t="n">
        <x:v>0</x:v>
      </x:c>
    </x:row>
    <x:row r="70" ht="43" customHeight="1">
      <x:c r="A70" s="2" t="str">
        <x:v>J07</x:v>
      </x:c>
      <x:c r="B70" s="16" t="str">
        <x:v>少量開始：最低10＋順行40追加</x:v>
      </x:c>
      <x:c r="C70" s="6" t="n">
        <x:f>'日経_J07'!C32</x:f>
        <x:v>1208900</x:v>
      </x:c>
      <x:c r="D70" s="6" t="n">
        <x:f>'日経_J07'!D32</x:f>
        <x:v>2701200</x:v>
      </x:c>
      <x:c r="E70" s="6" t="n">
        <x:f>'日経_J07'!E32</x:f>
        <x:v>-1492300</x:v>
      </x:c>
      <x:c r="F70" s="17" t="n">
        <x:f>IF(D70=0,"",C70/D70)</x:f>
        <x:v>0.44754183325929214</x:v>
      </x:c>
      <x:c r="G70" s="6" t="n">
        <x:f>COUNTIFS('日経_J07'!$E$6:$E$31,"&lt;0")</x:f>
        <x:v>20</x:v>
      </x:c>
      <x:c r="H70" s="6" t="n">
        <x:f>IF(G70=0,0,-SUMIFS('日経_J07'!$E$6:$E$31,'日経_J07'!$E$6:$E$31,"&lt;0")/G70)</x:f>
        <x:v>90145</x:v>
      </x:c>
      <x:c r="I70" s="6" t="n">
        <x:f>MAX(0,-MIN('日経_J07'!$E$6:$E$31))</x:f>
        <x:v>256400</x:v>
      </x:c>
      <x:c r="J70" s="6" t="n">
        <x:f>E70-MAX(0,LARGE('日経_J07'!$E$6:$E$31,1))-MAX(0,LARGE('日経_J07'!$E$6:$E$31,2))-MAX(0,LARGE('日経_J07'!$E$6:$E$31,3))</x:f>
        <x:v>-1704800</x:v>
      </x:c>
      <x:c r="K70" s="6" t="n">
        <x:v>376</x:v>
      </x:c>
      <x:c r="L70" s="6" t="n">
        <x:f>'日経_J07'!G32</x:f>
        <x:v>-256400</x:v>
      </x:c>
      <x:c r="M70" s="6" t="n">
        <x:f>'日経_J07'!H32</x:f>
        <x:v>278600</x:v>
      </x:c>
      <x:c r="N70" s="6" t="n">
        <x:v>0</x:v>
      </x:c>
    </x:row>
    <x:row r="71" ht="43" customHeight="1">
      <x:c r="A71" s="2" t="str">
        <x:v>J08</x:v>
      </x:c>
      <x:c r="B71" s="16" t="str">
        <x:v>少量開始：最低10＋順行40＋カバー</x:v>
      </x:c>
      <x:c r="C71" s="6" t="n">
        <x:f>'日経_J08'!C32</x:f>
        <x:v>1084200</x:v>
      </x:c>
      <x:c r="D71" s="6" t="n">
        <x:f>'日経_J08'!D32</x:f>
        <x:v>2924700</x:v>
      </x:c>
      <x:c r="E71" s="6" t="n">
        <x:f>'日経_J08'!E32</x:f>
        <x:v>-1840500</x:v>
      </x:c>
      <x:c r="F71" s="17" t="n">
        <x:f>IF(D71=0,"",C71/D71)</x:f>
        <x:v>0.37070468766027287</x:v>
      </x:c>
      <x:c r="G71" s="6" t="n">
        <x:f>COUNTIFS('日経_J08'!$E$6:$E$31,"&lt;0")</x:f>
        <x:v>20</x:v>
      </x:c>
      <x:c r="H71" s="6" t="n">
        <x:f>IF(G71=0,0,-SUMIFS('日経_J08'!$E$6:$E$31,'日経_J08'!$E$6:$E$31,"&lt;0")/G71)</x:f>
        <x:v>103390</x:v>
      </x:c>
      <x:c r="I71" s="6" t="n">
        <x:f>MAX(0,-MIN('日経_J08'!$E$6:$E$31))</x:f>
        <x:v>281300</x:v>
      </x:c>
      <x:c r="J71" s="6" t="n">
        <x:f>E71-MAX(0,LARGE('日経_J08'!$E$6:$E$31,1))-MAX(0,LARGE('日経_J08'!$E$6:$E$31,2))-MAX(0,LARGE('日経_J08'!$E$6:$E$31,3))</x:f>
        <x:v>-2024000</x:v>
      </x:c>
      <x:c r="K71" s="6" t="n">
        <x:v>490</x:v>
      </x:c>
      <x:c r="L71" s="6" t="n">
        <x:f>'日経_J08'!G32</x:f>
        <x:v>-281300</x:v>
      </x:c>
      <x:c r="M71" s="6" t="n">
        <x:f>'日経_J08'!H32</x:f>
        <x:v>303500</x:v>
      </x:c>
      <x:c r="N71" s="6" t="n">
        <x:v>0</x:v>
      </x:c>
    </x:row>
    <x:row r="72" ht="43" customHeight="1">
      <x:c r="A72" s="2" t="str">
        <x:v>J09</x:v>
      </x:c>
      <x:c r="B72" s="16" t="str">
        <x:v>少量開始：最低10＋逆行20回復・累計25</x:v>
      </x:c>
      <x:c r="C72" s="6" t="n">
        <x:f>'日経_J09'!C32</x:f>
        <x:v>1125800</x:v>
      </x:c>
      <x:c r="D72" s="6" t="n">
        <x:f>'日経_J09'!D32</x:f>
        <x:v>3208300</x:v>
      </x:c>
      <x:c r="E72" s="6" t="n">
        <x:f>'日経_J09'!E32</x:f>
        <x:v>-2082500</x:v>
      </x:c>
      <x:c r="F72" s="17" t="n">
        <x:f>IF(D72=0,"",C72/D72)</x:f>
        <x:v>0.35090234703737183</x:v>
      </x:c>
      <x:c r="G72" s="6" t="n">
        <x:f>COUNTIFS('日経_J09'!$E$6:$E$31,"&lt;0")</x:f>
        <x:v>20</x:v>
      </x:c>
      <x:c r="H72" s="6" t="n">
        <x:f>IF(G72=0,0,-SUMIFS('日経_J09'!$E$6:$E$31,'日経_J09'!$E$6:$E$31,"&lt;0")/G72)</x:f>
        <x:v>119880</x:v>
      </x:c>
      <x:c r="I72" s="6" t="n">
        <x:f>MAX(0,-MIN('日経_J09'!$E$6:$E$31))</x:f>
        <x:v>263200</x:v>
      </x:c>
      <x:c r="J72" s="6" t="n">
        <x:f>E72-MAX(0,LARGE('日経_J09'!$E$6:$E$31,1))-MAX(0,LARGE('日経_J09'!$E$6:$E$31,2))-MAX(0,LARGE('日経_J09'!$E$6:$E$31,3))</x:f>
        <x:v>-2335500</x:v>
      </x:c>
      <x:c r="K72" s="6" t="n">
        <x:v>606</x:v>
      </x:c>
      <x:c r="L72" s="6" t="n">
        <x:f>'日経_J09'!G32</x:f>
        <x:v>-281200</x:v>
      </x:c>
      <x:c r="M72" s="6" t="n">
        <x:f>'日経_J09'!H32</x:f>
        <x:v>281200</x:v>
      </x:c>
      <x:c r="N72" s="6" t="n">
        <x:v>0</x:v>
      </x:c>
    </x:row>
    <x:row r="73" ht="43" customHeight="1">
      <x:c r="A73" s="2" t="str">
        <x:v>J10</x:v>
      </x:c>
      <x:c r="B73" s="16" t="str">
        <x:v>少量開始：最低10＋逆行40回復・累計25</x:v>
      </x:c>
      <x:c r="C73" s="6" t="n">
        <x:f>'日経_J10'!C32</x:f>
        <x:v>1140200</x:v>
      </x:c>
      <x:c r="D73" s="6" t="n">
        <x:f>'日経_J10'!D32</x:f>
        <x:v>3005000</x:v>
      </x:c>
      <x:c r="E73" s="6" t="n">
        <x:f>'日経_J10'!E32</x:f>
        <x:v>-1864800</x:v>
      </x:c>
      <x:c r="F73" s="17" t="n">
        <x:f>IF(D73=0,"",C73/D73)</x:f>
        <x:v>0.3794342762063228</x:v>
      </x:c>
      <x:c r="G73" s="6" t="n">
        <x:f>COUNTIFS('日経_J10'!$E$6:$E$31,"&lt;0")</x:f>
        <x:v>21</x:v>
      </x:c>
      <x:c r="H73" s="6" t="n">
        <x:f>IF(G73=0,0,-SUMIFS('日経_J10'!$E$6:$E$31,'日経_J10'!$E$6:$E$31,"&lt;0")/G73)</x:f>
        <x:v>100828.57142857143</x:v>
      </x:c>
      <x:c r="I73" s="6" t="n">
        <x:f>MAX(0,-MIN('日経_J10'!$E$6:$E$31))</x:f>
        <x:v>289200</x:v>
      </x:c>
      <x:c r="J73" s="6" t="n">
        <x:f>E73-MAX(0,LARGE('日経_J10'!$E$6:$E$31,1))-MAX(0,LARGE('日経_J10'!$E$6:$E$31,2))-MAX(0,LARGE('日経_J10'!$E$6:$E$31,3))</x:f>
        <x:v>-2071600</x:v>
      </x:c>
      <x:c r="K73" s="6" t="n">
        <x:v>549</x:v>
      </x:c>
      <x:c r="L73" s="6" t="n">
        <x:f>'日経_J10'!G32</x:f>
        <x:v>-307200</x:v>
      </x:c>
      <x:c r="M73" s="6" t="n">
        <x:f>'日経_J10'!H32</x:f>
        <x:v>307200</x:v>
      </x:c>
      <x:c r="N73" s="6" t="n">
        <x:v>0</x:v>
      </x:c>
    </x:row>
    <x:row r="74" ht="43" customHeight="1">
      <x:c r="A74" s="2" t="str">
        <x:v>J11</x:v>
      </x:c>
      <x:c r="B74" s="16" t="str">
        <x:v>少量開始：最低10＋逆行60回復・累計25</x:v>
      </x:c>
      <x:c r="C74" s="6" t="n">
        <x:f>'日経_J11'!C32</x:f>
        <x:v>1103200</x:v>
      </x:c>
      <x:c r="D74" s="6" t="n">
        <x:f>'日経_J11'!D32</x:f>
        <x:v>3096500</x:v>
      </x:c>
      <x:c r="E74" s="6" t="n">
        <x:f>'日経_J11'!E32</x:f>
        <x:v>-1993300</x:v>
      </x:c>
      <x:c r="F74" s="17" t="n">
        <x:f>IF(D74=0,"",C74/D74)</x:f>
        <x:v>0.35627321169061843</x:v>
      </x:c>
      <x:c r="G74" s="6" t="n">
        <x:f>COUNTIFS('日経_J11'!$E$6:$E$31,"&lt;0")</x:f>
        <x:v>21</x:v>
      </x:c>
      <x:c r="H74" s="6" t="n">
        <x:f>IF(G74=0,0,-SUMIFS('日経_J11'!$E$6:$E$31,'日経_J11'!$E$6:$E$31,"&lt;0")/G74)</x:f>
        <x:v>105190.47619047618</x:v>
      </x:c>
      <x:c r="I74" s="6" t="n">
        <x:f>MAX(0,-MIN('日経_J11'!$E$6:$E$31))</x:f>
        <x:v>281300</x:v>
      </x:c>
      <x:c r="J74" s="6" t="n">
        <x:f>E74-MAX(0,LARGE('日経_J11'!$E$6:$E$31,1))-MAX(0,LARGE('日経_J11'!$E$6:$E$31,2))-MAX(0,LARGE('日経_J11'!$E$6:$E$31,3))</x:f>
        <x:v>-2176800</x:v>
      </x:c>
      <x:c r="K74" s="6" t="n">
        <x:v>525</x:v>
      </x:c>
      <x:c r="L74" s="6" t="n">
        <x:f>'日経_J11'!G32</x:f>
        <x:v>-281300</x:v>
      </x:c>
      <x:c r="M74" s="6" t="n">
        <x:f>'日経_J11'!H32</x:f>
        <x:v>303500</x:v>
      </x:c>
      <x:c r="N74" s="6" t="n">
        <x:v>0</x:v>
      </x:c>
    </x:row>
    <x:row r="75" ht="43" customHeight="1">
      <x:c r="A75" s="2" t="str">
        <x:v>J12</x:v>
      </x:c>
      <x:c r="B75" s="16" t="str">
        <x:v>少量開始：J10と同Canonical・両建て実保有</x:v>
      </x:c>
      <x:c r="C75" s="6" t="n">
        <x:f>'日経_J12'!C32</x:f>
        <x:v>1140200</x:v>
      </x:c>
      <x:c r="D75" s="6" t="n">
        <x:f>'日経_J12'!D32</x:f>
        <x:v>3005500</x:v>
      </x:c>
      <x:c r="E75" s="6" t="n">
        <x:f>'日経_J12'!E32</x:f>
        <x:v>-1865300</x:v>
      </x:c>
      <x:c r="F75" s="17" t="n">
        <x:f>IF(D75=0,"",C75/D75)</x:f>
        <x:v>0.37937115288637496</x:v>
      </x:c>
      <x:c r="G75" s="6" t="n">
        <x:f>COUNTIFS('日経_J12'!$E$6:$E$31,"&lt;0")</x:f>
        <x:v>21</x:v>
      </x:c>
      <x:c r="H75" s="6" t="n">
        <x:f>IF(G75=0,0,-SUMIFS('日経_J12'!$E$6:$E$31,'日経_J12'!$E$6:$E$31,"&lt;0")/G75)</x:f>
        <x:v>100852.38095238095</x:v>
      </x:c>
      <x:c r="I75" s="6" t="n">
        <x:f>MAX(0,-MIN('日経_J12'!$E$6:$E$31))</x:f>
        <x:v>289200</x:v>
      </x:c>
      <x:c r="J75" s="6" t="n">
        <x:f>E75-MAX(0,LARGE('日経_J12'!$E$6:$E$31,1))-MAX(0,LARGE('日経_J12'!$E$6:$E$31,2))-MAX(0,LARGE('日経_J12'!$E$6:$E$31,3))</x:f>
        <x:v>-2072100</x:v>
      </x:c>
      <x:c r="K75" s="6" t="n">
        <x:v>508</x:v>
      </x:c>
      <x:c r="L75" s="6" t="n">
        <x:f>'日経_J12'!G32</x:f>
        <x:v>-307200</x:v>
      </x:c>
      <x:c r="M75" s="6" t="n">
        <x:f>'日経_J12'!H32</x:f>
        <x:v>307200</x:v>
      </x:c>
      <x:c r="N75" s="6" t="n">
        <x:v>0</x:v>
      </x:c>
    </x:row>
    <x:row r="76" ht="43" customHeight="1">
      <x:c r="A76" s="2" t="str">
        <x:v>J13</x:v>
      </x:c>
      <x:c r="B76" s="16" t="str">
        <x:v>少量開始：J10＋場開始比赤字抑制</x:v>
      </x:c>
      <x:c r="C76" s="6" t="n">
        <x:f>'日経_J13'!C32</x:f>
        <x:v>926600</x:v>
      </x:c>
      <x:c r="D76" s="6" t="n">
        <x:f>'日経_J13'!D32</x:f>
        <x:v>2495200</x:v>
      </x:c>
      <x:c r="E76" s="6" t="n">
        <x:f>'日経_J13'!E32</x:f>
        <x:v>-1568600</x:v>
      </x:c>
      <x:c r="F76" s="17" t="n">
        <x:f>IF(D76=0,"",C76/D76)</x:f>
        <x:v>0.3713529977556909</x:v>
      </x:c>
      <x:c r="G76" s="6" t="n">
        <x:f>COUNTIFS('日経_J13'!$E$6:$E$31,"&lt;0")</x:f>
        <x:v>21</x:v>
      </x:c>
      <x:c r="H76" s="6" t="n">
        <x:f>IF(G76=0,0,-SUMIFS('日経_J13'!$E$6:$E$31,'日経_J13'!$E$6:$E$31,"&lt;0")/G76)</x:f>
        <x:v>86723.80952380953</x:v>
      </x:c>
      <x:c r="I76" s="6" t="n">
        <x:f>MAX(0,-MIN('日経_J13'!$E$6:$E$31))</x:f>
        <x:v>157800</x:v>
      </x:c>
      <x:c r="J76" s="6" t="n">
        <x:f>E76-MAX(0,LARGE('日経_J13'!$E$6:$E$31,1))-MAX(0,LARGE('日経_J13'!$E$6:$E$31,2))-MAX(0,LARGE('日経_J13'!$E$6:$E$31,3))</x:f>
        <x:v>-1775400</x:v>
      </x:c>
      <x:c r="K76" s="6" t="n">
        <x:v>521</x:v>
      </x:c>
      <x:c r="L76" s="6" t="n">
        <x:f>'日経_J13'!G32</x:f>
        <x:v>-157800</x:v>
      </x:c>
      <x:c r="M76" s="6" t="n">
        <x:f>'日経_J13'!H32</x:f>
        <x:v>178900</x:v>
      </x:c>
      <x:c r="N76" s="6" t="n">
        <x:v>0</x:v>
      </x:c>
    </x:row>
    <x:row r="77" ht="43" customHeight="1">
      <x:c r="A77" s="2" t="str">
        <x:v>J14</x:v>
      </x:c>
      <x:c r="B77" s="16" t="str">
        <x:v>少量開始：J10の逆行累計上限50micro</x:v>
      </x:c>
      <x:c r="C77" s="6" t="n">
        <x:f>'日経_J14'!C32</x:f>
        <x:v>1177400</x:v>
      </x:c>
      <x:c r="D77" s="6" t="n">
        <x:f>'日経_J14'!D32</x:f>
        <x:v>3238600</x:v>
      </x:c>
      <x:c r="E77" s="6" t="n">
        <x:f>'日経_J14'!E32</x:f>
        <x:v>-2061200</x:v>
      </x:c>
      <x:c r="F77" s="17" t="n">
        <x:f>IF(D77=0,"",C77/D77)</x:f>
        <x:v>0.36355215216451553</x:v>
      </x:c>
      <x:c r="G77" s="6" t="n">
        <x:f>COUNTIFS('日経_J14'!$E$6:$E$31,"&lt;0")</x:f>
        <x:v>21</x:v>
      </x:c>
      <x:c r="H77" s="6" t="n">
        <x:f>IF(G77=0,0,-SUMIFS('日経_J14'!$E$6:$E$31,'日経_J14'!$E$6:$E$31,"&lt;0")/G77)</x:f>
        <x:v>110180.95238095238</x:v>
      </x:c>
      <x:c r="I77" s="6" t="n">
        <x:f>MAX(0,-MIN('日経_J14'!$E$6:$E$31))</x:f>
        <x:v>297800</x:v>
      </x:c>
      <x:c r="J77" s="6" t="n">
        <x:f>E77-MAX(0,LARGE('日経_J14'!$E$6:$E$31,1))-MAX(0,LARGE('日経_J14'!$E$6:$E$31,2))-MAX(0,LARGE('日経_J14'!$E$6:$E$31,3))</x:f>
        <x:v>-2268000</x:v>
      </x:c>
      <x:c r="K77" s="6" t="n">
        <x:v>569</x:v>
      </x:c>
      <x:c r="L77" s="6" t="n">
        <x:f>'日経_J14'!G32</x:f>
        <x:v>-314400</x:v>
      </x:c>
      <x:c r="M77" s="6" t="n">
        <x:f>'日経_J14'!H32</x:f>
        <x:v>320000</x:v>
      </x:c>
      <x:c r="N77" s="6" t="n">
        <x:v>0</x:v>
      </x:c>
    </x:row>
    <x:row r="78" ht="43" customHeight="1">
      <x:c r="A78" s="2" t="str">
        <x:v>K02</x:v>
      </x:c>
      <x:c r="B78" s="16" t="str">
        <x:v>固定10micro：全Source初回10micro固定・追加比例・新出口</x:v>
      </x:c>
      <x:c r="C78" s="6" t="n">
        <x:f>'日経_K02'!C32</x:f>
        <x:v>346000</x:v>
      </x:c>
      <x:c r="D78" s="6" t="n">
        <x:f>'日経_K02'!D32</x:f>
        <x:v>495500</x:v>
      </x:c>
      <x:c r="E78" s="6" t="n">
        <x:f>'日経_K02'!E32</x:f>
        <x:v>-149500</x:v>
      </x:c>
      <x:c r="F78" s="17" t="n">
        <x:f>IF(D78=0,"",C78/D78)</x:f>
        <x:v>0.698284561049445</x:v>
      </x:c>
      <x:c r="G78" s="6" t="n">
        <x:f>COUNTIFS('日経_K02'!$E$6:$E$31,"&lt;0")</x:f>
        <x:v>15</x:v>
      </x:c>
      <x:c r="H78" s="6" t="n">
        <x:f>IF(G78=0,0,-SUMIFS('日経_K02'!$E$6:$E$31,'日経_K02'!$E$6:$E$31,"&lt;0")/G78)</x:f>
        <x:v>15700</x:v>
      </x:c>
      <x:c r="I78" s="6" t="n">
        <x:f>MAX(0,-MIN('日経_K02'!$E$6:$E$31))</x:f>
        <x:v>37000</x:v>
      </x:c>
      <x:c r="J78" s="6" t="n">
        <x:f>E78-MAX(0,LARGE('日経_K02'!$E$6:$E$31,1))-MAX(0,LARGE('日経_K02'!$E$6:$E$31,2))-MAX(0,LARGE('日経_K02'!$E$6:$E$31,3))</x:f>
        <x:v>-196500</x:v>
      </x:c>
      <x:c r="K78" s="6" t="n">
        <x:v>189</x:v>
      </x:c>
      <x:c r="L78" s="6" t="n">
        <x:f>'日経_K02'!G32</x:f>
        <x:v>-46000</x:v>
      </x:c>
      <x:c r="M78" s="6" t="n">
        <x:f>'日経_K02'!H32</x:f>
        <x:v>46000</x:v>
      </x:c>
      <x:c r="N78" s="6" t="n">
        <x:v>0</x:v>
      </x:c>
    </x:row>
    <x:row r="79" ht="25" customHeight="1">
      <x:c r="A79" s="2"/>
      <x:c r="B79" s="2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 ht="25" customHeight="1">
      <x:c r="A80" s="2"/>
      <x:c r="B80" s="2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  <x:row r="81" ht="25" customHeight="1">
      <x:c r="A81" s="2" t="str">
        <x:v>以下は同原行・同価格の一律縮小計算。新しい金融再生ではない。</x:v>
      </x:c>
      <x:c r="B81" s="2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</x:row>
    <x:row r="82" ht="43" customHeight="1">
      <x:c r="A82" s="10" t="str">
        <x:v>算術対照</x:v>
      </x:c>
      <x:c r="B82" s="10" t="str">
        <x:v>計算条件</x:v>
      </x:c>
      <x:c r="C82" s="21" t="str">
        <x:v>総利益（円）</x:v>
      </x:c>
      <x:c r="D82" s="21" t="str">
        <x:v>総損失（円）</x:v>
      </x:c>
      <x:c r="E82" s="21" t="str">
        <x:v>収支（円）</x:v>
      </x:c>
      <x:c r="F82" s="21" t="str">
        <x:v>利益／損失</x:v>
      </x:c>
      <x:c r="G82" s="21" t="str">
        <x:v>赤字場数</x:v>
      </x:c>
      <x:c r="H82" s="21" t="str">
        <x:v>平均赤字（円）</x:v>
      </x:c>
      <x:c r="I82" s="21" t="str">
        <x:v>最大赤字場（円）</x:v>
      </x:c>
      <x:c r="J82" s="21" t="str">
        <x:v>上位3黒字除外（円）</x:v>
      </x:c>
      <x:c r="K82" s="21" t="str">
        <x:v>新規回数</x:v>
      </x:c>
      <x:c r="L82" s="21" t="str">
        <x:v>途中最悪収支（円）</x:v>
      </x:c>
      <x:c r="M82" s="21" t="str">
        <x:v>最大下落額（円）</x:v>
      </x:c>
      <x:c r="N82" s="21" t="str">
        <x:v>無取引場数</x:v>
      </x:c>
    </x:row>
    <x:row r="83" ht="25" customHeight="1">
      <x:c r="A83" s="2" t="str">
        <x:v>算術1/2</x:v>
      </x:c>
      <x:c r="B83" s="2" t="str">
        <x:v>全数量を0.5倍・micro上限50枚</x:v>
      </x:c>
      <x:c r="C83" s="6" t="n">
        <x:f>C6*0.5</x:f>
        <x:v>2115500</x:v>
      </x:c>
      <x:c r="D83" s="6" t="n">
        <x:f>D6*0.5</x:f>
        <x:v>1148000</x:v>
      </x:c>
      <x:c r="E83" s="6" t="n">
        <x:f>E6*0.5</x:f>
        <x:v>967500</x:v>
      </x:c>
      <x:c r="F83" s="17" t="n">
        <x:f>F6</x:f>
        <x:v>1.8427700348432057</x:v>
      </x:c>
      <x:c r="G83" s="6" t="n">
        <x:f>G6</x:f>
        <x:v>8</x:v>
      </x:c>
      <x:c r="H83" s="6" t="n">
        <x:f>H6*0.5</x:f>
        <x:v>26750</x:v>
      </x:c>
      <x:c r="I83" s="6" t="n">
        <x:f>I6*0.5</x:f>
        <x:v>56500</x:v>
      </x:c>
      <x:c r="J83" s="6" t="n">
        <x:f>J6*0.5</x:f>
        <x:v>459500</x:v>
      </x:c>
      <x:c r="K83" s="6" t="n">
        <x:f>K6</x:f>
        <x:v>204</x:v>
      </x:c>
      <x:c r="L83" s="6" t="n">
        <x:f>L6*0.5</x:f>
        <x:v>-101500</x:v>
      </x:c>
      <x:c r="M83" s="6" t="n">
        <x:f>M6*0.5</x:f>
        <x:v>147000</x:v>
      </x:c>
      <x:c r="N83" s="6" t="n">
        <x:f>N6</x:f>
        <x:v>0</x:v>
      </x:c>
    </x:row>
    <x:row r="84" ht="25" customHeight="1">
      <x:c r="A84" s="2" t="str">
        <x:v>算術1/5</x:v>
      </x:c>
      <x:c r="B84" s="2" t="str">
        <x:v>全数量を0.2倍・micro上限20枚</x:v>
      </x:c>
      <x:c r="C84" s="6" t="n">
        <x:f>C6*0.2</x:f>
        <x:v>846200</x:v>
      </x:c>
      <x:c r="D84" s="6" t="n">
        <x:f>D6*0.2</x:f>
        <x:v>459200</x:v>
      </x:c>
      <x:c r="E84" s="6" t="n">
        <x:f>E6*0.2</x:f>
        <x:v>387000</x:v>
      </x:c>
      <x:c r="F84" s="17" t="n">
        <x:f>F6</x:f>
        <x:v>1.8427700348432057</x:v>
      </x:c>
      <x:c r="G84" s="6" t="n">
        <x:f>G6</x:f>
        <x:v>8</x:v>
      </x:c>
      <x:c r="H84" s="6" t="n">
        <x:f>H6*0.2</x:f>
        <x:v>10700</x:v>
      </x:c>
      <x:c r="I84" s="6" t="n">
        <x:f>I6*0.2</x:f>
        <x:v>22600</x:v>
      </x:c>
      <x:c r="J84" s="6" t="n">
        <x:f>J6*0.2</x:f>
        <x:v>183800</x:v>
      </x:c>
      <x:c r="K84" s="6" t="n">
        <x:f>K6</x:f>
        <x:v>204</x:v>
      </x:c>
      <x:c r="L84" s="6" t="n">
        <x:f>L6*0.2</x:f>
        <x:v>-40600</x:v>
      </x:c>
      <x:c r="M84" s="6" t="n">
        <x:f>M6*0.2</x:f>
        <x:v>58800</x:v>
      </x:c>
      <x:c r="N84" s="6" t="n">
        <x:f>N6</x:f>
        <x:v>0</x:v>
      </x:c>
    </x:row>
  </x:sheetData>
  <x:conditionalFormatting sqref="N6:N78">
    <x:cfRule type="cellIs" dxfId="73" priority="1" operator="greaterThan">
      <x:formula>0</x:formula>
    </x:cfRule>
  </x:conditionalFormatting>
  <x:conditionalFormatting sqref="E6:E78">
    <x:cfRule type="cellIs" dxfId="74" priority="2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08941dced2184857"/>
    <x:tablePart xmlns:r="http://schemas.openxmlformats.org/officeDocument/2006/relationships" r:id="Re171e9d9086e406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C00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旧S01全通知の厳密micro換算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-40000</x:v>
      </x:c>
      <x:c r="G7" s="6" t="n">
        <x:v>-70000</x:v>
      </x:c>
      <x:c r="H7" s="6" t="n">
        <x:v>80000</x:v>
      </x:c>
    </x:row>
    <x:row r="8" ht="25" customHeight="1">
      <x:c r="A8" s="2" t="str">
        <x:v>2026-09-23_Day</x:v>
      </x:c>
      <x:c r="B8" s="2" t="str">
        <x:v>下落</x:v>
      </x:c>
      <x:c r="C8" s="6" t="n">
        <x:v>50000</x:v>
      </x:c>
      <x:c r="D8" s="6" t="n">
        <x:v>0</x:v>
      </x:c>
      <x:c r="E8" s="6" t="n">
        <x:f>C8-D8</x:f>
        <x:v>50000</x:v>
      </x:c>
      <x:c r="F8" s="6" t="n">
        <x:f>F7+E8</x:f>
        <x:v>10000</x:v>
      </x:c>
      <x:c r="G8" s="6" t="n">
        <x:v>-15000</x:v>
      </x:c>
      <x:c r="H8" s="6" t="n">
        <x:v>40000</x:v>
      </x:c>
    </x:row>
    <x:row r="9" ht="25" customHeight="1">
      <x:c r="A9" s="2" t="str">
        <x:v>2026-09-24_Day</x:v>
      </x:c>
      <x:c r="B9" s="2" t="str">
        <x:v>下落</x:v>
      </x:c>
      <x:c r="C9" s="6" t="n">
        <x:v>175000</x:v>
      </x:c>
      <x:c r="D9" s="6" t="n">
        <x:v>60000</x:v>
      </x:c>
      <x:c r="E9" s="6" t="n">
        <x:f>C9-D9</x:f>
        <x:v>115000</x:v>
      </x:c>
      <x:c r="F9" s="6" t="n">
        <x:f>F8+E9</x:f>
        <x:v>125000</x:v>
      </x:c>
      <x:c r="G9" s="6" t="n">
        <x:v>-14000</x:v>
      </x:c>
      <x:c r="H9" s="6" t="n">
        <x:v>143000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151000</x:v>
      </x:c>
      <x:c r="D10" s="6" t="n">
        <x:v>16000</x:v>
      </x:c>
      <x:c r="E10" s="6" t="n">
        <x:f>C10-D10</x:f>
        <x:v>135000</x:v>
      </x:c>
      <x:c r="F10" s="6" t="n">
        <x:f>F9+E10</x:f>
        <x:v>260000</x:v>
      </x:c>
      <x:c r="G10" s="6" t="n">
        <x:v>-10000</x:v>
      </x:c>
      <x:c r="H10" s="6" t="n">
        <x:v>81000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125000</x:v>
      </x:c>
      <x:c r="D11" s="6" t="n">
        <x:v>137000</x:v>
      </x:c>
      <x:c r="E11" s="6" t="n">
        <x:f>C11-D11</x:f>
        <x:v>-12000</x:v>
      </x:c>
      <x:c r="F11" s="6" t="n">
        <x:f>F10+E11</x:f>
        <x:v>248000</x:v>
      </x:c>
      <x:c r="G11" s="6" t="n">
        <x:v>-101000</x:v>
      </x:c>
      <x:c r="H11" s="6" t="n">
        <x:v>145000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206000</x:v>
      </x:c>
      <x:c r="D12" s="6" t="n">
        <x:v>125000</x:v>
      </x:c>
      <x:c r="E12" s="6" t="n">
        <x:f>C12-D12</x:f>
        <x:v>81000</x:v>
      </x:c>
      <x:c r="F12" s="6" t="n">
        <x:f>F11+E12</x:f>
        <x:v>329000</x:v>
      </x:c>
      <x:c r="G12" s="6" t="n">
        <x:v>-125000</x:v>
      </x:c>
      <x:c r="H12" s="6" t="n">
        <x:v>218000</x:v>
      </x:c>
    </x:row>
    <x:row r="13" ht="25" customHeight="1">
      <x:c r="A13" s="2" t="str">
        <x:v>2026-09-30_Day</x:v>
      </x:c>
      <x:c r="B13" s="2" t="str">
        <x:v>上昇</x:v>
      </x:c>
      <x:c r="C13" s="6" t="n">
        <x:v>194000</x:v>
      </x:c>
      <x:c r="D13" s="6" t="n">
        <x:v>75000</x:v>
      </x:c>
      <x:c r="E13" s="6" t="n">
        <x:f>C13-D13</x:f>
        <x:v>119000</x:v>
      </x:c>
      <x:c r="F13" s="6" t="n">
        <x:f>F12+E13</x:f>
        <x:v>448000</x:v>
      </x:c>
      <x:c r="G13" s="6" t="n">
        <x:v>-72000</x:v>
      </x:c>
      <x:c r="H13" s="6" t="n">
        <x:v>91000</x:v>
      </x:c>
    </x:row>
    <x:row r="14" ht="25" customHeight="1">
      <x:c r="A14" s="2" t="str">
        <x:v>2026-10-01_Day</x:v>
      </x:c>
      <x:c r="B14" s="2" t="str">
        <x:v>上昇</x:v>
      </x:c>
      <x:c r="C14" s="6" t="n">
        <x:v>248000</x:v>
      </x:c>
      <x:c r="D14" s="6" t="n">
        <x:v>110000</x:v>
      </x:c>
      <x:c r="E14" s="6" t="n">
        <x:f>C14-D14</x:f>
        <x:v>138000</x:v>
      </x:c>
      <x:c r="F14" s="6" t="n">
        <x:f>F13+E14</x:f>
        <x:v>586000</x:v>
      </x:c>
      <x:c r="G14" s="6" t="n">
        <x:v>-72000</x:v>
      </x:c>
      <x:c r="H14" s="6" t="n">
        <x:v>90000</x:v>
      </x:c>
    </x:row>
    <x:row r="15" ht="25" customHeight="1">
      <x:c r="A15" s="2" t="str">
        <x:v>2026-10-02_Day</x:v>
      </x:c>
      <x:c r="B15" s="2" t="str">
        <x:v>上昇</x:v>
      </x:c>
      <x:c r="C15" s="6" t="n">
        <x:v>31000</x:v>
      </x:c>
      <x:c r="D15" s="6" t="n">
        <x:v>73000</x:v>
      </x:c>
      <x:c r="E15" s="6" t="n">
        <x:f>C15-D15</x:f>
        <x:v>-42000</x:v>
      </x:c>
      <x:c r="F15" s="6" t="n">
        <x:f>F14+E15</x:f>
        <x:v>544000</x:v>
      </x:c>
      <x:c r="G15" s="6" t="n">
        <x:v>-81000</x:v>
      </x:c>
      <x:c r="H15" s="6" t="n">
        <x:v>159000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86000</x:v>
      </x:c>
      <x:c r="D16" s="6" t="n">
        <x:v>156000</x:v>
      </x:c>
      <x:c r="E16" s="6" t="n">
        <x:f>C16-D16</x:f>
        <x:v>-70000</x:v>
      </x:c>
      <x:c r="F16" s="6" t="n">
        <x:f>F15+E16</x:f>
        <x:v>474000</x:v>
      </x:c>
      <x:c r="G16" s="6" t="n">
        <x:v>-115000</x:v>
      </x:c>
      <x:c r="H16" s="6" t="n">
        <x:v>165000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142000</x:v>
      </x:c>
      <x:c r="D17" s="6" t="n">
        <x:v>160000</x:v>
      </x:c>
      <x:c r="E17" s="6" t="n">
        <x:f>C17-D17</x:f>
        <x:v>-18000</x:v>
      </x:c>
      <x:c r="F17" s="6" t="n">
        <x:f>F16+E17</x:f>
        <x:v>456000</x:v>
      </x:c>
      <x:c r="G17" s="6" t="n">
        <x:v>-74000</x:v>
      </x:c>
      <x:c r="H17" s="6" t="n">
        <x:v>98000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167000</x:v>
      </x:c>
      <x:c r="D18" s="6" t="n">
        <x:v>46000</x:v>
      </x:c>
      <x:c r="E18" s="6" t="n">
        <x:f>C18-D18</x:f>
        <x:v>121000</x:v>
      </x:c>
      <x:c r="F18" s="6" t="n">
        <x:f>F17+E18</x:f>
        <x:v>577000</x:v>
      </x:c>
      <x:c r="G18" s="6" t="n">
        <x:v>-6000</x:v>
      </x:c>
      <x:c r="H18" s="6" t="n">
        <x:v>62000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126000</x:v>
      </x:c>
      <x:c r="D19" s="6" t="n">
        <x:v>90000</x:v>
      </x:c>
      <x:c r="E19" s="6" t="n">
        <x:f>C19-D19</x:f>
        <x:v>36000</x:v>
      </x:c>
      <x:c r="F19" s="6" t="n">
        <x:f>F18+E19</x:f>
        <x:v>613000</x:v>
      </x:c>
      <x:c r="G19" s="6" t="n">
        <x:v>-78000</x:v>
      </x:c>
      <x:c r="H19" s="6" t="n">
        <x:v>119000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128000</x:v>
      </x:c>
      <x:c r="D20" s="6" t="n">
        <x:v>65000</x:v>
      </x:c>
      <x:c r="E20" s="6" t="n">
        <x:f>C20-D20</x:f>
        <x:v>63000</x:v>
      </x:c>
      <x:c r="F20" s="6" t="n">
        <x:f>F19+E20</x:f>
        <x:v>676000</x:v>
      </x:c>
      <x:c r="G20" s="6" t="n">
        <x:v>-33000</x:v>
      </x:c>
      <x:c r="H20" s="6" t="n">
        <x:v>98000</x:v>
      </x:c>
    </x:row>
    <x:row r="21" ht="25" customHeight="1">
      <x:c r="A21" s="2" t="str">
        <x:v>2026-10-12_Day</x:v>
      </x:c>
      <x:c r="B21" s="2" t="str">
        <x:v>下落</x:v>
      </x:c>
      <x:c r="C21" s="6" t="n">
        <x:v>65000</x:v>
      </x:c>
      <x:c r="D21" s="6" t="n">
        <x:v>25000</x:v>
      </x:c>
      <x:c r="E21" s="6" t="n">
        <x:f>C21-D21</x:f>
        <x:v>40000</x:v>
      </x:c>
      <x:c r="F21" s="6" t="n">
        <x:f>F20+E21</x:f>
        <x:v>716000</x:v>
      </x:c>
      <x:c r="G21" s="6" t="n">
        <x:v>-31000</x:v>
      </x:c>
      <x:c r="H21" s="6" t="n">
        <x:v>70000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208000</x:v>
      </x:c>
      <x:c r="D22" s="6" t="n">
        <x:v>151000</x:v>
      </x:c>
      <x:c r="E22" s="6" t="n">
        <x:f>C22-D22</x:f>
        <x:v>57000</x:v>
      </x:c>
      <x:c r="F22" s="6" t="n">
        <x:f>F21+E22</x:f>
        <x:v>773000</x:v>
      </x:c>
      <x:c r="G22" s="6" t="n">
        <x:v>-36000</x:v>
      </x:c>
      <x:c r="H22" s="6" t="n">
        <x:v>113000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149000</x:v>
      </x:c>
      <x:c r="D23" s="6" t="n">
        <x:v>48000</x:v>
      </x:c>
      <x:c r="E23" s="6" t="n">
        <x:f>C23-D23</x:f>
        <x:v>101000</x:v>
      </x:c>
      <x:c r="F23" s="6" t="n">
        <x:f>F22+E23</x:f>
        <x:v>874000</x:v>
      </x:c>
      <x:c r="G23" s="6" t="n">
        <x:v>-58000</x:v>
      </x:c>
      <x:c r="H23" s="6" t="n">
        <x:v>75000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302000</x:v>
      </x:c>
      <x:c r="D24" s="6" t="n">
        <x:v>66000</x:v>
      </x:c>
      <x:c r="E24" s="6" t="n">
        <x:f>C24-D24</x:f>
        <x:v>236000</x:v>
      </x:c>
      <x:c r="F24" s="6" t="n">
        <x:f>F23+E24</x:f>
        <x:v>1110000</x:v>
      </x:c>
      <x:c r="G24" s="6" t="n">
        <x:v>-68000</x:v>
      </x:c>
      <x:c r="H24" s="6" t="n">
        <x:v>118000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145000</x:v>
      </x:c>
      <x:c r="D25" s="6" t="n">
        <x:v>218000</x:v>
      </x:c>
      <x:c r="E25" s="6" t="n">
        <x:f>C25-D25</x:f>
        <x:v>-73000</x:v>
      </x:c>
      <x:c r="F25" s="6" t="n">
        <x:f>F24+E25</x:f>
        <x:v>1037000</x:v>
      </x:c>
      <x:c r="G25" s="6" t="n">
        <x:v>-140000</x:v>
      </x:c>
      <x:c r="H25" s="6" t="n">
        <x:v>162000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1366000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203000</x:v>
      </x:c>
      <x:c r="D27" s="6" t="n">
        <x:v>178000</x:v>
      </x:c>
      <x:c r="E27" s="6" t="n">
        <x:f>C27-D27</x:f>
        <x:v>25000</x:v>
      </x:c>
      <x:c r="F27" s="6" t="n">
        <x:f>F26+E27</x:f>
        <x:v>1391000</x:v>
      </x:c>
      <x:c r="G27" s="6" t="n">
        <x:v>-60000</x:v>
      </x:c>
      <x:c r="H27" s="6" t="n">
        <x:v>294000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80000</x:v>
      </x:c>
      <x:c r="D28" s="6" t="n">
        <x:v>193000</x:v>
      </x:c>
      <x:c r="E28" s="6" t="n">
        <x:f>C28-D28</x:f>
        <x:v>-113000</x:v>
      </x:c>
      <x:c r="F28" s="6" t="n">
        <x:f>F27+E28</x:f>
        <x:v>1278000</x:v>
      </x:c>
      <x:c r="G28" s="6" t="n">
        <x:v>-203000</x:v>
      </x:c>
      <x:c r="H28" s="6" t="n">
        <x:v>216000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399000</x:v>
      </x:c>
      <x:c r="D29" s="6" t="n">
        <x:v>0</x:v>
      </x:c>
      <x:c r="E29" s="6" t="n">
        <x:f>C29-D29</x:f>
        <x:v>399000</x:v>
      </x:c>
      <x:c r="F29" s="6" t="n">
        <x:f>F28+E29</x:f>
        <x:v>1677000</x:v>
      </x:c>
      <x:c r="G29" s="6" t="n">
        <x:v>-17000</x:v>
      </x:c>
      <x:c r="H29" s="6" t="n">
        <x:v>93000</x:v>
      </x:c>
    </x:row>
    <x:row r="30" ht="25" customHeight="1">
      <x:c r="A30" s="2" t="str">
        <x:v>2026-10-23_Day</x:v>
      </x:c>
      <x:c r="B30" s="2" t="str">
        <x:v>上昇</x:v>
      </x:c>
      <x:c r="C30" s="6" t="n">
        <x:v>332000</x:v>
      </x:c>
      <x:c r="D30" s="6" t="n">
        <x:v>44000</x:v>
      </x:c>
      <x:c r="E30" s="6" t="n">
        <x:f>C30-D30</x:f>
        <x:v>288000</x:v>
      </x:c>
      <x:c r="F30" s="6" t="n">
        <x:f>F29+E30</x:f>
        <x:v>1965000</x:v>
      </x:c>
      <x:c r="G30" s="6" t="n">
        <x:v>-24000</x:v>
      </x:c>
      <x:c r="H30" s="6" t="n">
        <x:v>82000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160000</x:v>
      </x:c>
      <x:c r="D31" s="6" t="n">
        <x:v>190000</x:v>
      </x:c>
      <x:c r="E31" s="6" t="n">
        <x:f>C31-D31</x:f>
        <x:v>-30000</x:v>
      </x:c>
      <x:c r="F31" s="6" t="n">
        <x:f>F30+E31</x:f>
        <x:v>1935000</x:v>
      </x:c>
      <x:c r="G31" s="6" t="n">
        <x:v>-126000</x:v>
      </x:c>
      <x:c r="H31" s="6" t="n">
        <x:v>254000</x:v>
      </x:c>
    </x:row>
    <x:row r="32" ht="25" customHeight="1">
      <x:c r="A32" s="13" t="str">
        <x:v>累計／場内最悪値</x:v>
      </x:c>
      <x:c r="B32" s="13"/>
      <x:c r="C32" s="14" t="n">
        <x:f>SUM(C6:C31)</x:f>
        <x:v>4231000</x:v>
      </x:c>
      <x:c r="D32" s="14" t="n">
        <x:f>SUM(D6:D31)</x:f>
        <x:v>2296000</x:v>
      </x:c>
      <x:c r="E32" s="14" t="n">
        <x:f>C32-D32</x:f>
        <x:v>1935000</x:v>
      </x:c>
      <x:c r="F32" s="14" t="n">
        <x:f>F31</x:f>
        <x:v>1935000</x:v>
      </x:c>
      <x:c r="G32" s="14" t="n">
        <x:f>MIN(G6:G31)</x:f>
        <x:v>-203000</x:v>
      </x:c>
      <x:c r="H32" s="14" t="n">
        <x:f>MAX(H6:H31)</x:f>
        <x:v>294000</x:v>
      </x:c>
    </x:row>
  </x:sheetData>
  <x:conditionalFormatting sqref="E6:F3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b07d9f6a1144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K01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全Source初回10micro固定・追加比例・旧出口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7200</x:v>
      </x:c>
      <x:c r="D6" s="6" t="n">
        <x:v>0</x:v>
      </x:c>
      <x:c r="E6" s="6" t="n">
        <x:f>C6-D6</x:f>
        <x:v>7200</x:v>
      </x:c>
      <x:c r="F6" s="6" t="n">
        <x:f>E6</x:f>
        <x:v>7200</x:v>
      </x:c>
      <x:c r="G6" s="6" t="n">
        <x:v>-12000</x:v>
      </x:c>
      <x:c r="H6" s="6" t="n">
        <x:v>13000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-6800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10000</x:v>
      </x:c>
      <x:c r="D8" s="6" t="n">
        <x:v>0</x:v>
      </x:c>
      <x:c r="E8" s="6" t="n">
        <x:f>C8-D8</x:f>
        <x:v>10000</x:v>
      </x:c>
      <x:c r="F8" s="6" t="n">
        <x:f>F7+E8</x:f>
        <x:v>3200</x:v>
      </x:c>
      <x:c r="G8" s="6" t="n">
        <x:v>-3000</x:v>
      </x:c>
      <x:c r="H8" s="6" t="n">
        <x:v>8000</x:v>
      </x:c>
    </x:row>
    <x:row r="9" ht="25" customHeight="1">
      <x:c r="A9" s="2" t="str">
        <x:v>2026-09-24_Day</x:v>
      </x:c>
      <x:c r="B9" s="2" t="str">
        <x:v>下落</x:v>
      </x:c>
      <x:c r="C9" s="6" t="n">
        <x:v>68300</x:v>
      </x:c>
      <x:c r="D9" s="6" t="n">
        <x:v>12000</x:v>
      </x:c>
      <x:c r="E9" s="6" t="n">
        <x:f>C9-D9</x:f>
        <x:v>56300</x:v>
      </x:c>
      <x:c r="F9" s="6" t="n">
        <x:f>F8+E9</x:f>
        <x:v>59500</x:v>
      </x:c>
      <x:c r="G9" s="6" t="n">
        <x:v>-7000</x:v>
      </x:c>
      <x:c r="H9" s="6" t="n">
        <x:v>47500</x:v>
      </x:c>
    </x:row>
    <x:row r="10" ht="25" customHeight="1">
      <x:c r="A10" s="2" t="str">
        <x:v>2026-09-25_Day</x:v>
      </x:c>
      <x:c r="B10" s="2" t="str">
        <x:v>上昇</x:v>
      </x:c>
      <x:c r="C10" s="6" t="n">
        <x:v>56000</x:v>
      </x:c>
      <x:c r="D10" s="6" t="n">
        <x:v>8000</x:v>
      </x:c>
      <x:c r="E10" s="6" t="n">
        <x:f>C10-D10</x:f>
        <x:v>48000</x:v>
      </x:c>
      <x:c r="F10" s="6" t="n">
        <x:f>F9+E10</x:f>
        <x:v>107500</x:v>
      </x:c>
      <x:c r="G10" s="6" t="n">
        <x:v>-2000</x:v>
      </x:c>
      <x:c r="H10" s="6" t="n">
        <x:v>28800</x:v>
      </x:c>
    </x:row>
    <x:row r="11" ht="25" customHeight="1">
      <x:c r="A11" s="2" t="str">
        <x:v>2026-09-28_Day</x:v>
      </x:c>
      <x:c r="B11" s="2" t="str">
        <x:v>下落</x:v>
      </x:c>
      <x:c r="C11" s="6" t="n">
        <x:v>30700</x:v>
      </x:c>
      <x:c r="D11" s="6" t="n">
        <x:v>46000</x:v>
      </x:c>
      <x:c r="E11" s="6" t="n">
        <x:f>C11-D11</x:f>
        <x:v>-15300</x:v>
      </x:c>
      <x:c r="F11" s="6" t="n">
        <x:f>F10+E11</x:f>
        <x:v>92200</x:v>
      </x:c>
      <x:c r="G11" s="6" t="n">
        <x:v>-16300</x:v>
      </x:c>
      <x:c r="H11" s="6" t="n">
        <x:v>39100</x:v>
      </x:c>
    </x:row>
    <x:row r="12" ht="25" customHeight="1">
      <x:c r="A12" s="2" t="str">
        <x:v>2026-09-29_Day</x:v>
      </x:c>
      <x:c r="B12" s="2" t="str">
        <x:v>下落</x:v>
      </x:c>
      <x:c r="C12" s="6" t="n">
        <x:v>45700</x:v>
      </x:c>
      <x:c r="D12" s="6" t="n">
        <x:v>62500</x:v>
      </x:c>
      <x:c r="E12" s="6" t="n">
        <x:f>C12-D12</x:f>
        <x:v>-16800</x:v>
      </x:c>
      <x:c r="F12" s="6" t="n">
        <x:f>F11+E12</x:f>
        <x:v>75400</x:v>
      </x:c>
      <x:c r="G12" s="6" t="n">
        <x:v>-50500</x:v>
      </x:c>
      <x:c r="H12" s="6" t="n">
        <x:v>67000</x:v>
      </x:c>
    </x:row>
    <x:row r="13" ht="25" customHeight="1">
      <x:c r="A13" s="2" t="str">
        <x:v>2026-09-30_Day</x:v>
      </x:c>
      <x:c r="B13" s="2" t="str">
        <x:v>上昇</x:v>
      </x:c>
      <x:c r="C13" s="6" t="n">
        <x:v>44500</x:v>
      </x:c>
      <x:c r="D13" s="6" t="n">
        <x:v>21000</x:v>
      </x:c>
      <x:c r="E13" s="6" t="n">
        <x:f>C13-D13</x:f>
        <x:v>23500</x:v>
      </x:c>
      <x:c r="F13" s="6" t="n">
        <x:f>F12+E13</x:f>
        <x:v>98900</x:v>
      </x:c>
      <x:c r="G13" s="6" t="n">
        <x:v>-12500</x:v>
      </x:c>
      <x:c r="H13" s="6" t="n">
        <x:v>22000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52000</x:v>
      </x:c>
      <x:c r="D14" s="6" t="n">
        <x:v>37000</x:v>
      </x:c>
      <x:c r="E14" s="6" t="n">
        <x:f>C14-D14</x:f>
        <x:v>15000</x:v>
      </x:c>
      <x:c r="F14" s="6" t="n">
        <x:f>F13+E14</x:f>
        <x:v>113900</x:v>
      </x:c>
      <x:c r="G14" s="6" t="n">
        <x:v>-12000</x:v>
      </x:c>
      <x:c r="H14" s="6" t="n">
        <x:v>22200</x:v>
      </x:c>
    </x:row>
    <x:row r="15" ht="25" customHeight="1">
      <x:c r="A15" s="2" t="str">
        <x:v>2026-10-02_Day</x:v>
      </x:c>
      <x:c r="B15" s="2" t="str">
        <x:v>上昇</x:v>
      </x:c>
      <x:c r="C15" s="6" t="n">
        <x:v>15500</x:v>
      </x:c>
      <x:c r="D15" s="6" t="n">
        <x:v>17000</x:v>
      </x:c>
      <x:c r="E15" s="6" t="n">
        <x:f>C15-D15</x:f>
        <x:v>-1500</x:v>
      </x:c>
      <x:c r="F15" s="6" t="n">
        <x:f>F14+E15</x:f>
        <x:v>112400</x:v>
      </x:c>
      <x:c r="G15" s="6" t="n">
        <x:v>-21000</x:v>
      </x:c>
      <x:c r="H15" s="6" t="n">
        <x:v>40500</x:v>
      </x:c>
    </x:row>
    <x:row r="16" ht="25" customHeight="1">
      <x:c r="A16" s="2" t="str">
        <x:v>2026-10-05_Day</x:v>
      </x:c>
      <x:c r="B16" s="2" t="str">
        <x:v>上昇</x:v>
      </x:c>
      <x:c r="C16" s="6" t="n">
        <x:v>43000</x:v>
      </x:c>
      <x:c r="D16" s="6" t="n">
        <x:v>36000</x:v>
      </x:c>
      <x:c r="E16" s="6" t="n">
        <x:f>C16-D16</x:f>
        <x:v>7000</x:v>
      </x:c>
      <x:c r="F16" s="6" t="n">
        <x:f>F15+E16</x:f>
        <x:v>119400</x:v>
      </x:c>
      <x:c r="G16" s="6" t="n">
        <x:v>-24500</x:v>
      </x:c>
      <x:c r="H16" s="6" t="n">
        <x:v>39000</x:v>
      </x:c>
    </x:row>
    <x:row r="17" ht="25" customHeight="1">
      <x:c r="A17" s="2" t="str">
        <x:v>2026-10-06_Day</x:v>
      </x:c>
      <x:c r="B17" s="2" t="str">
        <x:v>上昇</x:v>
      </x:c>
      <x:c r="C17" s="6" t="n">
        <x:v>36500</x:v>
      </x:c>
      <x:c r="D17" s="6" t="n">
        <x:v>65000</x:v>
      </x:c>
      <x:c r="E17" s="6" t="n">
        <x:f>C17-D17</x:f>
        <x:v>-28500</x:v>
      </x:c>
      <x:c r="F17" s="6" t="n">
        <x:f>F16+E17</x:f>
        <x:v>90900</x:v>
      </x:c>
      <x:c r="G17" s="6" t="n">
        <x:v>-29000</x:v>
      </x:c>
      <x:c r="H17" s="6" t="n">
        <x:v>48000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71800</x:v>
      </x:c>
      <x:c r="D18" s="6" t="n">
        <x:v>17000</x:v>
      </x:c>
      <x:c r="E18" s="6" t="n">
        <x:f>C18-D18</x:f>
        <x:v>54800</x:v>
      </x:c>
      <x:c r="F18" s="6" t="n">
        <x:f>F17+E18</x:f>
        <x:v>145700</x:v>
      </x:c>
      <x:c r="G18" s="6" t="n">
        <x:v>-3000</x:v>
      </x:c>
      <x:c r="H18" s="6" t="n">
        <x:v>25000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28800</x:v>
      </x:c>
      <x:c r="D19" s="6" t="n">
        <x:v>18000</x:v>
      </x:c>
      <x:c r="E19" s="6" t="n">
        <x:f>C19-D19</x:f>
        <x:v>10800</x:v>
      </x:c>
      <x:c r="F19" s="6" t="n">
        <x:f>F18+E19</x:f>
        <x:v>156500</x:v>
      </x:c>
      <x:c r="G19" s="6" t="n">
        <x:v>-13000</x:v>
      </x:c>
      <x:c r="H19" s="6" t="n">
        <x:v>24000</x:v>
      </x:c>
    </x:row>
    <x:row r="20" ht="25" customHeight="1">
      <x:c r="A20" s="2" t="str">
        <x:v>2026-10-09_Day</x:v>
      </x:c>
      <x:c r="B20" s="2" t="str">
        <x:v>上昇</x:v>
      </x:c>
      <x:c r="C20" s="6" t="n">
        <x:v>32800</x:v>
      </x:c>
      <x:c r="D20" s="6" t="n">
        <x:v>32500</x:v>
      </x:c>
      <x:c r="E20" s="6" t="n">
        <x:f>C20-D20</x:f>
        <x:v>300</x:v>
      </x:c>
      <x:c r="F20" s="6" t="n">
        <x:f>F19+E20</x:f>
        <x:v>156800</x:v>
      </x:c>
      <x:c r="G20" s="6" t="n">
        <x:v>-9500</x:v>
      </x:c>
      <x:c r="H20" s="6" t="n">
        <x:v>38500</x:v>
      </x:c>
    </x:row>
    <x:row r="21" ht="25" customHeight="1">
      <x:c r="A21" s="2" t="str">
        <x:v>2026-10-12_Day</x:v>
      </x:c>
      <x:c r="B21" s="2" t="str">
        <x:v>下落</x:v>
      </x:c>
      <x:c r="C21" s="6" t="n">
        <x:v>14200</x:v>
      </x:c>
      <x:c r="D21" s="6" t="n">
        <x:v>5000</x:v>
      </x:c>
      <x:c r="E21" s="6" t="n">
        <x:f>C21-D21</x:f>
        <x:v>9200</x:v>
      </x:c>
      <x:c r="F21" s="6" t="n">
        <x:f>F20+E21</x:f>
        <x:v>166000</x:v>
      </x:c>
      <x:c r="G21" s="6" t="n">
        <x:v>-5000</x:v>
      </x:c>
      <x:c r="H21" s="6" t="n">
        <x:v>14000</x:v>
      </x:c>
    </x:row>
    <x:row r="22" ht="25" customHeight="1">
      <x:c r="A22" s="2" t="str">
        <x:v>2026-10-13_Day</x:v>
      </x:c>
      <x:c r="B22" s="2" t="str">
        <x:v>下落</x:v>
      </x:c>
      <x:c r="C22" s="6" t="n">
        <x:v>64100</x:v>
      </x:c>
      <x:c r="D22" s="6" t="n">
        <x:v>71000</x:v>
      </x:c>
      <x:c r="E22" s="6" t="n">
        <x:f>C22-D22</x:f>
        <x:v>-6900</x:v>
      </x:c>
      <x:c r="F22" s="6" t="n">
        <x:f>F21+E22</x:f>
        <x:v>159100</x:v>
      </x:c>
      <x:c r="G22" s="6" t="n">
        <x:v>-30900</x:v>
      </x:c>
      <x:c r="H22" s="6" t="n">
        <x:v>45400</x:v>
      </x:c>
    </x:row>
    <x:row r="23" ht="25" customHeight="1">
      <x:c r="A23" s="2" t="str">
        <x:v>2026-10-14_Day</x:v>
      </x:c>
      <x:c r="B23" s="2" t="str">
        <x:v>上昇</x:v>
      </x:c>
      <x:c r="C23" s="6" t="n">
        <x:v>29800</x:v>
      </x:c>
      <x:c r="D23" s="6" t="n">
        <x:v>22500</x:v>
      </x:c>
      <x:c r="E23" s="6" t="n">
        <x:f>C23-D23</x:f>
        <x:v>7300</x:v>
      </x:c>
      <x:c r="F23" s="6" t="n">
        <x:f>F22+E23</x:f>
        <x:v>166400</x:v>
      </x:c>
      <x:c r="G23" s="6" t="n">
        <x:v>-24500</x:v>
      </x:c>
      <x:c r="H23" s="6" t="n">
        <x:v>33000</x:v>
      </x:c>
    </x:row>
    <x:row r="24" ht="25" customHeight="1">
      <x:c r="A24" s="2" t="str">
        <x:v>2026-10-15_Day</x:v>
      </x:c>
      <x:c r="B24" s="2" t="str">
        <x:v>下落</x:v>
      </x:c>
      <x:c r="C24" s="6" t="n">
        <x:v>66400</x:v>
      </x:c>
      <x:c r="D24" s="6" t="n">
        <x:v>33000</x:v>
      </x:c>
      <x:c r="E24" s="6" t="n">
        <x:f>C24-D24</x:f>
        <x:v>33400</x:v>
      </x:c>
      <x:c r="F24" s="6" t="n">
        <x:f>F23+E24</x:f>
        <x:v>199800</x:v>
      </x:c>
      <x:c r="G24" s="6" t="n">
        <x:v>-28000</x:v>
      </x:c>
      <x:c r="H24" s="6" t="n">
        <x:v>46000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35600</x:v>
      </x:c>
      <x:c r="D25" s="6" t="n">
        <x:v>64000</x:v>
      </x:c>
      <x:c r="E25" s="6" t="n">
        <x:f>C25-D25</x:f>
        <x:v>-28400</x:v>
      </x:c>
      <x:c r="F25" s="6" t="n">
        <x:f>F24+E25</x:f>
        <x:v>171400</x:v>
      </x:c>
      <x:c r="G25" s="6" t="n">
        <x:v>-41800</x:v>
      </x:c>
      <x:c r="H25" s="6" t="n">
        <x:v>46300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109600</x:v>
      </x:c>
      <x:c r="D26" s="6" t="n">
        <x:v>0</x:v>
      </x:c>
      <x:c r="E26" s="6" t="n">
        <x:f>C26-D26</x:f>
        <x:v>109600</x:v>
      </x:c>
      <x:c r="F26" s="6" t="n">
        <x:f>F25+E26</x:f>
        <x:v>281000</x:v>
      </x:c>
      <x:c r="G26" s="6" t="n">
        <x:v>-4000</x:v>
      </x:c>
      <x:c r="H26" s="6" t="n">
        <x:v>49000</x:v>
      </x:c>
    </x:row>
    <x:row r="27" ht="25" customHeight="1">
      <x:c r="A27" s="2" t="str">
        <x:v>2026-10-20_Day</x:v>
      </x:c>
      <x:c r="B27" s="2" t="str">
        <x:v>下落</x:v>
      </x:c>
      <x:c r="C27" s="6" t="n">
        <x:v>53800</x:v>
      </x:c>
      <x:c r="D27" s="6" t="n">
        <x:v>65000</x:v>
      </x:c>
      <x:c r="E27" s="6" t="n">
        <x:f>C27-D27</x:f>
        <x:v>-11200</x:v>
      </x:c>
      <x:c r="F27" s="6" t="n">
        <x:f>F26+E27</x:f>
        <x:v>269800</x:v>
      </x:c>
      <x:c r="G27" s="6" t="n">
        <x:v>-20400</x:v>
      </x:c>
      <x:c r="H27" s="6" t="n">
        <x:v>95400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22600</x:v>
      </x:c>
      <x:c r="D28" s="6" t="n">
        <x:v>59000</x:v>
      </x:c>
      <x:c r="E28" s="6" t="n">
        <x:f>C28-D28</x:f>
        <x:v>-36400</x:v>
      </x:c>
      <x:c r="F28" s="6" t="n">
        <x:f>F27+E28</x:f>
        <x:v>233400</x:v>
      </x:c>
      <x:c r="G28" s="6" t="n">
        <x:v>-61000</x:v>
      </x:c>
      <x:c r="H28" s="6" t="n">
        <x:v>67500</x:v>
      </x:c>
    </x:row>
    <x:row r="29" ht="25" customHeight="1">
      <x:c r="A29" s="2" t="str">
        <x:v>2026-10-22_Day</x:v>
      </x:c>
      <x:c r="B29" s="2" t="str">
        <x:v>下落</x:v>
      </x:c>
      <x:c r="C29" s="6" t="n">
        <x:v>91200</x:v>
      </x:c>
      <x:c r="D29" s="6" t="n">
        <x:v>0</x:v>
      </x:c>
      <x:c r="E29" s="6" t="n">
        <x:f>C29-D29</x:f>
        <x:v>91200</x:v>
      </x:c>
      <x:c r="F29" s="6" t="n">
        <x:f>F28+E29</x:f>
        <x:v>324600</x:v>
      </x:c>
      <x:c r="G29" s="6" t="n">
        <x:v>-3000</x:v>
      </x:c>
      <x:c r="H29" s="6" t="n">
        <x:v>30000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138400</x:v>
      </x:c>
      <x:c r="D30" s="6" t="n">
        <x:v>22000</x:v>
      </x:c>
      <x:c r="E30" s="6" t="n">
        <x:f>C30-D30</x:f>
        <x:v>116400</x:v>
      </x:c>
      <x:c r="F30" s="6" t="n">
        <x:f>F29+E30</x:f>
        <x:v>441000</x:v>
      </x:c>
      <x:c r="G30" s="6" t="n">
        <x:v>-12000</x:v>
      </x:c>
      <x:c r="H30" s="6" t="n">
        <x:v>41000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80000</x:v>
      </x:c>
      <x:c r="D31" s="6" t="n">
        <x:v>38000</x:v>
      </x:c>
      <x:c r="E31" s="6" t="n">
        <x:f>C31-D31</x:f>
        <x:v>42000</x:v>
      </x:c>
      <x:c r="F31" s="6" t="n">
        <x:f>F30+E31</x:f>
        <x:v>483000</x:v>
      </x:c>
      <x:c r="G31" s="6" t="n">
        <x:v>-10000</x:v>
      </x:c>
      <x:c r="H31" s="6" t="n">
        <x:v>64000</x:v>
      </x:c>
    </x:row>
    <x:row r="32" ht="25" customHeight="1">
      <x:c r="A32" s="13" t="str">
        <x:v>累計／場内最悪値</x:v>
      </x:c>
      <x:c r="B32" s="13"/>
      <x:c r="C32" s="14" t="n">
        <x:f>SUM(C6:C31)</x:f>
        <x:v>1248500</x:v>
      </x:c>
      <x:c r="D32" s="14" t="n">
        <x:f>SUM(D6:D31)</x:f>
        <x:v>765500</x:v>
      </x:c>
      <x:c r="E32" s="14" t="n">
        <x:f>C32-D32</x:f>
        <x:v>483000</x:v>
      </x:c>
      <x:c r="F32" s="14" t="n">
        <x:f>F31</x:f>
        <x:v>483000</x:v>
      </x:c>
      <x:c r="G32" s="14" t="n">
        <x:f>MIN(G6:G31)</x:f>
        <x:v>-61000</x:v>
      </x:c>
      <x:c r="H32" s="14" t="n">
        <x:f>MAX(H6:H31)</x:f>
        <x:v>95400</x:v>
      </x:c>
    </x:row>
  </x:sheetData>
  <x:conditionalFormatting sqref="E6:F31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adf598c0ae49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全Source初回採用・旧出口・最低10micro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7200</x:v>
      </x:c>
      <x:c r="D6" s="6" t="n">
        <x:v>0</x:v>
      </x:c>
      <x:c r="E6" s="6" t="n">
        <x:f>C6-D6</x:f>
        <x:v>7200</x:v>
      </x:c>
      <x:c r="F6" s="6" t="n">
        <x:f>E6</x:f>
        <x:v>7200</x:v>
      </x:c>
      <x:c r="G6" s="6" t="n">
        <x:v>-12000</x:v>
      </x:c>
      <x:c r="H6" s="6" t="n">
        <x:v>13000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-6800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10000</x:v>
      </x:c>
      <x:c r="D8" s="6" t="n">
        <x:v>0</x:v>
      </x:c>
      <x:c r="E8" s="6" t="n">
        <x:f>C8-D8</x:f>
        <x:v>10000</x:v>
      </x:c>
      <x:c r="F8" s="6" t="n">
        <x:f>F7+E8</x:f>
        <x:v>3200</x:v>
      </x:c>
      <x:c r="G8" s="6" t="n">
        <x:v>-3000</x:v>
      </x:c>
      <x:c r="H8" s="6" t="n">
        <x:v>8000</x:v>
      </x:c>
    </x:row>
    <x:row r="9" ht="25" customHeight="1">
      <x:c r="A9" s="2" t="str">
        <x:v>2026-09-24_Day</x:v>
      </x:c>
      <x:c r="B9" s="2" t="str">
        <x:v>下落</x:v>
      </x:c>
      <x:c r="C9" s="6" t="n">
        <x:v>234200</x:v>
      </x:c>
      <x:c r="D9" s="6" t="n">
        <x:v>12000</x:v>
      </x:c>
      <x:c r="E9" s="6" t="n">
        <x:f>C9-D9</x:f>
        <x:v>222200</x:v>
      </x:c>
      <x:c r="F9" s="6" t="n">
        <x:f>F8+E9</x:f>
        <x:v>225400</x:v>
      </x:c>
      <x:c r="G9" s="6" t="n">
        <x:v>-18200</x:v>
      </x:c>
      <x:c r="H9" s="6" t="n">
        <x:v>169300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149400</x:v>
      </x:c>
      <x:c r="D10" s="6" t="n">
        <x:v>8000</x:v>
      </x:c>
      <x:c r="E10" s="6" t="n">
        <x:f>C10-D10</x:f>
        <x:v>141400</x:v>
      </x:c>
      <x:c r="F10" s="6" t="n">
        <x:f>F9+E10</x:f>
        <x:v>366800</x:v>
      </x:c>
      <x:c r="G10" s="6" t="n">
        <x:v>-58000</x:v>
      </x:c>
      <x:c r="H10" s="6" t="n">
        <x:v>96800</x:v>
      </x:c>
    </x:row>
    <x:row r="11" ht="25" customHeight="1">
      <x:c r="A11" s="2" t="str">
        <x:v>2026-09-28_Day</x:v>
      </x:c>
      <x:c r="B11" s="2" t="str">
        <x:v>下落</x:v>
      </x:c>
      <x:c r="C11" s="6" t="n">
        <x:v>65900</x:v>
      </x:c>
      <x:c r="D11" s="6" t="n">
        <x:v>46000</x:v>
      </x:c>
      <x:c r="E11" s="6" t="n">
        <x:f>C11-D11</x:f>
        <x:v>19900</x:v>
      </x:c>
      <x:c r="F11" s="6" t="n">
        <x:f>F10+E11</x:f>
        <x:v>386700</x:v>
      </x:c>
      <x:c r="G11" s="6" t="n">
        <x:v>-75200</x:v>
      </x:c>
      <x:c r="H11" s="6" t="n">
        <x:v>89300</x:v>
      </x:c>
    </x:row>
    <x:row r="12" ht="25" customHeight="1">
      <x:c r="A12" s="2" t="str">
        <x:v>2026-09-29_Day</x:v>
      </x:c>
      <x:c r="B12" s="2" t="str">
        <x:v>下落</x:v>
      </x:c>
      <x:c r="C12" s="6" t="n">
        <x:v>94000</x:v>
      </x:c>
      <x:c r="D12" s="6" t="n">
        <x:v>194800</x:v>
      </x:c>
      <x:c r="E12" s="6" t="n">
        <x:f>C12-D12</x:f>
        <x:v>-100800</x:v>
      </x:c>
      <x:c r="F12" s="6" t="n">
        <x:f>F11+E12</x:f>
        <x:v>285900</x:v>
      </x:c>
      <x:c r="G12" s="6" t="n">
        <x:v>-189200</x:v>
      </x:c>
      <x:c r="H12" s="6" t="n">
        <x:v>207400</x:v>
      </x:c>
    </x:row>
    <x:row r="13" ht="25" customHeight="1">
      <x:c r="A13" s="2" t="str">
        <x:v>2026-09-30_Day</x:v>
      </x:c>
      <x:c r="B13" s="2" t="str">
        <x:v>上昇</x:v>
      </x:c>
      <x:c r="C13" s="6" t="n">
        <x:v>47500</x:v>
      </x:c>
      <x:c r="D13" s="6" t="n">
        <x:v>25400</x:v>
      </x:c>
      <x:c r="E13" s="6" t="n">
        <x:f>C13-D13</x:f>
        <x:v>22100</x:v>
      </x:c>
      <x:c r="F13" s="6" t="n">
        <x:f>F12+E13</x:f>
        <x:v>308000</x:v>
      </x:c>
      <x:c r="G13" s="6" t="n">
        <x:v>-16900</x:v>
      </x:c>
      <x:c r="H13" s="6" t="n">
        <x:v>26400</x:v>
      </x:c>
    </x:row>
    <x:row r="14" ht="25" customHeight="1">
      <x:c r="A14" s="2" t="str">
        <x:v>2026-10-01_Day</x:v>
      </x:c>
      <x:c r="B14" s="2" t="str">
        <x:v>上昇</x:v>
      </x:c>
      <x:c r="C14" s="6" t="n">
        <x:v>66000</x:v>
      </x:c>
      <x:c r="D14" s="6" t="n">
        <x:v>142700</x:v>
      </x:c>
      <x:c r="E14" s="6" t="n">
        <x:f>C14-D14</x:f>
        <x:v>-76700</x:v>
      </x:c>
      <x:c r="F14" s="6" t="n">
        <x:f>F13+E14</x:f>
        <x:v>231300</x:v>
      </x:c>
      <x:c r="G14" s="6" t="n">
        <x:v>-92700</x:v>
      </x:c>
      <x:c r="H14" s="6" t="n">
        <x:v>108900</x:v>
      </x:c>
    </x:row>
    <x:row r="15" ht="25" customHeight="1">
      <x:c r="A15" s="2" t="str">
        <x:v>2026-10-02_Day</x:v>
      </x:c>
      <x:c r="B15" s="2" t="str">
        <x:v>上昇</x:v>
      </x:c>
      <x:c r="C15" s="6" t="n">
        <x:v>19400</x:v>
      </x:c>
      <x:c r="D15" s="6" t="n">
        <x:v>42000</x:v>
      </x:c>
      <x:c r="E15" s="6" t="n">
        <x:f>C15-D15</x:f>
        <x:v>-22600</x:v>
      </x:c>
      <x:c r="F15" s="6" t="n">
        <x:f>F14+E15</x:f>
        <x:v>208700</x:v>
      </x:c>
      <x:c r="G15" s="6" t="n">
        <x:v>-40500</x:v>
      </x:c>
      <x:c r="H15" s="6" t="n">
        <x:v>87300</x:v>
      </x:c>
    </x:row>
    <x:row r="16" ht="25" customHeight="1">
      <x:c r="A16" s="2" t="str">
        <x:v>2026-10-05_Day</x:v>
      </x:c>
      <x:c r="B16" s="2" t="str">
        <x:v>上昇</x:v>
      </x:c>
      <x:c r="C16" s="6" t="n">
        <x:v>65700</x:v>
      </x:c>
      <x:c r="D16" s="6" t="n">
        <x:v>59400</x:v>
      </x:c>
      <x:c r="E16" s="6" t="n">
        <x:f>C16-D16</x:f>
        <x:v>6300</x:v>
      </x:c>
      <x:c r="F16" s="6" t="n">
        <x:f>F15+E16</x:f>
        <x:v>215000</x:v>
      </x:c>
      <x:c r="G16" s="6" t="n">
        <x:v>-19200</x:v>
      </x:c>
      <x:c r="H16" s="6" t="n">
        <x:v>78700</x:v>
      </x:c>
    </x:row>
    <x:row r="17" ht="25" customHeight="1">
      <x:c r="A17" s="2" t="str">
        <x:v>2026-10-06_Day</x:v>
      </x:c>
      <x:c r="B17" s="2" t="str">
        <x:v>上昇</x:v>
      </x:c>
      <x:c r="C17" s="6" t="n">
        <x:v>36600</x:v>
      </x:c>
      <x:c r="D17" s="6" t="n">
        <x:v>167200</x:v>
      </x:c>
      <x:c r="E17" s="6" t="n">
        <x:f>C17-D17</x:f>
        <x:v>-130600</x:v>
      </x:c>
      <x:c r="F17" s="6" t="n">
        <x:f>F16+E17</x:f>
        <x:v>84400</x:v>
      </x:c>
      <x:c r="G17" s="6" t="n">
        <x:v>-130600</x:v>
      </x:c>
      <x:c r="H17" s="6" t="n">
        <x:v>170700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245800</x:v>
      </x:c>
      <x:c r="D18" s="6" t="n">
        <x:v>43300</x:v>
      </x:c>
      <x:c r="E18" s="6" t="n">
        <x:f>C18-D18</x:f>
        <x:v>202500</x:v>
      </x:c>
      <x:c r="F18" s="6" t="n">
        <x:f>F17+E18</x:f>
        <x:v>286900</x:v>
      </x:c>
      <x:c r="G18" s="6" t="n">
        <x:v>-12900</x:v>
      </x:c>
      <x:c r="H18" s="6" t="n">
        <x:v>86300</x:v>
      </x:c>
    </x:row>
    <x:row r="19" ht="25" customHeight="1">
      <x:c r="A19" s="2" t="str">
        <x:v>2026-10-08_Day</x:v>
      </x:c>
      <x:c r="B19" s="2" t="str">
        <x:v>下落</x:v>
      </x:c>
      <x:c r="C19" s="6" t="n">
        <x:v>35400</x:v>
      </x:c>
      <x:c r="D19" s="6" t="n">
        <x:v>23000</x:v>
      </x:c>
      <x:c r="E19" s="6" t="n">
        <x:f>C19-D19</x:f>
        <x:v>12400</x:v>
      </x:c>
      <x:c r="F19" s="6" t="n">
        <x:f>F18+E19</x:f>
        <x:v>299300</x:v>
      </x:c>
      <x:c r="G19" s="6" t="n">
        <x:v>-27300</x:v>
      </x:c>
      <x:c r="H19" s="6" t="n">
        <x:v>32300</x:v>
      </x:c>
    </x:row>
    <x:row r="20" ht="25" customHeight="1">
      <x:c r="A20" s="2" t="str">
        <x:v>2026-10-09_Day</x:v>
      </x:c>
      <x:c r="B20" s="2" t="str">
        <x:v>上昇</x:v>
      </x:c>
      <x:c r="C20" s="6" t="n">
        <x:v>58200</x:v>
      </x:c>
      <x:c r="D20" s="6" t="n">
        <x:v>44900</x:v>
      </x:c>
      <x:c r="E20" s="6" t="n">
        <x:f>C20-D20</x:f>
        <x:v>13300</x:v>
      </x:c>
      <x:c r="F20" s="6" t="n">
        <x:f>F19+E20</x:f>
        <x:v>312600</x:v>
      </x:c>
      <x:c r="G20" s="6" t="n">
        <x:v>-101300</x:v>
      </x:c>
      <x:c r="H20" s="6" t="n">
        <x:v>198200</x:v>
      </x:c>
    </x:row>
    <x:row r="21" ht="25" customHeight="1">
      <x:c r="A21" s="2" t="str">
        <x:v>2026-10-12_Day</x:v>
      </x:c>
      <x:c r="B21" s="2" t="str">
        <x:v>下落</x:v>
      </x:c>
      <x:c r="C21" s="6" t="n">
        <x:v>14200</x:v>
      </x:c>
      <x:c r="D21" s="6" t="n">
        <x:v>5000</x:v>
      </x:c>
      <x:c r="E21" s="6" t="n">
        <x:f>C21-D21</x:f>
        <x:v>9200</x:v>
      </x:c>
      <x:c r="F21" s="6" t="n">
        <x:f>F20+E21</x:f>
        <x:v>321800</x:v>
      </x:c>
      <x:c r="G21" s="6" t="n">
        <x:v>-5000</x:v>
      </x:c>
      <x:c r="H21" s="6" t="n">
        <x:v>14000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160800</x:v>
      </x:c>
      <x:c r="D22" s="6" t="n">
        <x:v>220600</x:v>
      </x:c>
      <x:c r="E22" s="6" t="n">
        <x:f>C22-D22</x:f>
        <x:v>-59800</x:v>
      </x:c>
      <x:c r="F22" s="6" t="n">
        <x:f>F21+E22</x:f>
        <x:v>262000</x:v>
      </x:c>
      <x:c r="G22" s="6" t="n">
        <x:v>-115500</x:v>
      </x:c>
      <x:c r="H22" s="6" t="n">
        <x:v>222800</x:v>
      </x:c>
    </x:row>
    <x:row r="23" ht="25" customHeight="1">
      <x:c r="A23" s="2" t="str">
        <x:v>2026-10-14_Day</x:v>
      </x:c>
      <x:c r="B23" s="2" t="str">
        <x:v>上昇</x:v>
      </x:c>
      <x:c r="C23" s="6" t="n">
        <x:v>38700</x:v>
      </x:c>
      <x:c r="D23" s="6" t="n">
        <x:v>99900</x:v>
      </x:c>
      <x:c r="E23" s="6" t="n">
        <x:f>C23-D23</x:f>
        <x:v>-61200</x:v>
      </x:c>
      <x:c r="F23" s="6" t="n">
        <x:f>F22+E23</x:f>
        <x:v>200800</x:v>
      </x:c>
      <x:c r="G23" s="6" t="n">
        <x:v>-101900</x:v>
      </x:c>
      <x:c r="H23" s="6" t="n">
        <x:v>141000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333100</x:v>
      </x:c>
      <x:c r="D24" s="6" t="n">
        <x:v>33000</x:v>
      </x:c>
      <x:c r="E24" s="6" t="n">
        <x:f>C24-D24</x:f>
        <x:v>300100</x:v>
      </x:c>
      <x:c r="F24" s="6" t="n">
        <x:f>F23+E24</x:f>
        <x:v>500900</x:v>
      </x:c>
      <x:c r="G24" s="6" t="n">
        <x:v>-31500</x:v>
      </x:c>
      <x:c r="H24" s="6" t="n">
        <x:v>161300</x:v>
      </x:c>
    </x:row>
    <x:row r="25" ht="25" customHeight="1">
      <x:c r="A25" s="2" t="str">
        <x:v>2026-10-16_Day</x:v>
      </x:c>
      <x:c r="B25" s="2" t="str">
        <x:v>上昇</x:v>
      </x:c>
      <x:c r="C25" s="6" t="n">
        <x:v>69100</x:v>
      </x:c>
      <x:c r="D25" s="6" t="n">
        <x:v>153900</x:v>
      </x:c>
      <x:c r="E25" s="6" t="n">
        <x:f>C25-D25</x:f>
        <x:v>-84800</x:v>
      </x:c>
      <x:c r="F25" s="6" t="n">
        <x:f>F24+E25</x:f>
        <x:v>416100</x:v>
      </x:c>
      <x:c r="G25" s="6" t="n">
        <x:v>-98200</x:v>
      </x:c>
      <x:c r="H25" s="6" t="n">
        <x:v>130200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564500</x:v>
      </x:c>
      <x:c r="D26" s="6" t="n">
        <x:v>0</x:v>
      </x:c>
      <x:c r="E26" s="6" t="n">
        <x:f>C26-D26</x:f>
        <x:v>564500</x:v>
      </x:c>
      <x:c r="F26" s="6" t="n">
        <x:f>F25+E26</x:f>
        <x:v>980600</x:v>
      </x:c>
      <x:c r="G26" s="6" t="n">
        <x:v>-20800</x:v>
      </x:c>
      <x:c r="H26" s="6" t="n">
        <x:v>259200</x:v>
      </x:c>
    </x:row>
    <x:row r="27" ht="25" customHeight="1">
      <x:c r="A27" s="2" t="str">
        <x:v>2026-10-20_Day</x:v>
      </x:c>
      <x:c r="B27" s="2" t="str">
        <x:v>下落</x:v>
      </x:c>
      <x:c r="C27" s="6" t="n">
        <x:v>97900</x:v>
      </x:c>
      <x:c r="D27" s="6" t="n">
        <x:v>83900</x:v>
      </x:c>
      <x:c r="E27" s="6" t="n">
        <x:f>C27-D27</x:f>
        <x:v>14000</x:v>
      </x:c>
      <x:c r="F27" s="6" t="n">
        <x:f>F26+E27</x:f>
        <x:v>994600</x:v>
      </x:c>
      <x:c r="G27" s="6" t="n">
        <x:v>-12000</x:v>
      </x:c>
      <x:c r="H27" s="6" t="n">
        <x:v>136700</x:v>
      </x:c>
    </x:row>
    <x:row r="28" ht="25" customHeight="1">
      <x:c r="A28" s="2" t="str">
        <x:v>2026-10-21_Day</x:v>
      </x:c>
      <x:c r="B28" s="2" t="str">
        <x:v>下落</x:v>
      </x:c>
      <x:c r="C28" s="6" t="n">
        <x:v>54300</x:v>
      </x:c>
      <x:c r="D28" s="6" t="n">
        <x:v>153100</x:v>
      </x:c>
      <x:c r="E28" s="6" t="n">
        <x:f>C28-D28</x:f>
        <x:v>-98800</x:v>
      </x:c>
      <x:c r="F28" s="6" t="n">
        <x:f>F27+E28</x:f>
        <x:v>895800</x:v>
      </x:c>
      <x:c r="G28" s="6" t="n">
        <x:v>-160300</x:v>
      </x:c>
      <x:c r="H28" s="6" t="n">
        <x:v>166800</x:v>
      </x:c>
    </x:row>
    <x:row r="29" ht="25" customHeight="1">
      <x:c r="A29" s="2" t="str">
        <x:v>2026-10-22_Day</x:v>
      </x:c>
      <x:c r="B29" s="2" t="str">
        <x:v>下落</x:v>
      </x:c>
      <x:c r="C29" s="6" t="n">
        <x:v>259900</x:v>
      </x:c>
      <x:c r="D29" s="6" t="n">
        <x:v>0</x:v>
      </x:c>
      <x:c r="E29" s="6" t="n">
        <x:f>C29-D29</x:f>
        <x:v>259900</x:v>
      </x:c>
      <x:c r="F29" s="6" t="n">
        <x:f>F28+E29</x:f>
        <x:v>1155700</x:v>
      </x:c>
      <x:c r="G29" s="6" t="n">
        <x:v>-17300</x:v>
      </x:c>
      <x:c r="H29" s="6" t="n">
        <x:v>59400</x:v>
      </x:c>
    </x:row>
    <x:row r="30" ht="25" customHeight="1">
      <x:c r="A30" s="2" t="str">
        <x:v>2026-10-23_Day</x:v>
      </x:c>
      <x:c r="B30" s="2" t="str">
        <x:v>上昇</x:v>
      </x:c>
      <x:c r="C30" s="6" t="n">
        <x:v>341100</x:v>
      </x:c>
      <x:c r="D30" s="6" t="n">
        <x:v>31900</x:v>
      </x:c>
      <x:c r="E30" s="6" t="n">
        <x:f>C30-D30</x:f>
        <x:v>309200</x:v>
      </x:c>
      <x:c r="F30" s="6" t="n">
        <x:f>F29+E30</x:f>
        <x:v>1464900</x:v>
      </x:c>
      <x:c r="G30" s="6" t="n">
        <x:v>-68400</x:v>
      </x:c>
      <x:c r="H30" s="6" t="n">
        <x:v>136800</x:v>
      </x:c>
    </x:row>
    <x:row r="31" ht="25" customHeight="1">
      <x:c r="A31" s="2" t="str">
        <x:v>2026-10-26_Day</x:v>
      </x:c>
      <x:c r="B31" s="2" t="str">
        <x:v>下落</x:v>
      </x:c>
      <x:c r="C31" s="6" t="n">
        <x:v>390500</x:v>
      </x:c>
      <x:c r="D31" s="6" t="n">
        <x:v>95400</x:v>
      </x:c>
      <x:c r="E31" s="6" t="n">
        <x:f>C31-D31</x:f>
        <x:v>295100</x:v>
      </x:c>
      <x:c r="F31" s="6" t="n">
        <x:f>F30+E31</x:f>
        <x:v>1760000</x:v>
      </x:c>
      <x:c r="G31" s="6" t="n">
        <x:v>-14000</x:v>
      </x:c>
      <x:c r="H31" s="6" t="n">
        <x:v>263800</x:v>
      </x:c>
    </x:row>
    <x:row r="32" ht="25" customHeight="1">
      <x:c r="A32" s="13" t="str">
        <x:v>累計／場内最悪値</x:v>
      </x:c>
      <x:c r="B32" s="13"/>
      <x:c r="C32" s="14" t="n">
        <x:f>SUM(C6:C31)</x:f>
        <x:v>3459400</x:v>
      </x:c>
      <x:c r="D32" s="14" t="n">
        <x:f>SUM(D6:D31)</x:f>
        <x:v>1699400</x:v>
      </x:c>
      <x:c r="E32" s="14" t="n">
        <x:f>C32-D32</x:f>
        <x:v>1760000</x:v>
      </x:c>
      <x:c r="F32" s="14" t="n">
        <x:f>F31</x:f>
        <x:v>1760000</x:v>
      </x:c>
      <x:c r="G32" s="14" t="n">
        <x:f>MIN(G6:G31)</x:f>
        <x:v>-189200</x:v>
      </x:c>
      <x:c r="H32" s="14" t="n">
        <x:f>MAX(H6:H31)</x:f>
        <x:v>263800</x:v>
      </x:c>
    </x:row>
  </x:sheetData>
  <x:conditionalFormatting sqref="E6:F31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a87eec812e46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全Source初回採用・旧出口・最低20micro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14400</x:v>
      </x:c>
      <x:c r="D6" s="6" t="n">
        <x:v>0</x:v>
      </x:c>
      <x:c r="E6" s="6" t="n">
        <x:f>C6-D6</x:f>
        <x:v>14400</x:v>
      </x:c>
      <x:c r="F6" s="6" t="n">
        <x:f>E6</x:f>
        <x:v>14400</x:v>
      </x:c>
      <x:c r="G6" s="6" t="n">
        <x:v>-24000</x:v>
      </x:c>
      <x:c r="H6" s="6" t="n">
        <x:v>26000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28000</x:v>
      </x:c>
      <x:c r="E7" s="6" t="n">
        <x:f>C7-D7</x:f>
        <x:v>-28000</x:v>
      </x:c>
      <x:c r="F7" s="6" t="n">
        <x:f>F6+E7</x:f>
        <x:v>-13600</x:v>
      </x:c>
      <x:c r="G7" s="6" t="n">
        <x:v>-28000</x:v>
      </x:c>
      <x:c r="H7" s="6" t="n">
        <x:v>32000</x:v>
      </x:c>
    </x:row>
    <x:row r="8" ht="25" customHeight="1">
      <x:c r="A8" s="2" t="str">
        <x:v>2026-09-23_Day</x:v>
      </x:c>
      <x:c r="B8" s="2" t="str">
        <x:v>下落</x:v>
      </x:c>
      <x:c r="C8" s="6" t="n">
        <x:v>20000</x:v>
      </x:c>
      <x:c r="D8" s="6" t="n">
        <x:v>0</x:v>
      </x:c>
      <x:c r="E8" s="6" t="n">
        <x:f>C8-D8</x:f>
        <x:v>20000</x:v>
      </x:c>
      <x:c r="F8" s="6" t="n">
        <x:f>F7+E8</x:f>
        <x:v>6400</x:v>
      </x:c>
      <x:c r="G8" s="6" t="n">
        <x:v>-6000</x:v>
      </x:c>
      <x:c r="H8" s="6" t="n">
        <x:v>16000</x:v>
      </x:c>
    </x:row>
    <x:row r="9" ht="25" customHeight="1">
      <x:c r="A9" s="2" t="str">
        <x:v>2026-09-24_Day</x:v>
      </x:c>
      <x:c r="B9" s="2" t="str">
        <x:v>下落</x:v>
      </x:c>
      <x:c r="C9" s="6" t="n">
        <x:v>284500</x:v>
      </x:c>
      <x:c r="D9" s="6" t="n">
        <x:v>21600</x:v>
      </x:c>
      <x:c r="E9" s="6" t="n">
        <x:f>C9-D9</x:f>
        <x:v>262900</x:v>
      </x:c>
      <x:c r="F9" s="6" t="n">
        <x:f>F8+E9</x:f>
        <x:v>269300</x:v>
      </x:c>
      <x:c r="G9" s="6" t="n">
        <x:v>-23800</x:v>
      </x:c>
      <x:c r="H9" s="6" t="n">
        <x:v>201000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194500</x:v>
      </x:c>
      <x:c r="D10" s="6" t="n">
        <x:v>16000</x:v>
      </x:c>
      <x:c r="E10" s="6" t="n">
        <x:f>C10-D10</x:f>
        <x:v>178500</x:v>
      </x:c>
      <x:c r="F10" s="6" t="n">
        <x:f>F9+E10</x:f>
        <x:v>447800</x:v>
      </x:c>
      <x:c r="G10" s="6" t="n">
        <x:v>-40000</x:v>
      </x:c>
      <x:c r="H10" s="6" t="n">
        <x:v>110000</x:v>
      </x:c>
    </x:row>
    <x:row r="11" ht="25" customHeight="1">
      <x:c r="A11" s="2" t="str">
        <x:v>2026-09-28_Day</x:v>
      </x:c>
      <x:c r="B11" s="2" t="str">
        <x:v>下落</x:v>
      </x:c>
      <x:c r="C11" s="6" t="n">
        <x:v>92800</x:v>
      </x:c>
      <x:c r="D11" s="6" t="n">
        <x:v>92000</x:v>
      </x:c>
      <x:c r="E11" s="6" t="n">
        <x:f>C11-D11</x:f>
        <x:v>800</x:v>
      </x:c>
      <x:c r="F11" s="6" t="n">
        <x:f>F10+E11</x:f>
        <x:v>448600</x:v>
      </x:c>
      <x:c r="G11" s="6" t="n">
        <x:v>-84800</x:v>
      </x:c>
      <x:c r="H11" s="6" t="n">
        <x:v>104600</x:v>
      </x:c>
    </x:row>
    <x:row r="12" ht="25" customHeight="1">
      <x:c r="A12" s="2" t="str">
        <x:v>2026-09-29_Day</x:v>
      </x:c>
      <x:c r="B12" s="2" t="str">
        <x:v>下落</x:v>
      </x:c>
      <x:c r="C12" s="6" t="n">
        <x:v>140600</x:v>
      </x:c>
      <x:c r="D12" s="6" t="n">
        <x:v>242600</x:v>
      </x:c>
      <x:c r="E12" s="6" t="n">
        <x:f>C12-D12</x:f>
        <x:v>-102000</x:v>
      </x:c>
      <x:c r="F12" s="6" t="n">
        <x:f>F11+E12</x:f>
        <x:v>346600</x:v>
      </x:c>
      <x:c r="G12" s="6" t="n">
        <x:v>-217400</x:v>
      </x:c>
      <x:c r="H12" s="6" t="n">
        <x:v>241200</x:v>
      </x:c>
    </x:row>
    <x:row r="13" ht="25" customHeight="1">
      <x:c r="A13" s="2" t="str">
        <x:v>2026-09-30_Day</x:v>
      </x:c>
      <x:c r="B13" s="2" t="str">
        <x:v>上昇</x:v>
      </x:c>
      <x:c r="C13" s="6" t="n">
        <x:v>91100</x:v>
      </x:c>
      <x:c r="D13" s="6" t="n">
        <x:v>46400</x:v>
      </x:c>
      <x:c r="E13" s="6" t="n">
        <x:f>C13-D13</x:f>
        <x:v>44700</x:v>
      </x:c>
      <x:c r="F13" s="6" t="n">
        <x:f>F12+E13</x:f>
        <x:v>391300</x:v>
      </x:c>
      <x:c r="G13" s="6" t="n">
        <x:v>-29400</x:v>
      </x:c>
      <x:c r="H13" s="6" t="n">
        <x:v>48400</x:v>
      </x:c>
    </x:row>
    <x:row r="14" ht="25" customHeight="1">
      <x:c r="A14" s="2" t="str">
        <x:v>2026-10-01_Day</x:v>
      </x:c>
      <x:c r="B14" s="2" t="str">
        <x:v>上昇</x:v>
      </x:c>
      <x:c r="C14" s="6" t="n">
        <x:v>116400</x:v>
      </x:c>
      <x:c r="D14" s="6" t="n">
        <x:v>167500</x:v>
      </x:c>
      <x:c r="E14" s="6" t="n">
        <x:f>C14-D14</x:f>
        <x:v>-51100</x:v>
      </x:c>
      <x:c r="F14" s="6" t="n">
        <x:f>F13+E14</x:f>
        <x:v>340200</x:v>
      </x:c>
      <x:c r="G14" s="6" t="n">
        <x:v>-94500</x:v>
      </x:c>
      <x:c r="H14" s="6" t="n">
        <x:v>111100</x:v>
      </x:c>
    </x:row>
    <x:row r="15" ht="25" customHeight="1">
      <x:c r="A15" s="2" t="str">
        <x:v>2026-10-02_Day</x:v>
      </x:c>
      <x:c r="B15" s="2" t="str">
        <x:v>上昇</x:v>
      </x:c>
      <x:c r="C15" s="6" t="n">
        <x:v>34300</x:v>
      </x:c>
      <x:c r="D15" s="6" t="n">
        <x:v>55800</x:v>
      </x:c>
      <x:c r="E15" s="6" t="n">
        <x:f>C15-D15</x:f>
        <x:v>-21500</x:v>
      </x:c>
      <x:c r="F15" s="6" t="n">
        <x:f>F14+E15</x:f>
        <x:v>318700</x:v>
      </x:c>
      <x:c r="G15" s="6" t="n">
        <x:v>-59500</x:v>
      </x:c>
      <x:c r="H15" s="6" t="n">
        <x:v>122600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105800</x:v>
      </x:c>
      <x:c r="D16" s="6" t="n">
        <x:v>92900</x:v>
      </x:c>
      <x:c r="E16" s="6" t="n">
        <x:f>C16-D16</x:f>
        <x:v>12900</x:v>
      </x:c>
      <x:c r="F16" s="6" t="n">
        <x:f>F15+E16</x:f>
        <x:v>331600</x:v>
      </x:c>
      <x:c r="G16" s="6" t="n">
        <x:v>-44700</x:v>
      </x:c>
      <x:c r="H16" s="6" t="n">
        <x:v>114200</x:v>
      </x:c>
    </x:row>
    <x:row r="17" ht="25" customHeight="1">
      <x:c r="A17" s="2" t="str">
        <x:v>2026-10-06_Day</x:v>
      </x:c>
      <x:c r="B17" s="2" t="str">
        <x:v>上昇</x:v>
      </x:c>
      <x:c r="C17" s="6" t="n">
        <x:v>73100</x:v>
      </x:c>
      <x:c r="D17" s="6" t="n">
        <x:v>220000</x:v>
      </x:c>
      <x:c r="E17" s="6" t="n">
        <x:f>C17-D17</x:f>
        <x:v>-146900</x:v>
      </x:c>
      <x:c r="F17" s="6" t="n">
        <x:f>F16+E17</x:f>
        <x:v>184700</x:v>
      </x:c>
      <x:c r="G17" s="6" t="n">
        <x:v>-146900</x:v>
      </x:c>
      <x:c r="H17" s="6" t="n">
        <x:v>193800</x:v>
      </x:c>
    </x:row>
    <x:row r="18" ht="25" customHeight="1">
      <x:c r="A18" s="2" t="str">
        <x:v>2026-10-07_Day</x:v>
      </x:c>
      <x:c r="B18" s="2" t="str">
        <x:v>下落</x:v>
      </x:c>
      <x:c r="C18" s="6" t="n">
        <x:v>296600</x:v>
      </x:c>
      <x:c r="D18" s="6" t="n">
        <x:v>57700</x:v>
      </x:c>
      <x:c r="E18" s="6" t="n">
        <x:f>C18-D18</x:f>
        <x:v>238900</x:v>
      </x:c>
      <x:c r="F18" s="6" t="n">
        <x:f>F17+E18</x:f>
        <x:v>423600</x:v>
      </x:c>
      <x:c r="G18" s="6" t="n">
        <x:v>-14700</x:v>
      </x:c>
      <x:c r="H18" s="6" t="n">
        <x:v>104100</x:v>
      </x:c>
    </x:row>
    <x:row r="19" ht="25" customHeight="1">
      <x:c r="A19" s="2" t="str">
        <x:v>2026-10-08_Day</x:v>
      </x:c>
      <x:c r="B19" s="2" t="str">
        <x:v>下落</x:v>
      </x:c>
      <x:c r="C19" s="6" t="n">
        <x:v>63600</x:v>
      </x:c>
      <x:c r="D19" s="6" t="n">
        <x:v>40000</x:v>
      </x:c>
      <x:c r="E19" s="6" t="n">
        <x:f>C19-D19</x:f>
        <x:v>23600</x:v>
      </x:c>
      <x:c r="F19" s="6" t="n">
        <x:f>F18+E19</x:f>
        <x:v>447200</x:v>
      </x:c>
      <x:c r="G19" s="6" t="n">
        <x:v>-39000</x:v>
      </x:c>
      <x:c r="H19" s="6" t="n">
        <x:v>55000</x:v>
      </x:c>
    </x:row>
    <x:row r="20" ht="25" customHeight="1">
      <x:c r="A20" s="2" t="str">
        <x:v>2026-10-09_Day</x:v>
      </x:c>
      <x:c r="B20" s="2" t="str">
        <x:v>上昇</x:v>
      </x:c>
      <x:c r="C20" s="6" t="n">
        <x:v>88900</x:v>
      </x:c>
      <x:c r="D20" s="6" t="n">
        <x:v>75500</x:v>
      </x:c>
      <x:c r="E20" s="6" t="n">
        <x:f>C20-D20</x:f>
        <x:v>13400</x:v>
      </x:c>
      <x:c r="F20" s="6" t="n">
        <x:f>F19+E20</x:f>
        <x:v>460600</x:v>
      </x:c>
      <x:c r="G20" s="6" t="n">
        <x:v>-100000</x:v>
      </x:c>
      <x:c r="H20" s="6" t="n">
        <x:v>217600</x:v>
      </x:c>
    </x:row>
    <x:row r="21" ht="25" customHeight="1">
      <x:c r="A21" s="2" t="str">
        <x:v>2026-10-12_Day</x:v>
      </x:c>
      <x:c r="B21" s="2" t="str">
        <x:v>下落</x:v>
      </x:c>
      <x:c r="C21" s="6" t="n">
        <x:v>28400</x:v>
      </x:c>
      <x:c r="D21" s="6" t="n">
        <x:v>10000</x:v>
      </x:c>
      <x:c r="E21" s="6" t="n">
        <x:f>C21-D21</x:f>
        <x:v>18400</x:v>
      </x:c>
      <x:c r="F21" s="6" t="n">
        <x:f>F20+E21</x:f>
        <x:v>479000</x:v>
      </x:c>
      <x:c r="G21" s="6" t="n">
        <x:v>-10000</x:v>
      </x:c>
      <x:c r="H21" s="6" t="n">
        <x:v>28000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215700</x:v>
      </x:c>
      <x:c r="D22" s="6" t="n">
        <x:v>273500</x:v>
      </x:c>
      <x:c r="E22" s="6" t="n">
        <x:f>C22-D22</x:f>
        <x:v>-57800</x:v>
      </x:c>
      <x:c r="F22" s="6" t="n">
        <x:f>F21+E22</x:f>
        <x:v>421200</x:v>
      </x:c>
      <x:c r="G22" s="6" t="n">
        <x:v>-135000</x:v>
      </x:c>
      <x:c r="H22" s="6" t="n">
        <x:v>246700</x:v>
      </x:c>
    </x:row>
    <x:row r="23" ht="25" customHeight="1">
      <x:c r="A23" s="2" t="str">
        <x:v>2026-10-14_Day</x:v>
      </x:c>
      <x:c r="B23" s="2" t="str">
        <x:v>上昇</x:v>
      </x:c>
      <x:c r="C23" s="6" t="n">
        <x:v>68500</x:v>
      </x:c>
      <x:c r="D23" s="6" t="n">
        <x:v>113800</x:v>
      </x:c>
      <x:c r="E23" s="6" t="n">
        <x:f>C23-D23</x:f>
        <x:v>-45300</x:v>
      </x:c>
      <x:c r="F23" s="6" t="n">
        <x:f>F22+E23</x:f>
        <x:v>375900</x:v>
      </x:c>
      <x:c r="G23" s="6" t="n">
        <x:v>-117800</x:v>
      </x:c>
      <x:c r="H23" s="6" t="n">
        <x:v>162000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368400</x:v>
      </x:c>
      <x:c r="D24" s="6" t="n">
        <x:v>66000</x:v>
      </x:c>
      <x:c r="E24" s="6" t="n">
        <x:f>C24-D24</x:f>
        <x:v>302400</x:v>
      </x:c>
      <x:c r="F24" s="6" t="n">
        <x:f>F23+E24</x:f>
        <x:v>678300</x:v>
      </x:c>
      <x:c r="G24" s="6" t="n">
        <x:v>-51400</x:v>
      </x:c>
      <x:c r="H24" s="6" t="n">
        <x:v>183600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101200</x:v>
      </x:c>
      <x:c r="D25" s="6" t="n">
        <x:v>206300</x:v>
      </x:c>
      <x:c r="E25" s="6" t="n">
        <x:f>C25-D25</x:f>
        <x:v>-105100</x:v>
      </x:c>
      <x:c r="F25" s="6" t="n">
        <x:f>F24+E25</x:f>
        <x:v>573200</x:v>
      </x:c>
      <x:c r="G25" s="6" t="n">
        <x:v>-131900</x:v>
      </x:c>
      <x:c r="H25" s="6" t="n">
        <x:v>159000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562800</x:v>
      </x:c>
      <x:c r="D26" s="6" t="n">
        <x:v>0</x:v>
      </x:c>
      <x:c r="E26" s="6" t="n">
        <x:f>C26-D26</x:f>
        <x:v>562800</x:v>
      </x:c>
      <x:c r="F26" s="6" t="n">
        <x:f>F25+E26</x:f>
        <x:v>1136000</x:v>
      </x:c>
      <x:c r="G26" s="6" t="n">
        <x:v>-22800</x:v>
      </x:c>
      <x:c r="H26" s="6" t="n">
        <x:v>268800</x:v>
      </x:c>
    </x:row>
    <x:row r="27" ht="25" customHeight="1">
      <x:c r="A27" s="2" t="str">
        <x:v>2026-10-20_Day</x:v>
      </x:c>
      <x:c r="B27" s="2" t="str">
        <x:v>下落</x:v>
      </x:c>
      <x:c r="C27" s="6" t="n">
        <x:v>146900</x:v>
      </x:c>
      <x:c r="D27" s="6" t="n">
        <x:v>146200</x:v>
      </x:c>
      <x:c r="E27" s="6" t="n">
        <x:f>C27-D27</x:f>
        <x:v>700</x:v>
      </x:c>
      <x:c r="F27" s="6" t="n">
        <x:f>F26+E27</x:f>
        <x:v>1136700</x:v>
      </x:c>
      <x:c r="G27" s="6" t="n">
        <x:v>-24000</x:v>
      </x:c>
      <x:c r="H27" s="6" t="n">
        <x:v>227100</x:v>
      </x:c>
    </x:row>
    <x:row r="28" ht="25" customHeight="1">
      <x:c r="A28" s="2" t="str">
        <x:v>2026-10-21_Day</x:v>
      </x:c>
      <x:c r="B28" s="2" t="str">
        <x:v>下落</x:v>
      </x:c>
      <x:c r="C28" s="6" t="n">
        <x:v>72900</x:v>
      </x:c>
      <x:c r="D28" s="6" t="n">
        <x:v>200900</x:v>
      </x:c>
      <x:c r="E28" s="6" t="n">
        <x:f>C28-D28</x:f>
        <x:v>-128000</x:v>
      </x:c>
      <x:c r="F28" s="6" t="n">
        <x:f>F27+E28</x:f>
        <x:v>1008700</x:v>
      </x:c>
      <x:c r="G28" s="6" t="n">
        <x:v>-209500</x:v>
      </x:c>
      <x:c r="H28" s="6" t="n">
        <x:v>222500</x:v>
      </x:c>
    </x:row>
    <x:row r="29" ht="25" customHeight="1">
      <x:c r="A29" s="2" t="str">
        <x:v>2026-10-22_Day</x:v>
      </x:c>
      <x:c r="B29" s="2" t="str">
        <x:v>下落</x:v>
      </x:c>
      <x:c r="C29" s="6" t="n">
        <x:v>326800</x:v>
      </x:c>
      <x:c r="D29" s="6" t="n">
        <x:v>0</x:v>
      </x:c>
      <x:c r="E29" s="6" t="n">
        <x:f>C29-D29</x:f>
        <x:v>326800</x:v>
      </x:c>
      <x:c r="F29" s="6" t="n">
        <x:f>F28+E29</x:f>
        <x:v>1335500</x:v>
      </x:c>
      <x:c r="G29" s="6" t="n">
        <x:v>-6000</x:v>
      </x:c>
      <x:c r="H29" s="6" t="n">
        <x:v>82000</x:v>
      </x:c>
    </x:row>
    <x:row r="30" ht="25" customHeight="1">
      <x:c r="A30" s="2" t="str">
        <x:v>2026-10-23_Day</x:v>
      </x:c>
      <x:c r="B30" s="2" t="str">
        <x:v>上昇</x:v>
      </x:c>
      <x:c r="C30" s="6" t="n">
        <x:v>459100</x:v>
      </x:c>
      <x:c r="D30" s="6" t="n">
        <x:v>52800</x:v>
      </x:c>
      <x:c r="E30" s="6" t="n">
        <x:f>C30-D30</x:f>
        <x:v>406300</x:v>
      </x:c>
      <x:c r="F30" s="6" t="n">
        <x:f>F29+E30</x:f>
        <x:v>1741800</x:v>
      </x:c>
      <x:c r="G30" s="6" t="n">
        <x:v>-73200</x:v>
      </x:c>
      <x:c r="H30" s="6" t="n">
        <x:v>146400</x:v>
      </x:c>
    </x:row>
    <x:row r="31" ht="25" customHeight="1">
      <x:c r="A31" s="2" t="str">
        <x:v>2026-10-26_Day</x:v>
      </x:c>
      <x:c r="B31" s="2" t="str">
        <x:v>下落</x:v>
      </x:c>
      <x:c r="C31" s="6" t="n">
        <x:v>431500</x:v>
      </x:c>
      <x:c r="D31" s="6" t="n">
        <x:v>127800</x:v>
      </x:c>
      <x:c r="E31" s="6" t="n">
        <x:f>C31-D31</x:f>
        <x:v>303700</x:v>
      </x:c>
      <x:c r="F31" s="6" t="n">
        <x:f>F30+E31</x:f>
        <x:v>2045500</x:v>
      </x:c>
      <x:c r="G31" s="6" t="n">
        <x:v>-24000</x:v>
      </x:c>
      <x:c r="H31" s="6" t="n">
        <x:v>294400</x:v>
      </x:c>
    </x:row>
    <x:row r="32" ht="25" customHeight="1">
      <x:c r="A32" s="13" t="str">
        <x:v>累計／場内最悪値</x:v>
      </x:c>
      <x:c r="B32" s="13"/>
      <x:c r="C32" s="14" t="n">
        <x:f>SUM(C6:C31)</x:f>
        <x:v>4398800</x:v>
      </x:c>
      <x:c r="D32" s="14" t="n">
        <x:f>SUM(D6:D31)</x:f>
        <x:v>2353300</x:v>
      </x:c>
      <x:c r="E32" s="14" t="n">
        <x:f>C32-D32</x:f>
        <x:v>2045500</x:v>
      </x:c>
      <x:c r="F32" s="14" t="n">
        <x:f>F31</x:f>
        <x:v>2045500</x:v>
      </x:c>
      <x:c r="G32" s="14" t="n">
        <x:f>MIN(G6:G31)</x:f>
        <x:v>-217400</x:v>
      </x:c>
      <x:c r="H32" s="14" t="n">
        <x:f>MAX(H6:H31)</x:f>
        <x:v>294400</x:v>
      </x:c>
    </x:row>
  </x:sheetData>
  <x:conditionalFormatting sqref="E6:F31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67bf4ee1bf48e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J15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旧出口・最低10・支持量の二乗抑制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7200</x:v>
      </x:c>
      <x:c r="D6" s="6" t="n">
        <x:v>0</x:v>
      </x:c>
      <x:c r="E6" s="6" t="n">
        <x:f>C6-D6</x:f>
        <x:v>7200</x:v>
      </x:c>
      <x:c r="F6" s="6" t="n">
        <x:f>E6</x:f>
        <x:v>7200</x:v>
      </x:c>
      <x:c r="G6" s="6" t="n">
        <x:v>-12000</x:v>
      </x:c>
      <x:c r="H6" s="6" t="n">
        <x:v>13000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-6800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10000</x:v>
      </x:c>
      <x:c r="D8" s="6" t="n">
        <x:v>0</x:v>
      </x:c>
      <x:c r="E8" s="6" t="n">
        <x:f>C8-D8</x:f>
        <x:v>10000</x:v>
      </x:c>
      <x:c r="F8" s="6" t="n">
        <x:f>F7+E8</x:f>
        <x:v>3200</x:v>
      </x:c>
      <x:c r="G8" s="6" t="n">
        <x:v>-3000</x:v>
      </x:c>
      <x:c r="H8" s="6" t="n">
        <x:v>8000</x:v>
      </x:c>
    </x:row>
    <x:row r="9" ht="25" customHeight="1">
      <x:c r="A9" s="2" t="str">
        <x:v>2026-09-24_Day</x:v>
      </x:c>
      <x:c r="B9" s="2" t="str">
        <x:v>下落</x:v>
      </x:c>
      <x:c r="C9" s="6" t="n">
        <x:v>131900</x:v>
      </x:c>
      <x:c r="D9" s="6" t="n">
        <x:v>12000</x:v>
      </x:c>
      <x:c r="E9" s="6" t="n">
        <x:f>C9-D9</x:f>
        <x:v>119900</x:v>
      </x:c>
      <x:c r="F9" s="6" t="n">
        <x:f>F8+E9</x:f>
        <x:v>123100</x:v>
      </x:c>
      <x:c r="G9" s="6" t="n">
        <x:v>-9200</x:v>
      </x:c>
      <x:c r="H9" s="6" t="n">
        <x:v>100000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122800</x:v>
      </x:c>
      <x:c r="D10" s="6" t="n">
        <x:v>8000</x:v>
      </x:c>
      <x:c r="E10" s="6" t="n">
        <x:f>C10-D10</x:f>
        <x:v>114800</x:v>
      </x:c>
      <x:c r="F10" s="6" t="n">
        <x:f>F9+E10</x:f>
        <x:v>237900</x:v>
      </x:c>
      <x:c r="G10" s="6" t="n">
        <x:v>-41000</x:v>
      </x:c>
      <x:c r="H10" s="6" t="n">
        <x:v>78100</x:v>
      </x:c>
    </x:row>
    <x:row r="11" ht="25" customHeight="1">
      <x:c r="A11" s="2" t="str">
        <x:v>2026-09-28_Day</x:v>
      </x:c>
      <x:c r="B11" s="2" t="str">
        <x:v>下落</x:v>
      </x:c>
      <x:c r="C11" s="6" t="n">
        <x:v>45000</x:v>
      </x:c>
      <x:c r="D11" s="6" t="n">
        <x:v>46000</x:v>
      </x:c>
      <x:c r="E11" s="6" t="n">
        <x:f>C11-D11</x:f>
        <x:v>-1000</x:v>
      </x:c>
      <x:c r="F11" s="6" t="n">
        <x:f>F10+E11</x:f>
        <x:v>236900</x:v>
      </x:c>
      <x:c r="G11" s="6" t="n">
        <x:v>-40000</x:v>
      </x:c>
      <x:c r="H11" s="6" t="n">
        <x:v>50800</x:v>
      </x:c>
    </x:row>
    <x:row r="12" ht="25" customHeight="1">
      <x:c r="A12" s="2" t="str">
        <x:v>2026-09-29_Day</x:v>
      </x:c>
      <x:c r="B12" s="2" t="str">
        <x:v>下落</x:v>
      </x:c>
      <x:c r="C12" s="6" t="n">
        <x:v>51600</x:v>
      </x:c>
      <x:c r="D12" s="6" t="n">
        <x:v>154900</x:v>
      </x:c>
      <x:c r="E12" s="6" t="n">
        <x:f>C12-D12</x:f>
        <x:v>-103300</x:v>
      </x:c>
      <x:c r="F12" s="6" t="n">
        <x:f>F11+E12</x:f>
        <x:v>133600</x:v>
      </x:c>
      <x:c r="G12" s="6" t="n">
        <x:v>-143500</x:v>
      </x:c>
      <x:c r="H12" s="6" t="n">
        <x:v>151900</x:v>
      </x:c>
    </x:row>
    <x:row r="13" ht="25" customHeight="1">
      <x:c r="A13" s="2" t="str">
        <x:v>2026-09-30_Day</x:v>
      </x:c>
      <x:c r="B13" s="2" t="str">
        <x:v>上昇</x:v>
      </x:c>
      <x:c r="C13" s="6" t="n">
        <x:v>44500</x:v>
      </x:c>
      <x:c r="D13" s="6" t="n">
        <x:v>21000</x:v>
      </x:c>
      <x:c r="E13" s="6" t="n">
        <x:f>C13-D13</x:f>
        <x:v>23500</x:v>
      </x:c>
      <x:c r="F13" s="6" t="n">
        <x:f>F12+E13</x:f>
        <x:v>157100</x:v>
      </x:c>
      <x:c r="G13" s="6" t="n">
        <x:v>-12500</x:v>
      </x:c>
      <x:c r="H13" s="6" t="n">
        <x:v>22000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57200</x:v>
      </x:c>
      <x:c r="D14" s="6" t="n">
        <x:v>105500</x:v>
      </x:c>
      <x:c r="E14" s="6" t="n">
        <x:f>C14-D14</x:f>
        <x:v>-48300</x:v>
      </x:c>
      <x:c r="F14" s="6" t="n">
        <x:f>F13+E14</x:f>
        <x:v>108800</x:v>
      </x:c>
      <x:c r="G14" s="6" t="n">
        <x:v>-76900</x:v>
      </x:c>
      <x:c r="H14" s="6" t="n">
        <x:v>90100</x:v>
      </x:c>
    </x:row>
    <x:row r="15" ht="25" customHeight="1">
      <x:c r="A15" s="2" t="str">
        <x:v>2026-10-02_Day</x:v>
      </x:c>
      <x:c r="B15" s="2" t="str">
        <x:v>上昇</x:v>
      </x:c>
      <x:c r="C15" s="6" t="n">
        <x:v>15500</x:v>
      </x:c>
      <x:c r="D15" s="6" t="n">
        <x:v>20900</x:v>
      </x:c>
      <x:c r="E15" s="6" t="n">
        <x:f>C15-D15</x:f>
        <x:v>-5400</x:v>
      </x:c>
      <x:c r="F15" s="6" t="n">
        <x:f>F14+E15</x:f>
        <x:v>103400</x:v>
      </x:c>
      <x:c r="G15" s="6" t="n">
        <x:v>-24900</x:v>
      </x:c>
      <x:c r="H15" s="6" t="n">
        <x:v>48300</x:v>
      </x:c>
    </x:row>
    <x:row r="16" ht="25" customHeight="1">
      <x:c r="A16" s="2" t="str">
        <x:v>2026-10-05_Day</x:v>
      </x:c>
      <x:c r="B16" s="2" t="str">
        <x:v>上昇</x:v>
      </x:c>
      <x:c r="C16" s="6" t="n">
        <x:v>47200</x:v>
      </x:c>
      <x:c r="D16" s="6" t="n">
        <x:v>37800</x:v>
      </x:c>
      <x:c r="E16" s="6" t="n">
        <x:f>C16-D16</x:f>
        <x:v>9400</x:v>
      </x:c>
      <x:c r="F16" s="6" t="n">
        <x:f>F15+E16</x:f>
        <x:v>112800</x:v>
      </x:c>
      <x:c r="G16" s="6" t="n">
        <x:v>-21500</x:v>
      </x:c>
      <x:c r="H16" s="6" t="n">
        <x:v>45000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36600</x:v>
      </x:c>
      <x:c r="D17" s="6" t="n">
        <x:v>102000</x:v>
      </x:c>
      <x:c r="E17" s="6" t="n">
        <x:f>C17-D17</x:f>
        <x:v>-65400</x:v>
      </x:c>
      <x:c r="F17" s="6" t="n">
        <x:f>F16+E17</x:f>
        <x:v>47400</x:v>
      </x:c>
      <x:c r="G17" s="6" t="n">
        <x:v>-65400</x:v>
      </x:c>
      <x:c r="H17" s="6" t="n">
        <x:v>83500</x:v>
      </x:c>
    </x:row>
    <x:row r="18" ht="25" customHeight="1">
      <x:c r="A18" s="2" t="str">
        <x:v>2026-10-07_Day</x:v>
      </x:c>
      <x:c r="B18" s="2" t="str">
        <x:v>下落</x:v>
      </x:c>
      <x:c r="C18" s="6" t="n">
        <x:v>134800</x:v>
      </x:c>
      <x:c r="D18" s="6" t="n">
        <x:v>22200</x:v>
      </x:c>
      <x:c r="E18" s="6" t="n">
        <x:f>C18-D18</x:f>
        <x:v>112600</x:v>
      </x:c>
      <x:c r="F18" s="6" t="n">
        <x:f>F17+E18</x:f>
        <x:v>160000</x:v>
      </x:c>
      <x:c r="G18" s="6" t="n">
        <x:v>-6600</x:v>
      </x:c>
      <x:c r="H18" s="6" t="n">
        <x:v>46600</x:v>
      </x:c>
    </x:row>
    <x:row r="19" ht="25" customHeight="1">
      <x:c r="A19" s="2" t="str">
        <x:v>2026-10-08_Day</x:v>
      </x:c>
      <x:c r="B19" s="2" t="str">
        <x:v>下落</x:v>
      </x:c>
      <x:c r="C19" s="6" t="n">
        <x:v>29400</x:v>
      </x:c>
      <x:c r="D19" s="6" t="n">
        <x:v>18000</x:v>
      </x:c>
      <x:c r="E19" s="6" t="n">
        <x:f>C19-D19</x:f>
        <x:v>11400</x:v>
      </x:c>
      <x:c r="F19" s="6" t="n">
        <x:f>F18+E19</x:f>
        <x:v>171400</x:v>
      </x:c>
      <x:c r="G19" s="6" t="n">
        <x:v>-14300</x:v>
      </x:c>
      <x:c r="H19" s="6" t="n">
        <x:v>24300</x:v>
      </x:c>
    </x:row>
    <x:row r="20" ht="25" customHeight="1">
      <x:c r="A20" s="2" t="str">
        <x:v>2026-10-09_Day</x:v>
      </x:c>
      <x:c r="B20" s="2" t="str">
        <x:v>上昇</x:v>
      </x:c>
      <x:c r="C20" s="6" t="n">
        <x:v>42500</x:v>
      </x:c>
      <x:c r="D20" s="6" t="n">
        <x:v>33300</x:v>
      </x:c>
      <x:c r="E20" s="6" t="n">
        <x:f>C20-D20</x:f>
        <x:v>9200</x:v>
      </x:c>
      <x:c r="F20" s="6" t="n">
        <x:f>F19+E20</x:f>
        <x:v>180600</x:v>
      </x:c>
      <x:c r="G20" s="6" t="n">
        <x:v>-61700</x:v>
      </x:c>
      <x:c r="H20" s="6" t="n">
        <x:v>127900</x:v>
      </x:c>
    </x:row>
    <x:row r="21" ht="25" customHeight="1">
      <x:c r="A21" s="2" t="str">
        <x:v>2026-10-12_Day</x:v>
      </x:c>
      <x:c r="B21" s="2" t="str">
        <x:v>下落</x:v>
      </x:c>
      <x:c r="C21" s="6" t="n">
        <x:v>14200</x:v>
      </x:c>
      <x:c r="D21" s="6" t="n">
        <x:v>5000</x:v>
      </x:c>
      <x:c r="E21" s="6" t="n">
        <x:f>C21-D21</x:f>
        <x:v>9200</x:v>
      </x:c>
      <x:c r="F21" s="6" t="n">
        <x:f>F20+E21</x:f>
        <x:v>189800</x:v>
      </x:c>
      <x:c r="G21" s="6" t="n">
        <x:v>-5000</x:v>
      </x:c>
      <x:c r="H21" s="6" t="n">
        <x:v>14000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106100</x:v>
      </x:c>
      <x:c r="D22" s="6" t="n">
        <x:v>118500</x:v>
      </x:c>
      <x:c r="E22" s="6" t="n">
        <x:f>C22-D22</x:f>
        <x:v>-12400</x:v>
      </x:c>
      <x:c r="F22" s="6" t="n">
        <x:f>F21+E22</x:f>
        <x:v>177400</x:v>
      </x:c>
      <x:c r="G22" s="6" t="n">
        <x:v>-55000</x:v>
      </x:c>
      <x:c r="H22" s="6" t="n">
        <x:v>117200</x:v>
      </x:c>
    </x:row>
    <x:row r="23" ht="25" customHeight="1">
      <x:c r="A23" s="2" t="str">
        <x:v>2026-10-14_Day</x:v>
      </x:c>
      <x:c r="B23" s="2" t="str">
        <x:v>上昇</x:v>
      </x:c>
      <x:c r="C23" s="6" t="n">
        <x:v>29800</x:v>
      </x:c>
      <x:c r="D23" s="6" t="n">
        <x:v>53800</x:v>
      </x:c>
      <x:c r="E23" s="6" t="n">
        <x:f>C23-D23</x:f>
        <x:v>-24000</x:v>
      </x:c>
      <x:c r="F23" s="6" t="n">
        <x:f>F22+E23</x:f>
        <x:v>153400</x:v>
      </x:c>
      <x:c r="G23" s="6" t="n">
        <x:v>-55800</x:v>
      </x:c>
      <x:c r="H23" s="6" t="n">
        <x:v>77000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186500</x:v>
      </x:c>
      <x:c r="D24" s="6" t="n">
        <x:v>33000</x:v>
      </x:c>
      <x:c r="E24" s="6" t="n">
        <x:f>C24-D24</x:f>
        <x:v>153500</x:v>
      </x:c>
      <x:c r="F24" s="6" t="n">
        <x:f>F23+E24</x:f>
        <x:v>306900</x:v>
      </x:c>
      <x:c r="G24" s="6" t="n">
        <x:v>-29500</x:v>
      </x:c>
      <x:c r="H24" s="6" t="n">
        <x:v>83400</x:v>
      </x:c>
    </x:row>
    <x:row r="25" ht="25" customHeight="1">
      <x:c r="A25" s="2" t="str">
        <x:v>2026-10-16_Day</x:v>
      </x:c>
      <x:c r="B25" s="2" t="str">
        <x:v>上昇</x:v>
      </x:c>
      <x:c r="C25" s="6" t="n">
        <x:v>40300</x:v>
      </x:c>
      <x:c r="D25" s="6" t="n">
        <x:v>91600</x:v>
      </x:c>
      <x:c r="E25" s="6" t="n">
        <x:f>C25-D25</x:f>
        <x:v>-51300</x:v>
      </x:c>
      <x:c r="F25" s="6" t="n">
        <x:f>F24+E25</x:f>
        <x:v>255600</x:v>
      </x:c>
      <x:c r="G25" s="6" t="n">
        <x:v>-64700</x:v>
      </x:c>
      <x:c r="H25" s="6" t="n">
        <x:v>83700</x:v>
      </x:c>
    </x:row>
    <x:row r="26" ht="25" customHeight="1">
      <x:c r="A26" s="2" t="str">
        <x:v>2026-10-19_Day</x:v>
      </x:c>
      <x:c r="B26" s="2" t="str">
        <x:v>上昇</x:v>
      </x:c>
      <x:c r="C26" s="6" t="n">
        <x:v>401700</x:v>
      </x:c>
      <x:c r="D26" s="6" t="n">
        <x:v>0</x:v>
      </x:c>
      <x:c r="E26" s="6" t="n">
        <x:f>C26-D26</x:f>
        <x:v>401700</x:v>
      </x:c>
      <x:c r="F26" s="6" t="n">
        <x:f>F25+E26</x:f>
        <x:v>657300</x:v>
      </x:c>
      <x:c r="G26" s="6" t="n">
        <x:v>-12000</x:v>
      </x:c>
      <x:c r="H26" s="6" t="n">
        <x:v>181000</x:v>
      </x:c>
    </x:row>
    <x:row r="27" ht="25" customHeight="1">
      <x:c r="A27" s="2" t="str">
        <x:v>2026-10-20_Day</x:v>
      </x:c>
      <x:c r="B27" s="2" t="str">
        <x:v>下落</x:v>
      </x:c>
      <x:c r="C27" s="6" t="n">
        <x:v>66900</x:v>
      </x:c>
      <x:c r="D27" s="6" t="n">
        <x:v>66400</x:v>
      </x:c>
      <x:c r="E27" s="6" t="n">
        <x:f>C27-D27</x:f>
        <x:v>500</x:v>
      </x:c>
      <x:c r="F27" s="6" t="n">
        <x:f>F26+E27</x:f>
        <x:v>657800</x:v>
      </x:c>
      <x:c r="G27" s="6" t="n">
        <x:v>-12000</x:v>
      </x:c>
      <x:c r="H27" s="6" t="n">
        <x:v>106100</x:v>
      </x:c>
    </x:row>
    <x:row r="28" ht="25" customHeight="1">
      <x:c r="A28" s="2" t="str">
        <x:v>2026-10-21_Day</x:v>
      </x:c>
      <x:c r="B28" s="2" t="str">
        <x:v>下落</x:v>
      </x:c>
      <x:c r="C28" s="6" t="n">
        <x:v>30400</x:v>
      </x:c>
      <x:c r="D28" s="6" t="n">
        <x:v>112500</x:v>
      </x:c>
      <x:c r="E28" s="6" t="n">
        <x:f>C28-D28</x:f>
        <x:v>-82100</x:v>
      </x:c>
      <x:c r="F28" s="6" t="n">
        <x:f>F27+E28</x:f>
        <x:v>575700</x:v>
      </x:c>
      <x:c r="G28" s="6" t="n">
        <x:v>-115900</x:v>
      </x:c>
      <x:c r="H28" s="6" t="n">
        <x:v>122400</x:v>
      </x:c>
    </x:row>
    <x:row r="29" ht="25" customHeight="1">
      <x:c r="A29" s="2" t="str">
        <x:v>2026-10-22_Day</x:v>
      </x:c>
      <x:c r="B29" s="2" t="str">
        <x:v>下落</x:v>
      </x:c>
      <x:c r="C29" s="6" t="n">
        <x:v>139800</x:v>
      </x:c>
      <x:c r="D29" s="6" t="n">
        <x:v>0</x:v>
      </x:c>
      <x:c r="E29" s="6" t="n">
        <x:f>C29-D29</x:f>
        <x:v>139800</x:v>
      </x:c>
      <x:c r="F29" s="6" t="n">
        <x:f>F28+E29</x:f>
        <x:v>715500</x:v>
      </x:c>
      <x:c r="G29" s="6" t="n">
        <x:v>-3000</x:v>
      </x:c>
      <x:c r="H29" s="6" t="n">
        <x:v>36600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240800</x:v>
      </x:c>
      <x:c r="D30" s="6" t="n">
        <x:v>23100</x:v>
      </x:c>
      <x:c r="E30" s="6" t="n">
        <x:f>C30-D30</x:f>
        <x:v>217700</x:v>
      </x:c>
      <x:c r="F30" s="6" t="n">
        <x:f>F29+E30</x:f>
        <x:v>933200</x:v>
      </x:c>
      <x:c r="G30" s="6" t="n">
        <x:v>-40800</x:v>
      </x:c>
      <x:c r="H30" s="6" t="n">
        <x:v>81600</x:v>
      </x:c>
    </x:row>
    <x:row r="31" ht="25" customHeight="1">
      <x:c r="A31" s="2" t="str">
        <x:v>2026-10-26_Day</x:v>
      </x:c>
      <x:c r="B31" s="2" t="str">
        <x:v>下落</x:v>
      </x:c>
      <x:c r="C31" s="6" t="n">
        <x:v>236000</x:v>
      </x:c>
      <x:c r="D31" s="6" t="n">
        <x:v>64600</x:v>
      </x:c>
      <x:c r="E31" s="6" t="n">
        <x:f>C31-D31</x:f>
        <x:v>171400</x:v>
      </x:c>
      <x:c r="F31" s="6" t="n">
        <x:f>F30+E31</x:f>
        <x:v>1104600</x:v>
      </x:c>
      <x:c r="G31" s="6" t="n">
        <x:v>-10000</x:v>
      </x:c>
      <x:c r="H31" s="6" t="n">
        <x:v>162600</x:v>
      </x:c>
    </x:row>
    <x:row r="32" ht="25" customHeight="1">
      <x:c r="A32" s="13" t="str">
        <x:v>累計／場内最悪値</x:v>
      </x:c>
      <x:c r="B32" s="13"/>
      <x:c r="C32" s="14" t="n">
        <x:f>SUM(C6:C31)</x:f>
        <x:v>2268700</x:v>
      </x:c>
      <x:c r="D32" s="14" t="n">
        <x:f>SUM(D6:D31)</x:f>
        <x:v>1164100</x:v>
      </x:c>
      <x:c r="E32" s="14" t="n">
        <x:f>C32-D32</x:f>
        <x:v>1104600</x:v>
      </x:c>
      <x:c r="F32" s="14" t="n">
        <x:f>F31</x:f>
        <x:v>1104600</x:v>
      </x:c>
      <x:c r="G32" s="14" t="n">
        <x:f>MIN(G6:G31)</x:f>
        <x:v>-143500</x:v>
      </x:c>
      <x:c r="H32" s="14" t="n">
        <x:f>MAX(H6:H31)</x:f>
        <x:v>181000</x:v>
      </x:c>
    </x:row>
  </x:sheetData>
  <x:conditionalFormatting sqref="E6:F31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a830a8e37d466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旧元玉出口＋順行40pt追加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5200</x:v>
      </x:c>
      <x:c r="D6" s="6" t="n">
        <x:v>15600</x:v>
      </x:c>
      <x:c r="E6" s="6" t="n">
        <x:f>C6-D6</x:f>
        <x:v>-10400</x:v>
      </x:c>
      <x:c r="F6" s="6" t="n">
        <x:f>E6</x:f>
        <x:v>-10400</x:v>
      </x:c>
      <x:c r="G6" s="6" t="n">
        <x:v>-18600</x:v>
      </x:c>
      <x:c r="H6" s="6" t="n">
        <x:v>24600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-24400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-13600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393000</x:v>
      </x:c>
      <x:c r="D9" s="6" t="n">
        <x:v>12000</x:v>
      </x:c>
      <x:c r="E9" s="6" t="n">
        <x:f>C9-D9</x:f>
        <x:v>381000</x:v>
      </x:c>
      <x:c r="F9" s="6" t="n">
        <x:f>F8+E9</x:f>
        <x:v>367400</x:v>
      </x:c>
      <x:c r="G9" s="6" t="n">
        <x:v>-44600</x:v>
      </x:c>
      <x:c r="H9" s="6" t="n">
        <x:v>311100</x:v>
      </x:c>
    </x:row>
    <x:row r="10" ht="25" customHeight="1">
      <x:c r="A10" s="2" t="str">
        <x:v>2026-09-25_Day</x:v>
      </x:c>
      <x:c r="B10" s="2" t="str">
        <x:v>上昇</x:v>
      </x:c>
      <x:c r="C10" s="6" t="n">
        <x:v>212500</x:v>
      </x:c>
      <x:c r="D10" s="6" t="n">
        <x:v>8000</x:v>
      </x:c>
      <x:c r="E10" s="6" t="n">
        <x:f>C10-D10</x:f>
        <x:v>204500</x:v>
      </x:c>
      <x:c r="F10" s="6" t="n">
        <x:f>F9+E10</x:f>
        <x:v>571900</x:v>
      </x:c>
      <x:c r="G10" s="6" t="n">
        <x:v>-11800</x:v>
      </x:c>
      <x:c r="H10" s="6" t="n">
        <x:v>195100</x:v>
      </x:c>
    </x:row>
    <x:row r="11" ht="25" customHeight="1">
      <x:c r="A11" s="2" t="str">
        <x:v>2026-09-28_Day</x:v>
      </x:c>
      <x:c r="B11" s="2" t="str">
        <x:v>下落</x:v>
      </x:c>
      <x:c r="C11" s="6" t="n">
        <x:v>184300</x:v>
      </x:c>
      <x:c r="D11" s="6" t="n">
        <x:v>81100</x:v>
      </x:c>
      <x:c r="E11" s="6" t="n">
        <x:f>C11-D11</x:f>
        <x:v>103200</x:v>
      </x:c>
      <x:c r="F11" s="6" t="n">
        <x:f>F10+E11</x:f>
        <x:v>675100</x:v>
      </x:c>
      <x:c r="G11" s="6" t="n">
        <x:v>-92400</x:v>
      </x:c>
      <x:c r="H11" s="6" t="n">
        <x:v>252300</x:v>
      </x:c>
    </x:row>
    <x:row r="12" ht="25" customHeight="1">
      <x:c r="A12" s="2" t="str">
        <x:v>2026-09-29_Day</x:v>
      </x:c>
      <x:c r="B12" s="2" t="str">
        <x:v>下落</x:v>
      </x:c>
      <x:c r="C12" s="6" t="n">
        <x:v>221500</x:v>
      </x:c>
      <x:c r="D12" s="6" t="n">
        <x:v>208800</x:v>
      </x:c>
      <x:c r="E12" s="6" t="n">
        <x:f>C12-D12</x:f>
        <x:v>12700</x:v>
      </x:c>
      <x:c r="F12" s="6" t="n">
        <x:f>F11+E12</x:f>
        <x:v>687800</x:v>
      </x:c>
      <x:c r="G12" s="6" t="n">
        <x:v>-278400</x:v>
      </x:c>
      <x:c r="H12" s="6" t="n">
        <x:v>303200</x:v>
      </x:c>
    </x:row>
    <x:row r="13" ht="25" customHeight="1">
      <x:c r="A13" s="2" t="str">
        <x:v>2026-09-30_Day</x:v>
      </x:c>
      <x:c r="B13" s="2" t="str">
        <x:v>上昇</x:v>
      </x:c>
      <x:c r="C13" s="6" t="n">
        <x:v>260000</x:v>
      </x:c>
      <x:c r="D13" s="6" t="n">
        <x:v>25400</x:v>
      </x:c>
      <x:c r="E13" s="6" t="n">
        <x:f>C13-D13</x:f>
        <x:v>234600</x:v>
      </x:c>
      <x:c r="F13" s="6" t="n">
        <x:f>F12+E13</x:f>
        <x:v>922400</x:v>
      </x:c>
      <x:c r="G13" s="6" t="n">
        <x:v>-56600</x:v>
      </x:c>
      <x:c r="H13" s="6" t="n">
        <x:v>82000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372000</x:v>
      </x:c>
      <x:c r="D14" s="6" t="n">
        <x:v>142700</x:v>
      </x:c>
      <x:c r="E14" s="6" t="n">
        <x:f>C14-D14</x:f>
        <x:v>229300</x:v>
      </x:c>
      <x:c r="F14" s="6" t="n">
        <x:f>F13+E14</x:f>
        <x:v>1151700</x:v>
      </x:c>
      <x:c r="G14" s="6" t="n">
        <x:v>-145100</x:v>
      </x:c>
      <x:c r="H14" s="6" t="n">
        <x:v>161300</x:v>
      </x:c>
    </x:row>
    <x:row r="15" ht="25" customHeight="1">
      <x:c r="A15" s="2" t="str">
        <x:v>2026-10-02_Day</x:v>
      </x:c>
      <x:c r="B15" s="2" t="str">
        <x:v>上昇</x:v>
      </x:c>
      <x:c r="C15" s="6" t="n">
        <x:v>14700</x:v>
      </x:c>
      <x:c r="D15" s="6" t="n">
        <x:v>149000</x:v>
      </x:c>
      <x:c r="E15" s="6" t="n">
        <x:f>C15-D15</x:f>
        <x:v>-134300</x:v>
      </x:c>
      <x:c r="F15" s="6" t="n">
        <x:f>F14+E15</x:f>
        <x:v>1017400</x:v>
      </x:c>
      <x:c r="G15" s="6" t="n">
        <x:v>-179100</x:v>
      </x:c>
      <x:c r="H15" s="6" t="n">
        <x:v>240700</x:v>
      </x:c>
    </x:row>
    <x:row r="16" ht="25" customHeight="1">
      <x:c r="A16" s="2" t="str">
        <x:v>2026-10-05_Day</x:v>
      </x:c>
      <x:c r="B16" s="2" t="str">
        <x:v>上昇</x:v>
      </x:c>
      <x:c r="C16" s="6" t="n">
        <x:v>96000</x:v>
      </x:c>
      <x:c r="D16" s="6" t="n">
        <x:v>220000</x:v>
      </x:c>
      <x:c r="E16" s="6" t="n">
        <x:f>C16-D16</x:f>
        <x:v>-124000</x:v>
      </x:c>
      <x:c r="F16" s="6" t="n">
        <x:f>F15+E16</x:f>
        <x:v>893400</x:v>
      </x:c>
      <x:c r="G16" s="6" t="n">
        <x:v>-188500</x:v>
      </x:c>
      <x:c r="H16" s="6" t="n">
        <x:v>317300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127800</x:v>
      </x:c>
      <x:c r="D17" s="6" t="n">
        <x:v>438300</x:v>
      </x:c>
      <x:c r="E17" s="6" t="n">
        <x:f>C17-D17</x:f>
        <x:v>-310500</x:v>
      </x:c>
      <x:c r="F17" s="6" t="n">
        <x:f>F16+E17</x:f>
        <x:v>582900</x:v>
      </x:c>
      <x:c r="G17" s="6" t="n">
        <x:v>-347300</x:v>
      </x:c>
      <x:c r="H17" s="6" t="n">
        <x:v>398000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267900</x:v>
      </x:c>
      <x:c r="D18" s="6" t="n">
        <x:v>43300</x:v>
      </x:c>
      <x:c r="E18" s="6" t="n">
        <x:f>C18-D18</x:f>
        <x:v>224600</x:v>
      </x:c>
      <x:c r="F18" s="6" t="n">
        <x:f>F17+E18</x:f>
        <x:v>807500</x:v>
      </x:c>
      <x:c r="G18" s="6" t="n">
        <x:v>-12900</x:v>
      </x:c>
      <x:c r="H18" s="6" t="n">
        <x:v>110700</x:v>
      </x:c>
    </x:row>
    <x:row r="19" ht="25" customHeight="1">
      <x:c r="A19" s="2" t="str">
        <x:v>2026-10-08_Day</x:v>
      </x:c>
      <x:c r="B19" s="2" t="str">
        <x:v>下落</x:v>
      </x:c>
      <x:c r="C19" s="6" t="n">
        <x:v>108300</x:v>
      </x:c>
      <x:c r="D19" s="6" t="n">
        <x:v>64600</x:v>
      </x:c>
      <x:c r="E19" s="6" t="n">
        <x:f>C19-D19</x:f>
        <x:v>43700</x:v>
      </x:c>
      <x:c r="F19" s="6" t="n">
        <x:f>F18+E19</x:f>
        <x:v>851200</x:v>
      </x:c>
      <x:c r="G19" s="6" t="n">
        <x:v>-79600</x:v>
      </x:c>
      <x:c r="H19" s="6" t="n">
        <x:v>103300</x:v>
      </x:c>
    </x:row>
    <x:row r="20" ht="25" customHeight="1">
      <x:c r="A20" s="2" t="str">
        <x:v>2026-10-09_Day</x:v>
      </x:c>
      <x:c r="B20" s="2" t="str">
        <x:v>上昇</x:v>
      </x:c>
      <x:c r="C20" s="6" t="n">
        <x:v>112100</x:v>
      </x:c>
      <x:c r="D20" s="6" t="n">
        <x:v>142500</x:v>
      </x:c>
      <x:c r="E20" s="6" t="n">
        <x:f>C20-D20</x:f>
        <x:v>-30400</x:v>
      </x:c>
      <x:c r="F20" s="6" t="n">
        <x:f>F19+E20</x:f>
        <x:v>820800</x:v>
      </x:c>
      <x:c r="G20" s="6" t="n">
        <x:v>-105000</x:v>
      </x:c>
      <x:c r="H20" s="6" t="n">
        <x:v>266700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15400</x:v>
      </x:c>
      <x:c r="E21" s="6" t="n">
        <x:f>C21-D21</x:f>
        <x:v>-13600</x:v>
      </x:c>
      <x:c r="F21" s="6" t="n">
        <x:f>F20+E21</x:f>
        <x:v>807200</x:v>
      </x:c>
      <x:c r="G21" s="6" t="n">
        <x:v>-18600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269600</x:v>
      </x:c>
      <x:c r="D22" s="6" t="n">
        <x:v>245600</x:v>
      </x:c>
      <x:c r="E22" s="6" t="n">
        <x:f>C22-D22</x:f>
        <x:v>24000</x:v>
      </x:c>
      <x:c r="F22" s="6" t="n">
        <x:f>F21+E22</x:f>
        <x:v>831200</x:v>
      </x:c>
      <x:c r="G22" s="6" t="n">
        <x:v>-119000</x:v>
      </x:c>
      <x:c r="H22" s="6" t="n">
        <x:v>234000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193500</x:v>
      </x:c>
      <x:c r="D23" s="6" t="n">
        <x:v>187100</x:v>
      </x:c>
      <x:c r="E23" s="6" t="n">
        <x:f>C23-D23</x:f>
        <x:v>6400</x:v>
      </x:c>
      <x:c r="F23" s="6" t="n">
        <x:f>F22+E23</x:f>
        <x:v>837600</x:v>
      </x:c>
      <x:c r="G23" s="6" t="n">
        <x:v>-165200</x:v>
      </x:c>
      <x:c r="H23" s="6" t="n">
        <x:v>208800</x:v>
      </x:c>
    </x:row>
    <x:row r="24" ht="25" customHeight="1">
      <x:c r="A24" s="2" t="str">
        <x:v>2026-10-15_Day</x:v>
      </x:c>
      <x:c r="B24" s="2" t="str">
        <x:v>下落</x:v>
      </x:c>
      <x:c r="C24" s="6" t="n">
        <x:v>492700</x:v>
      </x:c>
      <x:c r="D24" s="6" t="n">
        <x:v>51000</x:v>
      </x:c>
      <x:c r="E24" s="6" t="n">
        <x:f>C24-D24</x:f>
        <x:v>441700</x:v>
      </x:c>
      <x:c r="F24" s="6" t="n">
        <x:f>F23+E24</x:f>
        <x:v>1279300</x:v>
      </x:c>
      <x:c r="G24" s="6" t="n">
        <x:v>-65000</x:v>
      </x:c>
      <x:c r="H24" s="6" t="n">
        <x:v>254400</x:v>
      </x:c>
    </x:row>
    <x:row r="25" ht="25" customHeight="1">
      <x:c r="A25" s="2" t="str">
        <x:v>2026-10-16_Day</x:v>
      </x:c>
      <x:c r="B25" s="2" t="str">
        <x:v>上昇</x:v>
      </x:c>
      <x:c r="C25" s="6" t="n">
        <x:v>131200</x:v>
      </x:c>
      <x:c r="D25" s="6" t="n">
        <x:v>316100</x:v>
      </x:c>
      <x:c r="E25" s="6" t="n">
        <x:f>C25-D25</x:f>
        <x:v>-184900</x:v>
      </x:c>
      <x:c r="F25" s="6" t="n">
        <x:f>F24+E25</x:f>
        <x:v>1094400</x:v>
      </x:c>
      <x:c r="G25" s="6" t="n">
        <x:v>-240300</x:v>
      </x:c>
      <x:c r="H25" s="6" t="n">
        <x:v>274400</x:v>
      </x:c>
    </x:row>
    <x:row r="26" ht="25" customHeight="1">
      <x:c r="A26" s="2" t="str">
        <x:v>2026-10-19_Day</x:v>
      </x:c>
      <x:c r="B26" s="2" t="str">
        <x:v>上昇</x:v>
      </x:c>
      <x:c r="C26" s="6" t="n">
        <x:v>725900</x:v>
      </x:c>
      <x:c r="D26" s="6" t="n">
        <x:v>0</x:v>
      </x:c>
      <x:c r="E26" s="6" t="n">
        <x:f>C26-D26</x:f>
        <x:v>725900</x:v>
      </x:c>
      <x:c r="F26" s="6" t="n">
        <x:f>F25+E26</x:f>
        <x:v>1820300</x:v>
      </x:c>
      <x:c r="G26" s="6" t="n">
        <x:v>-20800</x:v>
      </x:c>
      <x:c r="H26" s="6" t="n">
        <x:v>320000</x:v>
      </x:c>
    </x:row>
    <x:row r="27" ht="25" customHeight="1">
      <x:c r="A27" s="2" t="str">
        <x:v>2026-10-20_Day</x:v>
      </x:c>
      <x:c r="B27" s="2" t="str">
        <x:v>下落</x:v>
      </x:c>
      <x:c r="C27" s="6" t="n">
        <x:v>198700</x:v>
      </x:c>
      <x:c r="D27" s="6" t="n">
        <x:v>261600</x:v>
      </x:c>
      <x:c r="E27" s="6" t="n">
        <x:f>C27-D27</x:f>
        <x:v>-62900</x:v>
      </x:c>
      <x:c r="F27" s="6" t="n">
        <x:f>F26+E27</x:f>
        <x:v>1757400</x:v>
      </x:c>
      <x:c r="G27" s="6" t="n">
        <x:v>-212100</x:v>
      </x:c>
      <x:c r="H27" s="6" t="n">
        <x:v>498500</x:v>
      </x:c>
    </x:row>
    <x:row r="28" ht="25" customHeight="1">
      <x:c r="A28" s="2" t="str">
        <x:v>2026-10-21_Day</x:v>
      </x:c>
      <x:c r="B28" s="2" t="str">
        <x:v>下落</x:v>
      </x:c>
      <x:c r="C28" s="6" t="n">
        <x:v>57000</x:v>
      </x:c>
      <x:c r="D28" s="6" t="n">
        <x:v>280900</x:v>
      </x:c>
      <x:c r="E28" s="6" t="n">
        <x:f>C28-D28</x:f>
        <x:v>-223900</x:v>
      </x:c>
      <x:c r="F28" s="6" t="n">
        <x:f>F27+E28</x:f>
        <x:v>1533500</x:v>
      </x:c>
      <x:c r="G28" s="6" t="n">
        <x:v>-309100</x:v>
      </x:c>
      <x:c r="H28" s="6" t="n">
        <x:v>327600</x:v>
      </x:c>
    </x:row>
    <x:row r="29" ht="25" customHeight="1">
      <x:c r="A29" s="2" t="str">
        <x:v>2026-10-22_Day</x:v>
      </x:c>
      <x:c r="B29" s="2" t="str">
        <x:v>下落</x:v>
      </x:c>
      <x:c r="C29" s="6" t="n">
        <x:v>681400</x:v>
      </x:c>
      <x:c r="D29" s="6" t="n">
        <x:v>0</x:v>
      </x:c>
      <x:c r="E29" s="6" t="n">
        <x:f>C29-D29</x:f>
        <x:v>681400</x:v>
      </x:c>
      <x:c r="F29" s="6" t="n">
        <x:f>F28+E29</x:f>
        <x:v>2214900</x:v>
      </x:c>
      <x:c r="G29" s="6" t="n">
        <x:v>-3000</x:v>
      </x:c>
      <x:c r="H29" s="6" t="n">
        <x:v>186900</x:v>
      </x:c>
    </x:row>
    <x:row r="30" ht="25" customHeight="1">
      <x:c r="A30" s="2" t="str">
        <x:v>2026-10-23_Day</x:v>
      </x:c>
      <x:c r="B30" s="2" t="str">
        <x:v>上昇</x:v>
      </x:c>
      <x:c r="C30" s="6" t="n">
        <x:v>856700</x:v>
      </x:c>
      <x:c r="D30" s="6" t="n">
        <x:v>115900</x:v>
      </x:c>
      <x:c r="E30" s="6" t="n">
        <x:f>C30-D30</x:f>
        <x:v>740800</x:v>
      </x:c>
      <x:c r="F30" s="6" t="n">
        <x:f>F29+E30</x:f>
        <x:v>2955700</x:v>
      </x:c>
      <x:c r="G30" s="6" t="n">
        <x:v>-119700</x:v>
      </x:c>
      <x:c r="H30" s="6" t="n">
        <x:v>251500</x:v>
      </x:c>
    </x:row>
    <x:row r="31" ht="25" customHeight="1">
      <x:c r="A31" s="2" t="str">
        <x:v>2026-10-26_Day</x:v>
      </x:c>
      <x:c r="B31" s="2" t="str">
        <x:v>下落</x:v>
      </x:c>
      <x:c r="C31" s="6" t="n">
        <x:v>547000</x:v>
      </x:c>
      <x:c r="D31" s="6" t="n">
        <x:v>165900</x:v>
      </x:c>
      <x:c r="E31" s="6" t="n">
        <x:f>C31-D31</x:f>
        <x:v>381100</x:v>
      </x:c>
      <x:c r="F31" s="6" t="n">
        <x:f>F30+E31</x:f>
        <x:v>3336800</x:v>
      </x:c>
      <x:c r="G31" s="6" t="n">
        <x:v>-74600</x:v>
      </x:c>
      <x:c r="H31" s="6" t="n">
        <x:v>424500</x:v>
      </x:c>
    </x:row>
    <x:row r="32" ht="25" customHeight="1">
      <x:c r="A32" s="13" t="str">
        <x:v>累計／場内最悪値</x:v>
      </x:c>
      <x:c r="B32" s="13"/>
      <x:c r="C32" s="14" t="n">
        <x:f>SUM(C6:C31)</x:f>
        <x:v>6541600</x:v>
      </x:c>
      <x:c r="D32" s="14" t="n">
        <x:f>SUM(D6:D31)</x:f>
        <x:v>3204800</x:v>
      </x:c>
      <x:c r="E32" s="14" t="n">
        <x:f>C32-D32</x:f>
        <x:v>3336800</x:v>
      </x:c>
      <x:c r="F32" s="14" t="n">
        <x:f>F31</x:f>
        <x:v>3336800</x:v>
      </x:c>
      <x:c r="G32" s="14" t="n">
        <x:f>MIN(G6:G31)</x:f>
        <x:v>-347300</x:v>
      </x:c>
      <x:c r="H32" s="14" t="n">
        <x:f>MAX(H6:H31)</x:f>
        <x:v>498500</x:v>
      </x:c>
    </x:row>
  </x:sheetData>
  <x:conditionalFormatting sqref="E6:F31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d3a6ae51db435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O01＋短期支持のカバー/復帰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5200</x:v>
      </x:c>
      <x:c r="D6" s="6" t="n">
        <x:v>20600</x:v>
      </x:c>
      <x:c r="E6" s="6" t="n">
        <x:f>C6-D6</x:f>
        <x:v>-15400</x:v>
      </x:c>
      <x:c r="F6" s="6" t="n">
        <x:f>E6</x:f>
        <x:v>-15400</x:v>
      </x:c>
      <x:c r="G6" s="6" t="n">
        <x:v>-23600</x:v>
      </x:c>
      <x:c r="H6" s="6" t="n">
        <x:v>29600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-29400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-18600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295900</x:v>
      </x:c>
      <x:c r="D9" s="6" t="n">
        <x:v>19200</x:v>
      </x:c>
      <x:c r="E9" s="6" t="n">
        <x:f>C9-D9</x:f>
        <x:v>276700</x:v>
      </x:c>
      <x:c r="F9" s="6" t="n">
        <x:f>F8+E9</x:f>
        <x:v>258100</x:v>
      </x:c>
      <x:c r="G9" s="6" t="n">
        <x:v>-75100</x:v>
      </x:c>
      <x:c r="H9" s="6" t="n">
        <x:v>337200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153400</x:v>
      </x:c>
      <x:c r="D10" s="6" t="n">
        <x:v>8000</x:v>
      </x:c>
      <x:c r="E10" s="6" t="n">
        <x:f>C10-D10</x:f>
        <x:v>145400</x:v>
      </x:c>
      <x:c r="F10" s="6" t="n">
        <x:f>F9+E10</x:f>
        <x:v>403500</x:v>
      </x:c>
      <x:c r="G10" s="6" t="n">
        <x:v>-11800</x:v>
      </x:c>
      <x:c r="H10" s="6" t="n">
        <x:v>229600</x:v>
      </x:c>
    </x:row>
    <x:row r="11" ht="25" customHeight="1">
      <x:c r="A11" s="2" t="str">
        <x:v>2026-09-28_Day</x:v>
      </x:c>
      <x:c r="B11" s="2" t="str">
        <x:v>下落</x:v>
      </x:c>
      <x:c r="C11" s="6" t="n">
        <x:v>184300</x:v>
      </x:c>
      <x:c r="D11" s="6" t="n">
        <x:v>92100</x:v>
      </x:c>
      <x:c r="E11" s="6" t="n">
        <x:f>C11-D11</x:f>
        <x:v>92200</x:v>
      </x:c>
      <x:c r="F11" s="6" t="n">
        <x:f>F10+E11</x:f>
        <x:v>495700</x:v>
      </x:c>
      <x:c r="G11" s="6" t="n">
        <x:v>-87400</x:v>
      </x:c>
      <x:c r="H11" s="6" t="n">
        <x:v>252300</x:v>
      </x:c>
    </x:row>
    <x:row r="12" ht="25" customHeight="1">
      <x:c r="A12" s="2" t="str">
        <x:v>2026-09-29_Day</x:v>
      </x:c>
      <x:c r="B12" s="2" t="str">
        <x:v>下落</x:v>
      </x:c>
      <x:c r="C12" s="6" t="n">
        <x:v>211300</x:v>
      </x:c>
      <x:c r="D12" s="6" t="n">
        <x:v>210800</x:v>
      </x:c>
      <x:c r="E12" s="6" t="n">
        <x:f>C12-D12</x:f>
        <x:v>500</x:v>
      </x:c>
      <x:c r="F12" s="6" t="n">
        <x:f>F11+E12</x:f>
        <x:v>496200</x:v>
      </x:c>
      <x:c r="G12" s="6" t="n">
        <x:v>-289100</x:v>
      </x:c>
      <x:c r="H12" s="6" t="n">
        <x:v>316900</x:v>
      </x:c>
    </x:row>
    <x:row r="13" ht="25" customHeight="1">
      <x:c r="A13" s="2" t="str">
        <x:v>2026-09-30_Day</x:v>
      </x:c>
      <x:c r="B13" s="2" t="str">
        <x:v>上昇</x:v>
      </x:c>
      <x:c r="C13" s="6" t="n">
        <x:v>254300</x:v>
      </x:c>
      <x:c r="D13" s="6" t="n">
        <x:v>25400</x:v>
      </x:c>
      <x:c r="E13" s="6" t="n">
        <x:f>C13-D13</x:f>
        <x:v>228900</x:v>
      </x:c>
      <x:c r="F13" s="6" t="n">
        <x:f>F12+E13</x:f>
        <x:v>725100</x:v>
      </x:c>
      <x:c r="G13" s="6" t="n">
        <x:v>-56600</x:v>
      </x:c>
      <x:c r="H13" s="6" t="n">
        <x:v>82000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339900</x:v>
      </x:c>
      <x:c r="D14" s="6" t="n">
        <x:v>141600</x:v>
      </x:c>
      <x:c r="E14" s="6" t="n">
        <x:f>C14-D14</x:f>
        <x:v>198300</x:v>
      </x:c>
      <x:c r="F14" s="6" t="n">
        <x:f>F13+E14</x:f>
        <x:v>923400</x:v>
      </x:c>
      <x:c r="G14" s="6" t="n">
        <x:v>-153100</x:v>
      </x:c>
      <x:c r="H14" s="6" t="n">
        <x:v>169300</x:v>
      </x:c>
    </x:row>
    <x:row r="15" ht="25" customHeight="1">
      <x:c r="A15" s="2" t="str">
        <x:v>2026-10-02_Day</x:v>
      </x:c>
      <x:c r="B15" s="2" t="str">
        <x:v>上昇</x:v>
      </x:c>
      <x:c r="C15" s="6" t="n">
        <x:v>14700</x:v>
      </x:c>
      <x:c r="D15" s="6" t="n">
        <x:v>186500</x:v>
      </x:c>
      <x:c r="E15" s="6" t="n">
        <x:f>C15-D15</x:f>
        <x:v>-171800</x:v>
      </x:c>
      <x:c r="F15" s="6" t="n">
        <x:f>F14+E15</x:f>
        <x:v>751600</x:v>
      </x:c>
      <x:c r="G15" s="6" t="n">
        <x:v>-213900</x:v>
      </x:c>
      <x:c r="H15" s="6" t="n">
        <x:v>274000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85400</x:v>
      </x:c>
      <x:c r="D16" s="6" t="n">
        <x:v>237900</x:v>
      </x:c>
      <x:c r="E16" s="6" t="n">
        <x:f>C16-D16</x:f>
        <x:v>-152500</x:v>
      </x:c>
      <x:c r="F16" s="6" t="n">
        <x:f>F15+E16</x:f>
        <x:v>599100</x:v>
      </x:c>
      <x:c r="G16" s="6" t="n">
        <x:v>-217000</x:v>
      </x:c>
      <x:c r="H16" s="6" t="n">
        <x:v>345800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124400</x:v>
      </x:c>
      <x:c r="D17" s="6" t="n">
        <x:v>460600</x:v>
      </x:c>
      <x:c r="E17" s="6" t="n">
        <x:f>C17-D17</x:f>
        <x:v>-336200</x:v>
      </x:c>
      <x:c r="F17" s="6" t="n">
        <x:f>F16+E17</x:f>
        <x:v>262900</x:v>
      </x:c>
      <x:c r="G17" s="6" t="n">
        <x:v>-373000</x:v>
      </x:c>
      <x:c r="H17" s="6" t="n">
        <x:v>423700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51900</x:v>
      </x:c>
      <x:c r="E18" s="6" t="n">
        <x:f>C18-D18</x:f>
        <x:v>197500</x:v>
      </x:c>
      <x:c r="F18" s="6" t="n">
        <x:f>F17+E18</x:f>
        <x:v>460400</x:v>
      </x:c>
      <x:c r="G18" s="6" t="n">
        <x:v>-16800</x:v>
      </x:c>
      <x:c r="H18" s="6" t="n">
        <x:v>110700</x:v>
      </x:c>
    </x:row>
    <x:row r="19" ht="25" customHeight="1">
      <x:c r="A19" s="2" t="str">
        <x:v>2026-10-08_Day</x:v>
      </x:c>
      <x:c r="B19" s="2" t="str">
        <x:v>下落</x:v>
      </x:c>
      <x:c r="C19" s="6" t="n">
        <x:v>106800</x:v>
      </x:c>
      <x:c r="D19" s="6" t="n">
        <x:v>69000</x:v>
      </x:c>
      <x:c r="E19" s="6" t="n">
        <x:f>C19-D19</x:f>
        <x:v>37800</x:v>
      </x:c>
      <x:c r="F19" s="6" t="n">
        <x:f>F18+E19</x:f>
        <x:v>498200</x:v>
      </x:c>
      <x:c r="G19" s="6" t="n">
        <x:v>-84000</x:v>
      </x:c>
      <x:c r="H19" s="6" t="n">
        <x:v>103300</x:v>
      </x:c>
    </x:row>
    <x:row r="20" ht="25" customHeight="1">
      <x:c r="A20" s="2" t="str">
        <x:v>2026-10-09_Day</x:v>
      </x:c>
      <x:c r="B20" s="2" t="str">
        <x:v>上昇</x:v>
      </x:c>
      <x:c r="C20" s="6" t="n">
        <x:v>97700</x:v>
      </x:c>
      <x:c r="D20" s="6" t="n">
        <x:v>184600</x:v>
      </x:c>
      <x:c r="E20" s="6" t="n">
        <x:f>C20-D20</x:f>
        <x:v>-86900</x:v>
      </x:c>
      <x:c r="F20" s="6" t="n">
        <x:f>F19+E20</x:f>
        <x:v>411300</x:v>
      </x:c>
      <x:c r="G20" s="6" t="n">
        <x:v>-119600</x:v>
      </x:c>
      <x:c r="H20" s="6" t="n">
        <x:v>268400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15400</x:v>
      </x:c>
      <x:c r="E21" s="6" t="n">
        <x:f>C21-D21</x:f>
        <x:v>-13600</x:v>
      </x:c>
      <x:c r="F21" s="6" t="n">
        <x:f>F20+E21</x:f>
        <x:v>397700</x:v>
      </x:c>
      <x:c r="G21" s="6" t="n">
        <x:v>-18600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164400</x:v>
      </x:c>
      <x:c r="D22" s="6" t="n">
        <x:v>235100</x:v>
      </x:c>
      <x:c r="E22" s="6" t="n">
        <x:f>C22-D22</x:f>
        <x:v>-70700</x:v>
      </x:c>
      <x:c r="F22" s="6" t="n">
        <x:f>F21+E22</x:f>
        <x:v>327000</x:v>
      </x:c>
      <x:c r="G22" s="6" t="n">
        <x:v>-192100</x:v>
      </x:c>
      <x:c r="H22" s="6" t="n">
        <x:v>266100</x:v>
      </x:c>
    </x:row>
    <x:row r="23" ht="25" customHeight="1">
      <x:c r="A23" s="2" t="str">
        <x:v>2026-10-14_Day</x:v>
      </x:c>
      <x:c r="B23" s="2" t="str">
        <x:v>上昇</x:v>
      </x:c>
      <x:c r="C23" s="6" t="n">
        <x:v>219000</x:v>
      </x:c>
      <x:c r="D23" s="6" t="n">
        <x:v>190800</x:v>
      </x:c>
      <x:c r="E23" s="6" t="n">
        <x:f>C23-D23</x:f>
        <x:v>28200</x:v>
      </x:c>
      <x:c r="F23" s="6" t="n">
        <x:f>F22+E23</x:f>
        <x:v>355200</x:v>
      </x:c>
      <x:c r="G23" s="6" t="n">
        <x:v>-168900</x:v>
      </x:c>
      <x:c r="H23" s="6" t="n">
        <x:v>211000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398500</x:v>
      </x:c>
      <x:c r="D24" s="6" t="n">
        <x:v>53300</x:v>
      </x:c>
      <x:c r="E24" s="6" t="n">
        <x:f>C24-D24</x:f>
        <x:v>345200</x:v>
      </x:c>
      <x:c r="F24" s="6" t="n">
        <x:f>F23+E24</x:f>
        <x:v>700400</x:v>
      </x:c>
      <x:c r="G24" s="6" t="n">
        <x:v>-65800</x:v>
      </x:c>
      <x:c r="H24" s="6" t="n">
        <x:v>274500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104600</x:v>
      </x:c>
      <x:c r="D25" s="6" t="n">
        <x:v>333800</x:v>
      </x:c>
      <x:c r="E25" s="6" t="n">
        <x:f>C25-D25</x:f>
        <x:v>-229200</x:v>
      </x:c>
      <x:c r="F25" s="6" t="n">
        <x:f>F24+E25</x:f>
        <x:v>471200</x:v>
      </x:c>
      <x:c r="G25" s="6" t="n">
        <x:v>-284600</x:v>
      </x:c>
      <x:c r="H25" s="6" t="n">
        <x:v>309100</x:v>
      </x:c>
    </x:row>
    <x:row r="26" ht="25" customHeight="1">
      <x:c r="A26" s="2" t="str">
        <x:v>2026-10-19_Day</x:v>
      </x:c>
      <x:c r="B26" s="2" t="str">
        <x:v>上昇</x:v>
      </x:c>
      <x:c r="C26" s="6" t="n">
        <x:v>530500</x:v>
      </x:c>
      <x:c r="D26" s="6" t="n">
        <x:v>0</x:v>
      </x:c>
      <x:c r="E26" s="6" t="n">
        <x:f>C26-D26</x:f>
        <x:v>530500</x:v>
      </x:c>
      <x:c r="F26" s="6" t="n">
        <x:f>F25+E26</x:f>
        <x:v>1001700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137500</x:v>
      </x:c>
      <x:c r="D27" s="6" t="n">
        <x:v>282800</x:v>
      </x:c>
      <x:c r="E27" s="6" t="n">
        <x:f>C27-D27</x:f>
        <x:v>-145300</x:v>
      </x:c>
      <x:c r="F27" s="6" t="n">
        <x:f>F26+E27</x:f>
        <x:v>856400</x:v>
      </x:c>
      <x:c r="G27" s="6" t="n">
        <x:v>-280400</x:v>
      </x:c>
      <x:c r="H27" s="6" t="n">
        <x:v>518100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60400</x:v>
      </x:c>
      <x:c r="D28" s="6" t="n">
        <x:v>299800</x:v>
      </x:c>
      <x:c r="E28" s="6" t="n">
        <x:f>C28-D28</x:f>
        <x:v>-239400</x:v>
      </x:c>
      <x:c r="F28" s="6" t="n">
        <x:f>F27+E28</x:f>
        <x:v>617000</x:v>
      </x:c>
      <x:c r="G28" s="6" t="n">
        <x:v>-324600</x:v>
      </x:c>
      <x:c r="H28" s="6" t="n">
        <x:v>339200</x:v>
      </x:c>
    </x:row>
    <x:row r="29" ht="25" customHeight="1">
      <x:c r="A29" s="2" t="str">
        <x:v>2026-10-22_Day</x:v>
      </x:c>
      <x:c r="B29" s="2" t="str">
        <x:v>下落</x:v>
      </x:c>
      <x:c r="C29" s="6" t="n">
        <x:v>584800</x:v>
      </x:c>
      <x:c r="D29" s="6" t="n">
        <x:v>0</x:v>
      </x:c>
      <x:c r="E29" s="6" t="n">
        <x:f>C29-D29</x:f>
        <x:v>584800</x:v>
      </x:c>
      <x:c r="F29" s="6" t="n">
        <x:f>F28+E29</x:f>
        <x:v>1201800</x:v>
      </x:c>
      <x:c r="G29" s="6" t="n">
        <x:v>-8800</x:v>
      </x:c>
      <x:c r="H29" s="6" t="n">
        <x:v>195200</x:v>
      </x:c>
    </x:row>
    <x:row r="30" ht="25" customHeight="1">
      <x:c r="A30" s="2" t="str">
        <x:v>2026-10-23_Day</x:v>
      </x:c>
      <x:c r="B30" s="2" t="str">
        <x:v>上昇</x:v>
      </x:c>
      <x:c r="C30" s="6" t="n">
        <x:v>600500</x:v>
      </x:c>
      <x:c r="D30" s="6" t="n">
        <x:v>117900</x:v>
      </x:c>
      <x:c r="E30" s="6" t="n">
        <x:f>C30-D30</x:f>
        <x:v>482600</x:v>
      </x:c>
      <x:c r="F30" s="6" t="n">
        <x:f>F29+E30</x:f>
        <x:v>1684400</x:v>
      </x:c>
      <x:c r="G30" s="6" t="n">
        <x:v>-145100</x:v>
      </x:c>
      <x:c r="H30" s="6" t="n">
        <x:v>275800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302000</x:v>
      </x:c>
      <x:c r="D31" s="6" t="n">
        <x:v>169600</x:v>
      </x:c>
      <x:c r="E31" s="6" t="n">
        <x:f>C31-D31</x:f>
        <x:v>132400</x:v>
      </x:c>
      <x:c r="F31" s="6" t="n">
        <x:f>F30+E31</x:f>
        <x:v>1816800</x:v>
      </x:c>
      <x:c r="G31" s="6" t="n">
        <x:v>-310800</x:v>
      </x:c>
      <x:c r="H31" s="6" t="n">
        <x:v>512100</x:v>
      </x:c>
    </x:row>
    <x:row r="32" ht="25" customHeight="1">
      <x:c r="A32" s="13" t="str">
        <x:v>累計／場内最悪値</x:v>
      </x:c>
      <x:c r="B32" s="13"/>
      <x:c r="C32" s="14" t="n">
        <x:f>SUM(C6:C31)</x:f>
        <x:v>5237500</x:v>
      </x:c>
      <x:c r="D32" s="14" t="n">
        <x:f>SUM(D6:D31)</x:f>
        <x:v>3420700</x:v>
      </x:c>
      <x:c r="E32" s="14" t="n">
        <x:f>C32-D32</x:f>
        <x:v>1816800</x:v>
      </x:c>
      <x:c r="F32" s="14" t="n">
        <x:f>F31</x:f>
        <x:v>1816800</x:v>
      </x:c>
      <x:c r="G32" s="14" t="n">
        <x:f>MIN(G6:G31)</x:f>
        <x:v>-373000</x:v>
      </x:c>
      <x:c r="H32" s="14" t="n">
        <x:f>MAX(H6:H31)</x:f>
        <x:v>518100</x:v>
      </x:c>
    </x:row>
  </x:sheetData>
  <x:conditionalFormatting sqref="E6:F31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fdf60e26b544f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O02＋逆玉だけ40pt利益開始/40pt追尾/建値床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5200</x:v>
      </x:c>
      <x:c r="D6" s="6" t="n">
        <x:v>20600</x:v>
      </x:c>
      <x:c r="E6" s="6" t="n">
        <x:f>C6-D6</x:f>
        <x:v>-15400</x:v>
      </x:c>
      <x:c r="F6" s="6" t="n">
        <x:f>E6</x:f>
        <x:v>-15400</x:v>
      </x:c>
      <x:c r="G6" s="6" t="n">
        <x:v>-23600</x:v>
      </x:c>
      <x:c r="H6" s="6" t="n">
        <x:v>29600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-29400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-18600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295900</x:v>
      </x:c>
      <x:c r="D9" s="6" t="n">
        <x:v>19200</x:v>
      </x:c>
      <x:c r="E9" s="6" t="n">
        <x:f>C9-D9</x:f>
        <x:v>276700</x:v>
      </x:c>
      <x:c r="F9" s="6" t="n">
        <x:f>F8+E9</x:f>
        <x:v>258100</x:v>
      </x:c>
      <x:c r="G9" s="6" t="n">
        <x:v>-75100</x:v>
      </x:c>
      <x:c r="H9" s="6" t="n">
        <x:v>337200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153400</x:v>
      </x:c>
      <x:c r="D10" s="6" t="n">
        <x:v>8000</x:v>
      </x:c>
      <x:c r="E10" s="6" t="n">
        <x:f>C10-D10</x:f>
        <x:v>145400</x:v>
      </x:c>
      <x:c r="F10" s="6" t="n">
        <x:f>F9+E10</x:f>
        <x:v>403500</x:v>
      </x:c>
      <x:c r="G10" s="6" t="n">
        <x:v>-11800</x:v>
      </x:c>
      <x:c r="H10" s="6" t="n">
        <x:v>229600</x:v>
      </x:c>
    </x:row>
    <x:row r="11" ht="25" customHeight="1">
      <x:c r="A11" s="2" t="str">
        <x:v>2026-09-28_Day</x:v>
      </x:c>
      <x:c r="B11" s="2" t="str">
        <x:v>下落</x:v>
      </x:c>
      <x:c r="C11" s="6" t="n">
        <x:v>184300</x:v>
      </x:c>
      <x:c r="D11" s="6" t="n">
        <x:v>92100</x:v>
      </x:c>
      <x:c r="E11" s="6" t="n">
        <x:f>C11-D11</x:f>
        <x:v>92200</x:v>
      </x:c>
      <x:c r="F11" s="6" t="n">
        <x:f>F10+E11</x:f>
        <x:v>495700</x:v>
      </x:c>
      <x:c r="G11" s="6" t="n">
        <x:v>-87400</x:v>
      </x:c>
      <x:c r="H11" s="6" t="n">
        <x:v>252300</x:v>
      </x:c>
    </x:row>
    <x:row r="12" ht="25" customHeight="1">
      <x:c r="A12" s="2" t="str">
        <x:v>2026-09-29_Day</x:v>
      </x:c>
      <x:c r="B12" s="2" t="str">
        <x:v>下落</x:v>
      </x:c>
      <x:c r="C12" s="6" t="n">
        <x:v>211300</x:v>
      </x:c>
      <x:c r="D12" s="6" t="n">
        <x:v>210800</x:v>
      </x:c>
      <x:c r="E12" s="6" t="n">
        <x:f>C12-D12</x:f>
        <x:v>500</x:v>
      </x:c>
      <x:c r="F12" s="6" t="n">
        <x:f>F11+E12</x:f>
        <x:v>496200</x:v>
      </x:c>
      <x:c r="G12" s="6" t="n">
        <x:v>-289100</x:v>
      </x:c>
      <x:c r="H12" s="6" t="n">
        <x:v>316900</x:v>
      </x:c>
    </x:row>
    <x:row r="13" ht="25" customHeight="1">
      <x:c r="A13" s="2" t="str">
        <x:v>2026-09-30_Day</x:v>
      </x:c>
      <x:c r="B13" s="2" t="str">
        <x:v>上昇</x:v>
      </x:c>
      <x:c r="C13" s="6" t="n">
        <x:v>254300</x:v>
      </x:c>
      <x:c r="D13" s="6" t="n">
        <x:v>25400</x:v>
      </x:c>
      <x:c r="E13" s="6" t="n">
        <x:f>C13-D13</x:f>
        <x:v>228900</x:v>
      </x:c>
      <x:c r="F13" s="6" t="n">
        <x:f>F12+E13</x:f>
        <x:v>725100</x:v>
      </x:c>
      <x:c r="G13" s="6" t="n">
        <x:v>-56600</x:v>
      </x:c>
      <x:c r="H13" s="6" t="n">
        <x:v>82000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339900</x:v>
      </x:c>
      <x:c r="D14" s="6" t="n">
        <x:v>141600</x:v>
      </x:c>
      <x:c r="E14" s="6" t="n">
        <x:f>C14-D14</x:f>
        <x:v>198300</x:v>
      </x:c>
      <x:c r="F14" s="6" t="n">
        <x:f>F13+E14</x:f>
        <x:v>923400</x:v>
      </x:c>
      <x:c r="G14" s="6" t="n">
        <x:v>-153100</x:v>
      </x:c>
      <x:c r="H14" s="6" t="n">
        <x:v>169300</x:v>
      </x:c>
    </x:row>
    <x:row r="15" ht="25" customHeight="1">
      <x:c r="A15" s="2" t="str">
        <x:v>2026-10-02_Day</x:v>
      </x:c>
      <x:c r="B15" s="2" t="str">
        <x:v>上昇</x:v>
      </x:c>
      <x:c r="C15" s="6" t="n">
        <x:v>14700</x:v>
      </x:c>
      <x:c r="D15" s="6" t="n">
        <x:v>186500</x:v>
      </x:c>
      <x:c r="E15" s="6" t="n">
        <x:f>C15-D15</x:f>
        <x:v>-171800</x:v>
      </x:c>
      <x:c r="F15" s="6" t="n">
        <x:f>F14+E15</x:f>
        <x:v>751600</x:v>
      </x:c>
      <x:c r="G15" s="6" t="n">
        <x:v>-213900</x:v>
      </x:c>
      <x:c r="H15" s="6" t="n">
        <x:v>274000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85400</x:v>
      </x:c>
      <x:c r="D16" s="6" t="n">
        <x:v>237900</x:v>
      </x:c>
      <x:c r="E16" s="6" t="n">
        <x:f>C16-D16</x:f>
        <x:v>-152500</x:v>
      </x:c>
      <x:c r="F16" s="6" t="n">
        <x:f>F15+E16</x:f>
        <x:v>599100</x:v>
      </x:c>
      <x:c r="G16" s="6" t="n">
        <x:v>-217000</x:v>
      </x:c>
      <x:c r="H16" s="6" t="n">
        <x:v>345800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124400</x:v>
      </x:c>
      <x:c r="D17" s="6" t="n">
        <x:v>460600</x:v>
      </x:c>
      <x:c r="E17" s="6" t="n">
        <x:f>C17-D17</x:f>
        <x:v>-336200</x:v>
      </x:c>
      <x:c r="F17" s="6" t="n">
        <x:f>F16+E17</x:f>
        <x:v>262900</x:v>
      </x:c>
      <x:c r="G17" s="6" t="n">
        <x:v>-373000</x:v>
      </x:c>
      <x:c r="H17" s="6" t="n">
        <x:v>423700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51900</x:v>
      </x:c>
      <x:c r="E18" s="6" t="n">
        <x:f>C18-D18</x:f>
        <x:v>197500</x:v>
      </x:c>
      <x:c r="F18" s="6" t="n">
        <x:f>F17+E18</x:f>
        <x:v>460400</x:v>
      </x:c>
      <x:c r="G18" s="6" t="n">
        <x:v>-16800</x:v>
      </x:c>
      <x:c r="H18" s="6" t="n">
        <x:v>110700</x:v>
      </x:c>
    </x:row>
    <x:row r="19" ht="25" customHeight="1">
      <x:c r="A19" s="2" t="str">
        <x:v>2026-10-08_Day</x:v>
      </x:c>
      <x:c r="B19" s="2" t="str">
        <x:v>下落</x:v>
      </x:c>
      <x:c r="C19" s="6" t="n">
        <x:v>106800</x:v>
      </x:c>
      <x:c r="D19" s="6" t="n">
        <x:v>69000</x:v>
      </x:c>
      <x:c r="E19" s="6" t="n">
        <x:f>C19-D19</x:f>
        <x:v>37800</x:v>
      </x:c>
      <x:c r="F19" s="6" t="n">
        <x:f>F18+E19</x:f>
        <x:v>498200</x:v>
      </x:c>
      <x:c r="G19" s="6" t="n">
        <x:v>-84000</x:v>
      </x:c>
      <x:c r="H19" s="6" t="n">
        <x:v>103300</x:v>
      </x:c>
    </x:row>
    <x:row r="20" ht="25" customHeight="1">
      <x:c r="A20" s="2" t="str">
        <x:v>2026-10-09_Day</x:v>
      </x:c>
      <x:c r="B20" s="2" t="str">
        <x:v>上昇</x:v>
      </x:c>
      <x:c r="C20" s="6" t="n">
        <x:v>97700</x:v>
      </x:c>
      <x:c r="D20" s="6" t="n">
        <x:v>184600</x:v>
      </x:c>
      <x:c r="E20" s="6" t="n">
        <x:f>C20-D20</x:f>
        <x:v>-86900</x:v>
      </x:c>
      <x:c r="F20" s="6" t="n">
        <x:f>F19+E20</x:f>
        <x:v>411300</x:v>
      </x:c>
      <x:c r="G20" s="6" t="n">
        <x:v>-119600</x:v>
      </x:c>
      <x:c r="H20" s="6" t="n">
        <x:v>268400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15400</x:v>
      </x:c>
      <x:c r="E21" s="6" t="n">
        <x:f>C21-D21</x:f>
        <x:v>-13600</x:v>
      </x:c>
      <x:c r="F21" s="6" t="n">
        <x:f>F20+E21</x:f>
        <x:v>397700</x:v>
      </x:c>
      <x:c r="G21" s="6" t="n">
        <x:v>-18600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164400</x:v>
      </x:c>
      <x:c r="D22" s="6" t="n">
        <x:v>236100</x:v>
      </x:c>
      <x:c r="E22" s="6" t="n">
        <x:f>C22-D22</x:f>
        <x:v>-71700</x:v>
      </x:c>
      <x:c r="F22" s="6" t="n">
        <x:f>F21+E22</x:f>
        <x:v>326000</x:v>
      </x:c>
      <x:c r="G22" s="6" t="n">
        <x:v>-193100</x:v>
      </x:c>
      <x:c r="H22" s="6" t="n">
        <x:v>267100</x:v>
      </x:c>
    </x:row>
    <x:row r="23" ht="25" customHeight="1">
      <x:c r="A23" s="2" t="str">
        <x:v>2026-10-14_Day</x:v>
      </x:c>
      <x:c r="B23" s="2" t="str">
        <x:v>上昇</x:v>
      </x:c>
      <x:c r="C23" s="6" t="n">
        <x:v>219000</x:v>
      </x:c>
      <x:c r="D23" s="6" t="n">
        <x:v>190800</x:v>
      </x:c>
      <x:c r="E23" s="6" t="n">
        <x:f>C23-D23</x:f>
        <x:v>28200</x:v>
      </x:c>
      <x:c r="F23" s="6" t="n">
        <x:f>F22+E23</x:f>
        <x:v>354200</x:v>
      </x:c>
      <x:c r="G23" s="6" t="n">
        <x:v>-168900</x:v>
      </x:c>
      <x:c r="H23" s="6" t="n">
        <x:v>211000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398500</x:v>
      </x:c>
      <x:c r="D24" s="6" t="n">
        <x:v>53300</x:v>
      </x:c>
      <x:c r="E24" s="6" t="n">
        <x:f>C24-D24</x:f>
        <x:v>345200</x:v>
      </x:c>
      <x:c r="F24" s="6" t="n">
        <x:f>F23+E24</x:f>
        <x:v>699400</x:v>
      </x:c>
      <x:c r="G24" s="6" t="n">
        <x:v>-65800</x:v>
      </x:c>
      <x:c r="H24" s="6" t="n">
        <x:v>274500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104600</x:v>
      </x:c>
      <x:c r="D25" s="6" t="n">
        <x:v>333800</x:v>
      </x:c>
      <x:c r="E25" s="6" t="n">
        <x:f>C25-D25</x:f>
        <x:v>-229200</x:v>
      </x:c>
      <x:c r="F25" s="6" t="n">
        <x:f>F24+E25</x:f>
        <x:v>470200</x:v>
      </x:c>
      <x:c r="G25" s="6" t="n">
        <x:v>-284600</x:v>
      </x:c>
      <x:c r="H25" s="6" t="n">
        <x:v>309100</x:v>
      </x:c>
    </x:row>
    <x:row r="26" ht="25" customHeight="1">
      <x:c r="A26" s="2" t="str">
        <x:v>2026-10-19_Day</x:v>
      </x:c>
      <x:c r="B26" s="2" t="str">
        <x:v>上昇</x:v>
      </x:c>
      <x:c r="C26" s="6" t="n">
        <x:v>530500</x:v>
      </x:c>
      <x:c r="D26" s="6" t="n">
        <x:v>0</x:v>
      </x:c>
      <x:c r="E26" s="6" t="n">
        <x:f>C26-D26</x:f>
        <x:v>530500</x:v>
      </x:c>
      <x:c r="F26" s="6" t="n">
        <x:f>F25+E26</x:f>
        <x:v>1000700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136200</x:v>
      </x:c>
      <x:c r="D27" s="6" t="n">
        <x:v>282800</x:v>
      </x:c>
      <x:c r="E27" s="6" t="n">
        <x:f>C27-D27</x:f>
        <x:v>-146600</x:v>
      </x:c>
      <x:c r="F27" s="6" t="n">
        <x:f>F26+E27</x:f>
        <x:v>854100</x:v>
      </x:c>
      <x:c r="G27" s="6" t="n">
        <x:v>-281700</x:v>
      </x:c>
      <x:c r="H27" s="6" t="n">
        <x:v>518100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60400</x:v>
      </x:c>
      <x:c r="D28" s="6" t="n">
        <x:v>299800</x:v>
      </x:c>
      <x:c r="E28" s="6" t="n">
        <x:f>C28-D28</x:f>
        <x:v>-239400</x:v>
      </x:c>
      <x:c r="F28" s="6" t="n">
        <x:f>F27+E28</x:f>
        <x:v>614700</x:v>
      </x:c>
      <x:c r="G28" s="6" t="n">
        <x:v>-324600</x:v>
      </x:c>
      <x:c r="H28" s="6" t="n">
        <x:v>339200</x:v>
      </x:c>
    </x:row>
    <x:row r="29" ht="25" customHeight="1">
      <x:c r="A29" s="2" t="str">
        <x:v>2026-10-22_Day</x:v>
      </x:c>
      <x:c r="B29" s="2" t="str">
        <x:v>下落</x:v>
      </x:c>
      <x:c r="C29" s="6" t="n">
        <x:v>584800</x:v>
      </x:c>
      <x:c r="D29" s="6" t="n">
        <x:v>0</x:v>
      </x:c>
      <x:c r="E29" s="6" t="n">
        <x:f>C29-D29</x:f>
        <x:v>584800</x:v>
      </x:c>
      <x:c r="F29" s="6" t="n">
        <x:f>F28+E29</x:f>
        <x:v>1199500</x:v>
      </x:c>
      <x:c r="G29" s="6" t="n">
        <x:v>-8800</x:v>
      </x:c>
      <x:c r="H29" s="6" t="n">
        <x:v>195200</x:v>
      </x:c>
    </x:row>
    <x:row r="30" ht="25" customHeight="1">
      <x:c r="A30" s="2" t="str">
        <x:v>2026-10-23_Day</x:v>
      </x:c>
      <x:c r="B30" s="2" t="str">
        <x:v>上昇</x:v>
      </x:c>
      <x:c r="C30" s="6" t="n">
        <x:v>598400</x:v>
      </x:c>
      <x:c r="D30" s="6" t="n">
        <x:v>117900</x:v>
      </x:c>
      <x:c r="E30" s="6" t="n">
        <x:f>C30-D30</x:f>
        <x:v>480500</x:v>
      </x:c>
      <x:c r="F30" s="6" t="n">
        <x:f>F29+E30</x:f>
        <x:v>1680000</x:v>
      </x:c>
      <x:c r="G30" s="6" t="n">
        <x:v>-147200</x:v>
      </x:c>
      <x:c r="H30" s="6" t="n">
        <x:v>275800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302000</x:v>
      </x:c>
      <x:c r="D31" s="6" t="n">
        <x:v>169600</x:v>
      </x:c>
      <x:c r="E31" s="6" t="n">
        <x:f>C31-D31</x:f>
        <x:v>132400</x:v>
      </x:c>
      <x:c r="F31" s="6" t="n">
        <x:f>F30+E31</x:f>
        <x:v>1812400</x:v>
      </x:c>
      <x:c r="G31" s="6" t="n">
        <x:v>-310800</x:v>
      </x:c>
      <x:c r="H31" s="6" t="n">
        <x:v>512100</x:v>
      </x:c>
    </x:row>
    <x:row r="32" ht="25" customHeight="1">
      <x:c r="A32" s="13" t="str">
        <x:v>累計／場内最悪値</x:v>
      </x:c>
      <x:c r="B32" s="13"/>
      <x:c r="C32" s="14" t="n">
        <x:f>SUM(C6:C31)</x:f>
        <x:v>5234100</x:v>
      </x:c>
      <x:c r="D32" s="14" t="n">
        <x:f>SUM(D6:D31)</x:f>
        <x:v>3421700</x:v>
      </x:c>
      <x:c r="E32" s="14" t="n">
        <x:f>C32-D32</x:f>
        <x:v>1812400</x:v>
      </x:c>
      <x:c r="F32" s="14" t="n">
        <x:f>F31</x:f>
        <x:v>1812400</x:v>
      </x:c>
      <x:c r="G32" s="14" t="n">
        <x:f>MIN(G6:G31)</x:f>
        <x:v>-373000</x:v>
      </x:c>
      <x:c r="H32" s="14" t="n">
        <x:f>MAX(H6:H31)</x:f>
        <x:v>518100</x:v>
      </x:c>
    </x:row>
  </x:sheetData>
  <x:conditionalFormatting sqref="E6:F31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0a98d8681a44f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O03＋逆行20pt後20pt回復・累計25micro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27500</x:v>
      </x:c>
      <x:c r="D8" s="6" t="n">
        <x:v>0</x:v>
      </x:c>
      <x:c r="E8" s="6" t="n">
        <x:f>C8-D8</x:f>
        <x:v>27500</x:v>
      </x:c>
      <x:c r="F8" s="6" t="n">
        <x:f>F7+E8</x:f>
        <x:v>20100</x:v>
      </x:c>
      <x:c r="G8" s="6" t="n">
        <x:v>-18000</x:v>
      </x:c>
      <x:c r="H8" s="6" t="n">
        <x:v>28000</x:v>
      </x:c>
    </x:row>
    <x:row r="9" ht="25" customHeight="1">
      <x:c r="A9" s="2" t="str">
        <x:v>2026-09-24_Day</x:v>
      </x:c>
      <x:c r="B9" s="2" t="str">
        <x:v>下落</x:v>
      </x:c>
      <x:c r="C9" s="6" t="n">
        <x:v>310000</x:v>
      </x:c>
      <x:c r="D9" s="6" t="n">
        <x:v>18000</x:v>
      </x:c>
      <x:c r="E9" s="6" t="n">
        <x:f>C9-D9</x:f>
        <x:v>292000</x:v>
      </x:c>
      <x:c r="F9" s="6" t="n">
        <x:f>F8+E9</x:f>
        <x:v>312100</x:v>
      </x:c>
      <x:c r="G9" s="6" t="n">
        <x:v>-61800</x:v>
      </x:c>
      <x:c r="H9" s="6" t="n">
        <x:v>336300</x:v>
      </x:c>
    </x:row>
    <x:row r="10" ht="25" customHeight="1">
      <x:c r="A10" s="2" t="str">
        <x:v>2026-09-25_Day</x:v>
      </x:c>
      <x:c r="B10" s="2" t="str">
        <x:v>上昇</x:v>
      </x:c>
      <x:c r="C10" s="6" t="n">
        <x:v>202700</x:v>
      </x:c>
      <x:c r="D10" s="6" t="n">
        <x:v>8000</x:v>
      </x:c>
      <x:c r="E10" s="6" t="n">
        <x:f>C10-D10</x:f>
        <x:v>194700</x:v>
      </x:c>
      <x:c r="F10" s="6" t="n">
        <x:f>F9+E10</x:f>
        <x:v>506800</x:v>
      </x:c>
      <x:c r="G10" s="6" t="n">
        <x:v>-6000</x:v>
      </x:c>
      <x:c r="H10" s="6" t="n">
        <x:v>217200</x:v>
      </x:c>
    </x:row>
    <x:row r="11" ht="25" customHeight="1">
      <x:c r="A11" s="2" t="str">
        <x:v>2026-09-28_Day</x:v>
      </x:c>
      <x:c r="B11" s="2" t="str">
        <x:v>下落</x:v>
      </x:c>
      <x:c r="C11" s="6" t="n">
        <x:v>223000</x:v>
      </x:c>
      <x:c r="D11" s="6" t="n">
        <x:v>93200</x:v>
      </x:c>
      <x:c r="E11" s="6" t="n">
        <x:f>C11-D11</x:f>
        <x:v>129800</x:v>
      </x:c>
      <x:c r="F11" s="6" t="n">
        <x:f>F10+E11</x:f>
        <x:v>636600</x:v>
      </x:c>
      <x:c r="G11" s="6" t="n">
        <x:v>-120400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231600</x:v>
      </x:c>
      <x:c r="D12" s="6" t="n">
        <x:v>187400</x:v>
      </x:c>
      <x:c r="E12" s="6" t="n">
        <x:f>C12-D12</x:f>
        <x:v>44200</x:v>
      </x:c>
      <x:c r="F12" s="6" t="n">
        <x:f>F11+E12</x:f>
        <x:v>680800</x:v>
      </x:c>
      <x:c r="G12" s="6" t="n">
        <x:v>-246900</x:v>
      </x:c>
      <x:c r="H12" s="6" t="n">
        <x:v>290400</x:v>
      </x:c>
    </x:row>
    <x:row r="13" ht="25" customHeight="1">
      <x:c r="A13" s="2" t="str">
        <x:v>2026-09-30_Day</x:v>
      </x:c>
      <x:c r="B13" s="2" t="str">
        <x:v>上昇</x:v>
      </x:c>
      <x:c r="C13" s="6" t="n">
        <x:v>208600</x:v>
      </x:c>
      <x:c r="D13" s="6" t="n">
        <x:v>64200</x:v>
      </x:c>
      <x:c r="E13" s="6" t="n">
        <x:f>C13-D13</x:f>
        <x:v>144400</x:v>
      </x:c>
      <x:c r="F13" s="6" t="n">
        <x:f>F12+E13</x:f>
        <x:v>825200</x:v>
      </x:c>
      <x:c r="G13" s="6" t="n">
        <x:v>-64500</x:v>
      </x:c>
      <x:c r="H13" s="6" t="n">
        <x:v>81700</x:v>
      </x:c>
    </x:row>
    <x:row r="14" ht="25" customHeight="1">
      <x:c r="A14" s="2" t="str">
        <x:v>2026-10-01_Day</x:v>
      </x:c>
      <x:c r="B14" s="2" t="str">
        <x:v>上昇</x:v>
      </x:c>
      <x:c r="C14" s="6" t="n">
        <x:v>317100</x:v>
      </x:c>
      <x:c r="D14" s="6" t="n">
        <x:v>201600</x:v>
      </x:c>
      <x:c r="E14" s="6" t="n">
        <x:f>C14-D14</x:f>
        <x:v>115500</x:v>
      </x:c>
      <x:c r="F14" s="6" t="n">
        <x:f>F13+E14</x:f>
        <x:v>940700</x:v>
      </x:c>
      <x:c r="G14" s="6" t="n">
        <x:v>-153800</x:v>
      </x:c>
      <x:c r="H14" s="6" t="n">
        <x:v>170000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11400</x:v>
      </x:c>
      <x:c r="D15" s="6" t="n">
        <x:v>180400</x:v>
      </x:c>
      <x:c r="E15" s="6" t="n">
        <x:f>C15-D15</x:f>
        <x:v>-169000</x:v>
      </x:c>
      <x:c r="F15" s="6" t="n">
        <x:f>F14+E15</x:f>
        <x:v>771700</x:v>
      </x:c>
      <x:c r="G15" s="6" t="n">
        <x:v>-194300</x:v>
      </x:c>
      <x:c r="H15" s="6" t="n">
        <x:v>256800</x:v>
      </x:c>
    </x:row>
    <x:row r="16" ht="25" customHeight="1">
      <x:c r="A16" s="2" t="str">
        <x:v>2026-10-05_Day</x:v>
      </x:c>
      <x:c r="B16" s="2" t="str">
        <x:v>上昇</x:v>
      </x:c>
      <x:c r="C16" s="6" t="n">
        <x:v>114800</x:v>
      </x:c>
      <x:c r="D16" s="6" t="n">
        <x:v>181400</x:v>
      </x:c>
      <x:c r="E16" s="6" t="n">
        <x:f>C16-D16</x:f>
        <x:v>-66600</x:v>
      </x:c>
      <x:c r="F16" s="6" t="n">
        <x:f>F15+E16</x:f>
        <x:v>705100</x:v>
      </x:c>
      <x:c r="G16" s="6" t="n">
        <x:v>-165800</x:v>
      </x:c>
      <x:c r="H16" s="6" t="n">
        <x:v>307800</x:v>
      </x:c>
    </x:row>
    <x:row r="17" ht="25" customHeight="1">
      <x:c r="A17" s="2" t="str">
        <x:v>2026-10-06_Day</x:v>
      </x:c>
      <x:c r="B17" s="2" t="str">
        <x:v>上昇</x:v>
      </x:c>
      <x:c r="C17" s="6" t="n">
        <x:v>118500</x:v>
      </x:c>
      <x:c r="D17" s="6" t="n">
        <x:v>405500</x:v>
      </x:c>
      <x:c r="E17" s="6" t="n">
        <x:f>C17-D17</x:f>
        <x:v>-287000</x:v>
      </x:c>
      <x:c r="F17" s="6" t="n">
        <x:f>F16+E17</x:f>
        <x:v>418100</x:v>
      </x:c>
      <x:c r="G17" s="6" t="n">
        <x:v>-323800</x:v>
      </x:c>
      <x:c r="H17" s="6" t="n">
        <x:v>395400</x:v>
      </x:c>
    </x:row>
    <x:row r="18" ht="25" customHeight="1">
      <x:c r="A18" s="2" t="str">
        <x:v>2026-10-07_Day</x:v>
      </x:c>
      <x:c r="B18" s="2" t="str">
        <x:v>下落</x:v>
      </x:c>
      <x:c r="C18" s="6" t="n">
        <x:v>304400</x:v>
      </x:c>
      <x:c r="D18" s="6" t="n">
        <x:v>84400</x:v>
      </x:c>
      <x:c r="E18" s="6" t="n">
        <x:f>C18-D18</x:f>
        <x:v>220000</x:v>
      </x:c>
      <x:c r="F18" s="6" t="n">
        <x:f>F17+E18</x:f>
        <x:v>638100</x:v>
      </x:c>
      <x:c r="G18" s="6" t="n">
        <x:v>-24800</x:v>
      </x:c>
      <x:c r="H18" s="6" t="n">
        <x:v>118600</x:v>
      </x:c>
    </x:row>
    <x:row r="19" ht="25" customHeight="1">
      <x:c r="A19" s="2" t="str">
        <x:v>2026-10-08_Day</x:v>
      </x:c>
      <x:c r="B19" s="2" t="str">
        <x:v>下落</x:v>
      </x:c>
      <x:c r="C19" s="6" t="n">
        <x:v>113700</x:v>
      </x:c>
      <x:c r="D19" s="6" t="n">
        <x:v>73000</x:v>
      </x:c>
      <x:c r="E19" s="6" t="n">
        <x:f>C19-D19</x:f>
        <x:v>40700</x:v>
      </x:c>
      <x:c r="F19" s="6" t="n">
        <x:f>F18+E19</x:f>
        <x:v>678800</x:v>
      </x:c>
      <x:c r="G19" s="6" t="n">
        <x:v>-62800</x:v>
      </x:c>
      <x:c r="H19" s="6" t="n">
        <x:v>99600</x:v>
      </x:c>
    </x:row>
    <x:row r="20" ht="25" customHeight="1">
      <x:c r="A20" s="2" t="str">
        <x:v>2026-10-09_Day</x:v>
      </x:c>
      <x:c r="B20" s="2" t="str">
        <x:v>上昇</x:v>
      </x:c>
      <x:c r="C20" s="6" t="n">
        <x:v>114100</x:v>
      </x:c>
      <x:c r="D20" s="6" t="n">
        <x:v>155200</x:v>
      </x:c>
      <x:c r="E20" s="6" t="n">
        <x:f>C20-D20</x:f>
        <x:v>-41100</x:v>
      </x:c>
      <x:c r="F20" s="6" t="n">
        <x:f>F19+E20</x:f>
        <x:v>637700</x:v>
      </x:c>
      <x:c r="G20" s="6" t="n">
        <x:v>-110900</x:v>
      </x:c>
      <x:c r="H20" s="6" t="n">
        <x:v>288600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5500</x:v>
      </x:c>
      <x:c r="E21" s="6" t="n">
        <x:f>C21-D21</x:f>
        <x:v>-2100</x:v>
      </x:c>
      <x:c r="F21" s="6" t="n">
        <x:f>F20+E21</x:f>
        <x:v>635600</x:v>
      </x:c>
      <x:c r="G21" s="6" t="n">
        <x:v>-11000</x:v>
      </x:c>
      <x:c r="H21" s="6" t="n">
        <x:v>26500</x:v>
      </x:c>
    </x:row>
    <x:row r="22" ht="25" customHeight="1">
      <x:c r="A22" s="2" t="str">
        <x:v>2026-10-13_Day</x:v>
      </x:c>
      <x:c r="B22" s="2" t="str">
        <x:v>下落</x:v>
      </x:c>
      <x:c r="C22" s="6" t="n">
        <x:v>219400</x:v>
      </x:c>
      <x:c r="D22" s="6" t="n">
        <x:v>333700</x:v>
      </x:c>
      <x:c r="E22" s="6" t="n">
        <x:f>C22-D22</x:f>
        <x:v>-114300</x:v>
      </x:c>
      <x:c r="F22" s="6" t="n">
        <x:f>F21+E22</x:f>
        <x:v>521300</x:v>
      </x:c>
      <x:c r="G22" s="6" t="n">
        <x:v>-209300</x:v>
      </x:c>
      <x:c r="H22" s="6" t="n">
        <x:v>300900</x:v>
      </x:c>
    </x:row>
    <x:row r="23" ht="25" customHeight="1">
      <x:c r="A23" s="2" t="str">
        <x:v>2026-10-14_Day</x:v>
      </x:c>
      <x:c r="B23" s="2" t="str">
        <x:v>上昇</x:v>
      </x:c>
      <x:c r="C23" s="6" t="n">
        <x:v>223800</x:v>
      </x:c>
      <x:c r="D23" s="6" t="n">
        <x:v>167300</x:v>
      </x:c>
      <x:c r="E23" s="6" t="n">
        <x:f>C23-D23</x:f>
        <x:v>56500</x:v>
      </x:c>
      <x:c r="F23" s="6" t="n">
        <x:f>F22+E23</x:f>
        <x:v>577800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430300</x:v>
      </x:c>
      <x:c r="D24" s="6" t="n">
        <x:v>109100</x:v>
      </x:c>
      <x:c r="E24" s="6" t="n">
        <x:f>C24-D24</x:f>
        <x:v>321200</x:v>
      </x:c>
      <x:c r="F24" s="6" t="n">
        <x:f>F23+E24</x:f>
        <x:v>899000</x:v>
      </x:c>
      <x:c r="G24" s="6" t="n">
        <x:v>-107900</x:v>
      </x:c>
      <x:c r="H24" s="6" t="n">
        <x:v>277900</x:v>
      </x:c>
    </x:row>
    <x:row r="25" ht="25" customHeight="1">
      <x:c r="A25" s="2" t="str">
        <x:v>2026-10-16_Day</x:v>
      </x:c>
      <x:c r="B25" s="2" t="str">
        <x:v>上昇</x:v>
      </x:c>
      <x:c r="C25" s="6" t="n">
        <x:v>125000</x:v>
      </x:c>
      <x:c r="D25" s="6" t="n">
        <x:v>386800</x:v>
      </x:c>
      <x:c r="E25" s="6" t="n">
        <x:f>C25-D25</x:f>
        <x:v>-261800</x:v>
      </x:c>
      <x:c r="F25" s="6" t="n">
        <x:f>F24+E25</x:f>
        <x:v>637200</x:v>
      </x:c>
      <x:c r="G25" s="6" t="n">
        <x:v>-317100</x:v>
      </x:c>
      <x:c r="H25" s="6" t="n">
        <x:v>336800</x:v>
      </x:c>
    </x:row>
    <x:row r="26" ht="25" customHeight="1">
      <x:c r="A26" s="2" t="str">
        <x:v>2026-10-19_Day</x:v>
      </x:c>
      <x:c r="B26" s="2" t="str">
        <x:v>上昇</x:v>
      </x:c>
      <x:c r="C26" s="6" t="n">
        <x:v>465300</x:v>
      </x:c>
      <x:c r="D26" s="6" t="n">
        <x:v>0</x:v>
      </x:c>
      <x:c r="E26" s="6" t="n">
        <x:f>C26-D26</x:f>
        <x:v>465300</x:v>
      </x:c>
      <x:c r="F26" s="6" t="n">
        <x:f>F25+E26</x:f>
        <x:v>1102500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137900</x:v>
      </x:c>
      <x:c r="D27" s="6" t="n">
        <x:v>317200</x:v>
      </x:c>
      <x:c r="E27" s="6" t="n">
        <x:f>C27-D27</x:f>
        <x:v>-179300</x:v>
      </x:c>
      <x:c r="F27" s="6" t="n">
        <x:f>F26+E27</x:f>
        <x:v>923200</x:v>
      </x:c>
      <x:c r="G27" s="6" t="n">
        <x:v>-194700</x:v>
      </x:c>
      <x:c r="H27" s="6" t="n">
        <x:v>452600</x:v>
      </x:c>
    </x:row>
    <x:row r="28" ht="25" customHeight="1">
      <x:c r="A28" s="2" t="str">
        <x:v>2026-10-21_Day</x:v>
      </x:c>
      <x:c r="B28" s="2" t="str">
        <x:v>下落</x:v>
      </x:c>
      <x:c r="C28" s="6" t="n">
        <x:v>79700</x:v>
      </x:c>
      <x:c r="D28" s="6" t="n">
        <x:v>302500</x:v>
      </x:c>
      <x:c r="E28" s="6" t="n">
        <x:f>C28-D28</x:f>
        <x:v>-222800</x:v>
      </x:c>
      <x:c r="F28" s="6" t="n">
        <x:f>F27+E28</x:f>
        <x:v>700400</x:v>
      </x:c>
      <x:c r="G28" s="6" t="n">
        <x:v>-324900</x:v>
      </x:c>
      <x:c r="H28" s="6" t="n">
        <x:v>358100</x:v>
      </x:c>
    </x:row>
    <x:row r="29" ht="25" customHeight="1">
      <x:c r="A29" s="2" t="str">
        <x:v>2026-10-22_Day</x:v>
      </x:c>
      <x:c r="B29" s="2" t="str">
        <x:v>下落</x:v>
      </x:c>
      <x:c r="C29" s="6" t="n">
        <x:v>580300</x:v>
      </x:c>
      <x:c r="D29" s="6" t="n">
        <x:v>0</x:v>
      </x:c>
      <x:c r="E29" s="6" t="n">
        <x:f>C29-D29</x:f>
        <x:v>580300</x:v>
      </x:c>
      <x:c r="F29" s="6" t="n">
        <x:f>F28+E29</x:f>
        <x:v>1280700</x:v>
      </x:c>
      <x:c r="G29" s="6" t="n">
        <x:v>-19700</x:v>
      </x:c>
      <x:c r="H29" s="6" t="n">
        <x:v>192400</x:v>
      </x:c>
    </x:row>
    <x:row r="30" ht="25" customHeight="1">
      <x:c r="A30" s="2" t="str">
        <x:v>2026-10-23_Day</x:v>
      </x:c>
      <x:c r="B30" s="2" t="str">
        <x:v>上昇</x:v>
      </x:c>
      <x:c r="C30" s="6" t="n">
        <x:v>453800</x:v>
      </x:c>
      <x:c r="D30" s="6" t="n">
        <x:v>113200</x:v>
      </x:c>
      <x:c r="E30" s="6" t="n">
        <x:f>C30-D30</x:f>
        <x:v>340600</x:v>
      </x:c>
      <x:c r="F30" s="6" t="n">
        <x:f>F29+E30</x:f>
        <x:v>1621300</x:v>
      </x:c>
      <x:c r="G30" s="6" t="n">
        <x:v>-129500</x:v>
      </x:c>
      <x:c r="H30" s="6" t="n">
        <x:v>261800</x:v>
      </x:c>
    </x:row>
    <x:row r="31" ht="25" customHeight="1">
      <x:c r="A31" s="2" t="str">
        <x:v>2026-10-26_Day</x:v>
      </x:c>
      <x:c r="B31" s="2" t="str">
        <x:v>下落</x:v>
      </x:c>
      <x:c r="C31" s="6" t="n">
        <x:v>298500</x:v>
      </x:c>
      <x:c r="D31" s="6" t="n">
        <x:v>130600</x:v>
      </x:c>
      <x:c r="E31" s="6" t="n">
        <x:f>C31-D31</x:f>
        <x:v>167900</x:v>
      </x:c>
      <x:c r="F31" s="6" t="n">
        <x:f>F30+E31</x:f>
        <x:v>1789200</x:v>
      </x:c>
      <x:c r="G31" s="6" t="n">
        <x:v>-275100</x:v>
      </x:c>
      <x:c r="H31" s="6" t="n">
        <x:v>476800</x:v>
      </x:c>
    </x:row>
    <x:row r="32" ht="25" customHeight="1">
      <x:c r="A32" s="13" t="str">
        <x:v>累計／場内最悪値</x:v>
      </x:c>
      <x:c r="B32" s="13"/>
      <x:c r="C32" s="14" t="n">
        <x:f>SUM(C6:C31)</x:f>
        <x:v>5321400</x:v>
      </x:c>
      <x:c r="D32" s="14" t="n">
        <x:f>SUM(D6:D31)</x:f>
        <x:v>3532200</x:v>
      </x:c>
      <x:c r="E32" s="14" t="n">
        <x:f>C32-D32</x:f>
        <x:v>1789200</x:v>
      </x:c>
      <x:c r="F32" s="14" t="n">
        <x:f>F31</x:f>
        <x:v>1789200</x:v>
      </x:c>
      <x:c r="G32" s="14" t="n">
        <x:f>MIN(G6:G31)</x:f>
        <x:v>-324900</x:v>
      </x:c>
      <x:c r="H32" s="14" t="n">
        <x:f>MAX(H6:H31)</x:f>
        <x:v>476800</x:v>
      </x:c>
    </x:row>
  </x:sheetData>
  <x:conditionalFormatting sqref="E6:F31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d59af9d4dd468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O03＋逆行40pt後20pt回復・累計25micro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3400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306200</x:v>
      </x:c>
      <x:c r="D9" s="6" t="n">
        <x:v>18000</x:v>
      </x:c>
      <x:c r="E9" s="6" t="n">
        <x:f>C9-D9</x:f>
        <x:v>288200</x:v>
      </x:c>
      <x:c r="F9" s="6" t="n">
        <x:f>F8+E9</x:f>
        <x:v>291600</x:v>
      </x:c>
      <x:c r="G9" s="6" t="n">
        <x:v>-61800</x:v>
      </x:c>
      <x:c r="H9" s="6" t="n">
        <x:v>336300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166200</x:v>
      </x:c>
      <x:c r="D10" s="6" t="n">
        <x:v>8000</x:v>
      </x:c>
      <x:c r="E10" s="6" t="n">
        <x:f>C10-D10</x:f>
        <x:v>158200</x:v>
      </x:c>
      <x:c r="F10" s="6" t="n">
        <x:f>F9+E10</x:f>
        <x:v>449800</x:v>
      </x:c>
      <x:c r="G10" s="6" t="n">
        <x:v>-11800</x:v>
      </x:c>
      <x:c r="H10" s="6" t="n">
        <x:v>224400</x:v>
      </x:c>
    </x:row>
    <x:row r="11" ht="25" customHeight="1">
      <x:c r="A11" s="2" t="str">
        <x:v>2026-09-28_Day</x:v>
      </x:c>
      <x:c r="B11" s="2" t="str">
        <x:v>下落</x:v>
      </x:c>
      <x:c r="C11" s="6" t="n">
        <x:v>229700</x:v>
      </x:c>
      <x:c r="D11" s="6" t="n">
        <x:v>98900</x:v>
      </x:c>
      <x:c r="E11" s="6" t="n">
        <x:f>C11-D11</x:f>
        <x:v>130800</x:v>
      </x:c>
      <x:c r="F11" s="6" t="n">
        <x:f>F10+E11</x:f>
        <x:v>580600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238300</x:v>
      </x:c>
      <x:c r="D12" s="6" t="n">
        <x:v>230300</x:v>
      </x:c>
      <x:c r="E12" s="6" t="n">
        <x:f>C12-D12</x:f>
        <x:v>8000</x:v>
      </x:c>
      <x:c r="F12" s="6" t="n">
        <x:f>F11+E12</x:f>
        <x:v>588600</x:v>
      </x:c>
      <x:c r="G12" s="6" t="n">
        <x:v>-277500</x:v>
      </x:c>
      <x:c r="H12" s="6" t="n">
        <x:v>314100</x:v>
      </x:c>
    </x:row>
    <x:row r="13" ht="25" customHeight="1">
      <x:c r="A13" s="2" t="str">
        <x:v>2026-09-30_Day</x:v>
      </x:c>
      <x:c r="B13" s="2" t="str">
        <x:v>上昇</x:v>
      </x:c>
      <x:c r="C13" s="6" t="n">
        <x:v>208600</x:v>
      </x:c>
      <x:c r="D13" s="6" t="n">
        <x:v>64200</x:v>
      </x:c>
      <x:c r="E13" s="6" t="n">
        <x:f>C13-D13</x:f>
        <x:v>144400</x:v>
      </x:c>
      <x:c r="F13" s="6" t="n">
        <x:f>F12+E13</x:f>
        <x:v>733000</x:v>
      </x:c>
      <x:c r="G13" s="6" t="n">
        <x:v>-64500</x:v>
      </x:c>
      <x:c r="H13" s="6" t="n">
        <x:v>81700</x:v>
      </x:c>
    </x:row>
    <x:row r="14" ht="25" customHeight="1">
      <x:c r="A14" s="2" t="str">
        <x:v>2026-10-01_Day</x:v>
      </x:c>
      <x:c r="B14" s="2" t="str">
        <x:v>上昇</x:v>
      </x:c>
      <x:c r="C14" s="6" t="n">
        <x:v>319200</x:v>
      </x:c>
      <x:c r="D14" s="6" t="n">
        <x:v>166600</x:v>
      </x:c>
      <x:c r="E14" s="6" t="n">
        <x:f>C14-D14</x:f>
        <x:v>152600</x:v>
      </x:c>
      <x:c r="F14" s="6" t="n">
        <x:f>F13+E14</x:f>
        <x:v>885600</x:v>
      </x:c>
      <x:c r="G14" s="6" t="n">
        <x:v>-151700</x:v>
      </x:c>
      <x:c r="H14" s="6" t="n">
        <x:v>167900</x:v>
      </x:c>
    </x:row>
    <x:row r="15" ht="25" customHeight="1">
      <x:c r="A15" s="2" t="str">
        <x:v>2026-10-02_Day</x:v>
      </x:c>
      <x:c r="B15" s="2" t="str">
        <x:v>上昇</x:v>
      </x:c>
      <x:c r="C15" s="6" t="n">
        <x:v>8900</x:v>
      </x:c>
      <x:c r="D15" s="6" t="n">
        <x:v>205000</x:v>
      </x:c>
      <x:c r="E15" s="6" t="n">
        <x:f>C15-D15</x:f>
        <x:v>-196100</x:v>
      </x:c>
      <x:c r="F15" s="6" t="n">
        <x:f>F14+E15</x:f>
        <x:v>689500</x:v>
      </x:c>
      <x:c r="G15" s="6" t="n">
        <x:v>-221400</x:v>
      </x:c>
      <x:c r="H15" s="6" t="n">
        <x:v>280400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101600</x:v>
      </x:c>
      <x:c r="D16" s="6" t="n">
        <x:v>222100</x:v>
      </x:c>
      <x:c r="E16" s="6" t="n">
        <x:f>C16-D16</x:f>
        <x:v>-120500</x:v>
      </x:c>
      <x:c r="F16" s="6" t="n">
        <x:f>F15+E16</x:f>
        <x:v>569000</x:v>
      </x:c>
      <x:c r="G16" s="6" t="n">
        <x:v>-209100</x:v>
      </x:c>
      <x:c r="H16" s="6" t="n">
        <x:v>337900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124900</x:v>
      </x:c>
      <x:c r="D17" s="6" t="n">
        <x:v>324700</x:v>
      </x:c>
      <x:c r="E17" s="6" t="n">
        <x:f>C17-D17</x:f>
        <x:v>-199800</x:v>
      </x:c>
      <x:c r="F17" s="6" t="n">
        <x:f>F16+E17</x:f>
        <x:v>369200</x:v>
      </x:c>
      <x:c r="G17" s="6" t="n">
        <x:v>-236600</x:v>
      </x:c>
      <x:c r="H17" s="6" t="n">
        <x:v>303700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84400</x:v>
      </x:c>
      <x:c r="E18" s="6" t="n">
        <x:f>C18-D18</x:f>
        <x:v>165000</x:v>
      </x:c>
      <x:c r="F18" s="6" t="n">
        <x:f>F17+E18</x:f>
        <x:v>534200</x:v>
      </x:c>
      <x:c r="G18" s="6" t="n">
        <x:v>-16800</x:v>
      </x:c>
      <x:c r="H18" s="6" t="n">
        <x:v>113800</x:v>
      </x:c>
    </x:row>
    <x:row r="19" ht="25" customHeight="1">
      <x:c r="A19" s="2" t="str">
        <x:v>2026-10-08_Day</x:v>
      </x:c>
      <x:c r="B19" s="2" t="str">
        <x:v>下落</x:v>
      </x:c>
      <x:c r="C19" s="6" t="n">
        <x:v>130300</x:v>
      </x:c>
      <x:c r="D19" s="6" t="n">
        <x:v>63300</x:v>
      </x:c>
      <x:c r="E19" s="6" t="n">
        <x:f>C19-D19</x:f>
        <x:v>67000</x:v>
      </x:c>
      <x:c r="F19" s="6" t="n">
        <x:f>F18+E19</x:f>
        <x:v>601200</x:v>
      </x:c>
      <x:c r="G19" s="6" t="n">
        <x:v>-61900</x:v>
      </x:c>
      <x:c r="H19" s="6" t="n">
        <x:v>98700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121200</x:v>
      </x:c>
      <x:c r="D20" s="6" t="n">
        <x:v>170200</x:v>
      </x:c>
      <x:c r="E20" s="6" t="n">
        <x:f>C20-D20</x:f>
        <x:v>-49000</x:v>
      </x:c>
      <x:c r="F20" s="6" t="n">
        <x:f>F19+E20</x:f>
        <x:v>552200</x:v>
      </x:c>
      <x:c r="G20" s="6" t="n">
        <x:v>-110900</x:v>
      </x:c>
      <x:c r="H20" s="6" t="n">
        <x:v>283600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536200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198900</x:v>
      </x:c>
      <x:c r="D22" s="6" t="n">
        <x:v>295600</x:v>
      </x:c>
      <x:c r="E22" s="6" t="n">
        <x:f>C22-D22</x:f>
        <x:v>-96700</x:v>
      </x:c>
      <x:c r="F22" s="6" t="n">
        <x:f>F21+E22</x:f>
        <x:v>439500</x:v>
      </x:c>
      <x:c r="G22" s="6" t="n">
        <x:v>-221000</x:v>
      </x:c>
      <x:c r="H22" s="6" t="n">
        <x:v>295000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219000</x:v>
      </x:c>
      <x:c r="D23" s="6" t="n">
        <x:v>173800</x:v>
      </x:c>
      <x:c r="E23" s="6" t="n">
        <x:f>C23-D23</x:f>
        <x:v>45200</x:v>
      </x:c>
      <x:c r="F23" s="6" t="n">
        <x:f>F22+E23</x:f>
        <x:v>484700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429300</x:v>
      </x:c>
      <x:c r="D24" s="6" t="n">
        <x:v>46600</x:v>
      </x:c>
      <x:c r="E24" s="6" t="n">
        <x:f>C24-D24</x:f>
        <x:v>382700</x:v>
      </x:c>
      <x:c r="F24" s="6" t="n">
        <x:f>F23+E24</x:f>
        <x:v>867400</x:v>
      </x:c>
      <x:c r="G24" s="6" t="n">
        <x:v>-46400</x:v>
      </x:c>
      <x:c r="H24" s="6" t="n">
        <x:v>277900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115700</x:v>
      </x:c>
      <x:c r="D25" s="6" t="n">
        <x:v>386700</x:v>
      </x:c>
      <x:c r="E25" s="6" t="n">
        <x:f>C25-D25</x:f>
        <x:v>-271000</x:v>
      </x:c>
      <x:c r="F25" s="6" t="n">
        <x:f>F24+E25</x:f>
        <x:v>596400</x:v>
      </x:c>
      <x:c r="G25" s="6" t="n">
        <x:v>-326400</x:v>
      </x:c>
      <x:c r="H25" s="6" t="n">
        <x:v>344200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562700</x:v>
      </x:c>
      <x:c r="D26" s="6" t="n">
        <x:v>0</x:v>
      </x:c>
      <x:c r="E26" s="6" t="n">
        <x:f>C26-D26</x:f>
        <x:v>562700</x:v>
      </x:c>
      <x:c r="F26" s="6" t="n">
        <x:f>F25+E26</x:f>
        <x:v>1159100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143900</x:v>
      </x:c>
      <x:c r="D27" s="6" t="n">
        <x:v>375700</x:v>
      </x:c>
      <x:c r="E27" s="6" t="n">
        <x:f>C27-D27</x:f>
        <x:v>-231800</x:v>
      </x:c>
      <x:c r="F27" s="6" t="n">
        <x:f>F26+E27</x:f>
        <x:v>927300</x:v>
      </x:c>
      <x:c r="G27" s="6" t="n">
        <x:v>-340300</x:v>
      </x:c>
      <x:c r="H27" s="6" t="n">
        <x:v>600400</x:v>
      </x:c>
    </x:row>
    <x:row r="28" ht="25" customHeight="1">
      <x:c r="A28" s="2" t="str">
        <x:v>2026-10-21_Day</x:v>
      </x:c>
      <x:c r="B28" s="2" t="str">
        <x:v>下落</x:v>
      </x:c>
      <x:c r="C28" s="6" t="n">
        <x:v>72300</x:v>
      </x:c>
      <x:c r="D28" s="6" t="n">
        <x:v>360300</x:v>
      </x:c>
      <x:c r="E28" s="6" t="n">
        <x:f>C28-D28</x:f>
        <x:v>-288000</x:v>
      </x:c>
      <x:c r="F28" s="6" t="n">
        <x:f>F27+E28</x:f>
        <x:v>639300</x:v>
      </x:c>
      <x:c r="G28" s="6" t="n">
        <x:v>-380600</x:v>
      </x:c>
      <x:c r="H28" s="6" t="n">
        <x:v>413800</x:v>
      </x:c>
    </x:row>
    <x:row r="29" ht="25" customHeight="1">
      <x:c r="A29" s="2" t="str">
        <x:v>2026-10-22_Day</x:v>
      </x:c>
      <x:c r="B29" s="2" t="str">
        <x:v>下落</x:v>
      </x:c>
      <x:c r="C29" s="6" t="n">
        <x:v>596200</x:v>
      </x:c>
      <x:c r="D29" s="6" t="n">
        <x:v>0</x:v>
      </x:c>
      <x:c r="E29" s="6" t="n">
        <x:f>C29-D29</x:f>
        <x:v>596200</x:v>
      </x:c>
      <x:c r="F29" s="6" t="n">
        <x:f>F28+E29</x:f>
        <x:v>1235500</x:v>
      </x:c>
      <x:c r="G29" s="6" t="n">
        <x:v>-10400</x:v>
      </x:c>
      <x:c r="H29" s="6" t="n">
        <x:v>229400</x:v>
      </x:c>
    </x:row>
    <x:row r="30" ht="25" customHeight="1">
      <x:c r="A30" s="2" t="str">
        <x:v>2026-10-23_Day</x:v>
      </x:c>
      <x:c r="B30" s="2" t="str">
        <x:v>上昇</x:v>
      </x:c>
      <x:c r="C30" s="6" t="n">
        <x:v>439600</x:v>
      </x:c>
      <x:c r="D30" s="6" t="n">
        <x:v>125100</x:v>
      </x:c>
      <x:c r="E30" s="6" t="n">
        <x:f>C30-D30</x:f>
        <x:v>314500</x:v>
      </x:c>
      <x:c r="F30" s="6" t="n">
        <x:f>F29+E30</x:f>
        <x:v>1550000</x:v>
      </x:c>
      <x:c r="G30" s="6" t="n">
        <x:v>-147200</x:v>
      </x:c>
      <x:c r="H30" s="6" t="n">
        <x:v>261800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301900</x:v>
      </x:c>
      <x:c r="D31" s="6" t="n">
        <x:v>179200</x:v>
      </x:c>
      <x:c r="E31" s="6" t="n">
        <x:f>C31-D31</x:f>
        <x:v>122700</x:v>
      </x:c>
      <x:c r="F31" s="6" t="n">
        <x:f>F30+E31</x:f>
        <x:v>1672700</x:v>
      </x:c>
      <x:c r="G31" s="6" t="n">
        <x:v>-320300</x:v>
      </x:c>
      <x:c r="H31" s="6" t="n">
        <x:v>527100</x:v>
      </x:c>
    </x:row>
    <x:row r="32" ht="25" customHeight="1">
      <x:c r="A32" s="13" t="str">
        <x:v>累計／場内最悪値</x:v>
      </x:c>
      <x:c r="B32" s="13"/>
      <x:c r="C32" s="14" t="n">
        <x:f>SUM(C6:C31)</x:f>
        <x:v>5303200</x:v>
      </x:c>
      <x:c r="D32" s="14" t="n">
        <x:f>SUM(D6:D31)</x:f>
        <x:v>3630500</x:v>
      </x:c>
      <x:c r="E32" s="14" t="n">
        <x:f>C32-D32</x:f>
        <x:v>1672700</x:v>
      </x:c>
      <x:c r="F32" s="14" t="n">
        <x:f>F31</x:f>
        <x:v>1672700</x:v>
      </x:c>
      <x:c r="G32" s="14" t="n">
        <x:f>MIN(G6:G31)</x:f>
        <x:v>-380600</x:v>
      </x:c>
      <x:c r="H32" s="14" t="n">
        <x:f>MAX(H6:H31)</x:f>
        <x:v>600400</x:v>
      </x:c>
    </x:row>
  </x:sheetData>
  <x:conditionalFormatting sqref="E6:F31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d156b91346427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O03＋逆行60pt後20pt回復・累計25micro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3400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292000</x:v>
      </x:c>
      <x:c r="D9" s="6" t="n">
        <x:v>19200</x:v>
      </x:c>
      <x:c r="E9" s="6" t="n">
        <x:f>C9-D9</x:f>
        <x:v>272800</x:v>
      </x:c>
      <x:c r="F9" s="6" t="n">
        <x:f>F8+E9</x:f>
        <x:v>276200</x:v>
      </x:c>
      <x:c r="G9" s="6" t="n">
        <x:v>-60000</x:v>
      </x:c>
      <x:c r="H9" s="6" t="n">
        <x:v>318900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153400</x:v>
      </x:c>
      <x:c r="D10" s="6" t="n">
        <x:v>8000</x:v>
      </x:c>
      <x:c r="E10" s="6" t="n">
        <x:f>C10-D10</x:f>
        <x:v>145400</x:v>
      </x:c>
      <x:c r="F10" s="6" t="n">
        <x:f>F9+E10</x:f>
        <x:v>421600</x:v>
      </x:c>
      <x:c r="G10" s="6" t="n">
        <x:v>-11800</x:v>
      </x:c>
      <x:c r="H10" s="6" t="n">
        <x:v>229600</x:v>
      </x:c>
    </x:row>
    <x:row r="11" ht="25" customHeight="1">
      <x:c r="A11" s="2" t="str">
        <x:v>2026-09-28_Day</x:v>
      </x:c>
      <x:c r="B11" s="2" t="str">
        <x:v>下落</x:v>
      </x:c>
      <x:c r="C11" s="6" t="n">
        <x:v>235300</x:v>
      </x:c>
      <x:c r="D11" s="6" t="n">
        <x:v>98900</x:v>
      </x:c>
      <x:c r="E11" s="6" t="n">
        <x:f>C11-D11</x:f>
        <x:v>136400</x:v>
      </x:c>
      <x:c r="F11" s="6" t="n">
        <x:f>F10+E11</x:f>
        <x:v>558000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235400</x:v>
      </x:c>
      <x:c r="D12" s="6" t="n">
        <x:v>201900</x:v>
      </x:c>
      <x:c r="E12" s="6" t="n">
        <x:f>C12-D12</x:f>
        <x:v>33500</x:v>
      </x:c>
      <x:c r="F12" s="6" t="n">
        <x:f>F11+E12</x:f>
        <x:v>591500</x:v>
      </x:c>
      <x:c r="G12" s="6" t="n">
        <x:v>-252000</x:v>
      </x:c>
      <x:c r="H12" s="6" t="n">
        <x:v>286500</x:v>
      </x:c>
    </x:row>
    <x:row r="13" ht="25" customHeight="1">
      <x:c r="A13" s="2" t="str">
        <x:v>2026-09-30_Day</x:v>
      </x:c>
      <x:c r="B13" s="2" t="str">
        <x:v>上昇</x:v>
      </x:c>
      <x:c r="C13" s="6" t="n">
        <x:v>214400</x:v>
      </x:c>
      <x:c r="D13" s="6" t="n">
        <x:v>60400</x:v>
      </x:c>
      <x:c r="E13" s="6" t="n">
        <x:f>C13-D13</x:f>
        <x:v>154000</x:v>
      </x:c>
      <x:c r="F13" s="6" t="n">
        <x:f>F12+E13</x:f>
        <x:v>745500</x:v>
      </x:c>
      <x:c r="G13" s="6" t="n">
        <x:v>-63900</x:v>
      </x:c>
      <x:c r="H13" s="6" t="n">
        <x:v>88000</x:v>
      </x:c>
    </x:row>
    <x:row r="14" ht="25" customHeight="1">
      <x:c r="A14" s="2" t="str">
        <x:v>2026-10-01_Day</x:v>
      </x:c>
      <x:c r="B14" s="2" t="str">
        <x:v>上昇</x:v>
      </x:c>
      <x:c r="C14" s="6" t="n">
        <x:v>339900</x:v>
      </x:c>
      <x:c r="D14" s="6" t="n">
        <x:v>166600</x:v>
      </x:c>
      <x:c r="E14" s="6" t="n">
        <x:f>C14-D14</x:f>
        <x:v>173300</x:v>
      </x:c>
      <x:c r="F14" s="6" t="n">
        <x:f>F13+E14</x:f>
        <x:v>918800</x:v>
      </x:c>
      <x:c r="G14" s="6" t="n">
        <x:v>-153100</x:v>
      </x:c>
      <x:c r="H14" s="6" t="n">
        <x:v>169300</x:v>
      </x:c>
    </x:row>
    <x:row r="15" ht="25" customHeight="1">
      <x:c r="A15" s="2" t="str">
        <x:v>2026-10-02_Day</x:v>
      </x:c>
      <x:c r="B15" s="2" t="str">
        <x:v>上昇</x:v>
      </x:c>
      <x:c r="C15" s="6" t="n">
        <x:v>20100</x:v>
      </x:c>
      <x:c r="D15" s="6" t="n">
        <x:v>204900</x:v>
      </x:c>
      <x:c r="E15" s="6" t="n">
        <x:f>C15-D15</x:f>
        <x:v>-184800</x:v>
      </x:c>
      <x:c r="F15" s="6" t="n">
        <x:f>F14+E15</x:f>
        <x:v>734000</x:v>
      </x:c>
      <x:c r="G15" s="6" t="n">
        <x:v>-225800</x:v>
      </x:c>
      <x:c r="H15" s="6" t="n">
        <x:v>285900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101600</x:v>
      </x:c>
      <x:c r="D16" s="6" t="n">
        <x:v>244000</x:v>
      </x:c>
      <x:c r="E16" s="6" t="n">
        <x:f>C16-D16</x:f>
        <x:v>-142400</x:v>
      </x:c>
      <x:c r="F16" s="6" t="n">
        <x:f>F15+E16</x:f>
        <x:v>591600</x:v>
      </x:c>
      <x:c r="G16" s="6" t="n">
        <x:v>-231000</x:v>
      </x:c>
      <x:c r="H16" s="6" t="n">
        <x:v>359800</x:v>
      </x:c>
    </x:row>
    <x:row r="17" ht="25" customHeight="1">
      <x:c r="A17" s="2" t="str">
        <x:v>2026-10-06_Day</x:v>
      </x:c>
      <x:c r="B17" s="2" t="str">
        <x:v>上昇</x:v>
      </x:c>
      <x:c r="C17" s="6" t="n">
        <x:v>142900</x:v>
      </x:c>
      <x:c r="D17" s="6" t="n">
        <x:v>344900</x:v>
      </x:c>
      <x:c r="E17" s="6" t="n">
        <x:f>C17-D17</x:f>
        <x:v>-202000</x:v>
      </x:c>
      <x:c r="F17" s="6" t="n">
        <x:f>F16+E17</x:f>
        <x:v>389600</x:v>
      </x:c>
      <x:c r="G17" s="6" t="n">
        <x:v>-238800</x:v>
      </x:c>
      <x:c r="H17" s="6" t="n">
        <x:v>305900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84400</x:v>
      </x:c>
      <x:c r="E18" s="6" t="n">
        <x:f>C18-D18</x:f>
        <x:v>165000</x:v>
      </x:c>
      <x:c r="F18" s="6" t="n">
        <x:f>F17+E18</x:f>
        <x:v>554600</x:v>
      </x:c>
      <x:c r="G18" s="6" t="n">
        <x:v>-16800</x:v>
      </x:c>
      <x:c r="H18" s="6" t="n">
        <x:v>113800</x:v>
      </x:c>
    </x:row>
    <x:row r="19" ht="25" customHeight="1">
      <x:c r="A19" s="2" t="str">
        <x:v>2026-10-08_Day</x:v>
      </x:c>
      <x:c r="B19" s="2" t="str">
        <x:v>下落</x:v>
      </x:c>
      <x:c r="C19" s="6" t="n">
        <x:v>123200</x:v>
      </x:c>
      <x:c r="D19" s="6" t="n">
        <x:v>61900</x:v>
      </x:c>
      <x:c r="E19" s="6" t="n">
        <x:f>C19-D19</x:f>
        <x:v>61300</x:v>
      </x:c>
      <x:c r="F19" s="6" t="n">
        <x:f>F18+E19</x:f>
        <x:v>615900</x:v>
      </x:c>
      <x:c r="G19" s="6" t="n">
        <x:v>-60500</x:v>
      </x:c>
      <x:c r="H19" s="6" t="n">
        <x:v>97300</x:v>
      </x:c>
    </x:row>
    <x:row r="20" ht="25" customHeight="1">
      <x:c r="A20" s="2" t="str">
        <x:v>2026-10-09_Day</x:v>
      </x:c>
      <x:c r="B20" s="2" t="str">
        <x:v>上昇</x:v>
      </x:c>
      <x:c r="C20" s="6" t="n">
        <x:v>107800</x:v>
      </x:c>
      <x:c r="D20" s="6" t="n">
        <x:v>172600</x:v>
      </x:c>
      <x:c r="E20" s="6" t="n">
        <x:f>C20-D20</x:f>
        <x:v>-64800</x:v>
      </x:c>
      <x:c r="F20" s="6" t="n">
        <x:f>F19+E20</x:f>
        <x:v>551100</x:v>
      </x:c>
      <x:c r="G20" s="6" t="n">
        <x:v>-119600</x:v>
      </x:c>
      <x:c r="H20" s="6" t="n">
        <x:v>288300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535100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175300</x:v>
      </x:c>
      <x:c r="D22" s="6" t="n">
        <x:v>274000</x:v>
      </x:c>
      <x:c r="E22" s="6" t="n">
        <x:f>C22-D22</x:f>
        <x:v>-98700</x:v>
      </x:c>
      <x:c r="F22" s="6" t="n">
        <x:f>F21+E22</x:f>
        <x:v>436400</x:v>
      </x:c>
      <x:c r="G22" s="6" t="n">
        <x:v>-225700</x:v>
      </x:c>
      <x:c r="H22" s="6" t="n">
        <x:v>299700</x:v>
      </x:c>
    </x:row>
    <x:row r="23" ht="25" customHeight="1">
      <x:c r="A23" s="2" t="str">
        <x:v>2026-10-14_Day</x:v>
      </x:c>
      <x:c r="B23" s="2" t="str">
        <x:v>上昇</x:v>
      </x:c>
      <x:c r="C23" s="6" t="n">
        <x:v>219000</x:v>
      </x:c>
      <x:c r="D23" s="6" t="n">
        <x:v>173800</x:v>
      </x:c>
      <x:c r="E23" s="6" t="n">
        <x:f>C23-D23</x:f>
        <x:v>45200</x:v>
      </x:c>
      <x:c r="F23" s="6" t="n">
        <x:f>F22+E23</x:f>
        <x:v>481600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417000</x:v>
      </x:c>
      <x:c r="D24" s="6" t="n">
        <x:v>46600</x:v>
      </x:c>
      <x:c r="E24" s="6" t="n">
        <x:f>C24-D24</x:f>
        <x:v>370400</x:v>
      </x:c>
      <x:c r="F24" s="6" t="n">
        <x:f>F23+E24</x:f>
        <x:v>852000</x:v>
      </x:c>
      <x:c r="G24" s="6" t="n">
        <x:v>-42700</x:v>
      </x:c>
      <x:c r="H24" s="6" t="n">
        <x:v>270300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111700</x:v>
      </x:c>
      <x:c r="D25" s="6" t="n">
        <x:v>387300</x:v>
      </x:c>
      <x:c r="E25" s="6" t="n">
        <x:f>C25-D25</x:f>
        <x:v>-275600</x:v>
      </x:c>
      <x:c r="F25" s="6" t="n">
        <x:f>F24+E25</x:f>
        <x:v>576400</x:v>
      </x:c>
      <x:c r="G25" s="6" t="n">
        <x:v>-331000</x:v>
      </x:c>
      <x:c r="H25" s="6" t="n">
        <x:v>348800</x:v>
      </x:c>
    </x:row>
    <x:row r="26" ht="25" customHeight="1">
      <x:c r="A26" s="2" t="str">
        <x:v>2026-10-19_Day</x:v>
      </x:c>
      <x:c r="B26" s="2" t="str">
        <x:v>上昇</x:v>
      </x:c>
      <x:c r="C26" s="6" t="n">
        <x:v>554300</x:v>
      </x:c>
      <x:c r="D26" s="6" t="n">
        <x:v>0</x:v>
      </x:c>
      <x:c r="E26" s="6" t="n">
        <x:f>C26-D26</x:f>
        <x:v>554300</x:v>
      </x:c>
      <x:c r="F26" s="6" t="n">
        <x:f>F25+E26</x:f>
        <x:v>1130700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143900</x:v>
      </x:c>
      <x:c r="D27" s="6" t="n">
        <x:v>368000</x:v>
      </x:c>
      <x:c r="E27" s="6" t="n">
        <x:f>C27-D27</x:f>
        <x:v>-224100</x:v>
      </x:c>
      <x:c r="F27" s="6" t="n">
        <x:f>F26+E27</x:f>
        <x:v>906600</x:v>
      </x:c>
      <x:c r="G27" s="6" t="n">
        <x:v>-359200</x:v>
      </x:c>
      <x:c r="H27" s="6" t="n">
        <x:v>619300</x:v>
      </x:c>
    </x:row>
    <x:row r="28" ht="25" customHeight="1">
      <x:c r="A28" s="2" t="str">
        <x:v>2026-10-21_Day</x:v>
      </x:c>
      <x:c r="B28" s="2" t="str">
        <x:v>下落</x:v>
      </x:c>
      <x:c r="C28" s="6" t="n">
        <x:v>68000</x:v>
      </x:c>
      <x:c r="D28" s="6" t="n">
        <x:v>310900</x:v>
      </x:c>
      <x:c r="E28" s="6" t="n">
        <x:f>C28-D28</x:f>
        <x:v>-242900</x:v>
      </x:c>
      <x:c r="F28" s="6" t="n">
        <x:f>F27+E28</x:f>
        <x:v>663700</x:v>
      </x:c>
      <x:c r="G28" s="6" t="n">
        <x:v>-331200</x:v>
      </x:c>
      <x:c r="H28" s="6" t="n">
        <x:v>364400</x:v>
      </x:c>
    </x:row>
    <x:row r="29" ht="25" customHeight="1">
      <x:c r="A29" s="2" t="str">
        <x:v>2026-10-22_Day</x:v>
      </x:c>
      <x:c r="B29" s="2" t="str">
        <x:v>下落</x:v>
      </x:c>
      <x:c r="C29" s="6" t="n">
        <x:v>616600</x:v>
      </x:c>
      <x:c r="D29" s="6" t="n">
        <x:v>0</x:v>
      </x:c>
      <x:c r="E29" s="6" t="n">
        <x:f>C29-D29</x:f>
        <x:v>616600</x:v>
      </x:c>
      <x:c r="F29" s="6" t="n">
        <x:f>F28+E29</x:f>
        <x:v>1280300</x:v>
      </x:c>
      <x:c r="G29" s="6" t="n">
        <x:v>-8800</x:v>
      </x:c>
      <x:c r="H29" s="6" t="n">
        <x:v>206600</x:v>
      </x:c>
    </x:row>
    <x:row r="30" ht="25" customHeight="1">
      <x:c r="A30" s="2" t="str">
        <x:v>2026-10-23_Day</x:v>
      </x:c>
      <x:c r="B30" s="2" t="str">
        <x:v>上昇</x:v>
      </x:c>
      <x:c r="C30" s="6" t="n">
        <x:v>579700</x:v>
      </x:c>
      <x:c r="D30" s="6" t="n">
        <x:v>118900</x:v>
      </x:c>
      <x:c r="E30" s="6" t="n">
        <x:f>C30-D30</x:f>
        <x:v>460800</x:v>
      </x:c>
      <x:c r="F30" s="6" t="n">
        <x:f>F29+E30</x:f>
        <x:v>1741100</x:v>
      </x:c>
      <x:c r="G30" s="6" t="n">
        <x:v>-147200</x:v>
      </x:c>
      <x:c r="H30" s="6" t="n">
        <x:v>287500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301900</x:v>
      </x:c>
      <x:c r="D31" s="6" t="n">
        <x:v>169600</x:v>
      </x:c>
      <x:c r="E31" s="6" t="n">
        <x:f>C31-D31</x:f>
        <x:v>132300</x:v>
      </x:c>
      <x:c r="F31" s="6" t="n">
        <x:f>F30+E31</x:f>
        <x:v>1873400</x:v>
      </x:c>
      <x:c r="G31" s="6" t="n">
        <x:v>-310700</x:v>
      </x:c>
      <x:c r="H31" s="6" t="n">
        <x:v>517500</x:v>
      </x:c>
    </x:row>
    <x:row r="32" ht="25" customHeight="1">
      <x:c r="A32" s="13" t="str">
        <x:v>累計／場内最悪値</x:v>
      </x:c>
      <x:c r="B32" s="13"/>
      <x:c r="C32" s="14" t="n">
        <x:f>SUM(C6:C31)</x:f>
        <x:v>5422000</x:v>
      </x:c>
      <x:c r="D32" s="14" t="n">
        <x:f>SUM(D6:D31)</x:f>
        <x:v>3548600</x:v>
      </x:c>
      <x:c r="E32" s="14" t="n">
        <x:f>C32-D32</x:f>
        <x:v>1873400</x:v>
      </x:c>
      <x:c r="F32" s="14" t="n">
        <x:f>F31</x:f>
        <x:v>1873400</x:v>
      </x:c>
      <x:c r="G32" s="14" t="n">
        <x:f>MIN(G6:G31)</x:f>
        <x:v>-359200</x:v>
      </x:c>
      <x:c r="H32" s="14" t="n">
        <x:f>MAX(H6:H31)</x:f>
        <x:v>619300</x:v>
      </x:c>
    </x:row>
  </x:sheetData>
  <x:conditionalFormatting sqref="E6:F31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27e1b66318493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O05の逆行回復追加上限50micro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8600</x:v>
      </x:c>
      <x:c r="D6" s="6" t="n">
        <x:v>0</x:v>
      </x:c>
      <x:c r="E6" s="6" t="n">
        <x:f>C6-D6</x:f>
        <x:v>8600</x:v>
      </x:c>
      <x:c r="F6" s="6" t="n">
        <x:f>E6</x:f>
        <x:v>8600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-5400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5400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345700</x:v>
      </x:c>
      <x:c r="D9" s="6" t="n">
        <x:v>16800</x:v>
      </x:c>
      <x:c r="E9" s="6" t="n">
        <x:f>C9-D9</x:f>
        <x:v>328900</x:v>
      </x:c>
      <x:c r="F9" s="6" t="n">
        <x:f>F8+E9</x:f>
        <x:v>334300</x:v>
      </x:c>
      <x:c r="G9" s="6" t="n">
        <x:v>-35000</x:v>
      </x:c>
      <x:c r="H9" s="6" t="n">
        <x:v>249000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166200</x:v>
      </x:c>
      <x:c r="D10" s="6" t="n">
        <x:v>8000</x:v>
      </x:c>
      <x:c r="E10" s="6" t="n">
        <x:f>C10-D10</x:f>
        <x:v>158200</x:v>
      </x:c>
      <x:c r="F10" s="6" t="n">
        <x:f>F9+E10</x:f>
        <x:v>492500</x:v>
      </x:c>
      <x:c r="G10" s="6" t="n">
        <x:v>-11800</x:v>
      </x:c>
      <x:c r="H10" s="6" t="n">
        <x:v>224400</x:v>
      </x:c>
    </x:row>
    <x:row r="11" ht="25" customHeight="1">
      <x:c r="A11" s="2" t="str">
        <x:v>2026-09-28_Day</x:v>
      </x:c>
      <x:c r="B11" s="2" t="str">
        <x:v>下落</x:v>
      </x:c>
      <x:c r="C11" s="6" t="n">
        <x:v>244500</x:v>
      </x:c>
      <x:c r="D11" s="6" t="n">
        <x:v>118100</x:v>
      </x:c>
      <x:c r="E11" s="6" t="n">
        <x:f>C11-D11</x:f>
        <x:v>126400</x:v>
      </x:c>
      <x:c r="F11" s="6" t="n">
        <x:f>F10+E11</x:f>
        <x:v>618900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252800</x:v>
      </x:c>
      <x:c r="D12" s="6" t="n">
        <x:v>197100</x:v>
      </x:c>
      <x:c r="E12" s="6" t="n">
        <x:f>C12-D12</x:f>
        <x:v>55700</x:v>
      </x:c>
      <x:c r="F12" s="6" t="n">
        <x:f>F11+E12</x:f>
        <x:v>674600</x:v>
      </x:c>
      <x:c r="G12" s="6" t="n">
        <x:v>-234700</x:v>
      </x:c>
      <x:c r="H12" s="6" t="n">
        <x:v>289000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230700</x:v>
      </x:c>
      <x:c r="D13" s="6" t="n">
        <x:v>74600</x:v>
      </x:c>
      <x:c r="E13" s="6" t="n">
        <x:f>C13-D13</x:f>
        <x:v>156100</x:v>
      </x:c>
      <x:c r="F13" s="6" t="n">
        <x:f>F12+E13</x:f>
        <x:v>830700</x:v>
      </x:c>
      <x:c r="G13" s="6" t="n">
        <x:v>-94400</x:v>
      </x:c>
      <x:c r="H13" s="6" t="n">
        <x:v>115200</x:v>
      </x:c>
    </x:row>
    <x:row r="14" ht="25" customHeight="1">
      <x:c r="A14" s="2" t="str">
        <x:v>2026-10-01_Day</x:v>
      </x:c>
      <x:c r="B14" s="2" t="str">
        <x:v>上昇</x:v>
      </x:c>
      <x:c r="C14" s="6" t="n">
        <x:v>321700</x:v>
      </x:c>
      <x:c r="D14" s="6" t="n">
        <x:v>166600</x:v>
      </x:c>
      <x:c r="E14" s="6" t="n">
        <x:f>C14-D14</x:f>
        <x:v>155100</x:v>
      </x:c>
      <x:c r="F14" s="6" t="n">
        <x:f>F13+E14</x:f>
        <x:v>985800</x:v>
      </x:c>
      <x:c r="G14" s="6" t="n">
        <x:v>-149200</x:v>
      </x:c>
      <x:c r="H14" s="6" t="n">
        <x:v>165400</x:v>
      </x:c>
    </x:row>
    <x:row r="15" ht="25" customHeight="1">
      <x:c r="A15" s="2" t="str">
        <x:v>2026-10-02_Day</x:v>
      </x:c>
      <x:c r="B15" s="2" t="str">
        <x:v>上昇</x:v>
      </x:c>
      <x:c r="C15" s="6" t="n">
        <x:v>28300</x:v>
      </x:c>
      <x:c r="D15" s="6" t="n">
        <x:v>205000</x:v>
      </x:c>
      <x:c r="E15" s="6" t="n">
        <x:f>C15-D15</x:f>
        <x:v>-176700</x:v>
      </x:c>
      <x:c r="F15" s="6" t="n">
        <x:f>F14+E15</x:f>
        <x:v>809100</x:v>
      </x:c>
      <x:c r="G15" s="6" t="n">
        <x:v>-216400</x:v>
      </x:c>
      <x:c r="H15" s="6" t="n">
        <x:v>275400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101600</x:v>
      </x:c>
      <x:c r="D16" s="6" t="n">
        <x:v>219200</x:v>
      </x:c>
      <x:c r="E16" s="6" t="n">
        <x:f>C16-D16</x:f>
        <x:v>-117600</x:v>
      </x:c>
      <x:c r="F16" s="6" t="n">
        <x:f>F15+E16</x:f>
        <x:v>691500</x:v>
      </x:c>
      <x:c r="G16" s="6" t="n">
        <x:v>-206200</x:v>
      </x:c>
      <x:c r="H16" s="6" t="n">
        <x:v>335000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132800</x:v>
      </x:c>
      <x:c r="D17" s="6" t="n">
        <x:v>422600</x:v>
      </x:c>
      <x:c r="E17" s="6" t="n">
        <x:f>C17-D17</x:f>
        <x:v>-289800</x:v>
      </x:c>
      <x:c r="F17" s="6" t="n">
        <x:f>F16+E17</x:f>
        <x:v>401700</x:v>
      </x:c>
      <x:c r="G17" s="6" t="n">
        <x:v>-326600</x:v>
      </x:c>
      <x:c r="H17" s="6" t="n">
        <x:v>394500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92200</x:v>
      </x:c>
      <x:c r="E18" s="6" t="n">
        <x:f>C18-D18</x:f>
        <x:v>157200</x:v>
      </x:c>
      <x:c r="F18" s="6" t="n">
        <x:f>F17+E18</x:f>
        <x:v>558900</x:v>
      </x:c>
      <x:c r="G18" s="6" t="n">
        <x:v>-16800</x:v>
      </x:c>
      <x:c r="H18" s="6" t="n">
        <x:v>121600</x:v>
      </x:c>
    </x:row>
    <x:row r="19" ht="25" customHeight="1">
      <x:c r="A19" s="2" t="str">
        <x:v>2026-10-08_Day</x:v>
      </x:c>
      <x:c r="B19" s="2" t="str">
        <x:v>下落</x:v>
      </x:c>
      <x:c r="C19" s="6" t="n">
        <x:v>129500</x:v>
      </x:c>
      <x:c r="D19" s="6" t="n">
        <x:v>63300</x:v>
      </x:c>
      <x:c r="E19" s="6" t="n">
        <x:f>C19-D19</x:f>
        <x:v>66200</x:v>
      </x:c>
      <x:c r="F19" s="6" t="n">
        <x:f>F18+E19</x:f>
        <x:v>625100</x:v>
      </x:c>
      <x:c r="G19" s="6" t="n">
        <x:v>-62700</x:v>
      </x:c>
      <x:c r="H19" s="6" t="n">
        <x:v>105500</x:v>
      </x:c>
    </x:row>
    <x:row r="20" ht="25" customHeight="1">
      <x:c r="A20" s="2" t="str">
        <x:v>2026-10-09_Day</x:v>
      </x:c>
      <x:c r="B20" s="2" t="str">
        <x:v>上昇</x:v>
      </x:c>
      <x:c r="C20" s="6" t="n">
        <x:v>131600</x:v>
      </x:c>
      <x:c r="D20" s="6" t="n">
        <x:v>170200</x:v>
      </x:c>
      <x:c r="E20" s="6" t="n">
        <x:f>C20-D20</x:f>
        <x:v>-38600</x:v>
      </x:c>
      <x:c r="F20" s="6" t="n">
        <x:f>F19+E20</x:f>
        <x:v>586500</x:v>
      </x:c>
      <x:c r="G20" s="6" t="n">
        <x:v>-116900</x:v>
      </x:c>
      <x:c r="H20" s="6" t="n">
        <x:v>299400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570500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206500</x:v>
      </x:c>
      <x:c r="D22" s="6" t="n">
        <x:v>295900</x:v>
      </x:c>
      <x:c r="E22" s="6" t="n">
        <x:f>C22-D22</x:f>
        <x:v>-89400</x:v>
      </x:c>
      <x:c r="F22" s="6" t="n">
        <x:f>F21+E22</x:f>
        <x:v>481100</x:v>
      </x:c>
      <x:c r="G22" s="6" t="n">
        <x:v>-213100</x:v>
      </x:c>
      <x:c r="H22" s="6" t="n">
        <x:v>287100</x:v>
      </x:c>
    </x:row>
    <x:row r="23" ht="25" customHeight="1">
      <x:c r="A23" s="2" t="str">
        <x:v>2026-10-14_Day</x:v>
      </x:c>
      <x:c r="B23" s="2" t="str">
        <x:v>上昇</x:v>
      </x:c>
      <x:c r="C23" s="6" t="n">
        <x:v>219000</x:v>
      </x:c>
      <x:c r="D23" s="6" t="n">
        <x:v>173800</x:v>
      </x:c>
      <x:c r="E23" s="6" t="n">
        <x:f>C23-D23</x:f>
        <x:v>45200</x:v>
      </x:c>
      <x:c r="F23" s="6" t="n">
        <x:f>F22+E23</x:f>
        <x:v>526300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437100</x:v>
      </x:c>
      <x:c r="D24" s="6" t="n">
        <x:v>75300</x:v>
      </x:c>
      <x:c r="E24" s="6" t="n">
        <x:f>C24-D24</x:f>
        <x:v>361800</x:v>
      </x:c>
      <x:c r="F24" s="6" t="n">
        <x:f>F23+E24</x:f>
        <x:v>888100</x:v>
      </x:c>
      <x:c r="G24" s="6" t="n">
        <x:v>-67900</x:v>
      </x:c>
      <x:c r="H24" s="6" t="n">
        <x:v>288400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117900</x:v>
      </x:c>
      <x:c r="D25" s="6" t="n">
        <x:v>419200</x:v>
      </x:c>
      <x:c r="E25" s="6" t="n">
        <x:f>C25-D25</x:f>
        <x:v>-301300</x:v>
      </x:c>
      <x:c r="F25" s="6" t="n">
        <x:f>F24+E25</x:f>
        <x:v>586800</x:v>
      </x:c>
      <x:c r="G25" s="6" t="n">
        <x:v>-356700</x:v>
      </x:c>
      <x:c r="H25" s="6" t="n">
        <x:v>374500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562700</x:v>
      </x:c>
      <x:c r="D26" s="6" t="n">
        <x:v>0</x:v>
      </x:c>
      <x:c r="E26" s="6" t="n">
        <x:f>C26-D26</x:f>
        <x:v>562700</x:v>
      </x:c>
      <x:c r="F26" s="6" t="n">
        <x:f>F25+E26</x:f>
        <x:v>1149500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152900</x:v>
      </x:c>
      <x:c r="D27" s="6" t="n">
        <x:v>436000</x:v>
      </x:c>
      <x:c r="E27" s="6" t="n">
        <x:f>C27-D27</x:f>
        <x:v>-283100</x:v>
      </x:c>
      <x:c r="F27" s="6" t="n">
        <x:f>F26+E27</x:f>
        <x:v>866400</x:v>
      </x:c>
      <x:c r="G27" s="6" t="n">
        <x:v>-391600</x:v>
      </x:c>
      <x:c r="H27" s="6" t="n">
        <x:v>660700</x:v>
      </x:c>
    </x:row>
    <x:row r="28" ht="25" customHeight="1">
      <x:c r="A28" s="2" t="str">
        <x:v>2026-10-21_Day</x:v>
      </x:c>
      <x:c r="B28" s="2" t="str">
        <x:v>下落</x:v>
      </x:c>
      <x:c r="C28" s="6" t="n">
        <x:v>104100</x:v>
      </x:c>
      <x:c r="D28" s="6" t="n">
        <x:v>381900</x:v>
      </x:c>
      <x:c r="E28" s="6" t="n">
        <x:f>C28-D28</x:f>
        <x:v>-277800</x:v>
      </x:c>
      <x:c r="F28" s="6" t="n">
        <x:f>F27+E28</x:f>
        <x:v>588600</x:v>
      </x:c>
      <x:c r="G28" s="6" t="n">
        <x:v>-406700</x:v>
      </x:c>
      <x:c r="H28" s="6" t="n">
        <x:v>443900</x:v>
      </x:c>
    </x:row>
    <x:row r="29" ht="25" customHeight="1">
      <x:c r="A29" s="2" t="str">
        <x:v>2026-10-22_Day</x:v>
      </x:c>
      <x:c r="B29" s="2" t="str">
        <x:v>下落</x:v>
      </x:c>
      <x:c r="C29" s="6" t="n">
        <x:v>596200</x:v>
      </x:c>
      <x:c r="D29" s="6" t="n">
        <x:v>0</x:v>
      </x:c>
      <x:c r="E29" s="6" t="n">
        <x:f>C29-D29</x:f>
        <x:v>596200</x:v>
      </x:c>
      <x:c r="F29" s="6" t="n">
        <x:f>F28+E29</x:f>
        <x:v>1184800</x:v>
      </x:c>
      <x:c r="G29" s="6" t="n">
        <x:v>-10400</x:v>
      </x:c>
      <x:c r="H29" s="6" t="n">
        <x:v>229400</x:v>
      </x:c>
    </x:row>
    <x:row r="30" ht="25" customHeight="1">
      <x:c r="A30" s="2" t="str">
        <x:v>2026-10-23_Day</x:v>
      </x:c>
      <x:c r="B30" s="2" t="str">
        <x:v>上昇</x:v>
      </x:c>
      <x:c r="C30" s="6" t="n">
        <x:v>472100</x:v>
      </x:c>
      <x:c r="D30" s="6" t="n">
        <x:v>124300</x:v>
      </x:c>
      <x:c r="E30" s="6" t="n">
        <x:f>C30-D30</x:f>
        <x:v>347800</x:v>
      </x:c>
      <x:c r="F30" s="6" t="n">
        <x:f>F29+E30</x:f>
        <x:v>1532600</x:v>
      </x:c>
      <x:c r="G30" s="6" t="n">
        <x:v>-147200</x:v>
      </x:c>
      <x:c r="H30" s="6" t="n">
        <x:v>263000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309100</x:v>
      </x:c>
      <x:c r="D31" s="6" t="n">
        <x:v>179200</x:v>
      </x:c>
      <x:c r="E31" s="6" t="n">
        <x:f>C31-D31</x:f>
        <x:v>129900</x:v>
      </x:c>
      <x:c r="F31" s="6" t="n">
        <x:f>F30+E31</x:f>
        <x:v>1662500</x:v>
      </x:c>
      <x:c r="G31" s="6" t="n">
        <x:v>-313100</x:v>
      </x:c>
      <x:c r="H31" s="6" t="n">
        <x:v>528100</x:v>
      </x:c>
    </x:row>
    <x:row r="32" ht="25" customHeight="1">
      <x:c r="A32" s="13" t="str">
        <x:v>累計／場内最悪値</x:v>
      </x:c>
      <x:c r="B32" s="13"/>
      <x:c r="C32" s="14" t="n">
        <x:f>SUM(C6:C31)</x:f>
        <x:v>5533600</x:v>
      </x:c>
      <x:c r="D32" s="14" t="n">
        <x:f>SUM(D6:D31)</x:f>
        <x:v>3871100</x:v>
      </x:c>
      <x:c r="E32" s="14" t="n">
        <x:f>C32-D32</x:f>
        <x:v>1662500</x:v>
      </x:c>
      <x:c r="F32" s="14" t="n">
        <x:f>F31</x:f>
        <x:v>1662500</x:v>
      </x:c>
      <x:c r="G32" s="14" t="n">
        <x:f>MIN(G6:G31)</x:f>
        <x:v>-406700</x:v>
      </x:c>
      <x:c r="H32" s="14" t="n">
        <x:f>MAX(H6:H31)</x:f>
        <x:v>660700</x:v>
      </x:c>
    </x:row>
  </x:sheetData>
  <x:conditionalFormatting sqref="E6:F31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2a0d69468d4e7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O05と同Canonical・両側実保有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3400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306200</x:v>
      </x:c>
      <x:c r="D9" s="6" t="n">
        <x:v>18000</x:v>
      </x:c>
      <x:c r="E9" s="6" t="n">
        <x:f>C9-D9</x:f>
        <x:v>288200</x:v>
      </x:c>
      <x:c r="F9" s="6" t="n">
        <x:f>F8+E9</x:f>
        <x:v>291600</x:v>
      </x:c>
      <x:c r="G9" s="6" t="n">
        <x:v>-61800</x:v>
      </x:c>
      <x:c r="H9" s="6" t="n">
        <x:v>336300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166200</x:v>
      </x:c>
      <x:c r="D10" s="6" t="n">
        <x:v>8000</x:v>
      </x:c>
      <x:c r="E10" s="6" t="n">
        <x:f>C10-D10</x:f>
        <x:v>158200</x:v>
      </x:c>
      <x:c r="F10" s="6" t="n">
        <x:f>F9+E10</x:f>
        <x:v>449800</x:v>
      </x:c>
      <x:c r="G10" s="6" t="n">
        <x:v>-11800</x:v>
      </x:c>
      <x:c r="H10" s="6" t="n">
        <x:v>224400</x:v>
      </x:c>
    </x:row>
    <x:row r="11" ht="25" customHeight="1">
      <x:c r="A11" s="2" t="str">
        <x:v>2026-09-28_Day</x:v>
      </x:c>
      <x:c r="B11" s="2" t="str">
        <x:v>下落</x:v>
      </x:c>
      <x:c r="C11" s="6" t="n">
        <x:v>226700</x:v>
      </x:c>
      <x:c r="D11" s="6" t="n">
        <x:v>98900</x:v>
      </x:c>
      <x:c r="E11" s="6" t="n">
        <x:f>C11-D11</x:f>
        <x:v>127800</x:v>
      </x:c>
      <x:c r="F11" s="6" t="n">
        <x:f>F10+E11</x:f>
        <x:v>577600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238300</x:v>
      </x:c>
      <x:c r="D12" s="6" t="n">
        <x:v>230300</x:v>
      </x:c>
      <x:c r="E12" s="6" t="n">
        <x:f>C12-D12</x:f>
        <x:v>8000</x:v>
      </x:c>
      <x:c r="F12" s="6" t="n">
        <x:f>F11+E12</x:f>
        <x:v>585600</x:v>
      </x:c>
      <x:c r="G12" s="6" t="n">
        <x:v>-277500</x:v>
      </x:c>
      <x:c r="H12" s="6" t="n">
        <x:v>314100</x:v>
      </x:c>
    </x:row>
    <x:row r="13" ht="25" customHeight="1">
      <x:c r="A13" s="2" t="str">
        <x:v>2026-09-30_Day</x:v>
      </x:c>
      <x:c r="B13" s="2" t="str">
        <x:v>上昇</x:v>
      </x:c>
      <x:c r="C13" s="6" t="n">
        <x:v>208600</x:v>
      </x:c>
      <x:c r="D13" s="6" t="n">
        <x:v>64200</x:v>
      </x:c>
      <x:c r="E13" s="6" t="n">
        <x:f>C13-D13</x:f>
        <x:v>144400</x:v>
      </x:c>
      <x:c r="F13" s="6" t="n">
        <x:f>F12+E13</x:f>
        <x:v>730000</x:v>
      </x:c>
      <x:c r="G13" s="6" t="n">
        <x:v>-64500</x:v>
      </x:c>
      <x:c r="H13" s="6" t="n">
        <x:v>81700</x:v>
      </x:c>
    </x:row>
    <x:row r="14" ht="25" customHeight="1">
      <x:c r="A14" s="2" t="str">
        <x:v>2026-10-01_Day</x:v>
      </x:c>
      <x:c r="B14" s="2" t="str">
        <x:v>上昇</x:v>
      </x:c>
      <x:c r="C14" s="6" t="n">
        <x:v>319200</x:v>
      </x:c>
      <x:c r="D14" s="6" t="n">
        <x:v>166600</x:v>
      </x:c>
      <x:c r="E14" s="6" t="n">
        <x:f>C14-D14</x:f>
        <x:v>152600</x:v>
      </x:c>
      <x:c r="F14" s="6" t="n">
        <x:f>F13+E14</x:f>
        <x:v>882600</x:v>
      </x:c>
      <x:c r="G14" s="6" t="n">
        <x:v>-151700</x:v>
      </x:c>
      <x:c r="H14" s="6" t="n">
        <x:v>167900</x:v>
      </x:c>
    </x:row>
    <x:row r="15" ht="25" customHeight="1">
      <x:c r="A15" s="2" t="str">
        <x:v>2026-10-02_Day</x:v>
      </x:c>
      <x:c r="B15" s="2" t="str">
        <x:v>上昇</x:v>
      </x:c>
      <x:c r="C15" s="6" t="n">
        <x:v>8900</x:v>
      </x:c>
      <x:c r="D15" s="6" t="n">
        <x:v>207000</x:v>
      </x:c>
      <x:c r="E15" s="6" t="n">
        <x:f>C15-D15</x:f>
        <x:v>-198100</x:v>
      </x:c>
      <x:c r="F15" s="6" t="n">
        <x:f>F14+E15</x:f>
        <x:v>684500</x:v>
      </x:c>
      <x:c r="G15" s="6" t="n">
        <x:v>-223400</x:v>
      </x:c>
      <x:c r="H15" s="6" t="n">
        <x:v>282400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101600</x:v>
      </x:c>
      <x:c r="D16" s="6" t="n">
        <x:v>222100</x:v>
      </x:c>
      <x:c r="E16" s="6" t="n">
        <x:f>C16-D16</x:f>
        <x:v>-120500</x:v>
      </x:c>
      <x:c r="F16" s="6" t="n">
        <x:f>F15+E16</x:f>
        <x:v>564000</x:v>
      </x:c>
      <x:c r="G16" s="6" t="n">
        <x:v>-209100</x:v>
      </x:c>
      <x:c r="H16" s="6" t="n">
        <x:v>337900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122100</x:v>
      </x:c>
      <x:c r="D17" s="6" t="n">
        <x:v>324700</x:v>
      </x:c>
      <x:c r="E17" s="6" t="n">
        <x:f>C17-D17</x:f>
        <x:v>-202600</x:v>
      </x:c>
      <x:c r="F17" s="6" t="n">
        <x:f>F16+E17</x:f>
        <x:v>361400</x:v>
      </x:c>
      <x:c r="G17" s="6" t="n">
        <x:v>-239400</x:v>
      </x:c>
      <x:c r="H17" s="6" t="n">
        <x:v>306500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84400</x:v>
      </x:c>
      <x:c r="E18" s="6" t="n">
        <x:f>C18-D18</x:f>
        <x:v>165000</x:v>
      </x:c>
      <x:c r="F18" s="6" t="n">
        <x:f>F17+E18</x:f>
        <x:v>526400</x:v>
      </x:c>
      <x:c r="G18" s="6" t="n">
        <x:v>-16800</x:v>
      </x:c>
      <x:c r="H18" s="6" t="n">
        <x:v>113800</x:v>
      </x:c>
    </x:row>
    <x:row r="19" ht="25" customHeight="1">
      <x:c r="A19" s="2" t="str">
        <x:v>2026-10-08_Day</x:v>
      </x:c>
      <x:c r="B19" s="2" t="str">
        <x:v>下落</x:v>
      </x:c>
      <x:c r="C19" s="6" t="n">
        <x:v>130300</x:v>
      </x:c>
      <x:c r="D19" s="6" t="n">
        <x:v>63300</x:v>
      </x:c>
      <x:c r="E19" s="6" t="n">
        <x:f>C19-D19</x:f>
        <x:v>67000</x:v>
      </x:c>
      <x:c r="F19" s="6" t="n">
        <x:f>F18+E19</x:f>
        <x:v>593400</x:v>
      </x:c>
      <x:c r="G19" s="6" t="n">
        <x:v>-61900</x:v>
      </x:c>
      <x:c r="H19" s="6" t="n">
        <x:v>98700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121200</x:v>
      </x:c>
      <x:c r="D20" s="6" t="n">
        <x:v>170200</x:v>
      </x:c>
      <x:c r="E20" s="6" t="n">
        <x:f>C20-D20</x:f>
        <x:v>-49000</x:v>
      </x:c>
      <x:c r="F20" s="6" t="n">
        <x:f>F19+E20</x:f>
        <x:v>544400</x:v>
      </x:c>
      <x:c r="G20" s="6" t="n">
        <x:v>-110900</x:v>
      </x:c>
      <x:c r="H20" s="6" t="n">
        <x:v>283600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528400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192600</x:v>
      </x:c>
      <x:c r="D22" s="6" t="n">
        <x:v>295600</x:v>
      </x:c>
      <x:c r="E22" s="6" t="n">
        <x:f>C22-D22</x:f>
        <x:v>-103000</x:v>
      </x:c>
      <x:c r="F22" s="6" t="n">
        <x:f>F21+E22</x:f>
        <x:v>425400</x:v>
      </x:c>
      <x:c r="G22" s="6" t="n">
        <x:v>-227300</x:v>
      </x:c>
      <x:c r="H22" s="6" t="n">
        <x:v>301300</x:v>
      </x:c>
    </x:row>
    <x:row r="23" ht="25" customHeight="1">
      <x:c r="A23" s="2" t="str">
        <x:v>2026-10-14_Day</x:v>
      </x:c>
      <x:c r="B23" s="2" t="str">
        <x:v>上昇</x:v>
      </x:c>
      <x:c r="C23" s="6" t="n">
        <x:v>219000</x:v>
      </x:c>
      <x:c r="D23" s="6" t="n">
        <x:v>173800</x:v>
      </x:c>
      <x:c r="E23" s="6" t="n">
        <x:f>C23-D23</x:f>
        <x:v>45200</x:v>
      </x:c>
      <x:c r="F23" s="6" t="n">
        <x:f>F22+E23</x:f>
        <x:v>470600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429300</x:v>
      </x:c>
      <x:c r="D24" s="6" t="n">
        <x:v>46600</x:v>
      </x:c>
      <x:c r="E24" s="6" t="n">
        <x:f>C24-D24</x:f>
        <x:v>382700</x:v>
      </x:c>
      <x:c r="F24" s="6" t="n">
        <x:f>F23+E24</x:f>
        <x:v>853300</x:v>
      </x:c>
      <x:c r="G24" s="6" t="n">
        <x:v>-46400</x:v>
      </x:c>
      <x:c r="H24" s="6" t="n">
        <x:v>277900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115700</x:v>
      </x:c>
      <x:c r="D25" s="6" t="n">
        <x:v>386700</x:v>
      </x:c>
      <x:c r="E25" s="6" t="n">
        <x:f>C25-D25</x:f>
        <x:v>-271000</x:v>
      </x:c>
      <x:c r="F25" s="6" t="n">
        <x:f>F24+E25</x:f>
        <x:v>582300</x:v>
      </x:c>
      <x:c r="G25" s="6" t="n">
        <x:v>-326400</x:v>
      </x:c>
      <x:c r="H25" s="6" t="n">
        <x:v>344200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562700</x:v>
      </x:c>
      <x:c r="D26" s="6" t="n">
        <x:v>0</x:v>
      </x:c>
      <x:c r="E26" s="6" t="n">
        <x:f>C26-D26</x:f>
        <x:v>562700</x:v>
      </x:c>
      <x:c r="F26" s="6" t="n">
        <x:f>F25+E26</x:f>
        <x:v>1145000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141500</x:v>
      </x:c>
      <x:c r="D27" s="6" t="n">
        <x:v>375700</x:v>
      </x:c>
      <x:c r="E27" s="6" t="n">
        <x:f>C27-D27</x:f>
        <x:v>-234200</x:v>
      </x:c>
      <x:c r="F27" s="6" t="n">
        <x:f>F26+E27</x:f>
        <x:v>910800</x:v>
      </x:c>
      <x:c r="G27" s="6" t="n">
        <x:v>-340300</x:v>
      </x:c>
      <x:c r="H27" s="6" t="n">
        <x:v>600400</x:v>
      </x:c>
    </x:row>
    <x:row r="28" ht="25" customHeight="1">
      <x:c r="A28" s="2" t="str">
        <x:v>2026-10-21_Day</x:v>
      </x:c>
      <x:c r="B28" s="2" t="str">
        <x:v>下落</x:v>
      </x:c>
      <x:c r="C28" s="6" t="n">
        <x:v>72300</x:v>
      </x:c>
      <x:c r="D28" s="6" t="n">
        <x:v>360300</x:v>
      </x:c>
      <x:c r="E28" s="6" t="n">
        <x:f>C28-D28</x:f>
        <x:v>-288000</x:v>
      </x:c>
      <x:c r="F28" s="6" t="n">
        <x:f>F27+E28</x:f>
        <x:v>622800</x:v>
      </x:c>
      <x:c r="G28" s="6" t="n">
        <x:v>-380600</x:v>
      </x:c>
      <x:c r="H28" s="6" t="n">
        <x:v>413800</x:v>
      </x:c>
    </x:row>
    <x:row r="29" ht="25" customHeight="1">
      <x:c r="A29" s="2" t="str">
        <x:v>2026-10-22_Day</x:v>
      </x:c>
      <x:c r="B29" s="2" t="str">
        <x:v>下落</x:v>
      </x:c>
      <x:c r="C29" s="6" t="n">
        <x:v>596200</x:v>
      </x:c>
      <x:c r="D29" s="6" t="n">
        <x:v>0</x:v>
      </x:c>
      <x:c r="E29" s="6" t="n">
        <x:f>C29-D29</x:f>
        <x:v>596200</x:v>
      </x:c>
      <x:c r="F29" s="6" t="n">
        <x:f>F28+E29</x:f>
        <x:v>1219000</x:v>
      </x:c>
      <x:c r="G29" s="6" t="n">
        <x:v>-10400</x:v>
      </x:c>
      <x:c r="H29" s="6" t="n">
        <x:v>229400</x:v>
      </x:c>
    </x:row>
    <x:row r="30" ht="25" customHeight="1">
      <x:c r="A30" s="2" t="str">
        <x:v>2026-10-23_Day</x:v>
      </x:c>
      <x:c r="B30" s="2" t="str">
        <x:v>上昇</x:v>
      </x:c>
      <x:c r="C30" s="6" t="n">
        <x:v>425800</x:v>
      </x:c>
      <x:c r="D30" s="6" t="n">
        <x:v>125400</x:v>
      </x:c>
      <x:c r="E30" s="6" t="n">
        <x:f>C30-D30</x:f>
        <x:v>300400</x:v>
      </x:c>
      <x:c r="F30" s="6" t="n">
        <x:f>F29+E30</x:f>
        <x:v>1519400</x:v>
      </x:c>
      <x:c r="G30" s="6" t="n">
        <x:v>-147200</x:v>
      </x:c>
      <x:c r="H30" s="6" t="n">
        <x:v>261800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301900</x:v>
      </x:c>
      <x:c r="D31" s="6" t="n">
        <x:v>179200</x:v>
      </x:c>
      <x:c r="E31" s="6" t="n">
        <x:f>C31-D31</x:f>
        <x:v>122700</x:v>
      </x:c>
      <x:c r="F31" s="6" t="n">
        <x:f>F30+E31</x:f>
        <x:v>1642100</x:v>
      </x:c>
      <x:c r="G31" s="6" t="n">
        <x:v>-320300</x:v>
      </x:c>
      <x:c r="H31" s="6" t="n">
        <x:v>527100</x:v>
      </x:c>
    </x:row>
    <x:row r="32" ht="25" customHeight="1">
      <x:c r="A32" s="13" t="str">
        <x:v>累計／場内最悪値</x:v>
      </x:c>
      <x:c r="B32" s="13"/>
      <x:c r="C32" s="14" t="n">
        <x:f>SUM(C6:C31)</x:f>
        <x:v>5274900</x:v>
      </x:c>
      <x:c r="D32" s="14" t="n">
        <x:f>SUM(D6:D31)</x:f>
        <x:v>3632800</x:v>
      </x:c>
      <x:c r="E32" s="14" t="n">
        <x:f>C32-D32</x:f>
        <x:v>1642100</x:v>
      </x:c>
      <x:c r="F32" s="14" t="n">
        <x:f>F31</x:f>
        <x:v>1642100</x:v>
      </x:c>
      <x:c r="G32" s="14" t="n">
        <x:f>MIN(G6:G31)</x:f>
        <x:v>-380600</x:v>
      </x:c>
      <x:c r="H32" s="14" t="n">
        <x:f>MAX(H6:H31)</x:f>
        <x:v>600400</x:v>
      </x:c>
    </x:row>
  </x:sheetData>
  <x:conditionalFormatting sqref="E6:F31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a047986e634de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O05＋場開始比赤字8～16万円で数量抑制/停止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3400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306200</x:v>
      </x:c>
      <x:c r="D9" s="6" t="n">
        <x:v>18000</x:v>
      </x:c>
      <x:c r="E9" s="6" t="n">
        <x:f>C9-D9</x:f>
        <x:v>288200</x:v>
      </x:c>
      <x:c r="F9" s="6" t="n">
        <x:f>F8+E9</x:f>
        <x:v>291600</x:v>
      </x:c>
      <x:c r="G9" s="6" t="n">
        <x:v>-61800</x:v>
      </x:c>
      <x:c r="H9" s="6" t="n">
        <x:v>336300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166200</x:v>
      </x:c>
      <x:c r="D10" s="6" t="n">
        <x:v>8000</x:v>
      </x:c>
      <x:c r="E10" s="6" t="n">
        <x:f>C10-D10</x:f>
        <x:v>158200</x:v>
      </x:c>
      <x:c r="F10" s="6" t="n">
        <x:f>F9+E10</x:f>
        <x:v>449800</x:v>
      </x:c>
      <x:c r="G10" s="6" t="n">
        <x:v>-11800</x:v>
      </x:c>
      <x:c r="H10" s="6" t="n">
        <x:v>224400</x:v>
      </x:c>
    </x:row>
    <x:row r="11" ht="25" customHeight="1">
      <x:c r="A11" s="2" t="str">
        <x:v>2026-09-28_Day</x:v>
      </x:c>
      <x:c r="B11" s="2" t="str">
        <x:v>下落</x:v>
      </x:c>
      <x:c r="C11" s="6" t="n">
        <x:v>229700</x:v>
      </x:c>
      <x:c r="D11" s="6" t="n">
        <x:v>98900</x:v>
      </x:c>
      <x:c r="E11" s="6" t="n">
        <x:f>C11-D11</x:f>
        <x:v>130800</x:v>
      </x:c>
      <x:c r="F11" s="6" t="n">
        <x:f>F10+E11</x:f>
        <x:v>580600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22500</x:v>
      </x:c>
      <x:c r="D12" s="6" t="n">
        <x:v>182500</x:v>
      </x:c>
      <x:c r="E12" s="6" t="n">
        <x:f>C12-D12</x:f>
        <x:v>-160000</x:v>
      </x:c>
      <x:c r="F12" s="6" t="n">
        <x:f>F11+E12</x:f>
        <x:v>420600</x:v>
      </x:c>
      <x:c r="G12" s="6" t="n">
        <x:v>-160000</x:v>
      </x:c>
      <x:c r="H12" s="6" t="n">
        <x:v>196600</x:v>
      </x:c>
    </x:row>
    <x:row r="13" ht="25" customHeight="1">
      <x:c r="A13" s="2" t="str">
        <x:v>2026-09-30_Day</x:v>
      </x:c>
      <x:c r="B13" s="2" t="str">
        <x:v>上昇</x:v>
      </x:c>
      <x:c r="C13" s="6" t="n">
        <x:v>208600</x:v>
      </x:c>
      <x:c r="D13" s="6" t="n">
        <x:v>64200</x:v>
      </x:c>
      <x:c r="E13" s="6" t="n">
        <x:f>C13-D13</x:f>
        <x:v>144400</x:v>
      </x:c>
      <x:c r="F13" s="6" t="n">
        <x:f>F12+E13</x:f>
        <x:v>565000</x:v>
      </x:c>
      <x:c r="G13" s="6" t="n">
        <x:v>-64500</x:v>
      </x:c>
      <x:c r="H13" s="6" t="n">
        <x:v>81700</x:v>
      </x:c>
    </x:row>
    <x:row r="14" ht="25" customHeight="1">
      <x:c r="A14" s="2" t="str">
        <x:v>2026-10-01_Day</x:v>
      </x:c>
      <x:c r="B14" s="2" t="str">
        <x:v>上昇</x:v>
      </x:c>
      <x:c r="C14" s="6" t="n">
        <x:v>325200</x:v>
      </x:c>
      <x:c r="D14" s="6" t="n">
        <x:v>166600</x:v>
      </x:c>
      <x:c r="E14" s="6" t="n">
        <x:f>C14-D14</x:f>
        <x:v>158600</x:v>
      </x:c>
      <x:c r="F14" s="6" t="n">
        <x:f>F13+E14</x:f>
        <x:v>723600</x:v>
      </x:c>
      <x:c r="G14" s="6" t="n">
        <x:v>-152600</x:v>
      </x:c>
      <x:c r="H14" s="6" t="n">
        <x:v>168800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159800</x:v>
      </x:c>
      <x:c r="E15" s="6" t="n">
        <x:f>C15-D15</x:f>
        <x:v>-159800</x:v>
      </x:c>
      <x:c r="F15" s="6" t="n">
        <x:f>F14+E15</x:f>
        <x:v>563800</x:v>
      </x:c>
      <x:c r="G15" s="6" t="n">
        <x:v>-159800</x:v>
      </x:c>
      <x:c r="H15" s="6" t="n">
        <x:v>218800</x:v>
      </x:c>
    </x:row>
    <x:row r="16" ht="25" customHeight="1">
      <x:c r="A16" s="2" t="str">
        <x:v>2026-10-05_Day</x:v>
      </x:c>
      <x:c r="B16" s="2" t="str">
        <x:v>上昇</x:v>
      </x:c>
      <x:c r="C16" s="6" t="n">
        <x:v>34200</x:v>
      </x:c>
      <x:c r="D16" s="6" t="n">
        <x:v>195900</x:v>
      </x:c>
      <x:c r="E16" s="6" t="n">
        <x:f>C16-D16</x:f>
        <x:v>-161700</x:v>
      </x:c>
      <x:c r="F16" s="6" t="n">
        <x:f>F15+E16</x:f>
        <x:v>402100</x:v>
      </x:c>
      <x:c r="G16" s="6" t="n">
        <x:v>-161700</x:v>
      </x:c>
      <x:c r="H16" s="6" t="n">
        <x:v>290500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162500</x:v>
      </x:c>
      <x:c r="E17" s="6" t="n">
        <x:f>C17-D17</x:f>
        <x:v>-162500</x:v>
      </x:c>
      <x:c r="F17" s="6" t="n">
        <x:f>F16+E17</x:f>
        <x:v>239600</x:v>
      </x:c>
      <x:c r="G17" s="6" t="n">
        <x:v>-162500</x:v>
      </x:c>
      <x:c r="H17" s="6" t="n">
        <x:v>229600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84400</x:v>
      </x:c>
      <x:c r="E18" s="6" t="n">
        <x:f>C18-D18</x:f>
        <x:v>165000</x:v>
      </x:c>
      <x:c r="F18" s="6" t="n">
        <x:f>F17+E18</x:f>
        <x:v>404600</x:v>
      </x:c>
      <x:c r="G18" s="6" t="n">
        <x:v>-16800</x:v>
      </x:c>
      <x:c r="H18" s="6" t="n">
        <x:v>113800</x:v>
      </x:c>
    </x:row>
    <x:row r="19" ht="25" customHeight="1">
      <x:c r="A19" s="2" t="str">
        <x:v>2026-10-08_Day</x:v>
      </x:c>
      <x:c r="B19" s="2" t="str">
        <x:v>下落</x:v>
      </x:c>
      <x:c r="C19" s="6" t="n">
        <x:v>130300</x:v>
      </x:c>
      <x:c r="D19" s="6" t="n">
        <x:v>63300</x:v>
      </x:c>
      <x:c r="E19" s="6" t="n">
        <x:f>C19-D19</x:f>
        <x:v>67000</x:v>
      </x:c>
      <x:c r="F19" s="6" t="n">
        <x:f>F18+E19</x:f>
        <x:v>471600</x:v>
      </x:c>
      <x:c r="G19" s="6" t="n">
        <x:v>-61900</x:v>
      </x:c>
      <x:c r="H19" s="6" t="n">
        <x:v>98700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121200</x:v>
      </x:c>
      <x:c r="D20" s="6" t="n">
        <x:v>170200</x:v>
      </x:c>
      <x:c r="E20" s="6" t="n">
        <x:f>C20-D20</x:f>
        <x:v>-49000</x:v>
      </x:c>
      <x:c r="F20" s="6" t="n">
        <x:f>F19+E20</x:f>
        <x:v>422600</x:v>
      </x:c>
      <x:c r="G20" s="6" t="n">
        <x:v>-110900</x:v>
      </x:c>
      <x:c r="H20" s="6" t="n">
        <x:v>283600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406600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84500</x:v>
      </x:c>
      <x:c r="D22" s="6" t="n">
        <x:v>244600</x:v>
      </x:c>
      <x:c r="E22" s="6" t="n">
        <x:f>C22-D22</x:f>
        <x:v>-160100</x:v>
      </x:c>
      <x:c r="F22" s="6" t="n">
        <x:f>F21+E22</x:f>
        <x:v>246500</x:v>
      </x:c>
      <x:c r="G22" s="6" t="n">
        <x:v>-160100</x:v>
      </x:c>
      <x:c r="H22" s="6" t="n">
        <x:v>234100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168600</x:v>
      </x:c>
      <x:c r="D23" s="6" t="n">
        <x:v>166500</x:v>
      </x:c>
      <x:c r="E23" s="6" t="n">
        <x:f>C23-D23</x:f>
        <x:v>2100</x:v>
      </x:c>
      <x:c r="F23" s="6" t="n">
        <x:f>F22+E23</x:f>
        <x:v>248600</x:v>
      </x:c>
      <x:c r="G23" s="6" t="n">
        <x:v>-136800</x:v>
      </x:c>
      <x:c r="H23" s="6" t="n">
        <x:v>175900</x:v>
      </x:c>
    </x:row>
    <x:row r="24" ht="25" customHeight="1">
      <x:c r="A24" s="2" t="str">
        <x:v>2026-10-15_Day</x:v>
      </x:c>
      <x:c r="B24" s="2" t="str">
        <x:v>下落</x:v>
      </x:c>
      <x:c r="C24" s="6" t="n">
        <x:v>429300</x:v>
      </x:c>
      <x:c r="D24" s="6" t="n">
        <x:v>46600</x:v>
      </x:c>
      <x:c r="E24" s="6" t="n">
        <x:f>C24-D24</x:f>
        <x:v>382700</x:v>
      </x:c>
      <x:c r="F24" s="6" t="n">
        <x:f>F23+E24</x:f>
        <x:v>631300</x:v>
      </x:c>
      <x:c r="G24" s="6" t="n">
        <x:v>-46400</x:v>
      </x:c>
      <x:c r="H24" s="6" t="n">
        <x:v>277900</x:v>
      </x:c>
    </x:row>
    <x:row r="25" ht="25" customHeight="1">
      <x:c r="A25" s="2" t="str">
        <x:v>2026-10-16_Day</x:v>
      </x:c>
      <x:c r="B25" s="2" t="str">
        <x:v>上昇</x:v>
      </x:c>
      <x:c r="C25" s="6" t="n">
        <x:v>7400</x:v>
      </x:c>
      <x:c r="D25" s="6" t="n">
        <x:v>170400</x:v>
      </x:c>
      <x:c r="E25" s="6" t="n">
        <x:f>C25-D25</x:f>
        <x:v>-163000</x:v>
      </x:c>
      <x:c r="F25" s="6" t="n">
        <x:f>F24+E25</x:f>
        <x:v>468300</x:v>
      </x:c>
      <x:c r="G25" s="6" t="n">
        <x:v>-163000</x:v>
      </x:c>
      <x:c r="H25" s="6" t="n">
        <x:v>180800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562700</x:v>
      </x:c>
      <x:c r="D26" s="6" t="n">
        <x:v>0</x:v>
      </x:c>
      <x:c r="E26" s="6" t="n">
        <x:f>C26-D26</x:f>
        <x:v>562700</x:v>
      </x:c>
      <x:c r="F26" s="6" t="n">
        <x:f>F25+E26</x:f>
        <x:v>1031000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74100</x:v>
      </x:c>
      <x:c r="D27" s="6" t="n">
        <x:v>234200</x:v>
      </x:c>
      <x:c r="E27" s="6" t="n">
        <x:f>C27-D27</x:f>
        <x:v>-160100</x:v>
      </x:c>
      <x:c r="F27" s="6" t="n">
        <x:f>F26+E27</x:f>
        <x:v>870900</x:v>
      </x:c>
      <x:c r="G27" s="6" t="n">
        <x:v>-160100</x:v>
      </x:c>
      <x:c r="H27" s="6" t="n">
        <x:v>420200</x:v>
      </x:c>
    </x:row>
    <x:row r="28" ht="25" customHeight="1">
      <x:c r="A28" s="2" t="str">
        <x:v>2026-10-21_Day</x:v>
      </x:c>
      <x:c r="B28" s="2" t="str">
        <x:v>下落</x:v>
      </x:c>
      <x:c r="C28" s="6" t="n">
        <x:v>4500</x:v>
      </x:c>
      <x:c r="D28" s="6" t="n">
        <x:v>164800</x:v>
      </x:c>
      <x:c r="E28" s="6" t="n">
        <x:f>C28-D28</x:f>
        <x:v>-160300</x:v>
      </x:c>
      <x:c r="F28" s="6" t="n">
        <x:f>F27+E28</x:f>
        <x:v>710600</x:v>
      </x:c>
      <x:c r="G28" s="6" t="n">
        <x:v>-160300</x:v>
      </x:c>
      <x:c r="H28" s="6" t="n">
        <x:v>193500</x:v>
      </x:c>
    </x:row>
    <x:row r="29" ht="25" customHeight="1">
      <x:c r="A29" s="2" t="str">
        <x:v>2026-10-22_Day</x:v>
      </x:c>
      <x:c r="B29" s="2" t="str">
        <x:v>下落</x:v>
      </x:c>
      <x:c r="C29" s="6" t="n">
        <x:v>596200</x:v>
      </x:c>
      <x:c r="D29" s="6" t="n">
        <x:v>0</x:v>
      </x:c>
      <x:c r="E29" s="6" t="n">
        <x:f>C29-D29</x:f>
        <x:v>596200</x:v>
      </x:c>
      <x:c r="F29" s="6" t="n">
        <x:f>F28+E29</x:f>
        <x:v>1306800</x:v>
      </x:c>
      <x:c r="G29" s="6" t="n">
        <x:v>-10400</x:v>
      </x:c>
      <x:c r="H29" s="6" t="n">
        <x:v>229400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161200</x:v>
      </x:c>
      <x:c r="E30" s="6" t="n">
        <x:f>C30-D30</x:f>
        <x:v>-161200</x:v>
      </x:c>
      <x:c r="F30" s="6" t="n">
        <x:f>F29+E30</x:f>
        <x:v>1145600</x:v>
      </x:c>
      <x:c r="G30" s="6" t="n">
        <x:v>-161200</x:v>
      </x:c>
      <x:c r="H30" s="6" t="n">
        <x:v>192700</x:v>
      </x:c>
    </x:row>
    <x:row r="31" ht="25" customHeight="1">
      <x:c r="A31" s="2" t="str">
        <x:v>2026-10-26_Day</x:v>
      </x:c>
      <x:c r="B31" s="2" t="str">
        <x:v>下落</x:v>
      </x:c>
      <x:c r="C31" s="6" t="n">
        <x:v>79600</x:v>
      </x:c>
      <x:c r="D31" s="6" t="n">
        <x:v>241200</x:v>
      </x:c>
      <x:c r="E31" s="6" t="n">
        <x:f>C31-D31</x:f>
        <x:v>-161600</x:v>
      </x:c>
      <x:c r="F31" s="6" t="n">
        <x:f>F30+E31</x:f>
        <x:v>984000</x:v>
      </x:c>
      <x:c r="G31" s="6" t="n">
        <x:v>-161600</x:v>
      </x:c>
      <x:c r="H31" s="6" t="n">
        <x:v>368400</x:v>
      </x:c>
    </x:row>
    <x:row r="32" ht="25" customHeight="1">
      <x:c r="A32" s="13" t="str">
        <x:v>累計／場内最悪値</x:v>
      </x:c>
      <x:c r="B32" s="13"/>
      <x:c r="C32" s="14" t="n">
        <x:f>SUM(C6:C31)</x:f>
        <x:v>3819600</x:v>
      </x:c>
      <x:c r="D32" s="14" t="n">
        <x:f>SUM(D6:D31)</x:f>
        <x:v>2835600</x:v>
      </x:c>
      <x:c r="E32" s="14" t="n">
        <x:f>C32-D32</x:f>
        <x:v>984000</x:v>
      </x:c>
      <x:c r="F32" s="14" t="n">
        <x:f>F31</x:f>
        <x:v>984000</x:v>
      </x:c>
      <x:c r="G32" s="14" t="n">
        <x:f>MIN(G6:G31)</x:f>
        <x:v>-163000</x:v>
      </x:c>
      <x:c r="H32" s="14" t="n">
        <x:f>MAX(H6:H31)</x:f>
        <x:v>420200</x:v>
      </x:c>
    </x:row>
  </x:sheetData>
  <x:conditionalFormatting sqref="E6:F31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aa57c2a17d4aa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O10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O03＋長期支持0.1未満/短期反対0.5以上15秒で親返済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5200</x:v>
      </x:c>
      <x:c r="D6" s="6" t="n">
        <x:v>20600</x:v>
      </x:c>
      <x:c r="E6" s="6" t="n">
        <x:f>C6-D6</x:f>
        <x:v>-15400</x:v>
      </x:c>
      <x:c r="F6" s="6" t="n">
        <x:f>E6</x:f>
        <x:v>-15400</x:v>
      </x:c>
      <x:c r="G6" s="6" t="n">
        <x:v>-23600</x:v>
      </x:c>
      <x:c r="H6" s="6" t="n">
        <x:v>29600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-29400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-18600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184400</x:v>
      </x:c>
      <x:c r="D9" s="6" t="n">
        <x:v>82100</x:v>
      </x:c>
      <x:c r="E9" s="6" t="n">
        <x:f>C9-D9</x:f>
        <x:v>102300</x:v>
      </x:c>
      <x:c r="F9" s="6" t="n">
        <x:f>F8+E9</x:f>
        <x:v>83700</x:v>
      </x:c>
      <x:c r="G9" s="6" t="n">
        <x:v>-75100</x:v>
      </x:c>
      <x:c r="H9" s="6" t="n">
        <x:v>337200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153400</x:v>
      </x:c>
      <x:c r="D10" s="6" t="n">
        <x:v>8000</x:v>
      </x:c>
      <x:c r="E10" s="6" t="n">
        <x:f>C10-D10</x:f>
        <x:v>145400</x:v>
      </x:c>
      <x:c r="F10" s="6" t="n">
        <x:f>F9+E10</x:f>
        <x:v>229100</x:v>
      </x:c>
      <x:c r="G10" s="6" t="n">
        <x:v>-11800</x:v>
      </x:c>
      <x:c r="H10" s="6" t="n">
        <x:v>229600</x:v>
      </x:c>
    </x:row>
    <x:row r="11" ht="25" customHeight="1">
      <x:c r="A11" s="2" t="str">
        <x:v>2026-09-28_Day</x:v>
      </x:c>
      <x:c r="B11" s="2" t="str">
        <x:v>下落</x:v>
      </x:c>
      <x:c r="C11" s="6" t="n">
        <x:v>242600</x:v>
      </x:c>
      <x:c r="D11" s="6" t="n">
        <x:v>92100</x:v>
      </x:c>
      <x:c r="E11" s="6" t="n">
        <x:f>C11-D11</x:f>
        <x:v>150500</x:v>
      </x:c>
      <x:c r="F11" s="6" t="n">
        <x:f>F10+E11</x:f>
        <x:v>379600</x:v>
      </x:c>
      <x:c r="G11" s="6" t="n">
        <x:v>-87400</x:v>
      </x:c>
      <x:c r="H11" s="6" t="n">
        <x:v>252300</x:v>
      </x:c>
    </x:row>
    <x:row r="12" ht="25" customHeight="1">
      <x:c r="A12" s="2" t="str">
        <x:v>2026-09-29_Day</x:v>
      </x:c>
      <x:c r="B12" s="2" t="str">
        <x:v>下落</x:v>
      </x:c>
      <x:c r="C12" s="6" t="n">
        <x:v>10100</x:v>
      </x:c>
      <x:c r="D12" s="6" t="n">
        <x:v>356000</x:v>
      </x:c>
      <x:c r="E12" s="6" t="n">
        <x:f>C12-D12</x:f>
        <x:v>-345900</x:v>
      </x:c>
      <x:c r="F12" s="6" t="n">
        <x:f>F11+E12</x:f>
        <x:v>33700</x:v>
      </x:c>
      <x:c r="G12" s="6" t="n">
        <x:v>-345900</x:v>
      </x:c>
      <x:c r="H12" s="6" t="n">
        <x:v>373700</x:v>
      </x:c>
    </x:row>
    <x:row r="13" ht="25" customHeight="1">
      <x:c r="A13" s="2" t="str">
        <x:v>2026-09-30_Day</x:v>
      </x:c>
      <x:c r="B13" s="2" t="str">
        <x:v>上昇</x:v>
      </x:c>
      <x:c r="C13" s="6" t="n">
        <x:v>254300</x:v>
      </x:c>
      <x:c r="D13" s="6" t="n">
        <x:v>25400</x:v>
      </x:c>
      <x:c r="E13" s="6" t="n">
        <x:f>C13-D13</x:f>
        <x:v>228900</x:v>
      </x:c>
      <x:c r="F13" s="6" t="n">
        <x:f>F12+E13</x:f>
        <x:v>262600</x:v>
      </x:c>
      <x:c r="G13" s="6" t="n">
        <x:v>-56600</x:v>
      </x:c>
      <x:c r="H13" s="6" t="n">
        <x:v>82000</x:v>
      </x:c>
    </x:row>
    <x:row r="14" ht="25" customHeight="1">
      <x:c r="A14" s="2" t="str">
        <x:v>2026-10-01_Day</x:v>
      </x:c>
      <x:c r="B14" s="2" t="str">
        <x:v>上昇</x:v>
      </x:c>
      <x:c r="C14" s="6" t="n">
        <x:v>15500</x:v>
      </x:c>
      <x:c r="D14" s="6" t="n">
        <x:v>205700</x:v>
      </x:c>
      <x:c r="E14" s="6" t="n">
        <x:f>C14-D14</x:f>
        <x:v>-190200</x:v>
      </x:c>
      <x:c r="F14" s="6" t="n">
        <x:f>F13+E14</x:f>
        <x:v>72400</x:v>
      </x:c>
      <x:c r="G14" s="6" t="n">
        <x:v>-190200</x:v>
      </x:c>
      <x:c r="H14" s="6" t="n">
        <x:v>206400</x:v>
      </x:c>
    </x:row>
    <x:row r="15" ht="25" customHeight="1">
      <x:c r="A15" s="2" t="str">
        <x:v>2026-10-02_Day</x:v>
      </x:c>
      <x:c r="B15" s="2" t="str">
        <x:v>上昇</x:v>
      </x:c>
      <x:c r="C15" s="6" t="n">
        <x:v>14700</x:v>
      </x:c>
      <x:c r="D15" s="6" t="n">
        <x:v>186500</x:v>
      </x:c>
      <x:c r="E15" s="6" t="n">
        <x:f>C15-D15</x:f>
        <x:v>-171800</x:v>
      </x:c>
      <x:c r="F15" s="6" t="n">
        <x:f>F14+E15</x:f>
        <x:v>-99400</x:v>
      </x:c>
      <x:c r="G15" s="6" t="n">
        <x:v>-213900</x:v>
      </x:c>
      <x:c r="H15" s="6" t="n">
        <x:v>274000</x:v>
      </x:c>
    </x:row>
    <x:row r="16" ht="25" customHeight="1">
      <x:c r="A16" s="2" t="str">
        <x:v>2026-10-05_Day</x:v>
      </x:c>
      <x:c r="B16" s="2" t="str">
        <x:v>上昇</x:v>
      </x:c>
      <x:c r="C16" s="6" t="n">
        <x:v>85400</x:v>
      </x:c>
      <x:c r="D16" s="6" t="n">
        <x:v>237900</x:v>
      </x:c>
      <x:c r="E16" s="6" t="n">
        <x:f>C16-D16</x:f>
        <x:v>-152500</x:v>
      </x:c>
      <x:c r="F16" s="6" t="n">
        <x:f>F15+E16</x:f>
        <x:v>-251900</x:v>
      </x:c>
      <x:c r="G16" s="6" t="n">
        <x:v>-217000</x:v>
      </x:c>
      <x:c r="H16" s="6" t="n">
        <x:v>345800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124400</x:v>
      </x:c>
      <x:c r="D17" s="6" t="n">
        <x:v>460600</x:v>
      </x:c>
      <x:c r="E17" s="6" t="n">
        <x:f>C17-D17</x:f>
        <x:v>-336200</x:v>
      </x:c>
      <x:c r="F17" s="6" t="n">
        <x:f>F16+E17</x:f>
        <x:v>-588100</x:v>
      </x:c>
      <x:c r="G17" s="6" t="n">
        <x:v>-373000</x:v>
      </x:c>
      <x:c r="H17" s="6" t="n">
        <x:v>423700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53300</x:v>
      </x:c>
      <x:c r="E18" s="6" t="n">
        <x:f>C18-D18</x:f>
        <x:v>196100</x:v>
      </x:c>
      <x:c r="F18" s="6" t="n">
        <x:f>F17+E18</x:f>
        <x:v>-392000</x:v>
      </x:c>
      <x:c r="G18" s="6" t="n">
        <x:v>-16800</x:v>
      </x:c>
      <x:c r="H18" s="6" t="n">
        <x:v>112100</x:v>
      </x:c>
    </x:row>
    <x:row r="19" ht="25" customHeight="1">
      <x:c r="A19" s="2" t="str">
        <x:v>2026-10-08_Day</x:v>
      </x:c>
      <x:c r="B19" s="2" t="str">
        <x:v>下落</x:v>
      </x:c>
      <x:c r="C19" s="6" t="n">
        <x:v>106800</x:v>
      </x:c>
      <x:c r="D19" s="6" t="n">
        <x:v>69000</x:v>
      </x:c>
      <x:c r="E19" s="6" t="n">
        <x:f>C19-D19</x:f>
        <x:v>37800</x:v>
      </x:c>
      <x:c r="F19" s="6" t="n">
        <x:f>F18+E19</x:f>
        <x:v>-354200</x:v>
      </x:c>
      <x:c r="G19" s="6" t="n">
        <x:v>-84000</x:v>
      </x:c>
      <x:c r="H19" s="6" t="n">
        <x:v>103300</x:v>
      </x:c>
    </x:row>
    <x:row r="20" ht="25" customHeight="1">
      <x:c r="A20" s="2" t="str">
        <x:v>2026-10-09_Day</x:v>
      </x:c>
      <x:c r="B20" s="2" t="str">
        <x:v>上昇</x:v>
      </x:c>
      <x:c r="C20" s="6" t="n">
        <x:v>97700</x:v>
      </x:c>
      <x:c r="D20" s="6" t="n">
        <x:v>161800</x:v>
      </x:c>
      <x:c r="E20" s="6" t="n">
        <x:f>C20-D20</x:f>
        <x:v>-64100</x:v>
      </x:c>
      <x:c r="F20" s="6" t="n">
        <x:f>F19+E20</x:f>
        <x:v>-418300</x:v>
      </x:c>
      <x:c r="G20" s="6" t="n">
        <x:v>-119600</x:v>
      </x:c>
      <x:c r="H20" s="6" t="n">
        <x:v>253600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15400</x:v>
      </x:c>
      <x:c r="E21" s="6" t="n">
        <x:f>C21-D21</x:f>
        <x:v>-13600</x:v>
      </x:c>
      <x:c r="F21" s="6" t="n">
        <x:f>F20+E21</x:f>
        <x:v>-431900</x:v>
      </x:c>
      <x:c r="G21" s="6" t="n">
        <x:v>-18600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140800</x:v>
      </x:c>
      <x:c r="D22" s="6" t="n">
        <x:v>296600</x:v>
      </x:c>
      <x:c r="E22" s="6" t="n">
        <x:f>C22-D22</x:f>
        <x:v>-155800</x:v>
      </x:c>
      <x:c r="F22" s="6" t="n">
        <x:f>F21+E22</x:f>
        <x:v>-587700</x:v>
      </x:c>
      <x:c r="G22" s="6" t="n">
        <x:v>-290500</x:v>
      </x:c>
      <x:c r="H22" s="6" t="n">
        <x:v>364500</x:v>
      </x:c>
    </x:row>
    <x:row r="23" ht="25" customHeight="1">
      <x:c r="A23" s="2" t="str">
        <x:v>2026-10-14_Day</x:v>
      </x:c>
      <x:c r="B23" s="2" t="str">
        <x:v>上昇</x:v>
      </x:c>
      <x:c r="C23" s="6" t="n">
        <x:v>222600</x:v>
      </x:c>
      <x:c r="D23" s="6" t="n">
        <x:v>180900</x:v>
      </x:c>
      <x:c r="E23" s="6" t="n">
        <x:f>C23-D23</x:f>
        <x:v>41700</x:v>
      </x:c>
      <x:c r="F23" s="6" t="n">
        <x:f>F22+E23</x:f>
        <x:v>-546000</x:v>
      </x:c>
      <x:c r="G23" s="6" t="n">
        <x:v>-168900</x:v>
      </x:c>
      <x:c r="H23" s="6" t="n">
        <x:v>211000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307700</x:v>
      </x:c>
      <x:c r="D24" s="6" t="n">
        <x:v>55100</x:v>
      </x:c>
      <x:c r="E24" s="6" t="n">
        <x:f>C24-D24</x:f>
        <x:v>252600</x:v>
      </x:c>
      <x:c r="F24" s="6" t="n">
        <x:f>F23+E24</x:f>
        <x:v>-293400</x:v>
      </x:c>
      <x:c r="G24" s="6" t="n">
        <x:v>-65800</x:v>
      </x:c>
      <x:c r="H24" s="6" t="n">
        <x:v>155100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110300</x:v>
      </x:c>
      <x:c r="D25" s="6" t="n">
        <x:v>317100</x:v>
      </x:c>
      <x:c r="E25" s="6" t="n">
        <x:f>C25-D25</x:f>
        <x:v>-206800</x:v>
      </x:c>
      <x:c r="F25" s="6" t="n">
        <x:f>F24+E25</x:f>
        <x:v>-500200</x:v>
      </x:c>
      <x:c r="G25" s="6" t="n">
        <x:v>-262200</x:v>
      </x:c>
      <x:c r="H25" s="6" t="n">
        <x:v>279600</x:v>
      </x:c>
    </x:row>
    <x:row r="26" ht="25" customHeight="1">
      <x:c r="A26" s="2" t="str">
        <x:v>2026-10-19_Day</x:v>
      </x:c>
      <x:c r="B26" s="2" t="str">
        <x:v>上昇</x:v>
      </x:c>
      <x:c r="C26" s="6" t="n">
        <x:v>223900</x:v>
      </x:c>
      <x:c r="D26" s="6" t="n">
        <x:v>58000</x:v>
      </x:c>
      <x:c r="E26" s="6" t="n">
        <x:f>C26-D26</x:f>
        <x:v>165900</x:v>
      </x:c>
      <x:c r="F26" s="6" t="n">
        <x:f>F25+E26</x:f>
        <x:v>-334300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189300</x:v>
      </x:c>
      <x:c r="D27" s="6" t="n">
        <x:v>242400</x:v>
      </x:c>
      <x:c r="E27" s="6" t="n">
        <x:f>C27-D27</x:f>
        <x:v>-53100</x:v>
      </x:c>
      <x:c r="F27" s="6" t="n">
        <x:f>F26+E27</x:f>
        <x:v>-387400</x:v>
      </x:c>
      <x:c r="G27" s="6" t="n">
        <x:v>-211700</x:v>
      </x:c>
      <x:c r="H27" s="6" t="n">
        <x:v>448100</x:v>
      </x:c>
    </x:row>
    <x:row r="28" ht="25" customHeight="1">
      <x:c r="A28" s="2" t="str">
        <x:v>2026-10-21_Day</x:v>
      </x:c>
      <x:c r="B28" s="2" t="str">
        <x:v>下落</x:v>
      </x:c>
      <x:c r="C28" s="6" t="n">
        <x:v>60400</x:v>
      </x:c>
      <x:c r="D28" s="6" t="n">
        <x:v>295600</x:v>
      </x:c>
      <x:c r="E28" s="6" t="n">
        <x:f>C28-D28</x:f>
        <x:v>-235200</x:v>
      </x:c>
      <x:c r="F28" s="6" t="n">
        <x:f>F27+E28</x:f>
        <x:v>-622600</x:v>
      </x:c>
      <x:c r="G28" s="6" t="n">
        <x:v>-320400</x:v>
      </x:c>
      <x:c r="H28" s="6" t="n">
        <x:v>335000</x:v>
      </x:c>
    </x:row>
    <x:row r="29" ht="25" customHeight="1">
      <x:c r="A29" s="2" t="str">
        <x:v>2026-10-22_Day</x:v>
      </x:c>
      <x:c r="B29" s="2" t="str">
        <x:v>下落</x:v>
      </x:c>
      <x:c r="C29" s="6" t="n">
        <x:v>579700</x:v>
      </x:c>
      <x:c r="D29" s="6" t="n">
        <x:v>0</x:v>
      </x:c>
      <x:c r="E29" s="6" t="n">
        <x:f>C29-D29</x:f>
        <x:v>579700</x:v>
      </x:c>
      <x:c r="F29" s="6" t="n">
        <x:f>F28+E29</x:f>
        <x:v>-42900</x:v>
      </x:c>
      <x:c r="G29" s="6" t="n">
        <x:v>-8800</x:v>
      </x:c>
      <x:c r="H29" s="6" t="n">
        <x:v>195200</x:v>
      </x:c>
    </x:row>
    <x:row r="30" ht="25" customHeight="1">
      <x:c r="A30" s="2" t="str">
        <x:v>2026-10-23_Day</x:v>
      </x:c>
      <x:c r="B30" s="2" t="str">
        <x:v>上昇</x:v>
      </x:c>
      <x:c r="C30" s="6" t="n">
        <x:v>213100</x:v>
      </x:c>
      <x:c r="D30" s="6" t="n">
        <x:v>152900</x:v>
      </x:c>
      <x:c r="E30" s="6" t="n">
        <x:f>C30-D30</x:f>
        <x:v>60200</x:v>
      </x:c>
      <x:c r="F30" s="6" t="n">
        <x:f>F29+E30</x:f>
        <x:v>17300</x:v>
      </x:c>
      <x:c r="G30" s="6" t="n">
        <x:v>-147200</x:v>
      </x:c>
      <x:c r="H30" s="6" t="n">
        <x:v>280100</x:v>
      </x:c>
    </x:row>
    <x:row r="31" ht="25" customHeight="1">
      <x:c r="A31" s="2" t="str">
        <x:v>2026-10-26_Day</x:v>
      </x:c>
      <x:c r="B31" s="2" t="str">
        <x:v>下落</x:v>
      </x:c>
      <x:c r="C31" s="6" t="n">
        <x:v>19100</x:v>
      </x:c>
      <x:c r="D31" s="6" t="n">
        <x:v>233600</x:v>
      </x:c>
      <x:c r="E31" s="6" t="n">
        <x:f>C31-D31</x:f>
        <x:v>-214500</x:v>
      </x:c>
      <x:c r="F31" s="6" t="n">
        <x:f>F30+E31</x:f>
        <x:v>-197200</x:v>
      </x:c>
      <x:c r="G31" s="6" t="n">
        <x:v>-219000</x:v>
      </x:c>
      <x:c r="H31" s="6" t="n">
        <x:v>361800</x:v>
      </x:c>
    </x:row>
    <x:row r="32" ht="25" customHeight="1">
      <x:c r="A32" s="13" t="str">
        <x:v>累計／場内最悪値</x:v>
      </x:c>
      <x:c r="B32" s="13"/>
      <x:c r="C32" s="14" t="n">
        <x:f>SUM(C6:C31)</x:f>
        <x:v>3623400</x:v>
      </x:c>
      <x:c r="D32" s="14" t="n">
        <x:f>SUM(D6:D31)</x:f>
        <x:v>3820600</x:v>
      </x:c>
      <x:c r="E32" s="14" t="n">
        <x:f>C32-D32</x:f>
        <x:v>-197200</x:v>
      </x:c>
      <x:c r="F32" s="14" t="n">
        <x:f>F31</x:f>
        <x:v>-197200</x:v>
      </x:c>
      <x:c r="G32" s="14" t="n">
        <x:f>MIN(G6:G31)</x:f>
        <x:v>-373000</x:v>
      </x:c>
      <x:c r="H32" s="14" t="n">
        <x:f>MAX(H6:H31)</x:f>
        <x:v>448100</x:v>
      </x:c>
    </x:row>
  </x:sheetData>
  <x:conditionalFormatting sqref="E6:F31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7426037ed14a3f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O11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O05＋長期支持0.1未満/短期反対0.5以上15秒で親返済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6600</x:v>
      </x:c>
      <x:c r="D6" s="6" t="n">
        <x:v>0</x:v>
      </x:c>
      <x:c r="E6" s="6" t="n">
        <x:f>C6-D6</x:f>
        <x:v>6600</x:v>
      </x:c>
      <x:c r="F6" s="6" t="n">
        <x:f>E6</x:f>
        <x:v>6600</x:v>
      </x:c>
      <x:c r="G6" s="6" t="n">
        <x:v>-12000</x:v>
      </x:c>
      <x:c r="H6" s="6" t="n">
        <x:v>32000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-7400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10800</x:v>
      </x:c>
      <x:c r="D8" s="6" t="n">
        <x:v>0</x:v>
      </x:c>
      <x:c r="E8" s="6" t="n">
        <x:f>C8-D8</x:f>
        <x:v>10800</x:v>
      </x:c>
      <x:c r="F8" s="6" t="n">
        <x:f>F7+E8</x:f>
        <x:v>3400</x:v>
      </x:c>
      <x:c r="G8" s="6" t="n">
        <x:v>-11200</x:v>
      </x:c>
      <x:c r="H8" s="6" t="n">
        <x:v>26000</x:v>
      </x:c>
    </x:row>
    <x:row r="9" ht="25" customHeight="1">
      <x:c r="A9" s="2" t="str">
        <x:v>2026-09-24_Day</x:v>
      </x:c>
      <x:c r="B9" s="2" t="str">
        <x:v>下落</x:v>
      </x:c>
      <x:c r="C9" s="6" t="n">
        <x:v>189600</x:v>
      </x:c>
      <x:c r="D9" s="6" t="n">
        <x:v>54200</x:v>
      </x:c>
      <x:c r="E9" s="6" t="n">
        <x:f>C9-D9</x:f>
        <x:v>135400</x:v>
      </x:c>
      <x:c r="F9" s="6" t="n">
        <x:f>F8+E9</x:f>
        <x:v>138800</x:v>
      </x:c>
      <x:c r="G9" s="6" t="n">
        <x:v>-61800</x:v>
      </x:c>
      <x:c r="H9" s="6" t="n">
        <x:v>336300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166200</x:v>
      </x:c>
      <x:c r="D10" s="6" t="n">
        <x:v>8000</x:v>
      </x:c>
      <x:c r="E10" s="6" t="n">
        <x:f>C10-D10</x:f>
        <x:v>158200</x:v>
      </x:c>
      <x:c r="F10" s="6" t="n">
        <x:f>F9+E10</x:f>
        <x:v>297000</x:v>
      </x:c>
      <x:c r="G10" s="6" t="n">
        <x:v>-11800</x:v>
      </x:c>
      <x:c r="H10" s="6" t="n">
        <x:v>224400</x:v>
      </x:c>
    </x:row>
    <x:row r="11" ht="25" customHeight="1">
      <x:c r="A11" s="2" t="str">
        <x:v>2026-09-28_Day</x:v>
      </x:c>
      <x:c r="B11" s="2" t="str">
        <x:v>下落</x:v>
      </x:c>
      <x:c r="C11" s="6" t="n">
        <x:v>289100</x:v>
      </x:c>
      <x:c r="D11" s="6" t="n">
        <x:v>98900</x:v>
      </x:c>
      <x:c r="E11" s="6" t="n">
        <x:f>C11-D11</x:f>
        <x:v>190200</x:v>
      </x:c>
      <x:c r="F11" s="6" t="n">
        <x:f>F10+E11</x:f>
        <x:v>487200</x:v>
      </x:c>
      <x:c r="G11" s="6" t="n">
        <x:v>-84400</x:v>
      </x:c>
      <x:c r="H11" s="6" t="n">
        <x:v>261000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17600</x:v>
      </x:c>
      <x:c r="D12" s="6" t="n">
        <x:v>397100</x:v>
      </x:c>
      <x:c r="E12" s="6" t="n">
        <x:f>C12-D12</x:f>
        <x:v>-379500</x:v>
      </x:c>
      <x:c r="F12" s="6" t="n">
        <x:f>F11+E12</x:f>
        <x:v>107700</x:v>
      </x:c>
      <x:c r="G12" s="6" t="n">
        <x:v>-379500</x:v>
      </x:c>
      <x:c r="H12" s="6" t="n">
        <x:v>416100</x:v>
      </x:c>
    </x:row>
    <x:row r="13" ht="25" customHeight="1">
      <x:c r="A13" s="2" t="str">
        <x:v>2026-09-30_Day</x:v>
      </x:c>
      <x:c r="B13" s="2" t="str">
        <x:v>上昇</x:v>
      </x:c>
      <x:c r="C13" s="6" t="n">
        <x:v>208600</x:v>
      </x:c>
      <x:c r="D13" s="6" t="n">
        <x:v>64200</x:v>
      </x:c>
      <x:c r="E13" s="6" t="n">
        <x:f>C13-D13</x:f>
        <x:v>144400</x:v>
      </x:c>
      <x:c r="F13" s="6" t="n">
        <x:f>F12+E13</x:f>
        <x:v>252100</x:v>
      </x:c>
      <x:c r="G13" s="6" t="n">
        <x:v>-64500</x:v>
      </x:c>
      <x:c r="H13" s="6" t="n">
        <x:v>81700</x:v>
      </x:c>
    </x:row>
    <x:row r="14" ht="25" customHeight="1">
      <x:c r="A14" s="2" t="str">
        <x:v>2026-10-01_Day</x:v>
      </x:c>
      <x:c r="B14" s="2" t="str">
        <x:v>上昇</x:v>
      </x:c>
      <x:c r="C14" s="6" t="n">
        <x:v>15500</x:v>
      </x:c>
      <x:c r="D14" s="6" t="n">
        <x:v>229800</x:v>
      </x:c>
      <x:c r="E14" s="6" t="n">
        <x:f>C14-D14</x:f>
        <x:v>-214300</x:v>
      </x:c>
      <x:c r="F14" s="6" t="n">
        <x:f>F13+E14</x:f>
        <x:v>37800</x:v>
      </x:c>
      <x:c r="G14" s="6" t="n">
        <x:v>-214300</x:v>
      </x:c>
      <x:c r="H14" s="6" t="n">
        <x:v>230500</x:v>
      </x:c>
    </x:row>
    <x:row r="15" ht="25" customHeight="1">
      <x:c r="A15" s="2" t="str">
        <x:v>2026-10-02_Day</x:v>
      </x:c>
      <x:c r="B15" s="2" t="str">
        <x:v>上昇</x:v>
      </x:c>
      <x:c r="C15" s="6" t="n">
        <x:v>8900</x:v>
      </x:c>
      <x:c r="D15" s="6" t="n">
        <x:v>205000</x:v>
      </x:c>
      <x:c r="E15" s="6" t="n">
        <x:f>C15-D15</x:f>
        <x:v>-196100</x:v>
      </x:c>
      <x:c r="F15" s="6" t="n">
        <x:f>F14+E15</x:f>
        <x:v>-158300</x:v>
      </x:c>
      <x:c r="G15" s="6" t="n">
        <x:v>-221400</x:v>
      </x:c>
      <x:c r="H15" s="6" t="n">
        <x:v>280400</x:v>
      </x:c>
    </x:row>
    <x:row r="16" ht="25" customHeight="1">
      <x:c r="A16" s="2" t="str">
        <x:v>2026-10-05_Day</x:v>
      </x:c>
      <x:c r="B16" s="2" t="str">
        <x:v>上昇</x:v>
      </x:c>
      <x:c r="C16" s="6" t="n">
        <x:v>101600</x:v>
      </x:c>
      <x:c r="D16" s="6" t="n">
        <x:v>222100</x:v>
      </x:c>
      <x:c r="E16" s="6" t="n">
        <x:f>C16-D16</x:f>
        <x:v>-120500</x:v>
      </x:c>
      <x:c r="F16" s="6" t="n">
        <x:f>F15+E16</x:f>
        <x:v>-278800</x:v>
      </x:c>
      <x:c r="G16" s="6" t="n">
        <x:v>-209100</x:v>
      </x:c>
      <x:c r="H16" s="6" t="n">
        <x:v>337900</x:v>
      </x:c>
    </x:row>
    <x:row r="17" ht="25" customHeight="1">
      <x:c r="A17" s="2" t="str">
        <x:v>2026-10-06_Day</x:v>
      </x:c>
      <x:c r="B17" s="2" t="str">
        <x:v>上昇</x:v>
      </x:c>
      <x:c r="C17" s="6" t="n">
        <x:v>124900</x:v>
      </x:c>
      <x:c r="D17" s="6" t="n">
        <x:v>324700</x:v>
      </x:c>
      <x:c r="E17" s="6" t="n">
        <x:f>C17-D17</x:f>
        <x:v>-199800</x:v>
      </x:c>
      <x:c r="F17" s="6" t="n">
        <x:f>F16+E17</x:f>
        <x:v>-478600</x:v>
      </x:c>
      <x:c r="G17" s="6" t="n">
        <x:v>-236600</x:v>
      </x:c>
      <x:c r="H17" s="6" t="n">
        <x:v>303700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249400</x:v>
      </x:c>
      <x:c r="D18" s="6" t="n">
        <x:v>85800</x:v>
      </x:c>
      <x:c r="E18" s="6" t="n">
        <x:f>C18-D18</x:f>
        <x:v>163600</x:v>
      </x:c>
      <x:c r="F18" s="6" t="n">
        <x:f>F17+E18</x:f>
        <x:v>-315000</x:v>
      </x:c>
      <x:c r="G18" s="6" t="n">
        <x:v>-16800</x:v>
      </x:c>
      <x:c r="H18" s="6" t="n">
        <x:v>113800</x:v>
      </x:c>
    </x:row>
    <x:row r="19" ht="25" customHeight="1">
      <x:c r="A19" s="2" t="str">
        <x:v>2026-10-08_Day</x:v>
      </x:c>
      <x:c r="B19" s="2" t="str">
        <x:v>下落</x:v>
      </x:c>
      <x:c r="C19" s="6" t="n">
        <x:v>130300</x:v>
      </x:c>
      <x:c r="D19" s="6" t="n">
        <x:v>63300</x:v>
      </x:c>
      <x:c r="E19" s="6" t="n">
        <x:f>C19-D19</x:f>
        <x:v>67000</x:v>
      </x:c>
      <x:c r="F19" s="6" t="n">
        <x:f>F18+E19</x:f>
        <x:v>-248000</x:v>
      </x:c>
      <x:c r="G19" s="6" t="n">
        <x:v>-61900</x:v>
      </x:c>
      <x:c r="H19" s="6" t="n">
        <x:v>98700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121200</x:v>
      </x:c>
      <x:c r="D20" s="6" t="n">
        <x:v>147400</x:v>
      </x:c>
      <x:c r="E20" s="6" t="n">
        <x:f>C20-D20</x:f>
        <x:v>-26200</x:v>
      </x:c>
      <x:c r="F20" s="6" t="n">
        <x:f>F19+E20</x:f>
        <x:v>-274200</x:v>
      </x:c>
      <x:c r="G20" s="6" t="n">
        <x:v>-110900</x:v>
      </x:c>
      <x:c r="H20" s="6" t="n">
        <x:v>283600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</x:v>
      </x:c>
      <x:c r="D21" s="6" t="n">
        <x:v>17800</x:v>
      </x:c>
      <x:c r="E21" s="6" t="n">
        <x:f>C21-D21</x:f>
        <x:v>-16000</x:v>
      </x:c>
      <x:c r="F21" s="6" t="n">
        <x:f>F20+E21</x:f>
        <x:v>-290200</x:v>
      </x:c>
      <x:c r="G21" s="6" t="n">
        <x:v>-19800</x:v>
      </x:c>
      <x:c r="H21" s="6" t="n">
        <x:v>28300</x:v>
      </x:c>
    </x:row>
    <x:row r="22" ht="25" customHeight="1">
      <x:c r="A22" s="2" t="str">
        <x:v>2026-10-13_Day</x:v>
      </x:c>
      <x:c r="B22" s="2" t="str">
        <x:v>下落</x:v>
      </x:c>
      <x:c r="C22" s="6" t="n">
        <x:v>162800</x:v>
      </x:c>
      <x:c r="D22" s="6" t="n">
        <x:v>343600</x:v>
      </x:c>
      <x:c r="E22" s="6" t="n">
        <x:f>C22-D22</x:f>
        <x:v>-180800</x:v>
      </x:c>
      <x:c r="F22" s="6" t="n">
        <x:f>F21+E22</x:f>
        <x:v>-471000</x:v>
      </x:c>
      <x:c r="G22" s="6" t="n">
        <x:v>-318400</x:v>
      </x:c>
      <x:c r="H22" s="6" t="n">
        <x:v>392400</x:v>
      </x:c>
    </x:row>
    <x:row r="23" ht="25" customHeight="1">
      <x:c r="A23" s="2" t="str">
        <x:v>2026-10-14_Day</x:v>
      </x:c>
      <x:c r="B23" s="2" t="str">
        <x:v>上昇</x:v>
      </x:c>
      <x:c r="C23" s="6" t="n">
        <x:v>222600</x:v>
      </x:c>
      <x:c r="D23" s="6" t="n">
        <x:v>163900</x:v>
      </x:c>
      <x:c r="E23" s="6" t="n">
        <x:f>C23-D23</x:f>
        <x:v>58700</x:v>
      </x:c>
      <x:c r="F23" s="6" t="n">
        <x:f>F22+E23</x:f>
        <x:v>-412300</x:v>
      </x:c>
      <x:c r="G23" s="6" t="n">
        <x:v>-151900</x:v>
      </x:c>
      <x:c r="H23" s="6" t="n">
        <x:v>191000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339400</x:v>
      </x:c>
      <x:c r="D24" s="6" t="n">
        <x:v>41400</x:v>
      </x:c>
      <x:c r="E24" s="6" t="n">
        <x:f>C24-D24</x:f>
        <x:v>298000</x:v>
      </x:c>
      <x:c r="F24" s="6" t="n">
        <x:f>F23+E24</x:f>
        <x:v>-114300</x:v>
      </x:c>
      <x:c r="G24" s="6" t="n">
        <x:v>-37700</x:v>
      </x:c>
      <x:c r="H24" s="6" t="n">
        <x:v>168200</x:v>
      </x:c>
    </x:row>
    <x:row r="25" ht="25" customHeight="1">
      <x:c r="A25" s="2" t="str">
        <x:v>2026-10-16_Day</x:v>
      </x:c>
      <x:c r="B25" s="2" t="str">
        <x:v>上昇</x:v>
      </x:c>
      <x:c r="C25" s="6" t="n">
        <x:v>124300</x:v>
      </x:c>
      <x:c r="D25" s="6" t="n">
        <x:v>367000</x:v>
      </x:c>
      <x:c r="E25" s="6" t="n">
        <x:f>C25-D25</x:f>
        <x:v>-242700</x:v>
      </x:c>
      <x:c r="F25" s="6" t="n">
        <x:f>F24+E25</x:f>
        <x:v>-357000</x:v>
      </x:c>
      <x:c r="G25" s="6" t="n">
        <x:v>-298100</x:v>
      </x:c>
      <x:c r="H25" s="6" t="n">
        <x:v>315500</x:v>
      </x:c>
    </x:row>
    <x:row r="26" ht="25" customHeight="1">
      <x:c r="A26" s="2" t="str">
        <x:v>2026-10-19_Day</x:v>
      </x:c>
      <x:c r="B26" s="2" t="str">
        <x:v>上昇</x:v>
      </x:c>
      <x:c r="C26" s="6" t="n">
        <x:v>242100</x:v>
      </x:c>
      <x:c r="D26" s="6" t="n">
        <x:v>59100</x:v>
      </x:c>
      <x:c r="E26" s="6" t="n">
        <x:f>C26-D26</x:f>
        <x:v>183000</x:v>
      </x:c>
      <x:c r="F26" s="6" t="n">
        <x:f>F25+E26</x:f>
        <x:v>-174000</x:v>
      </x:c>
      <x:c r="G26" s="6" t="n">
        <x:v>-20800</x:v>
      </x:c>
      <x:c r="H26" s="6" t="n">
        <x:v>318400</x:v>
      </x:c>
    </x:row>
    <x:row r="27" ht="25" customHeight="1">
      <x:c r="A27" s="2" t="str">
        <x:v>2026-10-20_Day</x:v>
      </x:c>
      <x:c r="B27" s="2" t="str">
        <x:v>下落</x:v>
      </x:c>
      <x:c r="C27" s="6" t="n">
        <x:v>211400</x:v>
      </x:c>
      <x:c r="D27" s="6" t="n">
        <x:v>337500</x:v>
      </x:c>
      <x:c r="E27" s="6" t="n">
        <x:f>C27-D27</x:f>
        <x:v>-126100</x:v>
      </x:c>
      <x:c r="F27" s="6" t="n">
        <x:f>F26+E27</x:f>
        <x:v>-300100</x:v>
      </x:c>
      <x:c r="G27" s="6" t="n">
        <x:v>-258100</x:v>
      </x:c>
      <x:c r="H27" s="6" t="n">
        <x:v>518200</x:v>
      </x:c>
    </x:row>
    <x:row r="28" ht="25" customHeight="1">
      <x:c r="A28" s="2" t="str">
        <x:v>2026-10-21_Day</x:v>
      </x:c>
      <x:c r="B28" s="2" t="str">
        <x:v>下落</x:v>
      </x:c>
      <x:c r="C28" s="6" t="n">
        <x:v>72300</x:v>
      </x:c>
      <x:c r="D28" s="6" t="n">
        <x:v>348900</x:v>
      </x:c>
      <x:c r="E28" s="6" t="n">
        <x:f>C28-D28</x:f>
        <x:v>-276600</x:v>
      </x:c>
      <x:c r="F28" s="6" t="n">
        <x:f>F27+E28</x:f>
        <x:v>-576700</x:v>
      </x:c>
      <x:c r="G28" s="6" t="n">
        <x:v>-369200</x:v>
      </x:c>
      <x:c r="H28" s="6" t="n">
        <x:v>402400</x:v>
      </x:c>
    </x:row>
    <x:row r="29" ht="25" customHeight="1">
      <x:c r="A29" s="2" t="str">
        <x:v>2026-10-22_Day</x:v>
      </x:c>
      <x:c r="B29" s="2" t="str">
        <x:v>下落</x:v>
      </x:c>
      <x:c r="C29" s="6" t="n">
        <x:v>587400</x:v>
      </x:c>
      <x:c r="D29" s="6" t="n">
        <x:v>0</x:v>
      </x:c>
      <x:c r="E29" s="6" t="n">
        <x:f>C29-D29</x:f>
        <x:v>587400</x:v>
      </x:c>
      <x:c r="F29" s="6" t="n">
        <x:f>F28+E29</x:f>
        <x:v>10700</x:v>
      </x:c>
      <x:c r="G29" s="6" t="n">
        <x:v>-10400</x:v>
      </x:c>
      <x:c r="H29" s="6" t="n">
        <x:v>229400</x:v>
      </x:c>
    </x:row>
    <x:row r="30" ht="25" customHeight="1">
      <x:c r="A30" s="2" t="str">
        <x:v>2026-10-23_Day</x:v>
      </x:c>
      <x:c r="B30" s="2" t="str">
        <x:v>上昇</x:v>
      </x:c>
      <x:c r="C30" s="6" t="n">
        <x:v>233200</x:v>
      </x:c>
      <x:c r="D30" s="6" t="n">
        <x:v>137600</x:v>
      </x:c>
      <x:c r="E30" s="6" t="n">
        <x:f>C30-D30</x:f>
        <x:v>95600</x:v>
      </x:c>
      <x:c r="F30" s="6" t="n">
        <x:f>F29+E30</x:f>
        <x:v>106300</x:v>
      </x:c>
      <x:c r="G30" s="6" t="n">
        <x:v>-147200</x:v>
      </x:c>
      <x:c r="H30" s="6" t="n">
        <x:v>261800</x:v>
      </x:c>
    </x:row>
    <x:row r="31" ht="25" customHeight="1">
      <x:c r="A31" s="2" t="str">
        <x:v>2026-10-26_Day</x:v>
      </x:c>
      <x:c r="B31" s="2" t="str">
        <x:v>下落</x:v>
      </x:c>
      <x:c r="C31" s="6" t="n">
        <x:v>19100</x:v>
      </x:c>
      <x:c r="D31" s="6" t="n">
        <x:v>253000</x:v>
      </x:c>
      <x:c r="E31" s="6" t="n">
        <x:f>C31-D31</x:f>
        <x:v>-233900</x:v>
      </x:c>
      <x:c r="F31" s="6" t="n">
        <x:f>F30+E31</x:f>
        <x:v>-127600</x:v>
      </x:c>
      <x:c r="G31" s="6" t="n">
        <x:v>-240200</x:v>
      </x:c>
      <x:c r="H31" s="6" t="n">
        <x:v>383000</x:v>
      </x:c>
    </x:row>
    <x:row r="32" ht="25" customHeight="1">
      <x:c r="A32" s="13" t="str">
        <x:v>累計／場内最悪値</x:v>
      </x:c>
      <x:c r="B32" s="13"/>
      <x:c r="C32" s="14" t="n">
        <x:f>SUM(C6:C31)</x:f>
        <x:v>3856700</x:v>
      </x:c>
      <x:c r="D32" s="14" t="n">
        <x:f>SUM(D6:D31)</x:f>
        <x:v>3984300</x:v>
      </x:c>
      <x:c r="E32" s="14" t="n">
        <x:f>C32-D32</x:f>
        <x:v>-127600</x:v>
      </x:c>
      <x:c r="F32" s="14" t="n">
        <x:f>F31</x:f>
        <x:v>-127600</x:v>
      </x:c>
      <x:c r="G32" s="14" t="n">
        <x:f>MIN(G6:G31)</x:f>
        <x:v>-379500</x:v>
      </x:c>
      <x:c r="H32" s="14" t="n">
        <x:f>MAX(H6:H31)</x:f>
        <x:v>518200</x:v>
      </x:c>
    </x:row>
  </x:sheetData>
  <x:conditionalFormatting sqref="E6:F31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35a61ceea0423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全Source初回採用・旧出口・最低5micro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3400</x:v>
      </x:c>
      <x:c r="D6" s="6" t="n">
        <x:v>0</x:v>
      </x:c>
      <x:c r="E6" s="6" t="n">
        <x:f>C6-D6</x:f>
        <x:v>3400</x:v>
      </x:c>
      <x:c r="F6" s="6" t="n">
        <x:f>E6</x:f>
        <x:v>3400</x:v>
      </x:c>
      <x:c r="G6" s="6" t="n">
        <x:v>-6000</x:v>
      </x:c>
      <x:c r="H6" s="6" t="n">
        <x:v>6500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</x:v>
      </x:c>
      <x:c r="E7" s="6" t="n">
        <x:f>C7-D7</x:f>
        <x:v>-7000</x:v>
      </x:c>
      <x:c r="F7" s="6" t="n">
        <x:f>F6+E7</x:f>
        <x:v>-3600</x:v>
      </x:c>
      <x:c r="G7" s="6" t="n">
        <x:v>-7000</x:v>
      </x:c>
      <x:c r="H7" s="6" t="n">
        <x:v>8000</x:v>
      </x:c>
    </x:row>
    <x:row r="8" ht="25" customHeight="1">
      <x:c r="A8" s="2" t="str">
        <x:v>2026-09-23_Day</x:v>
      </x:c>
      <x:c r="B8" s="2" t="str">
        <x:v>下落</x:v>
      </x:c>
      <x:c r="C8" s="6" t="n">
        <x:v>5000</x:v>
      </x:c>
      <x:c r="D8" s="6" t="n">
        <x:v>0</x:v>
      </x:c>
      <x:c r="E8" s="6" t="n">
        <x:f>C8-D8</x:f>
        <x:v>5000</x:v>
      </x:c>
      <x:c r="F8" s="6" t="n">
        <x:f>F7+E8</x:f>
        <x:v>1400</x:v>
      </x:c>
      <x:c r="G8" s="6" t="n">
        <x:v>-1500</x:v>
      </x:c>
      <x:c r="H8" s="6" t="n">
        <x:v>4000</x:v>
      </x:c>
    </x:row>
    <x:row r="9" ht="25" customHeight="1">
      <x:c r="A9" s="2" t="str">
        <x:v>2026-09-24_Day</x:v>
      </x:c>
      <x:c r="B9" s="2" t="str">
        <x:v>下落</x:v>
      </x:c>
      <x:c r="C9" s="6" t="n">
        <x:v>212300</x:v>
      </x:c>
      <x:c r="D9" s="6" t="n">
        <x:v>6000</x:v>
      </x:c>
      <x:c r="E9" s="6" t="n">
        <x:f>C9-D9</x:f>
        <x:v>206300</x:v>
      </x:c>
      <x:c r="F9" s="6" t="n">
        <x:f>F8+E9</x:f>
        <x:v>207700</x:v>
      </x:c>
      <x:c r="G9" s="6" t="n">
        <x:v>-17400</x:v>
      </x:c>
      <x:c r="H9" s="6" t="n">
        <x:v>155000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125000</x:v>
      </x:c>
      <x:c r="D10" s="6" t="n">
        <x:v>4000</x:v>
      </x:c>
      <x:c r="E10" s="6" t="n">
        <x:f>C10-D10</x:f>
        <x:v>121000</x:v>
      </x:c>
      <x:c r="F10" s="6" t="n">
        <x:f>F9+E10</x:f>
        <x:v>328700</x:v>
      </x:c>
      <x:c r="G10" s="6" t="n">
        <x:v>-66300</x:v>
      </x:c>
      <x:c r="H10" s="6" t="n">
        <x:v>89100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52400</x:v>
      </x:c>
      <x:c r="D11" s="6" t="n">
        <x:v>23100</x:v>
      </x:c>
      <x:c r="E11" s="6" t="n">
        <x:f>C11-D11</x:f>
        <x:v>29300</x:v>
      </x:c>
      <x:c r="F11" s="6" t="n">
        <x:f>F10+E11</x:f>
        <x:v>358000</x:v>
      </x:c>
      <x:c r="G11" s="6" t="n">
        <x:v>-70400</x:v>
      </x:c>
      <x:c r="H11" s="6" t="n">
        <x:v>83600</x:v>
      </x:c>
    </x:row>
    <x:row r="12" ht="25" customHeight="1">
      <x:c r="A12" s="2" t="str">
        <x:v>2026-09-29_Day</x:v>
      </x:c>
      <x:c r="B12" s="2" t="str">
        <x:v>下落</x:v>
      </x:c>
      <x:c r="C12" s="6" t="n">
        <x:v>75000</x:v>
      </x:c>
      <x:c r="D12" s="6" t="n">
        <x:v>168000</x:v>
      </x:c>
      <x:c r="E12" s="6" t="n">
        <x:f>C12-D12</x:f>
        <x:v>-93000</x:v>
      </x:c>
      <x:c r="F12" s="6" t="n">
        <x:f>F11+E12</x:f>
        <x:v>265000</x:v>
      </x:c>
      <x:c r="G12" s="6" t="n">
        <x:v>-169600</x:v>
      </x:c>
      <x:c r="H12" s="6" t="n">
        <x:v>185000</x:v>
      </x:c>
    </x:row>
    <x:row r="13" ht="25" customHeight="1">
      <x:c r="A13" s="2" t="str">
        <x:v>2026-09-30_Day</x:v>
      </x:c>
      <x:c r="B13" s="2" t="str">
        <x:v>上昇</x:v>
      </x:c>
      <x:c r="C13" s="6" t="n">
        <x:v>24900</x:v>
      </x:c>
      <x:c r="D13" s="6" t="n">
        <x:v>14900</x:v>
      </x:c>
      <x:c r="E13" s="6" t="n">
        <x:f>C13-D13</x:f>
        <x:v>10000</x:v>
      </x:c>
      <x:c r="F13" s="6" t="n">
        <x:f>F12+E13</x:f>
        <x:v>275000</x:v>
      </x:c>
      <x:c r="G13" s="6" t="n">
        <x:v>-10600</x:v>
      </x:c>
      <x:c r="H13" s="6" t="n">
        <x:v>15400</x:v>
      </x:c>
    </x:row>
    <x:row r="14" ht="25" customHeight="1">
      <x:c r="A14" s="2" t="str">
        <x:v>2026-10-01_Day</x:v>
      </x:c>
      <x:c r="B14" s="2" t="str">
        <x:v>上昇</x:v>
      </x:c>
      <x:c r="C14" s="6" t="n">
        <x:v>40400</x:v>
      </x:c>
      <x:c r="D14" s="6" t="n">
        <x:v>130300</x:v>
      </x:c>
      <x:c r="E14" s="6" t="n">
        <x:f>C14-D14</x:f>
        <x:v>-89900</x:v>
      </x:c>
      <x:c r="F14" s="6" t="n">
        <x:f>F13+E14</x:f>
        <x:v>185100</x:v>
      </x:c>
      <x:c r="G14" s="6" t="n">
        <x:v>-91700</x:v>
      </x:c>
      <x:c r="H14" s="6" t="n">
        <x:v>107500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11400</x:v>
      </x:c>
      <x:c r="D15" s="6" t="n">
        <x:v>34600</x:v>
      </x:c>
      <x:c r="E15" s="6" t="n">
        <x:f>C15-D15</x:f>
        <x:v>-23200</x:v>
      </x:c>
      <x:c r="F15" s="6" t="n">
        <x:f>F14+E15</x:f>
        <x:v>161900</x:v>
      </x:c>
      <x:c r="G15" s="6" t="n">
        <x:v>-31300</x:v>
      </x:c>
      <x:c r="H15" s="6" t="n">
        <x:v>70300</x:v>
      </x:c>
    </x:row>
    <x:row r="16" ht="25" customHeight="1">
      <x:c r="A16" s="2" t="str">
        <x:v>2026-10-05_Day</x:v>
      </x:c>
      <x:c r="B16" s="2" t="str">
        <x:v>上昇</x:v>
      </x:c>
      <x:c r="C16" s="6" t="n">
        <x:v>45000</x:v>
      </x:c>
      <x:c r="D16" s="6" t="n">
        <x:v>42600</x:v>
      </x:c>
      <x:c r="E16" s="6" t="n">
        <x:f>C16-D16</x:f>
        <x:v>2400</x:v>
      </x:c>
      <x:c r="F16" s="6" t="n">
        <x:f>F15+E16</x:f>
        <x:v>164300</x:v>
      </x:c>
      <x:c r="G16" s="6" t="n">
        <x:v>-11800</x:v>
      </x:c>
      <x:c r="H16" s="6" t="n">
        <x:v>60900</x:v>
      </x:c>
    </x:row>
    <x:row r="17" ht="25" customHeight="1">
      <x:c r="A17" s="2" t="str">
        <x:v>2026-10-06_Day</x:v>
      </x:c>
      <x:c r="B17" s="2" t="str">
        <x:v>上昇</x:v>
      </x:c>
      <x:c r="C17" s="6" t="n">
        <x:v>18400</x:v>
      </x:c>
      <x:c r="D17" s="6" t="n">
        <x:v>141200</x:v>
      </x:c>
      <x:c r="E17" s="6" t="n">
        <x:f>C17-D17</x:f>
        <x:v>-122800</x:v>
      </x:c>
      <x:c r="F17" s="6" t="n">
        <x:f>F16+E17</x:f>
        <x:v>41500</x:v>
      </x:c>
      <x:c r="G17" s="6" t="n">
        <x:v>-122800</x:v>
      </x:c>
      <x:c r="H17" s="6" t="n">
        <x:v>162100</x:v>
      </x:c>
    </x:row>
    <x:row r="18" ht="25" customHeight="1">
      <x:c r="A18" s="2" t="str">
        <x:v>2026-10-07_Day</x:v>
      </x:c>
      <x:c r="B18" s="2" t="str">
        <x:v>下落</x:v>
      </x:c>
      <x:c r="C18" s="6" t="n">
        <x:v>220800</x:v>
      </x:c>
      <x:c r="D18" s="6" t="n">
        <x:v>36100</x:v>
      </x:c>
      <x:c r="E18" s="6" t="n">
        <x:f>C18-D18</x:f>
        <x:v>184700</x:v>
      </x:c>
      <x:c r="F18" s="6" t="n">
        <x:f>F17+E18</x:f>
        <x:v>226200</x:v>
      </x:c>
      <x:c r="G18" s="6" t="n">
        <x:v>-12000</x:v>
      </x:c>
      <x:c r="H18" s="6" t="n">
        <x:v>77400</x:v>
      </x:c>
    </x:row>
    <x:row r="19" ht="25" customHeight="1">
      <x:c r="A19" s="2" t="str">
        <x:v>2026-10-08_Day</x:v>
      </x:c>
      <x:c r="B19" s="2" t="str">
        <x:v>下落</x:v>
      </x:c>
      <x:c r="C19" s="6" t="n">
        <x:v>21600</x:v>
      </x:c>
      <x:c r="D19" s="6" t="n">
        <x:v>14000</x:v>
      </x:c>
      <x:c r="E19" s="6" t="n">
        <x:f>C19-D19</x:f>
        <x:v>7600</x:v>
      </x:c>
      <x:c r="F19" s="6" t="n">
        <x:f>F18+E19</x:f>
        <x:v>233800</x:v>
      </x:c>
      <x:c r="G19" s="6" t="n">
        <x:v>-22100</x:v>
      </x:c>
      <x:c r="H19" s="6" t="n">
        <x:v>23800</x:v>
      </x:c>
    </x:row>
    <x:row r="20" ht="25" customHeight="1">
      <x:c r="A20" s="2" t="str">
        <x:v>2026-10-09_Day</x:v>
      </x:c>
      <x:c r="B20" s="2" t="str">
        <x:v>上昇</x:v>
      </x:c>
      <x:c r="C20" s="6" t="n">
        <x:v>43100</x:v>
      </x:c>
      <x:c r="D20" s="6" t="n">
        <x:v>28900</x:v>
      </x:c>
      <x:c r="E20" s="6" t="n">
        <x:f>C20-D20</x:f>
        <x:v>14200</x:v>
      </x:c>
      <x:c r="F20" s="6" t="n">
        <x:f>F19+E20</x:f>
        <x:v>248000</x:v>
      </x:c>
      <x:c r="G20" s="6" t="n">
        <x:v>-101700</x:v>
      </x:c>
      <x:c r="H20" s="6" t="n">
        <x:v>188500</x:v>
      </x:c>
    </x:row>
    <x:row r="21" ht="25" customHeight="1">
      <x:c r="A21" s="2" t="str">
        <x:v>2026-10-12_Day</x:v>
      </x:c>
      <x:c r="B21" s="2" t="str">
        <x:v>下落</x:v>
      </x:c>
      <x:c r="C21" s="6" t="n">
        <x:v>7100</x:v>
      </x:c>
      <x:c r="D21" s="6" t="n">
        <x:v>2500</x:v>
      </x:c>
      <x:c r="E21" s="6" t="n">
        <x:f>C21-D21</x:f>
        <x:v>4600</x:v>
      </x:c>
      <x:c r="F21" s="6" t="n">
        <x:f>F20+E21</x:f>
        <x:v>252600</x:v>
      </x:c>
      <x:c r="G21" s="6" t="n">
        <x:v>-2500</x:v>
      </x:c>
      <x:c r="H21" s="6" t="n">
        <x:v>7000</x:v>
      </x:c>
    </x:row>
    <x:row r="22" ht="25" customHeight="1">
      <x:c r="A22" s="2" t="str">
        <x:v>2026-10-13_Day</x:v>
      </x:c>
      <x:c r="B22" s="2" t="str">
        <x:v>下落</x:v>
      </x:c>
      <x:c r="C22" s="6" t="n">
        <x:v>133700</x:v>
      </x:c>
      <x:c r="D22" s="6" t="n">
        <x:v>193100</x:v>
      </x:c>
      <x:c r="E22" s="6" t="n">
        <x:f>C22-D22</x:f>
        <x:v>-59400</x:v>
      </x:c>
      <x:c r="F22" s="6" t="n">
        <x:f>F21+E22</x:f>
        <x:v>193200</x:v>
      </x:c>
      <x:c r="G22" s="6" t="n">
        <x:v>-104200</x:v>
      </x:c>
      <x:c r="H22" s="6" t="n">
        <x:v>208600</x:v>
      </x:c>
    </x:row>
    <x:row r="23" ht="25" customHeight="1">
      <x:c r="A23" s="2" t="str">
        <x:v>2026-10-14_Day</x:v>
      </x:c>
      <x:c r="B23" s="2" t="str">
        <x:v>上昇</x:v>
      </x:c>
      <x:c r="C23" s="6" t="n">
        <x:v>27900</x:v>
      </x:c>
      <x:c r="D23" s="6" t="n">
        <x:v>95100</x:v>
      </x:c>
      <x:c r="E23" s="6" t="n">
        <x:f>C23-D23</x:f>
        <x:v>-67200</x:v>
      </x:c>
      <x:c r="F23" s="6" t="n">
        <x:f>F22+E23</x:f>
        <x:v>126000</x:v>
      </x:c>
      <x:c r="G23" s="6" t="n">
        <x:v>-96100</x:v>
      </x:c>
      <x:c r="H23" s="6" t="n">
        <x:v>133500</x:v>
      </x:c>
    </x:row>
    <x:row r="24" ht="25" customHeight="1">
      <x:c r="A24" s="2" t="str">
        <x:v>2026-10-15_Day</x:v>
      </x:c>
      <x:c r="B24" s="2" t="str">
        <x:v>下落</x:v>
      </x:c>
      <x:c r="C24" s="6" t="n">
        <x:v>313100</x:v>
      </x:c>
      <x:c r="D24" s="6" t="n">
        <x:v>16500</x:v>
      </x:c>
      <x:c r="E24" s="6" t="n">
        <x:f>C24-D24</x:f>
        <x:v>296600</x:v>
      </x:c>
      <x:c r="F24" s="6" t="n">
        <x:f>F23+E24</x:f>
        <x:v>422600</x:v>
      </x:c>
      <x:c r="G24" s="6" t="n">
        <x:v>-27900</x:v>
      </x:c>
      <x:c r="H24" s="6" t="n">
        <x:v>145300</x:v>
      </x:c>
    </x:row>
    <x:row r="25" ht="25" customHeight="1">
      <x:c r="A25" s="2" t="str">
        <x:v>2026-10-16_Day</x:v>
      </x:c>
      <x:c r="B25" s="2" t="str">
        <x:v>上昇</x:v>
      </x:c>
      <x:c r="C25" s="6" t="n">
        <x:v>53300</x:v>
      </x:c>
      <x:c r="D25" s="6" t="n">
        <x:v>126400</x:v>
      </x:c>
      <x:c r="E25" s="6" t="n">
        <x:f>C25-D25</x:f>
        <x:v>-73100</x:v>
      </x:c>
      <x:c r="F25" s="6" t="n">
        <x:f>F24+E25</x:f>
        <x:v>349500</x:v>
      </x:c>
      <x:c r="G25" s="6" t="n">
        <x:v>-79800</x:v>
      </x:c>
      <x:c r="H25" s="6" t="n">
        <x:v>113900</x:v>
      </x:c>
    </x:row>
    <x:row r="26" ht="25" customHeight="1">
      <x:c r="A26" s="2" t="str">
        <x:v>2026-10-19_Day</x:v>
      </x:c>
      <x:c r="B26" s="2" t="str">
        <x:v>上昇</x:v>
      </x:c>
      <x:c r="C26" s="6" t="n">
        <x:v>562400</x:v>
      </x:c>
      <x:c r="D26" s="6" t="n">
        <x:v>0</x:v>
      </x:c>
      <x:c r="E26" s="6" t="n">
        <x:f>C26-D26</x:f>
        <x:v>562400</x:v>
      </x:c>
      <x:c r="F26" s="6" t="n">
        <x:f>F25+E26</x:f>
        <x:v>911900</x:v>
      </x:c>
      <x:c r="G26" s="6" t="n">
        <x:v>-20000</x:v>
      </x:c>
      <x:c r="H26" s="6" t="n">
        <x:v>252800</x:v>
      </x:c>
    </x:row>
    <x:row r="27" ht="25" customHeight="1">
      <x:c r="A27" s="2" t="str">
        <x:v>2026-10-20_Day</x:v>
      </x:c>
      <x:c r="B27" s="2" t="str">
        <x:v>下落</x:v>
      </x:c>
      <x:c r="C27" s="6" t="n">
        <x:v>74100</x:v>
      </x:c>
      <x:c r="D27" s="6" t="n">
        <x:v>53400</x:v>
      </x:c>
      <x:c r="E27" s="6" t="n">
        <x:f>C27-D27</x:f>
        <x:v>20700</x:v>
      </x:c>
      <x:c r="F27" s="6" t="n">
        <x:f>F26+E27</x:f>
        <x:v>932600</x:v>
      </x:c>
      <x:c r="G27" s="6" t="n">
        <x:v>-6000</x:v>
      </x:c>
      <x:c r="H27" s="6" t="n">
        <x:v>97600</x:v>
      </x:c>
    </x:row>
    <x:row r="28" ht="25" customHeight="1">
      <x:c r="A28" s="2" t="str">
        <x:v>2026-10-21_Day</x:v>
      </x:c>
      <x:c r="B28" s="2" t="str">
        <x:v>下落</x:v>
      </x:c>
      <x:c r="C28" s="6" t="n">
        <x:v>44600</x:v>
      </x:c>
      <x:c r="D28" s="6" t="n">
        <x:v>128900</x:v>
      </x:c>
      <x:c r="E28" s="6" t="n">
        <x:f>C28-D28</x:f>
        <x:v>-84300</x:v>
      </x:c>
      <x:c r="F28" s="6" t="n">
        <x:f>F27+E28</x:f>
        <x:v>848300</x:v>
      </x:c>
      <x:c r="G28" s="6" t="n">
        <x:v>-135200</x:v>
      </x:c>
      <x:c r="H28" s="6" t="n">
        <x:v>138500</x:v>
      </x:c>
    </x:row>
    <x:row r="29" ht="25" customHeight="1">
      <x:c r="A29" s="2" t="str">
        <x:v>2026-10-22_Day</x:v>
      </x:c>
      <x:c r="B29" s="2" t="str">
        <x:v>下落</x:v>
      </x:c>
      <x:c r="C29" s="6" t="n">
        <x:v>222900</x:v>
      </x:c>
      <x:c r="D29" s="6" t="n">
        <x:v>0</x:v>
      </x:c>
      <x:c r="E29" s="6" t="n">
        <x:f>C29-D29</x:f>
        <x:v>222900</x:v>
      </x:c>
      <x:c r="F29" s="6" t="n">
        <x:f>F28+E29</x:f>
        <x:v>1071200</x:v>
      </x:c>
      <x:c r="G29" s="6" t="n">
        <x:v>-22600</x:v>
      </x:c>
      <x:c r="H29" s="6" t="n">
        <x:v>52200</x:v>
      </x:c>
    </x:row>
    <x:row r="30" ht="25" customHeight="1">
      <x:c r="A30" s="2" t="str">
        <x:v>2026-10-23_Day</x:v>
      </x:c>
      <x:c r="B30" s="2" t="str">
        <x:v>上昇</x:v>
      </x:c>
      <x:c r="C30" s="6" t="n">
        <x:v>284100</x:v>
      </x:c>
      <x:c r="D30" s="6" t="n">
        <x:v>22000</x:v>
      </x:c>
      <x:c r="E30" s="6" t="n">
        <x:f>C30-D30</x:f>
        <x:v>262100</x:v>
      </x:c>
      <x:c r="F30" s="6" t="n">
        <x:f>F29+E30</x:f>
        <x:v>1333300</x:v>
      </x:c>
      <x:c r="G30" s="6" t="n">
        <x:v>-64800</x:v>
      </x:c>
      <x:c r="H30" s="6" t="n">
        <x:v>129600</x:v>
      </x:c>
    </x:row>
    <x:row r="31" ht="25" customHeight="1">
      <x:c r="A31" s="2" t="str">
        <x:v>2026-10-26_Day</x:v>
      </x:c>
      <x:c r="B31" s="2" t="str">
        <x:v>下落</x:v>
      </x:c>
      <x:c r="C31" s="6" t="n">
        <x:v>364500</x:v>
      </x:c>
      <x:c r="D31" s="6" t="n">
        <x:v>80600</x:v>
      </x:c>
      <x:c r="E31" s="6" t="n">
        <x:f>C31-D31</x:f>
        <x:v>283900</x:v>
      </x:c>
      <x:c r="F31" s="6" t="n">
        <x:f>F30+E31</x:f>
        <x:v>1617200</x:v>
      </x:c>
      <x:c r="G31" s="6" t="n">
        <x:v>-9000</x:v>
      </x:c>
      <x:c r="H31" s="6" t="n">
        <x:v>244800</x:v>
      </x:c>
    </x:row>
    <x:row r="32" ht="25" customHeight="1">
      <x:c r="A32" s="13" t="str">
        <x:v>累計／場内最悪値</x:v>
      </x:c>
      <x:c r="B32" s="13"/>
      <x:c r="C32" s="14" t="n">
        <x:f>SUM(C6:C31)</x:f>
        <x:v>2986400</x:v>
      </x:c>
      <x:c r="D32" s="14" t="n">
        <x:f>SUM(D6:D31)</x:f>
        <x:v>1369200</x:v>
      </x:c>
      <x:c r="E32" s="14" t="n">
        <x:f>C32-D32</x:f>
        <x:v>1617200</x:v>
      </x:c>
      <x:c r="F32" s="14" t="n">
        <x:f>F31</x:f>
        <x:v>1617200</x:v>
      </x:c>
      <x:c r="G32" s="14" t="n">
        <x:f>MIN(G6:G31)</x:f>
        <x:v>-169600</x:v>
      </x:c>
      <x:c r="H32" s="14" t="n">
        <x:f>MAX(H6:H31)</x:f>
        <x:v>252800</x:v>
      </x:c>
    </x:row>
  </x:sheetData>
  <x:conditionalFormatting sqref="E6:F31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6566db73ae45d6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V_B00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観測修正／旧Source出口＋旧数量＋初回支持選抜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111000</x:v>
      </x:c>
      <x:c r="D9" s="6" t="n">
        <x:v>0</x:v>
      </x:c>
      <x:c r="E9" s="6" t="n">
        <x:f>C9-D9</x:f>
        <x:v>111000</x:v>
      </x:c>
      <x:c r="F9" s="6" t="n">
        <x:f>F8+E9</x:f>
        <x:v>111000</x:v>
      </x:c>
      <x:c r="G9" s="6" t="n">
        <x:v>-14000</x:v>
      </x:c>
      <x:c r="H9" s="6" t="n">
        <x:v>73000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65000</x:v>
      </x:c>
      <x:c r="D10" s="6" t="n">
        <x:v>0</x:v>
      </x:c>
      <x:c r="E10" s="6" t="n">
        <x:f>C10-D10</x:f>
        <x:v>65000</x:v>
      </x:c>
      <x:c r="F10" s="6" t="n">
        <x:f>F9+E10</x:f>
        <x:v>176000</x:v>
      </x:c>
      <x:c r="G10" s="6" t="n">
        <x:v>-50000</x:v>
      </x:c>
      <x:c r="H10" s="6" t="n">
        <x:v>55000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19000</x:v>
      </x:c>
      <x:c r="D11" s="6" t="n">
        <x:v>0</x:v>
      </x:c>
      <x:c r="E11" s="6" t="n">
        <x:f>C11-D11</x:f>
        <x:v>19000</x:v>
      </x:c>
      <x:c r="F11" s="6" t="n">
        <x:f>F10+E11</x:f>
        <x:v>195000</x:v>
      </x:c>
      <x:c r="G11" s="6" t="n">
        <x:v>-32000</x:v>
      </x:c>
      <x:c r="H11" s="6" t="n">
        <x:v>38000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193000</x:v>
      </x:c>
      <x:c r="D12" s="6" t="n">
        <x:v>42000</x:v>
      </x:c>
      <x:c r="E12" s="6" t="n">
        <x:f>C12-D12</x:f>
        <x:v>151000</x:v>
      </x:c>
      <x:c r="F12" s="6" t="n">
        <x:f>F11+E12</x:f>
        <x:v>346000</x:v>
      </x:c>
      <x:c r="G12" s="6" t="n">
        <x:v>-80000</x:v>
      </x:c>
      <x:c r="H12" s="6" t="n">
        <x:v>160000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346000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8000</x:v>
      </x:c>
      <x:c r="D14" s="6" t="n">
        <x:v>86000</x:v>
      </x:c>
      <x:c r="E14" s="6" t="n">
        <x:f>C14-D14</x:f>
        <x:v>-78000</x:v>
      </x:c>
      <x:c r="F14" s="6" t="n">
        <x:f>F13+E14</x:f>
        <x:v>268000</x:v>
      </x:c>
      <x:c r="G14" s="6" t="n">
        <x:v>-78000</x:v>
      </x:c>
      <x:c r="H14" s="6" t="n">
        <x:v>88000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65000</x:v>
      </x:c>
      <x:c r="E15" s="6" t="n">
        <x:f>C15-D15</x:f>
        <x:v>-65000</x:v>
      </x:c>
      <x:c r="F15" s="6" t="n">
        <x:f>F14+E15</x:f>
        <x:v>203000</x:v>
      </x:c>
      <x:c r="G15" s="6" t="n">
        <x:v>-65000</x:v>
      </x:c>
      <x:c r="H15" s="6" t="n">
        <x:v>130000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21000</x:v>
      </x:c>
      <x:c r="D16" s="6" t="n">
        <x:v>0</x:v>
      </x:c>
      <x:c r="E16" s="6" t="n">
        <x:f>C16-D16</x:f>
        <x:v>21000</x:v>
      </x:c>
      <x:c r="F16" s="6" t="n">
        <x:f>F15+E16</x:f>
        <x:v>224000</x:v>
      </x:c>
      <x:c r="G16" s="6" t="n">
        <x:v>-6000</x:v>
      </x:c>
      <x:c r="H16" s="6" t="n">
        <x:v>24000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98000</x:v>
      </x:c>
      <x:c r="E17" s="6" t="n">
        <x:f>C17-D17</x:f>
        <x:v>-98000</x:v>
      </x:c>
      <x:c r="F17" s="6" t="n">
        <x:f>F16+E17</x:f>
        <x:v>126000</x:v>
      </x:c>
      <x:c r="G17" s="6" t="n">
        <x:v>-98000</x:v>
      </x:c>
      <x:c r="H17" s="6" t="n">
        <x:v>132000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105000</x:v>
      </x:c>
      <x:c r="D18" s="6" t="n">
        <x:v>26000</x:v>
      </x:c>
      <x:c r="E18" s="6" t="n">
        <x:f>C18-D18</x:f>
        <x:v>79000</x:v>
      </x:c>
      <x:c r="F18" s="6" t="n">
        <x:f>F17+E18</x:f>
        <x:v>205000</x:v>
      </x:c>
      <x:c r="G18" s="6" t="n">
        <x:v>-6000</x:v>
      </x:c>
      <x:c r="H18" s="6" t="n">
        <x:v>40000</x:v>
      </x:c>
    </x:row>
    <x:row r="19" ht="25" customHeight="1">
      <x:c r="A19" s="2" t="str">
        <x:v>2026-10-08_Day</x:v>
      </x:c>
      <x:c r="B19" s="2" t="str">
        <x:v>下落</x:v>
      </x:c>
      <x:c r="C19" s="6" t="n">
        <x:v>6000</x:v>
      </x:c>
      <x:c r="D19" s="6" t="n">
        <x:v>0</x:v>
      </x:c>
      <x:c r="E19" s="6" t="n">
        <x:f>C19-D19</x:f>
        <x:v>6000</x:v>
      </x:c>
      <x:c r="F19" s="6" t="n">
        <x:f>F18+E19</x:f>
        <x:v>211000</x:v>
      </x:c>
      <x:c r="G19" s="6" t="n">
        <x:v>-4000</x:v>
      </x:c>
      <x:c r="H19" s="6" t="n">
        <x:v>10000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7000</x:v>
      </x:c>
      <x:c r="D20" s="6" t="n">
        <x:v>0</x:v>
      </x:c>
      <x:c r="E20" s="6" t="n">
        <x:f>C20-D20</x:f>
        <x:v>7000</x:v>
      </x:c>
      <x:c r="F20" s="6" t="n">
        <x:f>F19+E20</x:f>
        <x:v>218000</x:v>
      </x:c>
      <x:c r="G20" s="6" t="n">
        <x:v>-36000</x:v>
      </x:c>
      <x:c r="H20" s="6" t="n">
        <x:v>62000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218000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69000</x:v>
      </x:c>
      <x:c r="D22" s="6" t="n">
        <x:v>74000</x:v>
      </x:c>
      <x:c r="E22" s="6" t="n">
        <x:f>C22-D22</x:f>
        <x:v>-5000</x:v>
      </x:c>
      <x:c r="F22" s="6" t="n">
        <x:f>F21+E22</x:f>
        <x:v>213000</x:v>
      </x:c>
      <x:c r="G22" s="6" t="n">
        <x:v>-61000</x:v>
      </x:c>
      <x:c r="H22" s="6" t="n">
        <x:v>90000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43000</x:v>
      </x:c>
      <x:c r="E23" s="6" t="n">
        <x:f>C23-D23</x:f>
        <x:v>-43000</x:v>
      </x:c>
      <x:c r="F23" s="6" t="n">
        <x:f>F22+E23</x:f>
        <x:v>170000</x:v>
      </x:c>
      <x:c r="G23" s="6" t="n">
        <x:v>-43000</x:v>
      </x:c>
      <x:c r="H23" s="6" t="n">
        <x:v>60000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302000</x:v>
      </x:c>
      <x:c r="D24" s="6" t="n">
        <x:v>0</x:v>
      </x:c>
      <x:c r="E24" s="6" t="n">
        <x:f>C24-D24</x:f>
        <x:v>302000</x:v>
      </x:c>
      <x:c r="F24" s="6" t="n">
        <x:f>F23+E24</x:f>
        <x:v>472000</x:v>
      </x:c>
      <x:c r="G24" s="6" t="n">
        <x:v>-18000</x:v>
      </x:c>
      <x:c r="H24" s="6" t="n">
        <x:v>118000</x:v>
      </x:c>
    </x:row>
    <x:row r="25" ht="25" customHeight="1">
      <x:c r="A25" s="2" t="str">
        <x:v>2026-10-16_Day</x:v>
      </x:c>
      <x:c r="B25" s="2" t="str">
        <x:v>上昇</x:v>
      </x:c>
      <x:c r="C25" s="6" t="n">
        <x:v>83000</x:v>
      </x:c>
      <x:c r="D25" s="6" t="n">
        <x:v>127000</x:v>
      </x:c>
      <x:c r="E25" s="6" t="n">
        <x:f>C25-D25</x:f>
        <x:v>-44000</x:v>
      </x:c>
      <x:c r="F25" s="6" t="n">
        <x:f>F24+E25</x:f>
        <x:v>428000</x:v>
      </x:c>
      <x:c r="G25" s="6" t="n">
        <x:v>-51000</x:v>
      </x:c>
      <x:c r="H25" s="6" t="n">
        <x:v>97000</x:v>
      </x:c>
    </x:row>
    <x:row r="26" ht="25" customHeight="1">
      <x:c r="A26" s="2" t="str">
        <x:v>2026-10-19_Day</x:v>
      </x:c>
      <x:c r="B26" s="2" t="str">
        <x:v>上昇</x:v>
      </x:c>
      <x:c r="C26" s="6" t="n">
        <x:v>329000</x:v>
      </x:c>
      <x:c r="D26" s="6" t="n">
        <x:v>0</x:v>
      </x:c>
      <x:c r="E26" s="6" t="n">
        <x:f>C26-D26</x:f>
        <x:v>329000</x:v>
      </x:c>
      <x:c r="F26" s="6" t="n">
        <x:f>F25+E26</x:f>
        <x:v>757000</x:v>
      </x:c>
      <x:c r="G26" s="6" t="n">
        <x:v>-8000</x:v>
      </x:c>
      <x:c r="H26" s="6" t="n">
        <x:v>192000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83000</x:v>
      </x:c>
      <x:c r="D27" s="6" t="n">
        <x:v>35000</x:v>
      </x:c>
      <x:c r="E27" s="6" t="n">
        <x:f>C27-D27</x:f>
        <x:v>48000</x:v>
      </x:c>
      <x:c r="F27" s="6" t="n">
        <x:f>F26+E27</x:f>
        <x:v>805000</x:v>
      </x:c>
      <x:c r="G27" s="6" t="n">
        <x:v>-15000</x:v>
      </x:c>
      <x:c r="H27" s="6" t="n">
        <x:v>92000</x:v>
      </x:c>
    </x:row>
    <x:row r="28" ht="25" customHeight="1">
      <x:c r="A28" s="2" t="str">
        <x:v>2026-10-21_Day</x:v>
      </x:c>
      <x:c r="B28" s="2" t="str">
        <x:v>下落</x:v>
      </x:c>
      <x:c r="C28" s="6" t="n">
        <x:v>58000</x:v>
      </x:c>
      <x:c r="D28" s="6" t="n">
        <x:v>73000</x:v>
      </x:c>
      <x:c r="E28" s="6" t="n">
        <x:f>C28-D28</x:f>
        <x:v>-15000</x:v>
      </x:c>
      <x:c r="F28" s="6" t="n">
        <x:f>F27+E28</x:f>
        <x:v>790000</x:v>
      </x:c>
      <x:c r="G28" s="6" t="n">
        <x:v>-83000</x:v>
      </x:c>
      <x:c r="H28" s="6" t="n">
        <x:v>98000</x:v>
      </x:c>
    </x:row>
    <x:row r="29" ht="25" customHeight="1">
      <x:c r="A29" s="2" t="str">
        <x:v>2026-10-22_Day</x:v>
      </x:c>
      <x:c r="B29" s="2" t="str">
        <x:v>下落</x:v>
      </x:c>
      <x:c r="C29" s="6" t="n">
        <x:v>361000</x:v>
      </x:c>
      <x:c r="D29" s="6" t="n">
        <x:v>0</x:v>
      </x:c>
      <x:c r="E29" s="6" t="n">
        <x:f>C29-D29</x:f>
        <x:v>361000</x:v>
      </x:c>
      <x:c r="F29" s="6" t="n">
        <x:f>F28+E29</x:f>
        <x:v>1151000</x:v>
      </x:c>
      <x:c r="G29" s="6" t="n">
        <x:v>-55000</x:v>
      </x:c>
      <x:c r="H29" s="6" t="n">
        <x:v>90000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61000</x:v>
      </x:c>
      <x:c r="D30" s="6" t="n">
        <x:v>22000</x:v>
      </x:c>
      <x:c r="E30" s="6" t="n">
        <x:f>C30-D30</x:f>
        <x:v>39000</x:v>
      </x:c>
      <x:c r="F30" s="6" t="n">
        <x:f>F29+E30</x:f>
        <x:v>1190000</x:v>
      </x:c>
      <x:c r="G30" s="6" t="n">
        <x:v>-24000</x:v>
      </x:c>
      <x:c r="H30" s="6" t="n">
        <x:v>68000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130000</x:v>
      </x:c>
      <x:c r="D31" s="6" t="n">
        <x:v>70000</x:v>
      </x:c>
      <x:c r="E31" s="6" t="n">
        <x:f>C31-D31</x:f>
        <x:v>60000</x:v>
      </x:c>
      <x:c r="F31" s="6" t="n">
        <x:f>F30+E31</x:f>
        <x:v>1250000</x:v>
      </x:c>
      <x:c r="G31" s="6" t="n">
        <x:v>-50000</x:v>
      </x:c>
      <x:c r="H31" s="6" t="n">
        <x:v>148000</x:v>
      </x:c>
    </x:row>
    <x:row r="32" ht="25" customHeight="1">
      <x:c r="A32" s="13" t="str">
        <x:v>累計／場内最悪値</x:v>
      </x:c>
      <x:c r="B32" s="13"/>
      <x:c r="C32" s="14" t="n">
        <x:f>SUM(C6:C31)</x:f>
        <x:v>2011000</x:v>
      </x:c>
      <x:c r="D32" s="14" t="n">
        <x:f>SUM(D6:D31)</x:f>
        <x:v>761000</x:v>
      </x:c>
      <x:c r="E32" s="14" t="n">
        <x:f>C32-D32</x:f>
        <x:v>1250000</x:v>
      </x:c>
      <x:c r="F32" s="14" t="n">
        <x:f>F31</x:f>
        <x:v>1250000</x:v>
      </x:c>
      <x:c r="G32" s="14" t="n">
        <x:f>MIN(G6:G31)</x:f>
        <x:v>-98000</x:v>
      </x:c>
      <x:c r="H32" s="14" t="n">
        <x:f>MAX(H6:H31)</x:f>
        <x:v>192000</x:v>
      </x:c>
    </x:row>
  </x:sheetData>
  <x:conditionalFormatting sqref="E6:F31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58fb69203c4513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V_B01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観測修正／旧Source出口＋初回線形micro量/元追加比例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188400</x:v>
      </x:c>
      <x:c r="D9" s="6" t="n">
        <x:v>0</x:v>
      </x:c>
      <x:c r="E9" s="6" t="n">
        <x:f>C9-D9</x:f>
        <x:v>188400</x:v>
      </x:c>
      <x:c r="F9" s="6" t="n">
        <x:f>F8+E9</x:f>
        <x:v>188400</x:v>
      </x:c>
      <x:c r="G9" s="6" t="n">
        <x:v>-22000</x:v>
      </x:c>
      <x:c r="H9" s="6" t="n">
        <x:v>138600</x:v>
      </x:c>
    </x:row>
    <x:row r="10" ht="25" customHeight="1">
      <x:c r="A10" s="2" t="str">
        <x:v>2026-09-25_Day</x:v>
      </x:c>
      <x:c r="B10" s="2" t="str">
        <x:v>上昇</x:v>
      </x:c>
      <x:c r="C10" s="6" t="n">
        <x:v>97500</x:v>
      </x:c>
      <x:c r="D10" s="6" t="n">
        <x:v>0</x:v>
      </x:c>
      <x:c r="E10" s="6" t="n">
        <x:f>C10-D10</x:f>
        <x:v>97500</x:v>
      </x:c>
      <x:c r="F10" s="6" t="n">
        <x:f>F9+E10</x:f>
        <x:v>285900</x:v>
      </x:c>
      <x:c r="G10" s="6" t="n">
        <x:v>-75000</x:v>
      </x:c>
      <x:c r="H10" s="6" t="n">
        <x:v>82500</x:v>
      </x:c>
    </x:row>
    <x:row r="11" ht="25" customHeight="1">
      <x:c r="A11" s="2" t="str">
        <x:v>2026-09-28_Day</x:v>
      </x:c>
      <x:c r="B11" s="2" t="str">
        <x:v>下落</x:v>
      </x:c>
      <x:c r="C11" s="6" t="n">
        <x:v>39900</x:v>
      </x:c>
      <x:c r="D11" s="6" t="n">
        <x:v>0</x:v>
      </x:c>
      <x:c r="E11" s="6" t="n">
        <x:f>C11-D11</x:f>
        <x:v>39900</x:v>
      </x:c>
      <x:c r="F11" s="6" t="n">
        <x:f>F10+E11</x:f>
        <x:v>325800</x:v>
      </x:c>
      <x:c r="G11" s="6" t="n">
        <x:v>-67200</x:v>
      </x:c>
      <x:c r="H11" s="6" t="n">
        <x:v>79800</x:v>
      </x:c>
    </x:row>
    <x:row r="12" ht="25" customHeight="1">
      <x:c r="A12" s="2" t="str">
        <x:v>2026-09-29_Day</x:v>
      </x:c>
      <x:c r="B12" s="2" t="str">
        <x:v>下落</x:v>
      </x:c>
      <x:c r="C12" s="6" t="n">
        <x:v>49200</x:v>
      </x:c>
      <x:c r="D12" s="6" t="n">
        <x:v>147000</x:v>
      </x:c>
      <x:c r="E12" s="6" t="n">
        <x:f>C12-D12</x:f>
        <x:v>-97800</x:v>
      </x:c>
      <x:c r="F12" s="6" t="n">
        <x:f>F11+E12</x:f>
        <x:v>228000</x:v>
      </x:c>
      <x:c r="G12" s="6" t="n">
        <x:v>-154800</x:v>
      </x:c>
      <x:c r="H12" s="6" t="n">
        <x:v>167400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228000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15200</x:v>
      </x:c>
      <x:c r="D14" s="6" t="n">
        <x:v>111800</x:v>
      </x:c>
      <x:c r="E14" s="6" t="n">
        <x:f>C14-D14</x:f>
        <x:v>-96600</x:v>
      </x:c>
      <x:c r="F14" s="6" t="n">
        <x:f>F13+E14</x:f>
        <x:v>131400</x:v>
      </x:c>
      <x:c r="G14" s="6" t="n">
        <x:v>-96600</x:v>
      </x:c>
      <x:c r="H14" s="6" t="n">
        <x:v>112200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26000</x:v>
      </x:c>
      <x:c r="E15" s="6" t="n">
        <x:f>C15-D15</x:f>
        <x:v>-26000</x:v>
      </x:c>
      <x:c r="F15" s="6" t="n">
        <x:f>F14+E15</x:f>
        <x:v>105400</x:v>
      </x:c>
      <x:c r="G15" s="6" t="n">
        <x:v>-26000</x:v>
      </x:c>
      <x:c r="H15" s="6" t="n">
        <x:v>52000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23100</x:v>
      </x:c>
      <x:c r="D16" s="6" t="n">
        <x:v>0</x:v>
      </x:c>
      <x:c r="E16" s="6" t="n">
        <x:f>C16-D16</x:f>
        <x:v>23100</x:v>
      </x:c>
      <x:c r="F16" s="6" t="n">
        <x:f>F15+E16</x:f>
        <x:v>128500</x:v>
      </x:c>
      <x:c r="G16" s="6" t="n">
        <x:v>-6600</x:v>
      </x:c>
      <x:c r="H16" s="6" t="n">
        <x:v>26400</x:v>
      </x:c>
    </x:row>
    <x:row r="17" ht="25" customHeight="1">
      <x:c r="A17" s="2" t="str">
        <x:v>2026-10-06_Day</x:v>
      </x:c>
      <x:c r="B17" s="2" t="str">
        <x:v>上昇</x:v>
      </x:c>
      <x:c r="C17" s="6" t="n">
        <x:v>100</x:v>
      </x:c>
      <x:c r="D17" s="6" t="n">
        <x:v>109600</x:v>
      </x:c>
      <x:c r="E17" s="6" t="n">
        <x:f>C17-D17</x:f>
        <x:v>-109500</x:v>
      </x:c>
      <x:c r="F17" s="6" t="n">
        <x:f>F16+E17</x:f>
        <x:v>19000</x:v>
      </x:c>
      <x:c r="G17" s="6" t="n">
        <x:v>-109500</x:v>
      </x:c>
      <x:c r="H17" s="6" t="n">
        <x:v>150400</x:v>
      </x:c>
    </x:row>
    <x:row r="18" ht="25" customHeight="1">
      <x:c r="A18" s="2" t="str">
        <x:v>2026-10-07_Day</x:v>
      </x:c>
      <x:c r="B18" s="2" t="str">
        <x:v>下落</x:v>
      </x:c>
      <x:c r="C18" s="6" t="n">
        <x:v>194000</x:v>
      </x:c>
      <x:c r="D18" s="6" t="n">
        <x:v>27300</x:v>
      </x:c>
      <x:c r="E18" s="6" t="n">
        <x:f>C18-D18</x:f>
        <x:v>166700</x:v>
      </x:c>
      <x:c r="F18" s="6" t="n">
        <x:f>F17+E18</x:f>
        <x:v>185700</x:v>
      </x:c>
      <x:c r="G18" s="6" t="n">
        <x:v>-11100</x:v>
      </x:c>
      <x:c r="H18" s="6" t="n">
        <x:v>66600</x:v>
      </x:c>
    </x:row>
    <x:row r="19" ht="25" customHeight="1">
      <x:c r="A19" s="2" t="str">
        <x:v>2026-10-08_Day</x:v>
      </x:c>
      <x:c r="B19" s="2" t="str">
        <x:v>下落</x:v>
      </x:c>
      <x:c r="C19" s="6" t="n">
        <x:v>3600</x:v>
      </x:c>
      <x:c r="D19" s="6" t="n">
        <x:v>0</x:v>
      </x:c>
      <x:c r="E19" s="6" t="n">
        <x:f>C19-D19</x:f>
        <x:v>3600</x:v>
      </x:c>
      <x:c r="F19" s="6" t="n">
        <x:f>F18+E19</x:f>
        <x:v>189300</x:v>
      </x:c>
      <x:c r="G19" s="6" t="n">
        <x:v>-2400</x:v>
      </x:c>
      <x:c r="H19" s="6" t="n">
        <x:v>6000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19500</x:v>
      </x:c>
      <x:c r="D20" s="6" t="n">
        <x:v>0</x:v>
      </x:c>
      <x:c r="E20" s="6" t="n">
        <x:f>C20-D20</x:f>
        <x:v>19500</x:v>
      </x:c>
      <x:c r="F20" s="6" t="n">
        <x:f>F19+E20</x:f>
        <x:v>208800</x:v>
      </x:c>
      <x:c r="G20" s="6" t="n">
        <x:v>-102600</x:v>
      </x:c>
      <x:c r="H20" s="6" t="n">
        <x:v>176700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208800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97900</x:v>
      </x:c>
      <x:c r="D22" s="6" t="n">
        <x:v>128600</x:v>
      </x:c>
      <x:c r="E22" s="6" t="n">
        <x:f>C22-D22</x:f>
        <x:v>-30700</x:v>
      </x:c>
      <x:c r="F22" s="6" t="n">
        <x:f>F21+E22</x:f>
        <x:v>178100</x:v>
      </x:c>
      <x:c r="G22" s="6" t="n">
        <x:v>-71000</x:v>
      </x:c>
      <x:c r="H22" s="6" t="n">
        <x:v>159900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87200</x:v>
      </x:c>
      <x:c r="E23" s="6" t="n">
        <x:f>C23-D23</x:f>
        <x:v>-87200</x:v>
      </x:c>
      <x:c r="F23" s="6" t="n">
        <x:f>F22+E23</x:f>
        <x:v>90900</x:v>
      </x:c>
      <x:c r="G23" s="6" t="n">
        <x:v>-87200</x:v>
      </x:c>
      <x:c r="H23" s="6" t="n">
        <x:v>122000</x:v>
      </x:c>
    </x:row>
    <x:row r="24" ht="25" customHeight="1">
      <x:c r="A24" s="2" t="str">
        <x:v>2026-10-15_Day</x:v>
      </x:c>
      <x:c r="B24" s="2" t="str">
        <x:v>下落</x:v>
      </x:c>
      <x:c r="C24" s="6" t="n">
        <x:v>297300</x:v>
      </x:c>
      <x:c r="D24" s="6" t="n">
        <x:v>0</x:v>
      </x:c>
      <x:c r="E24" s="6" t="n">
        <x:f>C24-D24</x:f>
        <x:v>297300</x:v>
      </x:c>
      <x:c r="F24" s="6" t="n">
        <x:f>F23+E24</x:f>
        <x:v>388200</x:v>
      </x:c>
      <x:c r="G24" s="6" t="n">
        <x:v>-24300</x:v>
      </x:c>
      <x:c r="H24" s="6" t="n">
        <x:v>139000</x:v>
      </x:c>
    </x:row>
    <x:row r="25" ht="25" customHeight="1">
      <x:c r="A25" s="2" t="str">
        <x:v>2026-10-16_Day</x:v>
      </x:c>
      <x:c r="B25" s="2" t="str">
        <x:v>上昇</x:v>
      </x:c>
      <x:c r="C25" s="6" t="n">
        <x:v>36600</x:v>
      </x:c>
      <x:c r="D25" s="6" t="n">
        <x:v>89400</x:v>
      </x:c>
      <x:c r="E25" s="6" t="n">
        <x:f>C25-D25</x:f>
        <x:v>-52800</x:v>
      </x:c>
      <x:c r="F25" s="6" t="n">
        <x:f>F24+E25</x:f>
        <x:v>335400</x:v>
      </x:c>
      <x:c r="G25" s="6" t="n">
        <x:v>-53000</x:v>
      </x:c>
      <x:c r="H25" s="6" t="n">
        <x:v>95400</x:v>
      </x:c>
    </x:row>
    <x:row r="26" ht="25" customHeight="1">
      <x:c r="A26" s="2" t="str">
        <x:v>2026-10-19_Day</x:v>
      </x:c>
      <x:c r="B26" s="2" t="str">
        <x:v>上昇</x:v>
      </x:c>
      <x:c r="C26" s="6" t="n">
        <x:v>570200</x:v>
      </x:c>
      <x:c r="D26" s="6" t="n">
        <x:v>0</x:v>
      </x:c>
      <x:c r="E26" s="6" t="n">
        <x:f>C26-D26</x:f>
        <x:v>570200</x:v>
      </x:c>
      <x:c r="F26" s="6" t="n">
        <x:f>F25+E26</x:f>
        <x:v>905600</x:v>
      </x:c>
      <x:c r="G26" s="6" t="n">
        <x:v>-18800</x:v>
      </x:c>
      <x:c r="H26" s="6" t="n">
        <x:v>252800</x:v>
      </x:c>
    </x:row>
    <x:row r="27" ht="25" customHeight="1">
      <x:c r="A27" s="2" t="str">
        <x:v>2026-10-20_Day</x:v>
      </x:c>
      <x:c r="B27" s="2" t="str">
        <x:v>下落</x:v>
      </x:c>
      <x:c r="C27" s="6" t="n">
        <x:v>49800</x:v>
      </x:c>
      <x:c r="D27" s="6" t="n">
        <x:v>10500</x:v>
      </x:c>
      <x:c r="E27" s="6" t="n">
        <x:f>C27-D27</x:f>
        <x:v>39300</x:v>
      </x:c>
      <x:c r="F27" s="6" t="n">
        <x:f>F26+E27</x:f>
        <x:v>944900</x:v>
      </x:c>
      <x:c r="G27" s="6" t="n">
        <x:v>-9000</x:v>
      </x:c>
      <x:c r="H27" s="6" t="n">
        <x:v>44700</x:v>
      </x:c>
    </x:row>
    <x:row r="28" ht="25" customHeight="1">
      <x:c r="A28" s="2" t="str">
        <x:v>2026-10-21_Day</x:v>
      </x:c>
      <x:c r="B28" s="2" t="str">
        <x:v>下落</x:v>
      </x:c>
      <x:c r="C28" s="6" t="n">
        <x:v>33400</x:v>
      </x:c>
      <x:c r="D28" s="6" t="n">
        <x:v>92700</x:v>
      </x:c>
      <x:c r="E28" s="6" t="n">
        <x:f>C28-D28</x:f>
        <x:v>-59300</x:v>
      </x:c>
      <x:c r="F28" s="6" t="n">
        <x:f>F27+E28</x:f>
        <x:v>885600</x:v>
      </x:c>
      <x:c r="G28" s="6" t="n">
        <x:v>-98500</x:v>
      </x:c>
      <x:c r="H28" s="6" t="n">
        <x:v>120100</x:v>
      </x:c>
    </x:row>
    <x:row r="29" ht="25" customHeight="1">
      <x:c r="A29" s="2" t="str">
        <x:v>2026-10-22_Day</x:v>
      </x:c>
      <x:c r="B29" s="2" t="str">
        <x:v>下落</x:v>
      </x:c>
      <x:c r="C29" s="6" t="n">
        <x:v>180500</x:v>
      </x:c>
      <x:c r="D29" s="6" t="n">
        <x:v>0</x:v>
      </x:c>
      <x:c r="E29" s="6" t="n">
        <x:f>C29-D29</x:f>
        <x:v>180500</x:v>
      </x:c>
      <x:c r="F29" s="6" t="n">
        <x:f>F28+E29</x:f>
        <x:v>1066100</x:v>
      </x:c>
      <x:c r="G29" s="6" t="n">
        <x:v>-27500</x:v>
      </x:c>
      <x:c r="H29" s="6" t="n">
        <x:v>45000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172300</x:v>
      </x:c>
      <x:c r="D30" s="6" t="n">
        <x:v>11000</x:v>
      </x:c>
      <x:c r="E30" s="6" t="n">
        <x:f>C30-D30</x:f>
        <x:v>161300</x:v>
      </x:c>
      <x:c r="F30" s="6" t="n">
        <x:f>F29+E30</x:f>
        <x:v>1227400</x:v>
      </x:c>
      <x:c r="G30" s="6" t="n">
        <x:v>-62400</x:v>
      </x:c>
      <x:c r="H30" s="6" t="n">
        <x:v>145400</x:v>
      </x:c>
    </x:row>
    <x:row r="31" ht="25" customHeight="1">
      <x:c r="A31" s="2" t="str">
        <x:v>2026-10-26_Day</x:v>
      </x:c>
      <x:c r="B31" s="2" t="str">
        <x:v>下落</x:v>
      </x:c>
      <x:c r="C31" s="6" t="n">
        <x:v>338000</x:v>
      </x:c>
      <x:c r="D31" s="6" t="n">
        <x:v>64400</x:v>
      </x:c>
      <x:c r="E31" s="6" t="n">
        <x:f>C31-D31</x:f>
        <x:v>273600</x:v>
      </x:c>
      <x:c r="F31" s="6" t="n">
        <x:f>F30+E31</x:f>
        <x:v>1501000</x:v>
      </x:c>
      <x:c r="G31" s="6" t="n">
        <x:v>-12400</x:v>
      </x:c>
      <x:c r="H31" s="6" t="n">
        <x:v>233600</x:v>
      </x:c>
    </x:row>
    <x:row r="32" ht="25" customHeight="1">
      <x:c r="A32" s="13" t="str">
        <x:v>累計／場内最悪値</x:v>
      </x:c>
      <x:c r="B32" s="13"/>
      <x:c r="C32" s="14" t="n">
        <x:f>SUM(C6:C31)</x:f>
        <x:v>2406500</x:v>
      </x:c>
      <x:c r="D32" s="14" t="n">
        <x:f>SUM(D6:D31)</x:f>
        <x:v>905500</x:v>
      </x:c>
      <x:c r="E32" s="14" t="n">
        <x:f>C32-D32</x:f>
        <x:v>1501000</x:v>
      </x:c>
      <x:c r="F32" s="14" t="n">
        <x:f>F31</x:f>
        <x:v>1501000</x:v>
      </x:c>
      <x:c r="G32" s="14" t="n">
        <x:f>MIN(G6:G31)</x:f>
        <x:v>-154800</x:v>
      </x:c>
      <x:c r="H32" s="14" t="n">
        <x:f>MAX(H6:H31)</x:f>
        <x:v>252800</x:v>
      </x:c>
    </x:row>
  </x:sheetData>
  <x:conditionalFormatting sqref="E6:F31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9371f44a984380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C01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旧数量＋各玉80pt防御/40pt利益開始40pt追尾/親8万円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25000</x:v>
      </x:c>
      <x:c r="D6" s="6" t="n">
        <x:v>16000</x:v>
      </x:c>
      <x:c r="E6" s="6" t="n">
        <x:f>C6-D6</x:f>
        <x:v>9000</x:v>
      </x:c>
      <x:c r="F6" s="6" t="n">
        <x:f>E6</x:f>
        <x:v>9000</x:v>
      </x:c>
      <x:c r="G6" s="6" t="n">
        <x:v>-26000</x:v>
      </x:c>
      <x:c r="H6" s="6" t="n">
        <x:v>28000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-61000</x:v>
      </x:c>
      <x:c r="G7" s="6" t="n">
        <x:v>-70000</x:v>
      </x:c>
      <x:c r="H7" s="6" t="n">
        <x:v>80000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-61000</x:v>
      </x:c>
      <x:c r="G8" s="6" t="n">
        <x:v>-10000</x:v>
      </x:c>
      <x:c r="H8" s="6" t="n">
        <x:v>20000</x:v>
      </x:c>
    </x:row>
    <x:row r="9" ht="25" customHeight="1">
      <x:c r="A9" s="2" t="str">
        <x:v>2026-09-24_Day</x:v>
      </x:c>
      <x:c r="B9" s="2" t="str">
        <x:v>下落</x:v>
      </x:c>
      <x:c r="C9" s="6" t="n">
        <x:v>67000</x:v>
      </x:c>
      <x:c r="D9" s="6" t="n">
        <x:v>16000</x:v>
      </x:c>
      <x:c r="E9" s="6" t="n">
        <x:f>C9-D9</x:f>
        <x:v>51000</x:v>
      </x:c>
      <x:c r="F9" s="6" t="n">
        <x:f>F8+E9</x:f>
        <x:v>-10000</x:v>
      </x:c>
      <x:c r="G9" s="6" t="n">
        <x:v>-49000</x:v>
      </x:c>
      <x:c r="H9" s="6" t="n">
        <x:v>57000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54000</x:v>
      </x:c>
      <x:c r="D10" s="6" t="n">
        <x:v>56000</x:v>
      </x:c>
      <x:c r="E10" s="6" t="n">
        <x:f>C10-D10</x:f>
        <x:v>-2000</x:v>
      </x:c>
      <x:c r="F10" s="6" t="n">
        <x:f>F9+E10</x:f>
        <x:v>-12000</x:v>
      </x:c>
      <x:c r="G10" s="6" t="n">
        <x:v>-4000</x:v>
      </x:c>
      <x:c r="H10" s="6" t="n">
        <x:v>69000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10000</x:v>
      </x:c>
      <x:c r="D11" s="6" t="n">
        <x:v>128000</x:v>
      </x:c>
      <x:c r="E11" s="6" t="n">
        <x:f>C11-D11</x:f>
        <x:v>-118000</x:v>
      </x:c>
      <x:c r="F11" s="6" t="n">
        <x:f>F10+E11</x:f>
        <x:v>-130000</x:v>
      </x:c>
      <x:c r="G11" s="6" t="n">
        <x:v>-126000</x:v>
      </x:c>
      <x:c r="H11" s="6" t="n">
        <x:v>132000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19000</x:v>
      </x:c>
      <x:c r="D12" s="6" t="n">
        <x:v>28000</x:v>
      </x:c>
      <x:c r="E12" s="6" t="n">
        <x:f>C12-D12</x:f>
        <x:v>-9000</x:v>
      </x:c>
      <x:c r="F12" s="6" t="n">
        <x:f>F11+E12</x:f>
        <x:v>-139000</x:v>
      </x:c>
      <x:c r="G12" s="6" t="n">
        <x:v>-34000</x:v>
      </x:c>
      <x:c r="H12" s="6" t="n">
        <x:v>44000</x:v>
      </x:c>
    </x:row>
    <x:row r="13" ht="25" customHeight="1">
      <x:c r="A13" s="2" t="str">
        <x:v>2026-09-30_Day</x:v>
      </x:c>
      <x:c r="B13" s="2" t="str">
        <x:v>上昇</x:v>
      </x:c>
      <x:c r="C13" s="6" t="n">
        <x:v>7000</x:v>
      </x:c>
      <x:c r="D13" s="6" t="n">
        <x:v>56000</x:v>
      </x:c>
      <x:c r="E13" s="6" t="n">
        <x:f>C13-D13</x:f>
        <x:v>-49000</x:v>
      </x:c>
      <x:c r="F13" s="6" t="n">
        <x:f>F12+E13</x:f>
        <x:v>-188000</x:v>
      </x:c>
      <x:c r="G13" s="6" t="n">
        <x:v>-57000</x:v>
      </x:c>
      <x:c r="H13" s="6" t="n">
        <x:v>70000</x:v>
      </x:c>
    </x:row>
    <x:row r="14" ht="25" customHeight="1">
      <x:c r="A14" s="2" t="str">
        <x:v>2026-10-01_Day</x:v>
      </x:c>
      <x:c r="B14" s="2" t="str">
        <x:v>上昇</x:v>
      </x:c>
      <x:c r="C14" s="6" t="n">
        <x:v>73000</x:v>
      </x:c>
      <x:c r="D14" s="6" t="n">
        <x:v>70000</x:v>
      </x:c>
      <x:c r="E14" s="6" t="n">
        <x:f>C14-D14</x:f>
        <x:v>3000</x:v>
      </x:c>
      <x:c r="F14" s="6" t="n">
        <x:f>F13+E14</x:f>
        <x:v>-185000</x:v>
      </x:c>
      <x:c r="G14" s="6" t="n">
        <x:v>-52000</x:v>
      </x:c>
      <x:c r="H14" s="6" t="n">
        <x:v>62000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40000</x:v>
      </x:c>
      <x:c r="D15" s="6" t="n">
        <x:v>6000</x:v>
      </x:c>
      <x:c r="E15" s="6" t="n">
        <x:f>C15-D15</x:f>
        <x:v>34000</x:v>
      </x:c>
      <x:c r="F15" s="6" t="n">
        <x:f>F14+E15</x:f>
        <x:v>-151000</x:v>
      </x:c>
      <x:c r="G15" s="6" t="n">
        <x:v>-14000</x:v>
      </x:c>
      <x:c r="H15" s="6" t="n">
        <x:v>45000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54000</x:v>
      </x:c>
      <x:c r="D16" s="6" t="n">
        <x:v>73000</x:v>
      </x:c>
      <x:c r="E16" s="6" t="n">
        <x:f>C16-D16</x:f>
        <x:v>-19000</x:v>
      </x:c>
      <x:c r="F16" s="6" t="n">
        <x:f>F15+E16</x:f>
        <x:v>-170000</x:v>
      </x:c>
      <x:c r="G16" s="6" t="n">
        <x:v>-54000</x:v>
      </x:c>
      <x:c r="H16" s="6" t="n">
        <x:v>97000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53000</x:v>
      </x:c>
      <x:c r="D17" s="6" t="n">
        <x:v>32000</x:v>
      </x:c>
      <x:c r="E17" s="6" t="n">
        <x:f>C17-D17</x:f>
        <x:v>21000</x:v>
      </x:c>
      <x:c r="F17" s="6" t="n">
        <x:f>F16+E17</x:f>
        <x:v>-149000</x:v>
      </x:c>
      <x:c r="G17" s="6" t="n">
        <x:v>-10000</x:v>
      </x:c>
      <x:c r="H17" s="6" t="n">
        <x:v>52000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58000</x:v>
      </x:c>
      <x:c r="D18" s="6" t="n">
        <x:v>36000</x:v>
      </x:c>
      <x:c r="E18" s="6" t="n">
        <x:f>C18-D18</x:f>
        <x:v>22000</x:v>
      </x:c>
      <x:c r="F18" s="6" t="n">
        <x:f>F17+E18</x:f>
        <x:v>-127000</x:v>
      </x:c>
      <x:c r="G18" s="6" t="n">
        <x:v>-25000</x:v>
      </x:c>
      <x:c r="H18" s="6" t="n">
        <x:v>48000</x:v>
      </x:c>
    </x:row>
    <x:row r="19" ht="25" customHeight="1">
      <x:c r="A19" s="2" t="str">
        <x:v>2026-10-08_Day</x:v>
      </x:c>
      <x:c r="B19" s="2" t="str">
        <x:v>下落</x:v>
      </x:c>
      <x:c r="C19" s="6" t="n">
        <x:v>34000</x:v>
      </x:c>
      <x:c r="D19" s="6" t="n">
        <x:v>76000</x:v>
      </x:c>
      <x:c r="E19" s="6" t="n">
        <x:f>C19-D19</x:f>
        <x:v>-42000</x:v>
      </x:c>
      <x:c r="F19" s="6" t="n">
        <x:f>F18+E19</x:f>
        <x:v>-169000</x:v>
      </x:c>
      <x:c r="G19" s="6" t="n">
        <x:v>-72000</x:v>
      </x:c>
      <x:c r="H19" s="6" t="n">
        <x:v>91000</x:v>
      </x:c>
    </x:row>
    <x:row r="20" ht="25" customHeight="1">
      <x:c r="A20" s="2" t="str">
        <x:v>2026-10-09_Day</x:v>
      </x:c>
      <x:c r="B20" s="2" t="str">
        <x:v>上昇</x:v>
      </x:c>
      <x:c r="C20" s="6" t="n">
        <x:v>40000</x:v>
      </x:c>
      <x:c r="D20" s="6" t="n">
        <x:v>48000</x:v>
      </x:c>
      <x:c r="E20" s="6" t="n">
        <x:f>C20-D20</x:f>
        <x:v>-8000</x:v>
      </x:c>
      <x:c r="F20" s="6" t="n">
        <x:f>F19+E20</x:f>
        <x:v>-177000</x:v>
      </x:c>
      <x:c r="G20" s="6" t="n">
        <x:v>-48000</x:v>
      </x:c>
      <x:c r="H20" s="6" t="n">
        <x:v>71000</x:v>
      </x:c>
    </x:row>
    <x:row r="21" ht="25" customHeight="1">
      <x:c r="A21" s="2" t="str">
        <x:v>2026-10-12_Day</x:v>
      </x:c>
      <x:c r="B21" s="2" t="str">
        <x:v>下落</x:v>
      </x:c>
      <x:c r="C21" s="6" t="n">
        <x:v>45000</x:v>
      </x:c>
      <x:c r="D21" s="6" t="n">
        <x:v>25000</x:v>
      </x:c>
      <x:c r="E21" s="6" t="n">
        <x:f>C21-D21</x:f>
        <x:v>20000</x:v>
      </x:c>
      <x:c r="F21" s="6" t="n">
        <x:f>F20+E21</x:f>
        <x:v>-157000</x:v>
      </x:c>
      <x:c r="G21" s="6" t="n">
        <x:v>-35000</x:v>
      </x:c>
      <x:c r="H21" s="6" t="n">
        <x:v>50000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64000</x:v>
      </x:c>
      <x:c r="D22" s="6" t="n">
        <x:v>112000</x:v>
      </x:c>
      <x:c r="E22" s="6" t="n">
        <x:f>C22-D22</x:f>
        <x:v>-48000</x:v>
      </x:c>
      <x:c r="F22" s="6" t="n">
        <x:f>F21+E22</x:f>
        <x:v>-205000</x:v>
      </x:c>
      <x:c r="G22" s="6" t="n">
        <x:v>-62000</x:v>
      </x:c>
      <x:c r="H22" s="6" t="n">
        <x:v>82000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50000</x:v>
      </x:c>
      <x:c r="D23" s="6" t="n">
        <x:v>16000</x:v>
      </x:c>
      <x:c r="E23" s="6" t="n">
        <x:f>C23-D23</x:f>
        <x:v>34000</x:v>
      </x:c>
      <x:c r="F23" s="6" t="n">
        <x:f>F22+E23</x:f>
        <x:v>-171000</x:v>
      </x:c>
      <x:c r="G23" s="6" t="n">
        <x:v>-21000</x:v>
      </x:c>
      <x:c r="H23" s="6" t="n">
        <x:v>25000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15000</x:v>
      </x:c>
      <x:c r="D24" s="6" t="n">
        <x:v>46000</x:v>
      </x:c>
      <x:c r="E24" s="6" t="n">
        <x:f>C24-D24</x:f>
        <x:v>-31000</x:v>
      </x:c>
      <x:c r="F24" s="6" t="n">
        <x:f>F23+E24</x:f>
        <x:v>-202000</x:v>
      </x:c>
      <x:c r="G24" s="6" t="n">
        <x:v>-50000</x:v>
      </x:c>
      <x:c r="H24" s="6" t="n">
        <x:v>50000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148000</x:v>
      </x:c>
      <x:c r="D25" s="6" t="n">
        <x:v>153000</x:v>
      </x:c>
      <x:c r="E25" s="6" t="n">
        <x:f>C25-D25</x:f>
        <x:v>-5000</x:v>
      </x:c>
      <x:c r="F25" s="6" t="n">
        <x:f>F24+E25</x:f>
        <x:v>-207000</x:v>
      </x:c>
      <x:c r="G25" s="6" t="n">
        <x:v>-99000</x:v>
      </x:c>
      <x:c r="H25" s="6" t="n">
        <x:v>114000</x:v>
      </x:c>
    </x:row>
    <x:row r="26" ht="25" customHeight="1">
      <x:c r="A26" s="2" t="str">
        <x:v>2026-10-19_Day</x:v>
      </x:c>
      <x:c r="B26" s="2" t="str">
        <x:v>上昇</x:v>
      </x:c>
      <x:c r="C26" s="6" t="n">
        <x:v>53000</x:v>
      </x:c>
      <x:c r="D26" s="6" t="n">
        <x:v>0</x:v>
      </x:c>
      <x:c r="E26" s="6" t="n">
        <x:f>C26-D26</x:f>
        <x:v>53000</x:v>
      </x:c>
      <x:c r="F26" s="6" t="n">
        <x:f>F25+E26</x:f>
        <x:v>-154000</x:v>
      </x:c>
      <x:c r="G26" s="6" t="n">
        <x:v>-8000</x:v>
      </x:c>
      <x:c r="H26" s="6" t="n">
        <x:v>36000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21000</x:v>
      </x:c>
      <x:c r="D27" s="6" t="n">
        <x:v>48000</x:v>
      </x:c>
      <x:c r="E27" s="6" t="n">
        <x:f>C27-D27</x:f>
        <x:v>-27000</x:v>
      </x:c>
      <x:c r="F27" s="6" t="n">
        <x:f>F26+E27</x:f>
        <x:v>-181000</x:v>
      </x:c>
      <x:c r="G27" s="6" t="n">
        <x:v>-35000</x:v>
      </x:c>
      <x:c r="H27" s="6" t="n">
        <x:v>55000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22000</x:v>
      </x:c>
      <x:c r="D28" s="6" t="n">
        <x:v>153000</x:v>
      </x:c>
      <x:c r="E28" s="6" t="n">
        <x:f>C28-D28</x:f>
        <x:v>-131000</x:v>
      </x:c>
      <x:c r="F28" s="6" t="n">
        <x:f>F27+E28</x:f>
        <x:v>-312000</x:v>
      </x:c>
      <x:c r="G28" s="6" t="n">
        <x:v>-149000</x:v>
      </x:c>
      <x:c r="H28" s="6" t="n">
        <x:v>149000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28000</x:v>
      </x:c>
      <x:c r="D29" s="6" t="n">
        <x:v>0</x:v>
      </x:c>
      <x:c r="E29" s="6" t="n">
        <x:f>C29-D29</x:f>
        <x:v>28000</x:v>
      </x:c>
      <x:c r="F29" s="6" t="n">
        <x:f>F28+E29</x:f>
        <x:v>-284000</x:v>
      </x:c>
      <x:c r="G29" s="6" t="n">
        <x:v>-6000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52000</x:v>
      </x:c>
      <x:c r="D30" s="6" t="n">
        <x:v>91000</x:v>
      </x:c>
      <x:c r="E30" s="6" t="n">
        <x:f>C30-D30</x:f>
        <x:v>-39000</x:v>
      </x:c>
      <x:c r="F30" s="6" t="n">
        <x:f>F29+E30</x:f>
        <x:v>-323000</x:v>
      </x:c>
      <x:c r="G30" s="6" t="n">
        <x:v>-49000</x:v>
      </x:c>
      <x:c r="H30" s="6" t="n">
        <x:v>80000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10000</x:v>
      </x:c>
      <x:c r="D31" s="6" t="n">
        <x:v>96000</x:v>
      </x:c>
      <x:c r="E31" s="6" t="n">
        <x:f>C31-D31</x:f>
        <x:v>-86000</x:v>
      </x:c>
      <x:c r="F31" s="6" t="n">
        <x:f>F30+E31</x:f>
        <x:v>-409000</x:v>
      </x:c>
      <x:c r="G31" s="6" t="n">
        <x:v>-86000</x:v>
      </x:c>
      <x:c r="H31" s="6" t="n">
        <x:v>92000</x:v>
      </x:c>
    </x:row>
    <x:row r="32" ht="25" customHeight="1">
      <x:c r="A32" s="13" t="str">
        <x:v>累計／場内最悪値</x:v>
      </x:c>
      <x:c r="B32" s="13"/>
      <x:c r="C32" s="14" t="n">
        <x:f>SUM(C6:C31)</x:f>
        <x:v>1042000</x:v>
      </x:c>
      <x:c r="D32" s="14" t="n">
        <x:f>SUM(D6:D31)</x:f>
        <x:v>1451000</x:v>
      </x:c>
      <x:c r="E32" s="14" t="n">
        <x:f>C32-D32</x:f>
        <x:v>-409000</x:v>
      </x:c>
      <x:c r="F32" s="14" t="n">
        <x:f>F31</x:f>
        <x:v>-409000</x:v>
      </x:c>
      <x:c r="G32" s="14" t="n">
        <x:f>MIN(G6:G31)</x:f>
        <x:v>-149000</x:v>
      </x:c>
      <x:c r="H32" s="14" t="n">
        <x:f>MAX(H6:H31)</x:f>
        <x:v>149000</x:v>
      </x:c>
    </x:row>
  </x:sheetData>
  <x:conditionalFormatting sqref="E6:F31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e9a02d355b4aa6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C02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C01＋初回支持選抜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4000</x:v>
      </x:c>
      <x:c r="D19" s="6" t="n">
        <x:v>0</x:v>
      </x:c>
      <x:c r="E19" s="6" t="n">
        <x:f>C19-D19</x:f>
        <x:v>4000</x:v>
      </x:c>
      <x:c r="F19" s="6" t="n">
        <x:f>F18+E19</x:f>
        <x:v>4000</x:v>
      </x:c>
      <x:c r="G19" s="6" t="n">
        <x:v>-4000</x:v>
      </x:c>
      <x:c r="H19" s="6" t="n">
        <x:v>8000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4000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4000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16000</x:v>
      </x:c>
      <x:c r="E22" s="6" t="n">
        <x:f>C22-D22</x:f>
        <x:v>-16000</x:v>
      </x:c>
      <x:c r="F22" s="6" t="n">
        <x:f>F21+E22</x:f>
        <x:v>-12000</x:v>
      </x:c>
      <x:c r="G22" s="6" t="n">
        <x:v>-16000</x:v>
      </x:c>
      <x:c r="H22" s="6" t="n">
        <x:v>22000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-12000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16000</x:v>
      </x:c>
      <x:c r="E24" s="6" t="n">
        <x:f>C24-D24</x:f>
        <x:v>-16000</x:v>
      </x:c>
      <x:c r="F24" s="6" t="n">
        <x:f>F23+E24</x:f>
        <x:v>-28000</x:v>
      </x:c>
      <x:c r="G24" s="6" t="n">
        <x:v>-16000</x:v>
      </x:c>
      <x:c r="H24" s="6" t="n">
        <x:v>16000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-28000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-28000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-28000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-28000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-28000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-28000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0</x:v>
      </x:c>
      <x:c r="E31" s="6" t="n">
        <x:f>C31-D31</x:f>
        <x:v>5000</x:v>
      </x:c>
      <x:c r="F31" s="6" t="n">
        <x:f>F30+E31</x:f>
        <x:v>-23000</x:v>
      </x:c>
      <x:c r="G31" s="6" t="n">
        <x:v>-3000</x:v>
      </x:c>
      <x:c r="H31" s="6" t="n">
        <x:v>11000</x:v>
      </x:c>
    </x:row>
    <x:row r="32" ht="25" customHeight="1">
      <x:c r="A32" s="13" t="str">
        <x:v>累計／場内最悪値</x:v>
      </x:c>
      <x:c r="B32" s="13"/>
      <x:c r="C32" s="14" t="n">
        <x:f>SUM(C6:C31)</x:f>
        <x:v>9000</x:v>
      </x:c>
      <x:c r="D32" s="14" t="n">
        <x:f>SUM(D6:D31)</x:f>
        <x:v>32000</x:v>
      </x:c>
      <x:c r="E32" s="14" t="n">
        <x:f>C32-D32</x:f>
        <x:v>-23000</x:v>
      </x:c>
      <x:c r="F32" s="14" t="n">
        <x:f>F31</x:f>
        <x:v>-23000</x:v>
      </x:c>
      <x:c r="G32" s="14" t="n">
        <x:f>MIN(G6:G31)</x:f>
        <x:v>-16000</x:v>
      </x:c>
      <x:c r="H32" s="14" t="n">
        <x:f>MAX(H6:H31)</x:f>
        <x:v>22000</x:v>
      </x:c>
    </x:row>
  </x:sheetData>
  <x:conditionalFormatting sqref="E6:F31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edbaef513a4d9c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B00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旧Source出口＋旧数量＋初回支持選抜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6000</x:v>
      </x:c>
      <x:c r="D19" s="6" t="n">
        <x:v>0</x:v>
      </x:c>
      <x:c r="E19" s="6" t="n">
        <x:f>C19-D19</x:f>
        <x:v>6000</x:v>
      </x:c>
      <x:c r="F19" s="6" t="n">
        <x:f>F18+E19</x:f>
        <x:v>6000</x:v>
      </x:c>
      <x:c r="G19" s="6" t="n">
        <x:v>-4000</x:v>
      </x:c>
      <x:c r="H19" s="6" t="n">
        <x:v>10000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6000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6000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15000</x:v>
      </x:c>
      <x:c r="D22" s="6" t="n">
        <x:v>0</x:v>
      </x:c>
      <x:c r="E22" s="6" t="n">
        <x:f>C22-D22</x:f>
        <x:v>15000</x:v>
      </x:c>
      <x:c r="F22" s="6" t="n">
        <x:f>F21+E22</x:f>
        <x:v>21000</x:v>
      </x:c>
      <x:c r="G22" s="6" t="n">
        <x:v>-20000</x:v>
      </x:c>
      <x:c r="H22" s="6" t="n">
        <x:v>26000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21000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2000</x:v>
      </x:c>
      <x:c r="D24" s="6" t="n">
        <x:v>0</x:v>
      </x:c>
      <x:c r="E24" s="6" t="n">
        <x:f>C24-D24</x:f>
        <x:v>2000</x:v>
      </x:c>
      <x:c r="F24" s="6" t="n">
        <x:f>F23+E24</x:f>
        <x:v>23000</x:v>
      </x:c>
      <x:c r="G24" s="6" t="n">
        <x:v>-16000</x:v>
      </x:c>
      <x:c r="H24" s="6" t="n">
        <x:v>42000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23000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23000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23000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23000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23000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23000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130000</x:v>
      </x:c>
      <x:c r="D31" s="6" t="n">
        <x:v>0</x:v>
      </x:c>
      <x:c r="E31" s="6" t="n">
        <x:f>C31-D31</x:f>
        <x:v>130000</x:v>
      </x:c>
      <x:c r="F31" s="6" t="n">
        <x:f>F30+E31</x:f>
        <x:v>153000</x:v>
      </x:c>
      <x:c r="G31" s="6" t="n">
        <x:v>-4000</x:v>
      </x:c>
      <x:c r="H31" s="6" t="n">
        <x:v>88000</x:v>
      </x:c>
    </x:row>
    <x:row r="32" ht="25" customHeight="1">
      <x:c r="A32" s="13" t="str">
        <x:v>累計／場内最悪値</x:v>
      </x:c>
      <x:c r="B32" s="13"/>
      <x:c r="C32" s="14" t="n">
        <x:f>SUM(C6:C31)</x:f>
        <x:v>153000</x:v>
      </x:c>
      <x:c r="D32" s="14" t="n">
        <x:f>SUM(D6:D31)</x:f>
        <x:v>0</x:v>
      </x:c>
      <x:c r="E32" s="14" t="n">
        <x:f>C32-D32</x:f>
        <x:v>153000</x:v>
      </x:c>
      <x:c r="F32" s="14" t="n">
        <x:f>F31</x:f>
        <x:v>153000</x:v>
      </x:c>
      <x:c r="G32" s="14" t="n">
        <x:f>MIN(G6:G31)</x:f>
        <x:v>-20000</x:v>
      </x:c>
      <x:c r="H32" s="14" t="n">
        <x:f>MAX(H6:H31)</x:f>
        <x:v>88000</x:v>
      </x:c>
    </x:row>
  </x:sheetData>
  <x:conditionalFormatting sqref="E6:F31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8358d73f074e49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B01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旧Source出口＋初回線形micro量/元追加比例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3900</x:v>
      </x:c>
      <x:c r="D19" s="6" t="n">
        <x:v>0</x:v>
      </x:c>
      <x:c r="E19" s="6" t="n">
        <x:f>C19-D19</x:f>
        <x:v>3900</x:v>
      </x:c>
      <x:c r="F19" s="6" t="n">
        <x:f>F18+E19</x:f>
        <x:v>3900</x:v>
      </x:c>
      <x:c r="G19" s="6" t="n">
        <x:v>-2600</x:v>
      </x:c>
      <x:c r="H19" s="6" t="n">
        <x:v>6500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3900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3900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53300</x:v>
      </x:c>
      <x:c r="D22" s="6" t="n">
        <x:v>0</x:v>
      </x:c>
      <x:c r="E22" s="6" t="n">
        <x:f>C22-D22</x:f>
        <x:v>53300</x:v>
      </x:c>
      <x:c r="F22" s="6" t="n">
        <x:f>F21+E22</x:f>
        <x:v>57200</x:v>
      </x:c>
      <x:c r="G22" s="6" t="n">
        <x:v>-71000</x:v>
      </x:c>
      <x:c r="H22" s="6" t="n">
        <x:v>92300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57200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3000</x:v>
      </x:c>
      <x:c r="D24" s="6" t="n">
        <x:v>0</x:v>
      </x:c>
      <x:c r="E24" s="6" t="n">
        <x:f>C24-D24</x:f>
        <x:v>3000</x:v>
      </x:c>
      <x:c r="F24" s="6" t="n">
        <x:f>F23+E24</x:f>
        <x:v>60200</x:v>
      </x:c>
      <x:c r="G24" s="6" t="n">
        <x:v>-24000</x:v>
      </x:c>
      <x:c r="H24" s="6" t="n">
        <x:v>63000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60200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60200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60200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60200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60200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60200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338000</x:v>
      </x:c>
      <x:c r="D31" s="6" t="n">
        <x:v>0</x:v>
      </x:c>
      <x:c r="E31" s="6" t="n">
        <x:f>C31-D31</x:f>
        <x:v>338000</x:v>
      </x:c>
      <x:c r="F31" s="6" t="n">
        <x:f>F30+E31</x:f>
        <x:v>398200</x:v>
      </x:c>
      <x:c r="G31" s="6" t="n">
        <x:v>-10400</x:v>
      </x:c>
      <x:c r="H31" s="6" t="n">
        <x:v>228800</x:v>
      </x:c>
    </x:row>
    <x:row r="32" ht="25" customHeight="1">
      <x:c r="A32" s="13" t="str">
        <x:v>累計／場内最悪値</x:v>
      </x:c>
      <x:c r="B32" s="13"/>
      <x:c r="C32" s="14" t="n">
        <x:f>SUM(C6:C31)</x:f>
        <x:v>398200</x:v>
      </x:c>
      <x:c r="D32" s="14" t="n">
        <x:f>SUM(D6:D31)</x:f>
        <x:v>0</x:v>
      </x:c>
      <x:c r="E32" s="14" t="n">
        <x:f>C32-D32</x:f>
        <x:v>398200</x:v>
      </x:c>
      <x:c r="F32" s="14" t="n">
        <x:f>F31</x:f>
        <x:v>398200</x:v>
      </x:c>
      <x:c r="G32" s="14" t="n">
        <x:f>MIN(G6:G31)</x:f>
        <x:v>-71000</x:v>
      </x:c>
      <x:c r="H32" s="14" t="n">
        <x:f>MAX(H6:H31)</x:f>
        <x:v>228800</x:v>
      </x:c>
    </x:row>
  </x:sheetData>
  <x:conditionalFormatting sqref="E6:F31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86f3335991469a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支持初回・10micro刻み・元追加比例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2000</x:v>
      </x:c>
      <x:c r="D19" s="6" t="n">
        <x:v>0</x:v>
      </x:c>
      <x:c r="E19" s="6" t="n">
        <x:f>C19-D19</x:f>
        <x:v>2000</x:v>
      </x:c>
      <x:c r="F19" s="6" t="n">
        <x:f>F18+E19</x:f>
        <x:v>2000</x:v>
      </x:c>
      <x:c r="G19" s="6" t="n">
        <x:v>-2000</x:v>
      </x:c>
      <x:c r="H19" s="6" t="n">
        <x:v>4000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2000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2000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56000</x:v>
      </x:c>
      <x:c r="E22" s="6" t="n">
        <x:f>C22-D22</x:f>
        <x:v>-56000</x:v>
      </x:c>
      <x:c r="F22" s="6" t="n">
        <x:f>F21+E22</x:f>
        <x:v>-54000</x:v>
      </x:c>
      <x:c r="G22" s="6" t="n">
        <x:v>-56000</x:v>
      </x:c>
      <x:c r="H22" s="6" t="n">
        <x:v>77000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-54000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24000</x:v>
      </x:c>
      <x:c r="E24" s="6" t="n">
        <x:f>C24-D24</x:f>
        <x:v>-24000</x:v>
      </x:c>
      <x:c r="F24" s="6" t="n">
        <x:f>F23+E24</x:f>
        <x:v>-78000</x:v>
      </x:c>
      <x:c r="G24" s="6" t="n">
        <x:v>-24000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-78000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-78000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-78000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-78000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-78000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-78000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10000</x:v>
      </x:c>
      <x:c r="D31" s="6" t="n">
        <x:v>0</x:v>
      </x:c>
      <x:c r="E31" s="6" t="n">
        <x:f>C31-D31</x:f>
        <x:v>10000</x:v>
      </x:c>
      <x:c r="F31" s="6" t="n">
        <x:f>F30+E31</x:f>
        <x:v>-68000</x:v>
      </x:c>
      <x:c r="G31" s="6" t="n">
        <x:v>-6000</x:v>
      </x:c>
      <x:c r="H31" s="6" t="n">
        <x:v>26000</x:v>
      </x:c>
    </x:row>
    <x:row r="32" ht="25" customHeight="1">
      <x:c r="A32" s="13" t="str">
        <x:v>累計／場内最悪値</x:v>
      </x:c>
      <x:c r="B32" s="13"/>
      <x:c r="C32" s="14" t="n">
        <x:f>SUM(C6:C31)</x:f>
        <x:v>12000</x:v>
      </x:c>
      <x:c r="D32" s="14" t="n">
        <x:f>SUM(D6:D31)</x:f>
        <x:v>80000</x:v>
      </x:c>
      <x:c r="E32" s="14" t="n">
        <x:f>C32-D32</x:f>
        <x:v>-68000</x:v>
      </x:c>
      <x:c r="F32" s="14" t="n">
        <x:f>F31</x:f>
        <x:v>-68000</x:v>
      </x:c>
      <x:c r="G32" s="14" t="n">
        <x:f>MIN(G6:G31)</x:f>
        <x:v>-56000</x:v>
      </x:c>
      <x:c r="H32" s="14" t="n">
        <x:f>MAX(H6:H31)</x:f>
        <x:v>77000</x:v>
      </x:c>
    </x:row>
  </x:sheetData>
  <x:conditionalFormatting sqref="E6:F31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b0a8bee85f49ac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支持初回・1micro刻み・元追加比例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56800</x:v>
      </x:c>
      <x:c r="E22" s="6" t="n">
        <x:f>C22-D22</x:f>
        <x:v>-56800</x:v>
      </x:c>
      <x:c r="F22" s="6" t="n">
        <x:f>F21+E22</x:f>
        <x:v>-54200</x:v>
      </x:c>
      <x:c r="G22" s="6" t="n">
        <x:v>-56800</x:v>
      </x:c>
      <x:c r="H22" s="6" t="n">
        <x:v>78100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-54200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24000</x:v>
      </x:c>
      <x:c r="E24" s="6" t="n">
        <x:f>C24-D24</x:f>
        <x:v>-24000</x:v>
      </x:c>
      <x:c r="F24" s="6" t="n">
        <x:f>F23+E24</x:f>
        <x:v>-78200</x:v>
      </x:c>
      <x:c r="G24" s="6" t="n">
        <x:v>-24000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-78200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-78200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-78200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-78200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-78200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-78200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13000</x:v>
      </x:c>
      <x:c r="D31" s="6" t="n">
        <x:v>0</x:v>
      </x:c>
      <x:c r="E31" s="6" t="n">
        <x:f>C31-D31</x:f>
        <x:v>13000</x:v>
      </x:c>
      <x:c r="F31" s="6" t="n">
        <x:f>F30+E31</x:f>
        <x:v>-65200</x:v>
      </x:c>
      <x:c r="G31" s="6" t="n">
        <x:v>-7800</x:v>
      </x:c>
      <x:c r="H31" s="6" t="n">
        <x:v>28600</x:v>
      </x:c>
    </x:row>
    <x:row r="32" ht="25" customHeight="1">
      <x:c r="A32" s="13" t="str">
        <x:v>累計／場内最悪値</x:v>
      </x:c>
      <x:c r="B32" s="13"/>
      <x:c r="C32" s="14" t="n">
        <x:f>SUM(C6:C31)</x:f>
        <x:v>15600</x:v>
      </x:c>
      <x:c r="D32" s="14" t="n">
        <x:f>SUM(D6:D31)</x:f>
        <x:v>80800</x:v>
      </x:c>
      <x:c r="E32" s="14" t="n">
        <x:f>C32-D32</x:f>
        <x:v>-65200</x:v>
      </x:c>
      <x:c r="F32" s="14" t="n">
        <x:f>F31</x:f>
        <x:v>-65200</x:v>
      </x:c>
      <x:c r="G32" s="14" t="n">
        <x:f>MIN(G6:G31)</x:f>
        <x:v>-56800</x:v>
      </x:c>
      <x:c r="H32" s="14" t="n">
        <x:f>MAX(H6:H31)</x:f>
        <x:v>78100</x:v>
      </x:c>
    </x:row>
  </x:sheetData>
  <x:conditionalFormatting sqref="E6:F31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e76a0c681a4d74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初回数量式を二乗抑制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</x:v>
      </x:c>
      <x:c r="D19" s="6" t="n">
        <x:v>0</x:v>
      </x:c>
      <x:c r="E19" s="6" t="n">
        <x:f>C19-D19</x:f>
        <x:v>200</x:v>
      </x:c>
      <x:c r="F19" s="6" t="n">
        <x:f>F18+E19</x:f>
        <x:v>200</x:v>
      </x:c>
      <x:c r="G19" s="6" t="n">
        <x:v>-200</x:v>
      </x:c>
      <x:c r="H19" s="6" t="n">
        <x:v>400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40000</x:v>
      </x:c>
      <x:c r="E22" s="6" t="n">
        <x:f>C22-D22</x:f>
        <x:v>-40000</x:v>
      </x:c>
      <x:c r="F22" s="6" t="n">
        <x:f>F21+E22</x:f>
        <x:v>-39800</x:v>
      </x:c>
      <x:c r="G22" s="6" t="n">
        <x:v>-40000</x:v>
      </x:c>
      <x:c r="H22" s="6" t="n">
        <x:v>55000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-39800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7200</x:v>
      </x:c>
      <x:c r="E24" s="6" t="n">
        <x:f>C24-D24</x:f>
        <x:v>-7200</x:v>
      </x:c>
      <x:c r="F24" s="6" t="n">
        <x:f>F23+E24</x:f>
        <x:v>-47000</x:v>
      </x:c>
      <x:c r="G24" s="6" t="n">
        <x:v>-7200</x:v>
      </x:c>
      <x:c r="H24" s="6" t="n">
        <x:v>7200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-47000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-47000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-47000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-47000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-47000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-47000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6500</x:v>
      </x:c>
      <x:c r="D31" s="6" t="n">
        <x:v>0</x:v>
      </x:c>
      <x:c r="E31" s="6" t="n">
        <x:f>C31-D31</x:f>
        <x:v>6500</x:v>
      </x:c>
      <x:c r="F31" s="6" t="n">
        <x:f>F30+E31</x:f>
        <x:v>-40500</x:v>
      </x:c>
      <x:c r="G31" s="6" t="n">
        <x:v>-3900</x:v>
      </x:c>
      <x:c r="H31" s="6" t="n">
        <x:v>14700</x:v>
      </x:c>
    </x:row>
    <x:row r="32" ht="25" customHeight="1">
      <x:c r="A32" s="13" t="str">
        <x:v>累計／場内最悪値</x:v>
      </x:c>
      <x:c r="B32" s="13"/>
      <x:c r="C32" s="14" t="n">
        <x:f>SUM(C6:C31)</x:f>
        <x:v>6700</x:v>
      </x:c>
      <x:c r="D32" s="14" t="n">
        <x:f>SUM(D6:D31)</x:f>
        <x:v>47200</x:v>
      </x:c>
      <x:c r="E32" s="14" t="n">
        <x:f>C32-D32</x:f>
        <x:v>-40500</x:v>
      </x:c>
      <x:c r="F32" s="14" t="n">
        <x:f>F31</x:f>
        <x:v>-40500</x:v>
      </x:c>
      <x:c r="G32" s="14" t="n">
        <x:f>MIN(G6:G31)</x:f>
        <x:v>-40000</x:v>
      </x:c>
      <x:c r="H32" s="14" t="n">
        <x:f>MAX(H6:H31)</x:f>
        <x:v>55000</x:v>
      </x:c>
    </x:row>
  </x:sheetData>
  <x:conditionalFormatting sqref="E6:F31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0374283e6645c9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順行40ptで支持目標まで追加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56800</x:v>
      </x:c>
      <x:c r="E22" s="6" t="n">
        <x:f>C22-D22</x:f>
        <x:v>-56800</x:v>
      </x:c>
      <x:c r="F22" s="6" t="n">
        <x:f>F21+E22</x:f>
        <x:v>-54200</x:v>
      </x:c>
      <x:c r="G22" s="6" t="n">
        <x:v>-56800</x:v>
      </x:c>
      <x:c r="H22" s="6" t="n">
        <x:v>78100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-54200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24000</x:v>
      </x:c>
      <x:c r="E24" s="6" t="n">
        <x:f>C24-D24</x:f>
        <x:v>-24000</x:v>
      </x:c>
      <x:c r="F24" s="6" t="n">
        <x:f>F23+E24</x:f>
        <x:v>-78200</x:v>
      </x:c>
      <x:c r="G24" s="6" t="n">
        <x:v>-24000</x:v>
      </x:c>
      <x:c r="H24" s="6" t="n">
        <x:v>24000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-78200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-78200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-78200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-78200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-78200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-78200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-107900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110500</x:v>
      </x:c>
      <x:c r="E32" s="14" t="n">
        <x:f>C32-D32</x:f>
        <x:v>-107900</x:v>
      </x:c>
      <x:c r="F32" s="14" t="n">
        <x:f>F31</x:f>
        <x:v>-107900</x:v>
      </x:c>
      <x:c r="G32" s="14" t="n">
        <x:f>MIN(G6:G31)</x:f>
        <x:v>-56800</x:v>
      </x:c>
      <x:c r="H32" s="14" t="n">
        <x:f>MAX(H6:H31)</x:f>
        <x:v>78100</x:v>
      </x:c>
    </x:row>
  </x:sheetData>
  <x:conditionalFormatting sqref="E6:F31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0ae7b2e36546ed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二乗抑制＋順行追加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</x:v>
      </x:c>
      <x:c r="D19" s="6" t="n">
        <x:v>0</x:v>
      </x:c>
      <x:c r="E19" s="6" t="n">
        <x:f>C19-D19</x:f>
        <x:v>200</x:v>
      </x:c>
      <x:c r="F19" s="6" t="n">
        <x:f>F18+E19</x:f>
        <x:v>200</x:v>
      </x:c>
      <x:c r="G19" s="6" t="n">
        <x:v>-200</x:v>
      </x:c>
      <x:c r="H19" s="6" t="n">
        <x:v>400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40000</x:v>
      </x:c>
      <x:c r="E22" s="6" t="n">
        <x:f>C22-D22</x:f>
        <x:v>-40000</x:v>
      </x:c>
      <x:c r="F22" s="6" t="n">
        <x:f>F21+E22</x:f>
        <x:v>-39800</x:v>
      </x:c>
      <x:c r="G22" s="6" t="n">
        <x:v>-40000</x:v>
      </x:c>
      <x:c r="H22" s="6" t="n">
        <x:v>55000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-39800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7200</x:v>
      </x:c>
      <x:c r="E24" s="6" t="n">
        <x:f>C24-D24</x:f>
        <x:v>-7200</x:v>
      </x:c>
      <x:c r="F24" s="6" t="n">
        <x:f>F23+E24</x:f>
        <x:v>-47000</x:v>
      </x:c>
      <x:c r="G24" s="6" t="n">
        <x:v>-7200</x:v>
      </x:c>
      <x:c r="H24" s="6" t="n">
        <x:v>7200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-47000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-47000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-47000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-47000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-47000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-47000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40800</x:v>
      </x:c>
      <x:c r="E31" s="6" t="n">
        <x:f>C31-D31</x:f>
        <x:v>-40800</x:v>
      </x:c>
      <x:c r="F31" s="6" t="n">
        <x:f>F30+E31</x:f>
        <x:v>-87800</x:v>
      </x:c>
      <x:c r="G31" s="6" t="n">
        <x:v>-40800</x:v>
      </x:c>
      <x:c r="H31" s="6" t="n">
        <x:v>82400</x:v>
      </x:c>
    </x:row>
    <x:row r="32" ht="25" customHeight="1">
      <x:c r="A32" s="13" t="str">
        <x:v>累計／場内最悪値</x:v>
      </x:c>
      <x:c r="B32" s="13"/>
      <x:c r="C32" s="14" t="n">
        <x:f>SUM(C6:C31)</x:f>
        <x:v>200</x:v>
      </x:c>
      <x:c r="D32" s="14" t="n">
        <x:f>SUM(D6:D31)</x:f>
        <x:v>88000</x:v>
      </x:c>
      <x:c r="E32" s="14" t="n">
        <x:f>C32-D32</x:f>
        <x:v>-87800</x:v>
      </x:c>
      <x:c r="F32" s="14" t="n">
        <x:f>F31</x:f>
        <x:v>-87800</x:v>
      </x:c>
      <x:c r="G32" s="14" t="n">
        <x:f>MIN(G6:G31)</x:f>
        <x:v>-40800</x:v>
      </x:c>
      <x:c r="H32" s="14" t="n">
        <x:f>MAX(H6:H31)</x:f>
        <x:v>82400</x:v>
      </x:c>
    </x:row>
  </x:sheetData>
  <x:conditionalFormatting sqref="E6:F31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7d8a50fc5f46f0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順行追加＋短期反対支持でセーブ/復帰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d264a388694b01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二乗抑制＋セーブ/復帰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</x:v>
      </x:c>
      <x:c r="D19" s="6" t="n">
        <x:v>0</x:v>
      </x:c>
      <x:c r="E19" s="6" t="n">
        <x:f>C19-D19</x:f>
        <x:v>200</x:v>
      </x:c>
      <x:c r="F19" s="6" t="n">
        <x:f>F18+E19</x:f>
        <x:v>200</x:v>
      </x:c>
      <x:c r="G19" s="6" t="n">
        <x:v>-200</x:v>
      </x:c>
      <x:c r="H19" s="6" t="n">
        <x:v>400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39400</x:v>
      </x:c>
      <x:c r="E22" s="6" t="n">
        <x:f>C22-D22</x:f>
        <x:v>-39400</x:v>
      </x:c>
      <x:c r="F22" s="6" t="n">
        <x:f>F21+E22</x:f>
        <x:v>-39200</x:v>
      </x:c>
      <x:c r="G22" s="6" t="n">
        <x:v>-39400</x:v>
      </x:c>
      <x:c r="H22" s="6" t="n">
        <x:v>54400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-39200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13300</x:v>
      </x:c>
      <x:c r="E24" s="6" t="n">
        <x:f>C24-D24</x:f>
        <x:v>-13300</x:v>
      </x:c>
      <x:c r="F24" s="6" t="n">
        <x:f>F23+E24</x:f>
        <x:v>-52500</x:v>
      </x:c>
      <x:c r="G24" s="6" t="n">
        <x:v>-22800</x:v>
      </x:c>
      <x:c r="H24" s="6" t="n">
        <x:v>22800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-52500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-52500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-52500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-52500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-52500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-52500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40800</x:v>
      </x:c>
      <x:c r="E31" s="6" t="n">
        <x:f>C31-D31</x:f>
        <x:v>-40800</x:v>
      </x:c>
      <x:c r="F31" s="6" t="n">
        <x:f>F30+E31</x:f>
        <x:v>-93300</x:v>
      </x:c>
      <x:c r="G31" s="6" t="n">
        <x:v>-40800</x:v>
      </x:c>
      <x:c r="H31" s="6" t="n">
        <x:v>82400</x:v>
      </x:c>
    </x:row>
    <x:row r="32" ht="25" customHeight="1">
      <x:c r="A32" s="13" t="str">
        <x:v>累計／場内最悪値</x:v>
      </x:c>
      <x:c r="B32" s="13"/>
      <x:c r="C32" s="14" t="n">
        <x:f>SUM(C6:C31)</x:f>
        <x:v>200</x:v>
      </x:c>
      <x:c r="D32" s="14" t="n">
        <x:f>SUM(D6:D31)</x:f>
        <x:v>93500</x:v>
      </x:c>
      <x:c r="E32" s="14" t="n">
        <x:f>C32-D32</x:f>
        <x:v>-93300</x:v>
      </x:c>
      <x:c r="F32" s="14" t="n">
        <x:f>F31</x:f>
        <x:v>-93300</x:v>
      </x:c>
      <x:c r="G32" s="14" t="n">
        <x:f>MIN(G6:G31)</x:f>
        <x:v>-40800</x:v>
      </x:c>
      <x:c r="H32" s="14" t="n">
        <x:f>MAX(H6:H31)</x:f>
        <x:v>82400</x:v>
      </x:c>
    </x:row>
  </x:sheetData>
  <x:conditionalFormatting sqref="E6:F31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0fe20d82364722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逆行20pt後20pt回復・累計25micro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65100</x:v>
      </x:c>
      <x:c r="E22" s="6" t="n">
        <x:f>C22-D22</x:f>
        <x:v>-65100</x:v>
      </x:c>
      <x:c r="F22" s="6" t="n">
        <x:f>F21+E22</x:f>
        <x:v>-62500</x:v>
      </x:c>
      <x:c r="G22" s="6" t="n">
        <x:v>-65100</x:v>
      </x:c>
      <x:c r="H22" s="6" t="n">
        <x:v>86400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-62500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-92600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-92600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-92600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-92600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-92600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-92600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-92600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8800</x:v>
      </x:c>
      <x:c r="E31" s="6" t="n">
        <x:f>C31-D31</x:f>
        <x:v>-8800</x:v>
      </x:c>
      <x:c r="F31" s="6" t="n">
        <x:f>F30+E31</x:f>
        <x:v>-101400</x:v>
      </x:c>
      <x:c r="G31" s="6" t="n">
        <x:v>-25900</x:v>
      </x:c>
      <x:c r="H31" s="6" t="n">
        <x:v>53200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104000</x:v>
      </x:c>
      <x:c r="E32" s="14" t="n">
        <x:f>C32-D32</x:f>
        <x:v>-101400</x:v>
      </x:c>
      <x:c r="F32" s="14" t="n">
        <x:f>F31</x:f>
        <x:v>-101400</x:v>
      </x:c>
      <x:c r="G32" s="14" t="n">
        <x:f>MIN(G6:G31)</x:f>
        <x:v>-65100</x:v>
      </x:c>
      <x:c r="H32" s="14" t="n">
        <x:f>MAX(H6:H31)</x:f>
        <x:v>86400</x:v>
      </x:c>
    </x:row>
  </x:sheetData>
  <x:conditionalFormatting sqref="E6:F31">
    <x:cfRule type="cellIs" dxfId="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cba32632874270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逆行40pt後20pt回復・累計25micro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97ff4412a243e5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逆行60pt後20pt回復・累計25micro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66a313889a4bec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Q10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逆行40pt後20pt回復・累計50micro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c2b698af124c94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Q11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二乗抑制＋逆行40pt/累計25micro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</x:v>
      </x:c>
      <x:c r="D19" s="6" t="n">
        <x:v>0</x:v>
      </x:c>
      <x:c r="E19" s="6" t="n">
        <x:f>C19-D19</x:f>
        <x:v>200</x:v>
      </x:c>
      <x:c r="F19" s="6" t="n">
        <x:f>F18+E19</x:f>
        <x:v>200</x:v>
      </x:c>
      <x:c r="G19" s="6" t="n">
        <x:v>-200</x:v>
      </x:c>
      <x:c r="H19" s="6" t="n">
        <x:v>400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39400</x:v>
      </x:c>
      <x:c r="E22" s="6" t="n">
        <x:f>C22-D22</x:f>
        <x:v>-39400</x:v>
      </x:c>
      <x:c r="F22" s="6" t="n">
        <x:f>F21+E22</x:f>
        <x:v>-39200</x:v>
      </x:c>
      <x:c r="G22" s="6" t="n">
        <x:v>-39400</x:v>
      </x:c>
      <x:c r="H22" s="6" t="n">
        <x:v>54400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-39200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13300</x:v>
      </x:c>
      <x:c r="E24" s="6" t="n">
        <x:f>C24-D24</x:f>
        <x:v>-13300</x:v>
      </x:c>
      <x:c r="F24" s="6" t="n">
        <x:f>F23+E24</x:f>
        <x:v>-52500</x:v>
      </x:c>
      <x:c r="G24" s="6" t="n">
        <x:v>-22800</x:v>
      </x:c>
      <x:c r="H24" s="6" t="n">
        <x:v>22800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-52500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-52500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-52500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-52500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-52500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-52500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40800</x:v>
      </x:c>
      <x:c r="E31" s="6" t="n">
        <x:f>C31-D31</x:f>
        <x:v>-40800</x:v>
      </x:c>
      <x:c r="F31" s="6" t="n">
        <x:f>F30+E31</x:f>
        <x:v>-93300</x:v>
      </x:c>
      <x:c r="G31" s="6" t="n">
        <x:v>-40800</x:v>
      </x:c>
      <x:c r="H31" s="6" t="n">
        <x:v>82400</x:v>
      </x:c>
    </x:row>
    <x:row r="32" ht="25" customHeight="1">
      <x:c r="A32" s="13" t="str">
        <x:v>累計／場内最悪値</x:v>
      </x:c>
      <x:c r="B32" s="13"/>
      <x:c r="C32" s="14" t="n">
        <x:f>SUM(C6:C31)</x:f>
        <x:v>200</x:v>
      </x:c>
      <x:c r="D32" s="14" t="n">
        <x:f>SUM(D6:D31)</x:f>
        <x:v>93500</x:v>
      </x:c>
      <x:c r="E32" s="14" t="n">
        <x:f>C32-D32</x:f>
        <x:v>-93300</x:v>
      </x:c>
      <x:c r="F32" s="14" t="n">
        <x:f>F31</x:f>
        <x:v>-93300</x:v>
      </x:c>
      <x:c r="G32" s="14" t="n">
        <x:f>MIN(G6:G31)</x:f>
        <x:v>-40800</x:v>
      </x:c>
      <x:c r="H32" s="14" t="n">
        <x:f>MAX(H6:H31)</x:f>
        <x:v>82400</x:v>
      </x:c>
    </x:row>
  </x:sheetData>
  <x:conditionalFormatting sqref="E6:F31">
    <x:cfRule type="cellIs" dxfId="3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97beb449274f3e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Q12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セーブ有・順行追加80pt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41600</x:v>
      </x:c>
      <x:c r="E31" s="6" t="n">
        <x:f>C31-D31</x:f>
        <x:v>-41600</x:v>
      </x:c>
      <x:c r="F31" s="6" t="n">
        <x:f>F30+E31</x:f>
        <x:v>-125300</x:v>
      </x:c>
      <x:c r="G31" s="6" t="n">
        <x:v>-41600</x:v>
      </x:c>
      <x:c r="H31" s="6" t="n">
        <x:v>62400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127900</x:v>
      </x:c>
      <x:c r="E32" s="14" t="n">
        <x:f>C32-D32</x:f>
        <x:v>-125300</x:v>
      </x:c>
      <x:c r="F32" s="14" t="n">
        <x:f>F31</x:f>
        <x:v>-125300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02a114ed5f475c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Q13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セーブ有・順行追加20pt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65900</x:v>
      </x:c>
      <x:c r="E22" s="6" t="n">
        <x:f>C22-D22</x:f>
        <x:v>-65900</x:v>
      </x:c>
      <x:c r="F22" s="6" t="n">
        <x:f>F21+E22</x:f>
        <x:v>-63300</x:v>
      </x:c>
      <x:c r="G22" s="6" t="n">
        <x:v>-65900</x:v>
      </x:c>
      <x:c r="H22" s="6" t="n">
        <x:v>85300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-63300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-93400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-93400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-93400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-93400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-93400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-93400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-93400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7500</x:v>
      </x:c>
      <x:c r="E31" s="6" t="n">
        <x:f>C31-D31</x:f>
        <x:v>-7500</x:v>
      </x:c>
      <x:c r="F31" s="6" t="n">
        <x:f>F30+E31</x:f>
        <x:v>-100900</x:v>
      </x:c>
      <x:c r="G31" s="6" t="n">
        <x:v>-18000</x:v>
      </x:c>
      <x:c r="H31" s="6" t="n">
        <x:v>46800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103500</x:v>
      </x:c>
      <x:c r="E32" s="14" t="n">
        <x:f>C32-D32</x:f>
        <x:v>-100900</x:v>
      </x:c>
      <x:c r="F32" s="14" t="n">
        <x:f>F31</x:f>
        <x:v>-100900</x:v>
      </x:c>
      <x:c r="G32" s="14" t="n">
        <x:f>MIN(G6:G31)</x:f>
        <x:v>-65900</x:v>
      </x:c>
      <x:c r="H32" s="14" t="n">
        <x:f>MAX(H6:H31)</x:f>
        <x:v>85300</x:v>
      </x:c>
    </x:row>
  </x:sheetData>
  <x:conditionalFormatting sqref="E6:F31">
    <x:cfRule type="cellIs" dxfId="3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625d2fc79d4687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H05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同じCanonical判断を両側保有で実行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-36100</x:v>
      </x:c>
      <x:c r="H24" s="6" t="n">
        <x:v>36100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ac33103650470f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H08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同じCanonical判断を両側保有で実行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-36100</x:v>
      </x:c>
      <x:c r="H24" s="6" t="n">
        <x:v>36100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364366469d46b4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D05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場開始比赤字8～16万円で新規量抑制/16万円停止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3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6c017f22a344c6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D08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場開始比赤字8～16万円で新規量抑制/16万円停止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0</x:v>
      </x:c>
      <x:c r="D9" s="6" t="n">
        <x:v>0</x:v>
      </x:c>
      <x:c r="E9" s="6" t="n">
        <x:f>C9-D9</x:f>
        <x:v>0</x:v>
      </x:c>
      <x:c r="F9" s="6" t="n">
        <x:f>F8+E9</x:f>
        <x:v>0</x:v>
      </x:c>
      <x:c r="G9" s="6" t="n">
        <x:v>0</x:v>
      </x:c>
      <x:c r="H9" s="6" t="n">
        <x:v>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0</x:v>
      </x:c>
      <x:c r="E10" s="6" t="n">
        <x:f>C10-D10</x:f>
        <x:v>0</x:v>
      </x:c>
      <x:c r="F10" s="6" t="n">
        <x:f>F9+E10</x:f>
        <x:v>0</x:v>
      </x:c>
      <x:c r="G10" s="6" t="n">
        <x:v>0</x:v>
      </x:c>
      <x:c r="H10" s="6" t="n">
        <x:v>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0</x:v>
      </x:c>
      <x:c r="E11" s="6" t="n">
        <x:f>C11-D11</x:f>
        <x:v>0</x:v>
      </x:c>
      <x:c r="F11" s="6" t="n">
        <x:f>F10+E11</x:f>
        <x:v>0</x:v>
      </x:c>
      <x:c r="G11" s="6" t="n">
        <x:v>0</x:v>
      </x:c>
      <x:c r="H11" s="6" t="n">
        <x:v>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0</x:v>
      </x:c>
      <x:c r="E12" s="6" t="n">
        <x:f>C12-D12</x:f>
        <x:v>0</x:v>
      </x:c>
      <x:c r="F12" s="6" t="n">
        <x:f>F11+E12</x:f>
        <x:v>0</x:v>
      </x:c>
      <x:c r="G12" s="6" t="n">
        <x:v>0</x:v>
      </x:c>
      <x:c r="H12" s="6" t="n">
        <x:v>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0</x:v>
      </x:c>
      <x:c r="E14" s="6" t="n">
        <x:f>C14-D14</x:f>
        <x:v>0</x:v>
      </x:c>
      <x:c r="F14" s="6" t="n">
        <x:f>F13+E14</x:f>
        <x:v>0</x:v>
      </x:c>
      <x:c r="G14" s="6" t="n">
        <x:v>0</x:v>
      </x:c>
      <x:c r="H14" s="6" t="n">
        <x:v>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0</x:v>
      </x:c>
      <x:c r="E15" s="6" t="n">
        <x:f>C15-D15</x:f>
        <x:v>0</x:v>
      </x:c>
      <x:c r="F15" s="6" t="n">
        <x:f>F14+E15</x:f>
        <x:v>0</x:v>
      </x:c>
      <x:c r="G15" s="6" t="n">
        <x:v>0</x:v>
      </x:c>
      <x:c r="H15" s="6" t="n">
        <x:v>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0</x:v>
      </x:c>
      <x:c r="E16" s="6" t="n">
        <x:f>C16-D16</x:f>
        <x:v>0</x:v>
      </x:c>
      <x:c r="F16" s="6" t="n">
        <x:f>F15+E16</x:f>
        <x:v>0</x:v>
      </x:c>
      <x:c r="G16" s="6" t="n">
        <x:v>0</x:v>
      </x:c>
      <x:c r="H16" s="6" t="n">
        <x:v>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0</x:v>
      </x:c>
      <x:c r="E17" s="6" t="n">
        <x:f>C17-D17</x:f>
        <x:v>0</x:v>
      </x:c>
      <x:c r="F17" s="6" t="n">
        <x:f>F16+E17</x:f>
        <x:v>0</x:v>
      </x:c>
      <x:c r="G17" s="6" t="n">
        <x:v>0</x:v>
      </x:c>
      <x:c r="H17" s="6" t="n">
        <x:v>0</x:v>
      </x:c>
    </x:row>
    <x:row r="18" ht="25" customHeight="1">
      <x:c r="A18" s="2" t="str">
        <x:v>2026-10-07_Day</x:v>
      </x:c>
      <x:c r="B18" s="2" t="str">
        <x:v>下落</x:v>
      </x:c>
      <x:c r="C18" s="6" t="n">
        <x:v>0</x:v>
      </x:c>
      <x:c r="D18" s="6" t="n">
        <x:v>0</x:v>
      </x:c>
      <x:c r="E18" s="6" t="n">
        <x:f>C18-D18</x:f>
        <x:v>0</x:v>
      </x:c>
      <x:c r="F18" s="6" t="n">
        <x:f>F17+E18</x:f>
        <x:v>0</x:v>
      </x:c>
      <x:c r="G18" s="6" t="n">
        <x:v>0</x:v>
      </x:c>
      <x:c r="H18" s="6" t="n">
        <x:v>0</x:v>
      </x:c>
    </x:row>
    <x:row r="19" ht="25" customHeight="1">
      <x:c r="A19" s="2" t="str">
        <x:v>2026-10-08_Day</x:v>
      </x:c>
      <x:c r="B19" s="2" t="str">
        <x:v>下落</x:v>
      </x:c>
      <x:c r="C19" s="6" t="n">
        <x:v>2600</x:v>
      </x:c>
      <x:c r="D19" s="6" t="n">
        <x:v>0</x:v>
      </x:c>
      <x:c r="E19" s="6" t="n">
        <x:f>C19-D19</x:f>
        <x:v>2600</x:v>
      </x:c>
      <x:c r="F19" s="6" t="n">
        <x:f>F18+E19</x:f>
        <x:v>2600</x:v>
      </x:c>
      <x:c r="G19" s="6" t="n">
        <x:v>-2600</x:v>
      </x:c>
      <x:c r="H19" s="6" t="n">
        <x:v>5200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2600</x:v>
      </x:c>
      <x:c r="G20" s="6" t="n">
        <x:v>0</x:v>
      </x:c>
      <x:c r="H20" s="6" t="n">
        <x:v>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2600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56200</x:v>
      </x:c>
      <x:c r="E22" s="6" t="n">
        <x:f>C22-D22</x:f>
        <x:v>-56200</x:v>
      </x:c>
      <x:c r="F22" s="6" t="n">
        <x:f>F21+E22</x:f>
        <x:v>-53600</x:v>
      </x:c>
      <x:c r="G22" s="6" t="n">
        <x:v>-56200</x:v>
      </x:c>
      <x:c r="H22" s="6" t="n">
        <x:v>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0</x:v>
      </x:c>
      <x:c r="E23" s="6" t="n">
        <x:f>C23-D23</x:f>
        <x:v>0</x:v>
      </x:c>
      <x:c r="F23" s="6" t="n">
        <x:f>F22+E23</x:f>
        <x:v>-53600</x:v>
      </x:c>
      <x:c r="G23" s="6" t="n">
        <x:v>0</x:v>
      </x:c>
      <x:c r="H23" s="6" t="n">
        <x:v>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30100</x:v>
      </x:c>
      <x:c r="E24" s="6" t="n">
        <x:f>C24-D24</x:f>
        <x:v>-30100</x:v>
      </x:c>
      <x:c r="F24" s="6" t="n">
        <x:f>F23+E24</x:f>
        <x:v>-83700</x:v>
      </x:c>
      <x:c r="G24" s="6" t="n">
        <x:v>-34600</x:v>
      </x:c>
      <x:c r="H24" s="6" t="n">
        <x:v>34600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0</x:v>
      </x:c>
      <x:c r="E25" s="6" t="n">
        <x:f>C25-D25</x:f>
        <x:v>0</x:v>
      </x:c>
      <x:c r="F25" s="6" t="n">
        <x:f>F24+E25</x:f>
        <x:v>-83700</x:v>
      </x:c>
      <x:c r="G25" s="6" t="n">
        <x:v>0</x:v>
      </x:c>
      <x:c r="H25" s="6" t="n">
        <x:v>0</x:v>
      </x:c>
    </x:row>
    <x:row r="26" ht="25" customHeight="1">
      <x:c r="A26" s="2" t="str">
        <x:v>2026-10-19_Day</x:v>
      </x:c>
      <x:c r="B26" s="2" t="str">
        <x:v>上昇</x:v>
      </x:c>
      <x:c r="C26" s="6" t="n">
        <x:v>0</x:v>
      </x:c>
      <x:c r="D26" s="6" t="n">
        <x:v>0</x:v>
      </x:c>
      <x:c r="E26" s="6" t="n">
        <x:f>C26-D26</x:f>
        <x:v>0</x:v>
      </x:c>
      <x:c r="F26" s="6" t="n">
        <x:f>F25+E26</x:f>
        <x:v>-83700</x:v>
      </x:c>
      <x:c r="G26" s="6" t="n">
        <x:v>0</x:v>
      </x:c>
      <x:c r="H26" s="6" t="n">
        <x:v>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0</x:v>
      </x:c>
      <x:c r="E27" s="6" t="n">
        <x:f>C27-D27</x:f>
        <x:v>0</x:v>
      </x:c>
      <x:c r="F27" s="6" t="n">
        <x:f>F26+E27</x:f>
        <x:v>-83700</x:v>
      </x:c>
      <x:c r="G27" s="6" t="n">
        <x:v>0</x:v>
      </x:c>
      <x:c r="H27" s="6" t="n">
        <x:v>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0</x:v>
      </x:c>
      <x:c r="E28" s="6" t="n">
        <x:f>C28-D28</x:f>
        <x:v>0</x:v>
      </x:c>
      <x:c r="F28" s="6" t="n">
        <x:f>F27+E28</x:f>
        <x:v>-83700</x:v>
      </x:c>
      <x:c r="G28" s="6" t="n">
        <x:v>0</x:v>
      </x:c>
      <x:c r="H28" s="6" t="n">
        <x:v>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-83700</x:v>
      </x:c>
      <x:c r="G29" s="6" t="n">
        <x:v>0</x:v>
      </x:c>
      <x:c r="H29" s="6" t="n">
        <x:v>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0</x:v>
      </x:c>
      <x:c r="E30" s="6" t="n">
        <x:f>C30-D30</x:f>
        <x:v>0</x:v>
      </x:c>
      <x:c r="F30" s="6" t="n">
        <x:f>F29+E30</x:f>
        <x:v>-83700</x:v>
      </x:c>
      <x:c r="G30" s="6" t="n">
        <x:v>0</x:v>
      </x:c>
      <x:c r="H30" s="6" t="n">
        <x:v>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29700</x:v>
      </x:c>
      <x:c r="E31" s="6" t="n">
        <x:f>C31-D31</x:f>
        <x:v>-29700</x:v>
      </x:c>
      <x:c r="F31" s="6" t="n">
        <x:f>F30+E31</x:f>
        <x:v>-113400</x:v>
      </x:c>
      <x:c r="G31" s="6" t="n">
        <x:v>-29700</x:v>
      </x:c>
      <x:c r="H31" s="6" t="n">
        <x:v>61600</x:v>
      </x:c>
    </x:row>
    <x:row r="32" ht="25" customHeight="1">
      <x:c r="A32" s="13" t="str">
        <x:v>累計／場内最悪値</x:v>
      </x:c>
      <x:c r="B32" s="13"/>
      <x:c r="C32" s="14" t="n">
        <x:f>SUM(C6:C31)</x:f>
        <x:v>2600</x:v>
      </x:c>
      <x:c r="D32" s="14" t="n">
        <x:f>SUM(D6:D31)</x:f>
        <x:v>116000</x:v>
      </x:c>
      <x:c r="E32" s="14" t="n">
        <x:f>C32-D32</x:f>
        <x:v>-113400</x:v>
      </x:c>
      <x:c r="F32" s="14" t="n">
        <x:f>F31</x:f>
        <x:v>-113400</x:v>
      </x:c>
      <x:c r="G32" s="14" t="n">
        <x:f>MIN(G6:G31)</x:f>
        <x:v>-56200</x:v>
      </x:c>
      <x:c r="H32" s="14" t="n">
        <x:f>MAX(H6:H31)</x:f>
        <x:v>77500</x:v>
      </x:c>
    </x:row>
  </x:sheetData>
  <x:conditionalFormatting sqref="E6:F31">
    <x:cfRule type="cellIs" dxfId="4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32aedf39c2436f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V_C01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観測修正／旧数量＋各玉80pt防御/40pt利益開始40pt追尾/親8万円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25000</x:v>
      </x:c>
      <x:c r="D6" s="6" t="n">
        <x:v>16000</x:v>
      </x:c>
      <x:c r="E6" s="6" t="n">
        <x:f>C6-D6</x:f>
        <x:v>9000</x:v>
      </x:c>
      <x:c r="F6" s="6" t="n">
        <x:f>E6</x:f>
        <x:v>9000</x:v>
      </x:c>
      <x:c r="G6" s="6" t="n">
        <x:v>-26000</x:v>
      </x:c>
      <x:c r="H6" s="6" t="n">
        <x:v>28000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70000</x:v>
      </x:c>
      <x:c r="E7" s="6" t="n">
        <x:f>C7-D7</x:f>
        <x:v>-70000</x:v>
      </x:c>
      <x:c r="F7" s="6" t="n">
        <x:f>F6+E7</x:f>
        <x:v>-61000</x:v>
      </x:c>
      <x:c r="G7" s="6" t="n">
        <x:v>-70000</x:v>
      </x:c>
      <x:c r="H7" s="6" t="n">
        <x:v>80000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-61000</x:v>
      </x:c>
      <x:c r="G8" s="6" t="n">
        <x:v>-10000</x:v>
      </x:c>
      <x:c r="H8" s="6" t="n">
        <x:v>20000</x:v>
      </x:c>
    </x:row>
    <x:row r="9" ht="25" customHeight="1">
      <x:c r="A9" s="2" t="str">
        <x:v>2026-09-24_Day</x:v>
      </x:c>
      <x:c r="B9" s="2" t="str">
        <x:v>下落</x:v>
      </x:c>
      <x:c r="C9" s="6" t="n">
        <x:v>67000</x:v>
      </x:c>
      <x:c r="D9" s="6" t="n">
        <x:v>16000</x:v>
      </x:c>
      <x:c r="E9" s="6" t="n">
        <x:f>C9-D9</x:f>
        <x:v>51000</x:v>
      </x:c>
      <x:c r="F9" s="6" t="n">
        <x:f>F8+E9</x:f>
        <x:v>-10000</x:v>
      </x:c>
      <x:c r="G9" s="6" t="n">
        <x:v>-49000</x:v>
      </x:c>
      <x:c r="H9" s="6" t="n">
        <x:v>57000</x:v>
      </x:c>
    </x:row>
    <x:row r="10" ht="25" customHeight="1">
      <x:c r="A10" s="2" t="str">
        <x:v>2026-09-25_Day</x:v>
      </x:c>
      <x:c r="B10" s="2" t="str">
        <x:v>上昇</x:v>
      </x:c>
      <x:c r="C10" s="6" t="n">
        <x:v>54000</x:v>
      </x:c>
      <x:c r="D10" s="6" t="n">
        <x:v>56000</x:v>
      </x:c>
      <x:c r="E10" s="6" t="n">
        <x:f>C10-D10</x:f>
        <x:v>-2000</x:v>
      </x:c>
      <x:c r="F10" s="6" t="n">
        <x:f>F9+E10</x:f>
        <x:v>-12000</x:v>
      </x:c>
      <x:c r="G10" s="6" t="n">
        <x:v>-4000</x:v>
      </x:c>
      <x:c r="H10" s="6" t="n">
        <x:v>69000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10000</x:v>
      </x:c>
      <x:c r="D11" s="6" t="n">
        <x:v>128000</x:v>
      </x:c>
      <x:c r="E11" s="6" t="n">
        <x:f>C11-D11</x:f>
        <x:v>-118000</x:v>
      </x:c>
      <x:c r="F11" s="6" t="n">
        <x:f>F10+E11</x:f>
        <x:v>-130000</x:v>
      </x:c>
      <x:c r="G11" s="6" t="n">
        <x:v>-126000</x:v>
      </x:c>
      <x:c r="H11" s="6" t="n">
        <x:v>132000</x:v>
      </x:c>
    </x:row>
    <x:row r="12" ht="25" customHeight="1">
      <x:c r="A12" s="2" t="str">
        <x:v>2026-09-29_Day</x:v>
      </x:c>
      <x:c r="B12" s="2" t="str">
        <x:v>下落</x:v>
      </x:c>
      <x:c r="C12" s="6" t="n">
        <x:v>19000</x:v>
      </x:c>
      <x:c r="D12" s="6" t="n">
        <x:v>48000</x:v>
      </x:c>
      <x:c r="E12" s="6" t="n">
        <x:f>C12-D12</x:f>
        <x:v>-29000</x:v>
      </x:c>
      <x:c r="F12" s="6" t="n">
        <x:f>F11+E12</x:f>
        <x:v>-159000</x:v>
      </x:c>
      <x:c r="G12" s="6" t="n">
        <x:v>-29000</x:v>
      </x:c>
      <x:c r="H12" s="6" t="n">
        <x:v>39000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7000</x:v>
      </x:c>
      <x:c r="D13" s="6" t="n">
        <x:v>56000</x:v>
      </x:c>
      <x:c r="E13" s="6" t="n">
        <x:f>C13-D13</x:f>
        <x:v>-49000</x:v>
      </x:c>
      <x:c r="F13" s="6" t="n">
        <x:f>F12+E13</x:f>
        <x:v>-208000</x:v>
      </x:c>
      <x:c r="G13" s="6" t="n">
        <x:v>-57000</x:v>
      </x:c>
      <x:c r="H13" s="6" t="n">
        <x:v>70000</x:v>
      </x:c>
    </x:row>
    <x:row r="14" ht="25" customHeight="1">
      <x:c r="A14" s="2" t="str">
        <x:v>2026-10-01_Day</x:v>
      </x:c>
      <x:c r="B14" s="2" t="str">
        <x:v>上昇</x:v>
      </x:c>
      <x:c r="C14" s="6" t="n">
        <x:v>73000</x:v>
      </x:c>
      <x:c r="D14" s="6" t="n">
        <x:v>70000</x:v>
      </x:c>
      <x:c r="E14" s="6" t="n">
        <x:f>C14-D14</x:f>
        <x:v>3000</x:v>
      </x:c>
      <x:c r="F14" s="6" t="n">
        <x:f>F13+E14</x:f>
        <x:v>-205000</x:v>
      </x:c>
      <x:c r="G14" s="6" t="n">
        <x:v>-52000</x:v>
      </x:c>
      <x:c r="H14" s="6" t="n">
        <x:v>62000</x:v>
      </x:c>
    </x:row>
    <x:row r="15" ht="25" customHeight="1">
      <x:c r="A15" s="2" t="str">
        <x:v>2026-10-02_Day</x:v>
      </x:c>
      <x:c r="B15" s="2" t="str">
        <x:v>上昇</x:v>
      </x:c>
      <x:c r="C15" s="6" t="n">
        <x:v>40000</x:v>
      </x:c>
      <x:c r="D15" s="6" t="n">
        <x:v>6000</x:v>
      </x:c>
      <x:c r="E15" s="6" t="n">
        <x:f>C15-D15</x:f>
        <x:v>34000</x:v>
      </x:c>
      <x:c r="F15" s="6" t="n">
        <x:f>F14+E15</x:f>
        <x:v>-171000</x:v>
      </x:c>
      <x:c r="G15" s="6" t="n">
        <x:v>-14000</x:v>
      </x:c>
      <x:c r="H15" s="6" t="n">
        <x:v>45000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54000</x:v>
      </x:c>
      <x:c r="D16" s="6" t="n">
        <x:v>73000</x:v>
      </x:c>
      <x:c r="E16" s="6" t="n">
        <x:f>C16-D16</x:f>
        <x:v>-19000</x:v>
      </x:c>
      <x:c r="F16" s="6" t="n">
        <x:f>F15+E16</x:f>
        <x:v>-190000</x:v>
      </x:c>
      <x:c r="G16" s="6" t="n">
        <x:v>-54000</x:v>
      </x:c>
      <x:c r="H16" s="6" t="n">
        <x:v>97000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53000</x:v>
      </x:c>
      <x:c r="D17" s="6" t="n">
        <x:v>32000</x:v>
      </x:c>
      <x:c r="E17" s="6" t="n">
        <x:f>C17-D17</x:f>
        <x:v>21000</x:v>
      </x:c>
      <x:c r="F17" s="6" t="n">
        <x:f>F16+E17</x:f>
        <x:v>-169000</x:v>
      </x:c>
      <x:c r="G17" s="6" t="n">
        <x:v>-10000</x:v>
      </x:c>
      <x:c r="H17" s="6" t="n">
        <x:v>52000</x:v>
      </x:c>
    </x:row>
    <x:row r="18" ht="25" customHeight="1">
      <x:c r="A18" s="2" t="str">
        <x:v>2026-10-07_Day</x:v>
      </x:c>
      <x:c r="B18" s="2" t="str">
        <x:v>下落</x:v>
      </x:c>
      <x:c r="C18" s="6" t="n">
        <x:v>58000</x:v>
      </x:c>
      <x:c r="D18" s="6" t="n">
        <x:v>41000</x:v>
      </x:c>
      <x:c r="E18" s="6" t="n">
        <x:f>C18-D18</x:f>
        <x:v>17000</x:v>
      </x:c>
      <x:c r="F18" s="6" t="n">
        <x:f>F17+E18</x:f>
        <x:v>-152000</x:v>
      </x:c>
      <x:c r="G18" s="6" t="n">
        <x:v>-30000</x:v>
      </x:c>
      <x:c r="H18" s="6" t="n">
        <x:v>53000</x:v>
      </x:c>
    </x:row>
    <x:row r="19" ht="25" customHeight="1">
      <x:c r="A19" s="2" t="str">
        <x:v>2026-10-08_Day</x:v>
      </x:c>
      <x:c r="B19" s="2" t="str">
        <x:v>下落</x:v>
      </x:c>
      <x:c r="C19" s="6" t="n">
        <x:v>34000</x:v>
      </x:c>
      <x:c r="D19" s="6" t="n">
        <x:v>76000</x:v>
      </x:c>
      <x:c r="E19" s="6" t="n">
        <x:f>C19-D19</x:f>
        <x:v>-42000</x:v>
      </x:c>
      <x:c r="F19" s="6" t="n">
        <x:f>F18+E19</x:f>
        <x:v>-194000</x:v>
      </x:c>
      <x:c r="G19" s="6" t="n">
        <x:v>-72000</x:v>
      </x:c>
      <x:c r="H19" s="6" t="n">
        <x:v>91000</x:v>
      </x:c>
    </x:row>
    <x:row r="20" ht="25" customHeight="1">
      <x:c r="A20" s="2" t="str">
        <x:v>2026-10-09_Day</x:v>
      </x:c>
      <x:c r="B20" s="2" t="str">
        <x:v>上昇</x:v>
      </x:c>
      <x:c r="C20" s="6" t="n">
        <x:v>40000</x:v>
      </x:c>
      <x:c r="D20" s="6" t="n">
        <x:v>48000</x:v>
      </x:c>
      <x:c r="E20" s="6" t="n">
        <x:f>C20-D20</x:f>
        <x:v>-8000</x:v>
      </x:c>
      <x:c r="F20" s="6" t="n">
        <x:f>F19+E20</x:f>
        <x:v>-202000</x:v>
      </x:c>
      <x:c r="G20" s="6" t="n">
        <x:v>-48000</x:v>
      </x:c>
      <x:c r="H20" s="6" t="n">
        <x:v>71000</x:v>
      </x:c>
    </x:row>
    <x:row r="21" ht="25" customHeight="1">
      <x:c r="A21" s="2" t="str">
        <x:v>2026-10-12_Day</x:v>
      </x:c>
      <x:c r="B21" s="2" t="str">
        <x:v>下落</x:v>
      </x:c>
      <x:c r="C21" s="6" t="n">
        <x:v>45000</x:v>
      </x:c>
      <x:c r="D21" s="6" t="n">
        <x:v>25000</x:v>
      </x:c>
      <x:c r="E21" s="6" t="n">
        <x:f>C21-D21</x:f>
        <x:v>20000</x:v>
      </x:c>
      <x:c r="F21" s="6" t="n">
        <x:f>F20+E21</x:f>
        <x:v>-182000</x:v>
      </x:c>
      <x:c r="G21" s="6" t="n">
        <x:v>-35000</x:v>
      </x:c>
      <x:c r="H21" s="6" t="n">
        <x:v>50000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64000</x:v>
      </x:c>
      <x:c r="D22" s="6" t="n">
        <x:v>112000</x:v>
      </x:c>
      <x:c r="E22" s="6" t="n">
        <x:f>C22-D22</x:f>
        <x:v>-48000</x:v>
      </x:c>
      <x:c r="F22" s="6" t="n">
        <x:f>F21+E22</x:f>
        <x:v>-230000</x:v>
      </x:c>
      <x:c r="G22" s="6" t="n">
        <x:v>-62000</x:v>
      </x:c>
      <x:c r="H22" s="6" t="n">
        <x:v>82000</x:v>
      </x:c>
    </x:row>
    <x:row r="23" ht="25" customHeight="1">
      <x:c r="A23" s="2" t="str">
        <x:v>2026-10-14_Day</x:v>
      </x:c>
      <x:c r="B23" s="2" t="str">
        <x:v>上昇</x:v>
      </x:c>
      <x:c r="C23" s="6" t="n">
        <x:v>50000</x:v>
      </x:c>
      <x:c r="D23" s="6" t="n">
        <x:v>16000</x:v>
      </x:c>
      <x:c r="E23" s="6" t="n">
        <x:f>C23-D23</x:f>
        <x:v>34000</x:v>
      </x:c>
      <x:c r="F23" s="6" t="n">
        <x:f>F22+E23</x:f>
        <x:v>-196000</x:v>
      </x:c>
      <x:c r="G23" s="6" t="n">
        <x:v>-21000</x:v>
      </x:c>
      <x:c r="H23" s="6" t="n">
        <x:v>25000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15000</x:v>
      </x:c>
      <x:c r="D24" s="6" t="n">
        <x:v>46000</x:v>
      </x:c>
      <x:c r="E24" s="6" t="n">
        <x:f>C24-D24</x:f>
        <x:v>-31000</x:v>
      </x:c>
      <x:c r="F24" s="6" t="n">
        <x:f>F23+E24</x:f>
        <x:v>-227000</x:v>
      </x:c>
      <x:c r="G24" s="6" t="n">
        <x:v>-50000</x:v>
      </x:c>
      <x:c r="H24" s="6" t="n">
        <x:v>50000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148000</x:v>
      </x:c>
      <x:c r="D25" s="6" t="n">
        <x:v>148000</x:v>
      </x:c>
      <x:c r="E25" s="6" t="n">
        <x:f>C25-D25</x:f>
        <x:v>0</x:v>
      </x:c>
      <x:c r="F25" s="6" t="n">
        <x:f>F24+E25</x:f>
        <x:v>-227000</x:v>
      </x:c>
      <x:c r="G25" s="6" t="n">
        <x:v>-94000</x:v>
      </x:c>
      <x:c r="H25" s="6" t="n">
        <x:v>109000</x:v>
      </x:c>
    </x:row>
    <x:row r="26" ht="25" customHeight="1">
      <x:c r="A26" s="2" t="str">
        <x:v>2026-10-19_Day</x:v>
      </x:c>
      <x:c r="B26" s="2" t="str">
        <x:v>上昇</x:v>
      </x:c>
      <x:c r="C26" s="6" t="n">
        <x:v>53000</x:v>
      </x:c>
      <x:c r="D26" s="6" t="n">
        <x:v>0</x:v>
      </x:c>
      <x:c r="E26" s="6" t="n">
        <x:f>C26-D26</x:f>
        <x:v>53000</x:v>
      </x:c>
      <x:c r="F26" s="6" t="n">
        <x:f>F25+E26</x:f>
        <x:v>-174000</x:v>
      </x:c>
      <x:c r="G26" s="6" t="n">
        <x:v>-8000</x:v>
      </x:c>
      <x:c r="H26" s="6" t="n">
        <x:v>36000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21000</x:v>
      </x:c>
      <x:c r="D27" s="6" t="n">
        <x:v>48000</x:v>
      </x:c>
      <x:c r="E27" s="6" t="n">
        <x:f>C27-D27</x:f>
        <x:v>-27000</x:v>
      </x:c>
      <x:c r="F27" s="6" t="n">
        <x:f>F26+E27</x:f>
        <x:v>-201000</x:v>
      </x:c>
      <x:c r="G27" s="6" t="n">
        <x:v>-35000</x:v>
      </x:c>
      <x:c r="H27" s="6" t="n">
        <x:v>55000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22000</x:v>
      </x:c>
      <x:c r="D28" s="6" t="n">
        <x:v>153000</x:v>
      </x:c>
      <x:c r="E28" s="6" t="n">
        <x:f>C28-D28</x:f>
        <x:v>-131000</x:v>
      </x:c>
      <x:c r="F28" s="6" t="n">
        <x:f>F27+E28</x:f>
        <x:v>-332000</x:v>
      </x:c>
      <x:c r="G28" s="6" t="n">
        <x:v>-149000</x:v>
      </x:c>
      <x:c r="H28" s="6" t="n">
        <x:v>149000</x:v>
      </x:c>
    </x:row>
    <x:row r="29" ht="25" customHeight="1">
      <x:c r="A29" s="2" t="str">
        <x:v>2026-10-22_Day</x:v>
      </x:c>
      <x:c r="B29" s="2" t="str">
        <x:v>下落</x:v>
      </x:c>
      <x:c r="C29" s="6" t="n">
        <x:v>28000</x:v>
      </x:c>
      <x:c r="D29" s="6" t="n">
        <x:v>0</x:v>
      </x:c>
      <x:c r="E29" s="6" t="n">
        <x:f>C29-D29</x:f>
        <x:v>28000</x:v>
      </x:c>
      <x:c r="F29" s="6" t="n">
        <x:f>F28+E29</x:f>
        <x:v>-304000</x:v>
      </x:c>
      <x:c r="G29" s="6" t="n">
        <x:v>-6000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52000</x:v>
      </x:c>
      <x:c r="D30" s="6" t="n">
        <x:v>91000</x:v>
      </x:c>
      <x:c r="E30" s="6" t="n">
        <x:f>C30-D30</x:f>
        <x:v>-39000</x:v>
      </x:c>
      <x:c r="F30" s="6" t="n">
        <x:f>F29+E30</x:f>
        <x:v>-343000</x:v>
      </x:c>
      <x:c r="G30" s="6" t="n">
        <x:v>-49000</x:v>
      </x:c>
      <x:c r="H30" s="6" t="n">
        <x:v>80000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5000</x:v>
      </x:c>
      <x:c r="D31" s="6" t="n">
        <x:v>96000</x:v>
      </x:c>
      <x:c r="E31" s="6" t="n">
        <x:f>C31-D31</x:f>
        <x:v>-91000</x:v>
      </x:c>
      <x:c r="F31" s="6" t="n">
        <x:f>F30+E31</x:f>
        <x:v>-434000</x:v>
      </x:c>
      <x:c r="G31" s="6" t="n">
        <x:v>-91000</x:v>
      </x:c>
      <x:c r="H31" s="6" t="n">
        <x:v>97000</x:v>
      </x:c>
    </x:row>
    <x:row r="32" ht="25" customHeight="1">
      <x:c r="A32" s="13" t="str">
        <x:v>累計／場内最悪値</x:v>
      </x:c>
      <x:c r="B32" s="13"/>
      <x:c r="C32" s="14" t="n">
        <x:f>SUM(C6:C31)</x:f>
        <x:v>1037000</x:v>
      </x:c>
      <x:c r="D32" s="14" t="n">
        <x:f>SUM(D6:D31)</x:f>
        <x:v>1471000</x:v>
      </x:c>
      <x:c r="E32" s="14" t="n">
        <x:f>C32-D32</x:f>
        <x:v>-434000</x:v>
      </x:c>
      <x:c r="F32" s="14" t="n">
        <x:f>F31</x:f>
        <x:v>-434000</x:v>
      </x:c>
      <x:c r="G32" s="14" t="n">
        <x:f>MIN(G6:G31)</x:f>
        <x:v>-149000</x:v>
      </x:c>
      <x:c r="H32" s="14" t="n">
        <x:f>MAX(H6:H31)</x:f>
        <x:v>149000</x:v>
      </x:c>
    </x:row>
  </x:sheetData>
  <x:conditionalFormatting sqref="E6:F31">
    <x:cfRule type="cellIs" dxfId="4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8583a3695f4281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V_C02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観測修正／C01＋初回支持選抜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6000</x:v>
      </x:c>
      <x:c r="D9" s="6" t="n">
        <x:v>16000</x:v>
      </x:c>
      <x:c r="E9" s="6" t="n">
        <x:f>C9-D9</x:f>
        <x:v>-10000</x:v>
      </x:c>
      <x:c r="F9" s="6" t="n">
        <x:f>F8+E9</x:f>
        <x:v>-10000</x:v>
      </x:c>
      <x:c r="G9" s="6" t="n">
        <x:v>-18000</x:v>
      </x:c>
      <x:c r="H9" s="6" t="n">
        <x:v>26000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40000</x:v>
      </x:c>
      <x:c r="E10" s="6" t="n">
        <x:f>C10-D10</x:f>
        <x:v>-40000</x:v>
      </x:c>
      <x:c r="F10" s="6" t="n">
        <x:f>F9+E10</x:f>
        <x:v>-50000</x:v>
      </x:c>
      <x:c r="G10" s="6" t="n">
        <x:v>-40000</x:v>
      </x:c>
      <x:c r="H10" s="6" t="n">
        <x:v>45000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16000</x:v>
      </x:c>
      <x:c r="E11" s="6" t="n">
        <x:f>C11-D11</x:f>
        <x:v>-16000</x:v>
      </x:c>
      <x:c r="F11" s="6" t="n">
        <x:f>F10+E11</x:f>
        <x:v>-66000</x:v>
      </x:c>
      <x:c r="G11" s="6" t="n">
        <x:v>-16000</x:v>
      </x:c>
      <x:c r="H11" s="6" t="n">
        <x:v>22000</x:v>
      </x:c>
    </x:row>
    <x:row r="12" ht="25" customHeight="1">
      <x:c r="A12" s="2" t="str">
        <x:v>2026-09-29_Day</x:v>
      </x:c>
      <x:c r="B12" s="2" t="str">
        <x:v>下落</x:v>
      </x:c>
      <x:c r="C12" s="6" t="n">
        <x:v>5000</x:v>
      </x:c>
      <x:c r="D12" s="6" t="n">
        <x:v>37000</x:v>
      </x:c>
      <x:c r="E12" s="6" t="n">
        <x:f>C12-D12</x:f>
        <x:v>-32000</x:v>
      </x:c>
      <x:c r="F12" s="6" t="n">
        <x:f>F11+E12</x:f>
        <x:v>-98000</x:v>
      </x:c>
      <x:c r="G12" s="6" t="n">
        <x:v>-32000</x:v>
      </x:c>
      <x:c r="H12" s="6" t="n">
        <x:v>42000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-98000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8000</x:v>
      </x:c>
      <x:c r="D14" s="6" t="n">
        <x:v>56000</x:v>
      </x:c>
      <x:c r="E14" s="6" t="n">
        <x:f>C14-D14</x:f>
        <x:v>-48000</x:v>
      </x:c>
      <x:c r="F14" s="6" t="n">
        <x:f>F13+E14</x:f>
        <x:v>-146000</x:v>
      </x:c>
      <x:c r="G14" s="6" t="n">
        <x:v>-48000</x:v>
      </x:c>
      <x:c r="H14" s="6" t="n">
        <x:v>58000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15000</x:v>
      </x:c>
      <x:c r="D15" s="6" t="n">
        <x:v>0</x:v>
      </x:c>
      <x:c r="E15" s="6" t="n">
        <x:f>C15-D15</x:f>
        <x:v>15000</x:v>
      </x:c>
      <x:c r="F15" s="6" t="n">
        <x:f>F14+E15</x:f>
        <x:v>-131000</x:v>
      </x:c>
      <x:c r="G15" s="6" t="n">
        <x:v>-30000</x:v>
      </x:c>
      <x:c r="H15" s="6" t="n">
        <x:v>45000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5000</x:v>
      </x:c>
      <x:c r="D16" s="6" t="n">
        <x:v>0</x:v>
      </x:c>
      <x:c r="E16" s="6" t="n">
        <x:f>C16-D16</x:f>
        <x:v>5000</x:v>
      </x:c>
      <x:c r="F16" s="6" t="n">
        <x:f>F15+E16</x:f>
        <x:v>-126000</x:v>
      </x:c>
      <x:c r="G16" s="6" t="n">
        <x:v>-6000</x:v>
      </x:c>
      <x:c r="H16" s="6" t="n">
        <x:v>10000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16000</x:v>
      </x:c>
      <x:c r="D17" s="6" t="n">
        <x:v>0</x:v>
      </x:c>
      <x:c r="E17" s="6" t="n">
        <x:f>C17-D17</x:f>
        <x:v>16000</x:v>
      </x:c>
      <x:c r="F17" s="6" t="n">
        <x:f>F16+E17</x:f>
        <x:v>-110000</x:v>
      </x:c>
      <x:c r="G17" s="6" t="n">
        <x:v>-10000</x:v>
      </x:c>
      <x:c r="H17" s="6" t="n">
        <x:v>24000</x:v>
      </x:c>
    </x:row>
    <x:row r="18" ht="25" customHeight="1">
      <x:c r="A18" s="2" t="str">
        <x:v>2026-10-07_Day</x:v>
      </x:c>
      <x:c r="B18" s="2" t="str">
        <x:v>下落</x:v>
      </x:c>
      <x:c r="C18" s="6" t="n">
        <x:v>17000</x:v>
      </x:c>
      <x:c r="D18" s="6" t="n">
        <x:v>16000</x:v>
      </x:c>
      <x:c r="E18" s="6" t="n">
        <x:f>C18-D18</x:f>
        <x:v>1000</x:v>
      </x:c>
      <x:c r="F18" s="6" t="n">
        <x:f>F17+E18</x:f>
        <x:v>-109000</x:v>
      </x:c>
      <x:c r="G18" s="6" t="n">
        <x:v>-6000</x:v>
      </x:c>
      <x:c r="H18" s="6" t="n">
        <x:v>22000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4000</x:v>
      </x:c>
      <x:c r="D19" s="6" t="n">
        <x:v>0</x:v>
      </x:c>
      <x:c r="E19" s="6" t="n">
        <x:f>C19-D19</x:f>
        <x:v>4000</x:v>
      </x:c>
      <x:c r="F19" s="6" t="n">
        <x:f>F18+E19</x:f>
        <x:v>-105000</x:v>
      </x:c>
      <x:c r="G19" s="6" t="n">
        <x:v>-4000</x:v>
      </x:c>
      <x:c r="H19" s="6" t="n">
        <x:v>8000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16000</x:v>
      </x:c>
      <x:c r="E20" s="6" t="n">
        <x:f>C20-D20</x:f>
        <x:v>-16000</x:v>
      </x:c>
      <x:c r="F20" s="6" t="n">
        <x:f>F19+E20</x:f>
        <x:v>-121000</x:v>
      </x:c>
      <x:c r="G20" s="6" t="n">
        <x:v>-16000</x:v>
      </x:c>
      <x:c r="H20" s="6" t="n">
        <x:v>16000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-121000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22000</x:v>
      </x:c>
      <x:c r="D22" s="6" t="n">
        <x:v>67000</x:v>
      </x:c>
      <x:c r="E22" s="6" t="n">
        <x:f>C22-D22</x:f>
        <x:v>-45000</x:v>
      </x:c>
      <x:c r="F22" s="6" t="n">
        <x:f>F21+E22</x:f>
        <x:v>-166000</x:v>
      </x:c>
      <x:c r="G22" s="6" t="n">
        <x:v>-57000</x:v>
      </x:c>
      <x:c r="H22" s="6" t="n">
        <x:v>63000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16000</x:v>
      </x:c>
      <x:c r="E23" s="6" t="n">
        <x:f>C23-D23</x:f>
        <x:v>-16000</x:v>
      </x:c>
      <x:c r="F23" s="6" t="n">
        <x:f>F22+E23</x:f>
        <x:v>-182000</x:v>
      </x:c>
      <x:c r="G23" s="6" t="n">
        <x:v>-16000</x:v>
      </x:c>
      <x:c r="H23" s="6" t="n">
        <x:v>16000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15000</x:v>
      </x:c>
      <x:c r="D24" s="6" t="n">
        <x:v>32000</x:v>
      </x:c>
      <x:c r="E24" s="6" t="n">
        <x:f>C24-D24</x:f>
        <x:v>-17000</x:v>
      </x:c>
      <x:c r="F24" s="6" t="n">
        <x:f>F23+E24</x:f>
        <x:v>-199000</x:v>
      </x:c>
      <x:c r="G24" s="6" t="n">
        <x:v>-36000</x:v>
      </x:c>
      <x:c r="H24" s="6" t="n">
        <x:v>36000</x:v>
      </x:c>
    </x:row>
    <x:row r="25" ht="25" customHeight="1">
      <x:c r="A25" s="2" t="str">
        <x:v>2026-10-16_Day</x:v>
      </x:c>
      <x:c r="B25" s="2" t="str">
        <x:v>上昇</x:v>
      </x:c>
      <x:c r="C25" s="6" t="n">
        <x:v>59000</x:v>
      </x:c>
      <x:c r="D25" s="6" t="n">
        <x:v>126000</x:v>
      </x:c>
      <x:c r="E25" s="6" t="n">
        <x:f>C25-D25</x:f>
        <x:v>-67000</x:v>
      </x:c>
      <x:c r="F25" s="6" t="n">
        <x:f>F24+E25</x:f>
        <x:v>-266000</x:v>
      </x:c>
      <x:c r="G25" s="6" t="n">
        <x:v>-72000</x:v>
      </x:c>
      <x:c r="H25" s="6" t="n">
        <x:v>90000</x:v>
      </x:c>
    </x:row>
    <x:row r="26" ht="25" customHeight="1">
      <x:c r="A26" s="2" t="str">
        <x:v>2026-10-19_Day</x:v>
      </x:c>
      <x:c r="B26" s="2" t="str">
        <x:v>上昇</x:v>
      </x:c>
      <x:c r="C26" s="6" t="n">
        <x:v>53000</x:v>
      </x:c>
      <x:c r="D26" s="6" t="n">
        <x:v>0</x:v>
      </x:c>
      <x:c r="E26" s="6" t="n">
        <x:f>C26-D26</x:f>
        <x:v>53000</x:v>
      </x:c>
      <x:c r="F26" s="6" t="n">
        <x:f>F25+E26</x:f>
        <x:v>-213000</x:v>
      </x:c>
      <x:c r="G26" s="6" t="n">
        <x:v>-8000</x:v>
      </x:c>
      <x:c r="H26" s="6" t="n">
        <x:v>36000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5000</x:v>
      </x:c>
      <x:c r="D27" s="6" t="n">
        <x:v>0</x:v>
      </x:c>
      <x:c r="E27" s="6" t="n">
        <x:f>C27-D27</x:f>
        <x:v>5000</x:v>
      </x:c>
      <x:c r="F27" s="6" t="n">
        <x:f>F26+E27</x:f>
        <x:v>-208000</x:v>
      </x:c>
      <x:c r="G27" s="6" t="n">
        <x:v>-15000</x:v>
      </x:c>
      <x:c r="H27" s="6" t="n">
        <x:v>30000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10000</x:v>
      </x:c>
      <x:c r="D28" s="6" t="n">
        <x:v>40000</x:v>
      </x:c>
      <x:c r="E28" s="6" t="n">
        <x:f>C28-D28</x:f>
        <x:v>-30000</x:v>
      </x:c>
      <x:c r="F28" s="6" t="n">
        <x:f>F27+E28</x:f>
        <x:v>-238000</x:v>
      </x:c>
      <x:c r="G28" s="6" t="n">
        <x:v>-45000</x:v>
      </x:c>
      <x:c r="H28" s="6" t="n">
        <x:v>60000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-238000</x:v>
      </x:c>
      <x:c r="G29" s="6" t="n">
        <x:v>-15000</x:v>
      </x:c>
      <x:c r="H29" s="6" t="n">
        <x:v>20000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11000</x:v>
      </x:c>
      <x:c r="D30" s="6" t="n">
        <x:v>16000</x:v>
      </x:c>
      <x:c r="E30" s="6" t="n">
        <x:f>C30-D30</x:f>
        <x:v>-5000</x:v>
      </x:c>
      <x:c r="F30" s="6" t="n">
        <x:f>F29+E30</x:f>
        <x:v>-243000</x:v>
      </x:c>
      <x:c r="G30" s="6" t="n">
        <x:v>-15000</x:v>
      </x:c>
      <x:c r="H30" s="6" t="n">
        <x:v>27000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40000</x:v>
      </x:c>
      <x:c r="E31" s="6" t="n">
        <x:f>C31-D31</x:f>
        <x:v>-40000</x:v>
      </x:c>
      <x:c r="F31" s="6" t="n">
        <x:f>F30+E31</x:f>
        <x:v>-283000</x:v>
      </x:c>
      <x:c r="G31" s="6" t="n">
        <x:v>-40000</x:v>
      </x:c>
      <x:c r="H31" s="6" t="n">
        <x:v>48000</x:v>
      </x:c>
    </x:row>
    <x:row r="32" ht="25" customHeight="1">
      <x:c r="A32" s="13" t="str">
        <x:v>累計／場内最悪値</x:v>
      </x:c>
      <x:c r="B32" s="13"/>
      <x:c r="C32" s="14" t="n">
        <x:f>SUM(C6:C31)</x:f>
        <x:v>251000</x:v>
      </x:c>
      <x:c r="D32" s="14" t="n">
        <x:f>SUM(D6:D31)</x:f>
        <x:v>534000</x:v>
      </x:c>
      <x:c r="E32" s="14" t="n">
        <x:f>C32-D32</x:f>
        <x:v>-283000</x:v>
      </x:c>
      <x:c r="F32" s="14" t="n">
        <x:f>F31</x:f>
        <x:v>-283000</x:v>
      </x:c>
      <x:c r="G32" s="14" t="n">
        <x:f>MIN(G6:G31)</x:f>
        <x:v>-72000</x:v>
      </x:c>
      <x:c r="H32" s="14" t="n">
        <x:f>MAX(H6:H31)</x:f>
        <x:v>90000</x:v>
      </x:c>
    </x:row>
  </x:sheetData>
  <x:conditionalFormatting sqref="E6:F31">
    <x:cfRule type="cellIs" dxfId="4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93d8405d1a455c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観測修正／支持初回・10micro刻み・元追加比例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10000</x:v>
      </x:c>
      <x:c r="D9" s="6" t="n">
        <x:v>32000</x:v>
      </x:c>
      <x:c r="E9" s="6" t="n">
        <x:f>C9-D9</x:f>
        <x:v>-22000</x:v>
      </x:c>
      <x:c r="F9" s="6" t="n">
        <x:f>F8+E9</x:f>
        <x:v>-22000</x:v>
      </x:c>
      <x:c r="G9" s="6" t="n">
        <x:v>-42000</x:v>
      </x:c>
      <x:c r="H9" s="6" t="n">
        <x:v>46000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56000</x:v>
      </x:c>
      <x:c r="E10" s="6" t="n">
        <x:f>C10-D10</x:f>
        <x:v>-56000</x:v>
      </x:c>
      <x:c r="F10" s="6" t="n">
        <x:f>F9+E10</x:f>
        <x:v>-78000</x:v>
      </x:c>
      <x:c r="G10" s="6" t="n">
        <x:v>-56000</x:v>
      </x:c>
      <x:c r="H10" s="6" t="n">
        <x:v>63000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32000</x:v>
      </x:c>
      <x:c r="E11" s="6" t="n">
        <x:f>C11-D11</x:f>
        <x:v>-32000</x:v>
      </x:c>
      <x:c r="F11" s="6" t="n">
        <x:f>F10+E11</x:f>
        <x:v>-110000</x:v>
      </x:c>
      <x:c r="G11" s="6" t="n">
        <x:v>-32000</x:v>
      </x:c>
      <x:c r="H11" s="6" t="n">
        <x:v>44000</x:v>
      </x:c>
    </x:row>
    <x:row r="12" ht="25" customHeight="1">
      <x:c r="A12" s="2" t="str">
        <x:v>2026-09-29_Day</x:v>
      </x:c>
      <x:c r="B12" s="2" t="str">
        <x:v>下落</x:v>
      </x:c>
      <x:c r="C12" s="6" t="n">
        <x:v>3000</x:v>
      </x:c>
      <x:c r="D12" s="6" t="n">
        <x:v>53000</x:v>
      </x:c>
      <x:c r="E12" s="6" t="n">
        <x:f>C12-D12</x:f>
        <x:v>-50000</x:v>
      </x:c>
      <x:c r="F12" s="6" t="n">
        <x:f>F11+E12</x:f>
        <x:v>-160000</x:v>
      </x:c>
      <x:c r="G12" s="6" t="n">
        <x:v>-54000</x:v>
      </x:c>
      <x:c r="H12" s="6" t="n">
        <x:v>59000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-160000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12000</x:v>
      </x:c>
      <x:c r="D14" s="6" t="n">
        <x:v>64000</x:v>
      </x:c>
      <x:c r="E14" s="6" t="n">
        <x:f>C14-D14</x:f>
        <x:v>-52000</x:v>
      </x:c>
      <x:c r="F14" s="6" t="n">
        <x:f>F13+E14</x:f>
        <x:v>-212000</x:v>
      </x:c>
      <x:c r="G14" s="6" t="n">
        <x:v>-59000</x:v>
      </x:c>
      <x:c r="H14" s="6" t="n">
        <x:v>73000</x:v>
      </x:c>
    </x:row>
    <x:row r="15" ht="25" customHeight="1">
      <x:c r="A15" s="2" t="str">
        <x:v>2026-10-02_Day</x:v>
      </x:c>
      <x:c r="B15" s="2" t="str">
        <x:v>上昇</x:v>
      </x:c>
      <x:c r="C15" s="6" t="n">
        <x:v>6000</x:v>
      </x:c>
      <x:c r="D15" s="6" t="n">
        <x:v>0</x:v>
      </x:c>
      <x:c r="E15" s="6" t="n">
        <x:f>C15-D15</x:f>
        <x:v>6000</x:v>
      </x:c>
      <x:c r="F15" s="6" t="n">
        <x:f>F14+E15</x:f>
        <x:v>-206000</x:v>
      </x:c>
      <x:c r="G15" s="6" t="n">
        <x:v>-12000</x:v>
      </x:c>
      <x:c r="H15" s="6" t="n">
        <x:v>18000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5000</x:v>
      </x:c>
      <x:c r="D16" s="6" t="n">
        <x:v>0</x:v>
      </x:c>
      <x:c r="E16" s="6" t="n">
        <x:f>C16-D16</x:f>
        <x:v>5000</x:v>
      </x:c>
      <x:c r="F16" s="6" t="n">
        <x:f>F15+E16</x:f>
        <x:v>-201000</x:v>
      </x:c>
      <x:c r="G16" s="6" t="n">
        <x:v>-6000</x:v>
      </x:c>
      <x:c r="H16" s="6" t="n">
        <x:v>10000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17000</x:v>
      </x:c>
      <x:c r="D17" s="6" t="n">
        <x:v>0</x:v>
      </x:c>
      <x:c r="E17" s="6" t="n">
        <x:f>C17-D17</x:f>
        <x:v>17000</x:v>
      </x:c>
      <x:c r="F17" s="6" t="n">
        <x:f>F16+E17</x:f>
        <x:v>-184000</x:v>
      </x:c>
      <x:c r="G17" s="6" t="n">
        <x:v>-9000</x:v>
      </x:c>
      <x:c r="H17" s="6" t="n">
        <x:v>20000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23000</x:v>
      </x:c>
      <x:c r="D18" s="6" t="n">
        <x:v>16000</x:v>
      </x:c>
      <x:c r="E18" s="6" t="n">
        <x:f>C18-D18</x:f>
        <x:v>7000</x:v>
      </x:c>
      <x:c r="F18" s="6" t="n">
        <x:f>F17+E18</x:f>
        <x:v>-177000</x:v>
      </x:c>
      <x:c r="G18" s="6" t="n">
        <x:v>-9000</x:v>
      </x:c>
      <x:c r="H18" s="6" t="n">
        <x:v>26000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2000</x:v>
      </x:c>
      <x:c r="D19" s="6" t="n">
        <x:v>0</x:v>
      </x:c>
      <x:c r="E19" s="6" t="n">
        <x:f>C19-D19</x:f>
        <x:v>2000</x:v>
      </x:c>
      <x:c r="F19" s="6" t="n">
        <x:f>F18+E19</x:f>
        <x:v>-175000</x:v>
      </x:c>
      <x:c r="G19" s="6" t="n">
        <x:v>-2000</x:v>
      </x:c>
      <x:c r="H19" s="6" t="n">
        <x:v>4000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40000</x:v>
      </x:c>
      <x:c r="E20" s="6" t="n">
        <x:f>C20-D20</x:f>
        <x:v>-40000</x:v>
      </x:c>
      <x:c r="F20" s="6" t="n">
        <x:f>F19+E20</x:f>
        <x:v>-215000</x:v>
      </x:c>
      <x:c r="G20" s="6" t="n">
        <x:v>-40000</x:v>
      </x:c>
      <x:c r="H20" s="6" t="n">
        <x:v>40000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-215000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9000</x:v>
      </x:c>
      <x:c r="D22" s="6" t="n">
        <x:v>128000</x:v>
      </x:c>
      <x:c r="E22" s="6" t="n">
        <x:f>C22-D22</x:f>
        <x:v>-119000</x:v>
      </x:c>
      <x:c r="F22" s="6" t="n">
        <x:f>F21+E22</x:f>
        <x:v>-334000</x:v>
      </x:c>
      <x:c r="G22" s="6" t="n">
        <x:v>-119000</x:v>
      </x:c>
      <x:c r="H22" s="6" t="n">
        <x:v>140000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32000</x:v>
      </x:c>
      <x:c r="E23" s="6" t="n">
        <x:f>C23-D23</x:f>
        <x:v>-32000</x:v>
      </x:c>
      <x:c r="F23" s="6" t="n">
        <x:f>F22+E23</x:f>
        <x:v>-366000</x:v>
      </x:c>
      <x:c r="G23" s="6" t="n">
        <x:v>-32000</x:v>
      </x:c>
      <x:c r="H23" s="6" t="n">
        <x:v>32000</x:v>
      </x:c>
    </x:row>
    <x:row r="24" ht="25" customHeight="1">
      <x:c r="A24" s="2" t="str">
        <x:v>2026-10-15_Day</x:v>
      </x:c>
      <x:c r="B24" s="2" t="str">
        <x:v>下落</x:v>
      </x:c>
      <x:c r="C24" s="6" t="n">
        <x:v>12000</x:v>
      </x:c>
      <x:c r="D24" s="6" t="n">
        <x:v>40000</x:v>
      </x:c>
      <x:c r="E24" s="6" t="n">
        <x:f>C24-D24</x:f>
        <x:v>-28000</x:v>
      </x:c>
      <x:c r="F24" s="6" t="n">
        <x:f>F23+E24</x:f>
        <x:v>-394000</x:v>
      </x:c>
      <x:c r="G24" s="6" t="n">
        <x:v>-32000</x:v>
      </x:c>
      <x:c r="H24" s="6" t="n">
        <x:v>40000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23000</x:v>
      </x:c>
      <x:c r="D25" s="6" t="n">
        <x:v>73000</x:v>
      </x:c>
      <x:c r="E25" s="6" t="n">
        <x:f>C25-D25</x:f>
        <x:v>-50000</x:v>
      </x:c>
      <x:c r="F25" s="6" t="n">
        <x:f>F24+E25</x:f>
        <x:v>-444000</x:v>
      </x:c>
      <x:c r="G25" s="6" t="n">
        <x:v>-52000</x:v>
      </x:c>
      <x:c r="H25" s="6" t="n">
        <x:v>67000</x:v>
      </x:c>
    </x:row>
    <x:row r="26" ht="25" customHeight="1">
      <x:c r="A26" s="2" t="str">
        <x:v>2026-10-19_Day</x:v>
      </x:c>
      <x:c r="B26" s="2" t="str">
        <x:v>上昇</x:v>
      </x:c>
      <x:c r="C26" s="6" t="n">
        <x:v>91000</x:v>
      </x:c>
      <x:c r="D26" s="6" t="n">
        <x:v>0</x:v>
      </x:c>
      <x:c r="E26" s="6" t="n">
        <x:f>C26-D26</x:f>
        <x:v>91000</x:v>
      </x:c>
      <x:c r="F26" s="6" t="n">
        <x:f>F25+E26</x:f>
        <x:v>-353000</x:v>
      </x:c>
      <x:c r="G26" s="6" t="n">
        <x:v>-16000</x:v>
      </x:c>
      <x:c r="H26" s="6" t="n">
        <x:v>56000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3000</x:v>
      </x:c>
      <x:c r="D27" s="6" t="n">
        <x:v>0</x:v>
      </x:c>
      <x:c r="E27" s="6" t="n">
        <x:f>C27-D27</x:f>
        <x:v>3000</x:v>
      </x:c>
      <x:c r="F27" s="6" t="n">
        <x:f>F26+E27</x:f>
        <x:v>-350000</x:v>
      </x:c>
      <x:c r="G27" s="6" t="n">
        <x:v>-9000</x:v>
      </x:c>
      <x:c r="H27" s="6" t="n">
        <x:v>14000</x:v>
      </x:c>
    </x:row>
    <x:row r="28" ht="25" customHeight="1">
      <x:c r="A28" s="2" t="str">
        <x:v>2026-10-21_Day</x:v>
      </x:c>
      <x:c r="B28" s="2" t="str">
        <x:v>下落</x:v>
      </x:c>
      <x:c r="C28" s="6" t="n">
        <x:v>4000</x:v>
      </x:c>
      <x:c r="D28" s="6" t="n">
        <x:v>56000</x:v>
      </x:c>
      <x:c r="E28" s="6" t="n">
        <x:f>C28-D28</x:f>
        <x:v>-52000</x:v>
      </x:c>
      <x:c r="F28" s="6" t="n">
        <x:f>F27+E28</x:f>
        <x:v>-402000</x:v>
      </x:c>
      <x:c r="G28" s="6" t="n">
        <x:v>-58000</x:v>
      </x:c>
      <x:c r="H28" s="6" t="n">
        <x:v>79000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-402000</x:v>
      </x:c>
      <x:c r="G29" s="6" t="n">
        <x:v>-6000</x:v>
      </x:c>
      <x:c r="H29" s="6" t="n">
        <x:v>8000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22000</x:v>
      </x:c>
      <x:c r="D30" s="6" t="n">
        <x:v>48000</x:v>
      </x:c>
      <x:c r="E30" s="6" t="n">
        <x:f>C30-D30</x:f>
        <x:v>-26000</x:v>
      </x:c>
      <x:c r="F30" s="6" t="n">
        <x:f>F29+E30</x:f>
        <x:v>-428000</x:v>
      </x:c>
      <x:c r="G30" s="6" t="n">
        <x:v>-51000</x:v>
      </x:c>
      <x:c r="H30" s="6" t="n">
        <x:v>81000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32000</x:v>
      </x:c>
      <x:c r="E31" s="6" t="n">
        <x:f>C31-D31</x:f>
        <x:v>-32000</x:v>
      </x:c>
      <x:c r="F31" s="6" t="n">
        <x:f>F30+E31</x:f>
        <x:v>-460000</x:v>
      </x:c>
      <x:c r="G31" s="6" t="n">
        <x:v>-32000</x:v>
      </x:c>
      <x:c r="H31" s="6" t="n">
        <x:v>52000</x:v>
      </x:c>
    </x:row>
    <x:row r="32" ht="25" customHeight="1">
      <x:c r="A32" s="13" t="str">
        <x:v>累計／場内最悪値</x:v>
      </x:c>
      <x:c r="B32" s="13"/>
      <x:c r="C32" s="14" t="n">
        <x:f>SUM(C6:C31)</x:f>
        <x:v>242000</x:v>
      </x:c>
      <x:c r="D32" s="14" t="n">
        <x:f>SUM(D6:D31)</x:f>
        <x:v>702000</x:v>
      </x:c>
      <x:c r="E32" s="14" t="n">
        <x:f>C32-D32</x:f>
        <x:v>-460000</x:v>
      </x:c>
      <x:c r="F32" s="14" t="n">
        <x:f>F31</x:f>
        <x:v>-460000</x:v>
      </x:c>
      <x:c r="G32" s="14" t="n">
        <x:f>MIN(G6:G31)</x:f>
        <x:v>-119000</x:v>
      </x:c>
      <x:c r="H32" s="14" t="n">
        <x:f>MAX(H6:H31)</x:f>
        <x:v>140000</x:v>
      </x:c>
    </x:row>
  </x:sheetData>
  <x:conditionalFormatting sqref="E6:F31">
    <x:cfRule type="cellIs" dxfId="4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7c055c060c4f72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観測修正／支持初回・1micro刻み・元追加比例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12000</x:v>
      </x:c>
      <x:c r="D9" s="6" t="n">
        <x:v>35200</x:v>
      </x:c>
      <x:c r="E9" s="6" t="n">
        <x:f>C9-D9</x:f>
        <x:v>-23200</x:v>
      </x:c>
      <x:c r="F9" s="6" t="n">
        <x:f>F8+E9</x:f>
        <x:v>-23200</x:v>
      </x:c>
      <x:c r="G9" s="6" t="n">
        <x:v>-43600</x:v>
      </x:c>
      <x:c r="H9" s="6" t="n">
        <x:v>50800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60000</x:v>
      </x:c>
      <x:c r="E10" s="6" t="n">
        <x:f>C10-D10</x:f>
        <x:v>-60000</x:v>
      </x:c>
      <x:c r="F10" s="6" t="n">
        <x:f>F9+E10</x:f>
        <x:v>-83200</x:v>
      </x:c>
      <x:c r="G10" s="6" t="n">
        <x:v>-60000</x:v>
      </x:c>
      <x:c r="H10" s="6" t="n">
        <x:v>67500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-116800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1200</x:v>
      </x:c>
      <x:c r="D12" s="6" t="n">
        <x:v>56900</x:v>
      </x:c>
      <x:c r="E12" s="6" t="n">
        <x:f>C12-D12</x:f>
        <x:v>-55700</x:v>
      </x:c>
      <x:c r="F12" s="6" t="n">
        <x:f>F11+E12</x:f>
        <x:v>-172500</x:v>
      </x:c>
      <x:c r="G12" s="6" t="n">
        <x:v>-59600</x:v>
      </x:c>
      <x:c r="H12" s="6" t="n">
        <x:v>68600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-172500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15200</x:v>
      </x:c>
      <x:c r="D14" s="6" t="n">
        <x:v>73600</x:v>
      </x:c>
      <x:c r="E14" s="6" t="n">
        <x:f>C14-D14</x:f>
        <x:v>-58400</x:v>
      </x:c>
      <x:c r="F14" s="6" t="n">
        <x:f>F13+E14</x:f>
        <x:v>-230900</x:v>
      </x:c>
      <x:c r="G14" s="6" t="n">
        <x:v>-66200</x:v>
      </x:c>
      <x:c r="H14" s="6" t="n">
        <x:v>81800</x:v>
      </x:c>
    </x:row>
    <x:row r="15" ht="25" customHeight="1">
      <x:c r="A15" s="2" t="str">
        <x:v>2026-10-02_Day</x:v>
      </x:c>
      <x:c r="B15" s="2" t="str">
        <x:v>上昇</x:v>
      </x:c>
      <x:c r="C15" s="6" t="n">
        <x:v>6000</x:v>
      </x:c>
      <x:c r="D15" s="6" t="n">
        <x:v>0</x:v>
      </x:c>
      <x:c r="E15" s="6" t="n">
        <x:f>C15-D15</x:f>
        <x:v>6000</x:v>
      </x:c>
      <x:c r="F15" s="6" t="n">
        <x:f>F14+E15</x:f>
        <x:v>-224900</x:v>
      </x:c>
      <x:c r="G15" s="6" t="n">
        <x:v>-12000</x:v>
      </x:c>
      <x:c r="H15" s="6" t="n">
        <x:v>18000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5500</x:v>
      </x:c>
      <x:c r="D16" s="6" t="n">
        <x:v>0</x:v>
      </x:c>
      <x:c r="E16" s="6" t="n">
        <x:f>C16-D16</x:f>
        <x:v>5500</x:v>
      </x:c>
      <x:c r="F16" s="6" t="n">
        <x:f>F15+E16</x:f>
        <x:v>-219400</x:v>
      </x:c>
      <x:c r="G16" s="6" t="n">
        <x:v>-6600</x:v>
      </x:c>
      <x:c r="H16" s="6" t="n">
        <x:v>11000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18900</x:v>
      </x:c>
      <x:c r="D17" s="6" t="n">
        <x:v>0</x:v>
      </x:c>
      <x:c r="E17" s="6" t="n">
        <x:f>C17-D17</x:f>
        <x:v>18900</x:v>
      </x:c>
      <x:c r="F17" s="6" t="n">
        <x:f>F16+E17</x:f>
        <x:v>-200500</x:v>
      </x:c>
      <x:c r="G17" s="6" t="n">
        <x:v>-12300</x:v>
      </x:c>
      <x:c r="H17" s="6" t="n">
        <x:v>26200</x:v>
      </x:c>
    </x:row>
    <x:row r="18" ht="25" customHeight="1">
      <x:c r="A18" s="2" t="str">
        <x:v>2026-10-07_Day</x:v>
      </x:c>
      <x:c r="B18" s="2" t="str">
        <x:v>下落</x:v>
      </x:c>
      <x:c r="C18" s="6" t="n">
        <x:v>31200</x:v>
      </x:c>
      <x:c r="D18" s="6" t="n">
        <x:v>16800</x:v>
      </x:c>
      <x:c r="E18" s="6" t="n">
        <x:f>C18-D18</x:f>
        <x:v>14400</x:v>
      </x:c>
      <x:c r="F18" s="6" t="n">
        <x:f>F17+E18</x:f>
        <x:v>-186100</x:v>
      </x:c>
      <x:c r="G18" s="6" t="n">
        <x:v>-11100</x:v>
      </x:c>
      <x:c r="H18" s="6" t="n">
        <x:v>29200</x:v>
      </x:c>
    </x:row>
    <x:row r="19" ht="25" customHeight="1">
      <x:c r="A19" s="2" t="str">
        <x:v>2026-10-08_Day</x:v>
      </x:c>
      <x:c r="B19" s="2" t="str">
        <x:v>下落</x:v>
      </x:c>
      <x:c r="C19" s="6" t="n">
        <x:v>2400</x:v>
      </x:c>
      <x:c r="D19" s="6" t="n">
        <x:v>0</x:v>
      </x:c>
      <x:c r="E19" s="6" t="n">
        <x:f>C19-D19</x:f>
        <x:v>2400</x:v>
      </x:c>
      <x:c r="F19" s="6" t="n">
        <x:f>F18+E19</x:f>
        <x:v>-183700</x:v>
      </x:c>
      <x:c r="G19" s="6" t="n">
        <x:v>-2400</x:v>
      </x:c>
      <x:c r="H19" s="6" t="n">
        <x:v>4800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45600</x:v>
      </x:c>
      <x:c r="E20" s="6" t="n">
        <x:f>C20-D20</x:f>
        <x:v>-45600</x:v>
      </x:c>
      <x:c r="F20" s="6" t="n">
        <x:f>F19+E20</x:f>
        <x:v>-229300</x:v>
      </x:c>
      <x:c r="G20" s="6" t="n">
        <x:v>-45600</x:v>
      </x:c>
      <x:c r="H20" s="6" t="n">
        <x:v>45600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-229300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19800</x:v>
      </x:c>
      <x:c r="D22" s="6" t="n">
        <x:v>142000</x:v>
      </x:c>
      <x:c r="E22" s="6" t="n">
        <x:f>C22-D22</x:f>
        <x:v>-122200</x:v>
      </x:c>
      <x:c r="F22" s="6" t="n">
        <x:f>F21+E22</x:f>
        <x:v>-351500</x:v>
      </x:c>
      <x:c r="G22" s="6" t="n">
        <x:v>-122200</x:v>
      </x:c>
      <x:c r="H22" s="6" t="n">
        <x:v>143500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32800</x:v>
      </x:c>
      <x:c r="E23" s="6" t="n">
        <x:f>C23-D23</x:f>
        <x:v>-32800</x:v>
      </x:c>
      <x:c r="F23" s="6" t="n">
        <x:f>F22+E23</x:f>
        <x:v>-384300</x:v>
      </x:c>
      <x:c r="G23" s="6" t="n">
        <x:v>-32800</x:v>
      </x:c>
      <x:c r="H23" s="6" t="n">
        <x:v>32800</x:v>
      </x:c>
    </x:row>
    <x:row r="24" ht="25" customHeight="1">
      <x:c r="A24" s="2" t="str">
        <x:v>2026-10-15_Day</x:v>
      </x:c>
      <x:c r="B24" s="2" t="str">
        <x:v>下落</x:v>
      </x:c>
      <x:c r="C24" s="6" t="n">
        <x:v>14400</x:v>
      </x:c>
      <x:c r="D24" s="6" t="n">
        <x:v>45600</x:v>
      </x:c>
      <x:c r="E24" s="6" t="n">
        <x:f>C24-D24</x:f>
        <x:v>-31200</x:v>
      </x:c>
      <x:c r="F24" s="6" t="n">
        <x:f>F23+E24</x:f>
        <x:v>-415500</x:v>
      </x:c>
      <x:c r="G24" s="6" t="n">
        <x:v>-40800</x:v>
      </x:c>
      <x:c r="H24" s="6" t="n">
        <x:v>43200</x:v>
      </x:c>
    </x:row>
    <x:row r="25" ht="25" customHeight="1">
      <x:c r="A25" s="2" t="str">
        <x:v>2026-10-16_Day</x:v>
      </x:c>
      <x:c r="B25" s="2" t="str">
        <x:v>上昇</x:v>
      </x:c>
      <x:c r="C25" s="6" t="n">
        <x:v>39500</x:v>
      </x:c>
      <x:c r="D25" s="6" t="n">
        <x:v>90400</x:v>
      </x:c>
      <x:c r="E25" s="6" t="n">
        <x:f>C25-D25</x:f>
        <x:v>-50900</x:v>
      </x:c>
      <x:c r="F25" s="6" t="n">
        <x:f>F24+E25</x:f>
        <x:v>-466400</x:v>
      </x:c>
      <x:c r="G25" s="6" t="n">
        <x:v>-55500</x:v>
      </x:c>
      <x:c r="H25" s="6" t="n">
        <x:v>71400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101400</x:v>
      </x:c>
      <x:c r="D26" s="6" t="n">
        <x:v>0</x:v>
      </x:c>
      <x:c r="E26" s="6" t="n">
        <x:f>C26-D26</x:f>
        <x:v>101400</x:v>
      </x:c>
      <x:c r="F26" s="6" t="n">
        <x:f>F25+E26</x:f>
        <x:v>-365000</x:v>
      </x:c>
      <x:c r="G26" s="6" t="n">
        <x:v>-18800</x:v>
      </x:c>
      <x:c r="H26" s="6" t="n">
        <x:v>60800</x:v>
      </x:c>
    </x:row>
    <x:row r="27" ht="25" customHeight="1">
      <x:c r="A27" s="2" t="str">
        <x:v>2026-10-20_Day</x:v>
      </x:c>
      <x:c r="B27" s="2" t="str">
        <x:v>下落</x:v>
      </x:c>
      <x:c r="C27" s="6" t="n">
        <x:v>3000</x:v>
      </x:c>
      <x:c r="D27" s="6" t="n">
        <x:v>0</x:v>
      </x:c>
      <x:c r="E27" s="6" t="n">
        <x:f>C27-D27</x:f>
        <x:v>3000</x:v>
      </x:c>
      <x:c r="F27" s="6" t="n">
        <x:f>F26+E27</x:f>
        <x:v>-362000</x:v>
      </x:c>
      <x:c r="G27" s="6" t="n">
        <x:v>-9000</x:v>
      </x:c>
      <x:c r="H27" s="6" t="n">
        <x:v>15000</x:v>
      </x:c>
    </x:row>
    <x:row r="28" ht="25" customHeight="1">
      <x:c r="A28" s="2" t="str">
        <x:v>2026-10-21_Day</x:v>
      </x:c>
      <x:c r="B28" s="2" t="str">
        <x:v>下落</x:v>
      </x:c>
      <x:c r="C28" s="6" t="n">
        <x:v>5800</x:v>
      </x:c>
      <x:c r="D28" s="6" t="n">
        <x:v>57600</x:v>
      </x:c>
      <x:c r="E28" s="6" t="n">
        <x:f>C28-D28</x:f>
        <x:v>-51800</x:v>
      </x:c>
      <x:c r="F28" s="6" t="n">
        <x:f>F27+E28</x:f>
        <x:v>-413800</x:v>
      </x:c>
      <x:c r="G28" s="6" t="n">
        <x:v>-60600</x:v>
      </x:c>
      <x:c r="H28" s="6" t="n">
        <x:v>82200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-413800</x:v>
      </x:c>
      <x:c r="G29" s="6" t="n">
        <x:v>-7500</x:v>
      </x:c>
      <x:c r="H29" s="6" t="n">
        <x:v>10000</x:v>
      </x:c>
    </x:row>
    <x:row r="30" ht="25" customHeight="1">
      <x:c r="A30" s="2" t="str">
        <x:v>2026-10-23_Day</x:v>
      </x:c>
      <x:c r="B30" s="2" t="str">
        <x:v>上昇</x:v>
      </x:c>
      <x:c r="C30" s="6" t="n">
        <x:v>24300</x:v>
      </x:c>
      <x:c r="D30" s="6" t="n">
        <x:v>48000</x:v>
      </x:c>
      <x:c r="E30" s="6" t="n">
        <x:f>C30-D30</x:f>
        <x:v>-23700</x:v>
      </x:c>
      <x:c r="F30" s="6" t="n">
        <x:f>F29+E30</x:f>
        <x:v>-437500</x:v>
      </x:c>
      <x:c r="G30" s="6" t="n">
        <x:v>-49200</x:v>
      </x:c>
      <x:c r="H30" s="6" t="n">
        <x:v>80400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36800</x:v>
      </x:c>
      <x:c r="E31" s="6" t="n">
        <x:f>C31-D31</x:f>
        <x:v>-36800</x:v>
      </x:c>
      <x:c r="F31" s="6" t="n">
        <x:f>F30+E31</x:f>
        <x:v>-474300</x:v>
      </x:c>
      <x:c r="G31" s="6" t="n">
        <x:v>-36800</x:v>
      </x:c>
      <x:c r="H31" s="6" t="n">
        <x:v>57600</x:v>
      </x:c>
    </x:row>
    <x:row r="32" ht="25" customHeight="1">
      <x:c r="A32" s="13" t="str">
        <x:v>累計／場内最悪値</x:v>
      </x:c>
      <x:c r="B32" s="13"/>
      <x:c r="C32" s="14" t="n">
        <x:f>SUM(C6:C31)</x:f>
        <x:v>300600</x:v>
      </x:c>
      <x:c r="D32" s="14" t="n">
        <x:f>SUM(D6:D31)</x:f>
        <x:v>774900</x:v>
      </x:c>
      <x:c r="E32" s="14" t="n">
        <x:f>C32-D32</x:f>
        <x:v>-474300</x:v>
      </x:c>
      <x:c r="F32" s="14" t="n">
        <x:f>F31</x:f>
        <x:v>-474300</x:v>
      </x:c>
      <x:c r="G32" s="14" t="n">
        <x:f>MIN(G6:G31)</x:f>
        <x:v>-122200</x:v>
      </x:c>
      <x:c r="H32" s="14" t="n">
        <x:f>MAX(H6:H31)</x:f>
        <x:v>143500</x:v>
      </x:c>
    </x:row>
  </x:sheetData>
  <x:conditionalFormatting sqref="E6:F31">
    <x:cfRule type="cellIs" dxfId="4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007aa092764f04"/>
  </x:tableParts>
</x:worksheet>
</file>

<file path=xl/worksheets/sheet4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観測修正／初回数量式を二乗抑制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5400</x:v>
      </x:c>
      <x:c r="D9" s="6" t="n">
        <x:v>15200</x:v>
      </x:c>
      <x:c r="E9" s="6" t="n">
        <x:f>C9-D9</x:f>
        <x:v>-9800</x:v>
      </x:c>
      <x:c r="F9" s="6" t="n">
        <x:f>F8+E9</x:f>
        <x:v>-9800</x:v>
      </x:c>
      <x:c r="G9" s="6" t="n">
        <x:v>-20200</x:v>
      </x:c>
      <x:c r="H9" s="6" t="n">
        <x:v>22300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45600</x:v>
      </x:c>
      <x:c r="E10" s="6" t="n">
        <x:f>C10-D10</x:f>
        <x:v>-45600</x:v>
      </x:c>
      <x:c r="F10" s="6" t="n">
        <x:f>F9+E10</x:f>
        <x:v>-55400</x:v>
      </x:c>
      <x:c r="G10" s="6" t="n">
        <x:v>-45600</x:v>
      </x:c>
      <x:c r="H10" s="6" t="n">
        <x:v>51300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13600</x:v>
      </x:c>
      <x:c r="E11" s="6" t="n">
        <x:f>C11-D11</x:f>
        <x:v>-13600</x:v>
      </x:c>
      <x:c r="F11" s="6" t="n">
        <x:f>F10+E11</x:f>
        <x:v>-69000</x:v>
      </x:c>
      <x:c r="G11" s="6" t="n">
        <x:v>-13600</x:v>
      </x:c>
      <x:c r="H11" s="6" t="n">
        <x:v>18700</x:v>
      </x:c>
    </x:row>
    <x:row r="12" ht="25" customHeight="1">
      <x:c r="A12" s="2" t="str">
        <x:v>2026-09-29_Day</x:v>
      </x:c>
      <x:c r="B12" s="2" t="str">
        <x:v>下落</x:v>
      </x:c>
      <x:c r="C12" s="6" t="n">
        <x:v>100</x:v>
      </x:c>
      <x:c r="D12" s="6" t="n">
        <x:v>34800</x:v>
      </x:c>
      <x:c r="E12" s="6" t="n">
        <x:f>C12-D12</x:f>
        <x:v>-34700</x:v>
      </x:c>
      <x:c r="F12" s="6" t="n">
        <x:f>F11+E12</x:f>
        <x:v>-103700</x:v>
      </x:c>
      <x:c r="G12" s="6" t="n">
        <x:v>-39400</x:v>
      </x:c>
      <x:c r="H12" s="6" t="n">
        <x:v>40900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-103700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6000</x:v>
      </x:c>
      <x:c r="D14" s="6" t="n">
        <x:v>51200</x:v>
      </x:c>
      <x:c r="E14" s="6" t="n">
        <x:f>C14-D14</x:f>
        <x:v>-45200</x:v>
      </x:c>
      <x:c r="F14" s="6" t="n">
        <x:f>F13+E14</x:f>
        <x:v>-148900</x:v>
      </x:c>
      <x:c r="G14" s="6" t="n">
        <x:v>-51100</x:v>
      </x:c>
      <x:c r="H14" s="6" t="n">
        <x:v>63500</x:v>
      </x:c>
    </x:row>
    <x:row r="15" ht="25" customHeight="1">
      <x:c r="A15" s="2" t="str">
        <x:v>2026-10-02_Day</x:v>
      </x:c>
      <x:c r="B15" s="2" t="str">
        <x:v>上昇</x:v>
      </x:c>
      <x:c r="C15" s="6" t="n">
        <x:v>1200</x:v>
      </x:c>
      <x:c r="D15" s="6" t="n">
        <x:v>0</x:v>
      </x:c>
      <x:c r="E15" s="6" t="n">
        <x:f>C15-D15</x:f>
        <x:v>1200</x:v>
      </x:c>
      <x:c r="F15" s="6" t="n">
        <x:f>F14+E15</x:f>
        <x:v>-147700</x:v>
      </x:c>
      <x:c r="G15" s="6" t="n">
        <x:v>-2400</x:v>
      </x:c>
      <x:c r="H15" s="6" t="n">
        <x:v>3600</x:v>
      </x:c>
    </x:row>
    <x:row r="16" ht="25" customHeight="1">
      <x:c r="A16" s="2" t="str">
        <x:v>2026-10-05_Day</x:v>
      </x:c>
      <x:c r="B16" s="2" t="str">
        <x:v>上昇</x:v>
      </x:c>
      <x:c r="C16" s="6" t="n">
        <x:v>1200</x:v>
      </x:c>
      <x:c r="D16" s="6" t="n">
        <x:v>0</x:v>
      </x:c>
      <x:c r="E16" s="6" t="n">
        <x:f>C16-D16</x:f>
        <x:v>1200</x:v>
      </x:c>
      <x:c r="F16" s="6" t="n">
        <x:f>F15+E16</x:f>
        <x:v>-146500</x:v>
      </x:c>
      <x:c r="G16" s="6" t="n">
        <x:v>-1500</x:v>
      </x:c>
      <x:c r="H16" s="6" t="n">
        <x:v>2400</x:v>
      </x:c>
    </x:row>
    <x:row r="17" ht="25" customHeight="1">
      <x:c r="A17" s="2" t="str">
        <x:v>2026-10-06_Day</x:v>
      </x:c>
      <x:c r="B17" s="2" t="str">
        <x:v>上昇</x:v>
      </x:c>
      <x:c r="C17" s="6" t="n">
        <x:v>4700</x:v>
      </x:c>
      <x:c r="D17" s="6" t="n">
        <x:v>0</x:v>
      </x:c>
      <x:c r="E17" s="6" t="n">
        <x:f>C17-D17</x:f>
        <x:v>4700</x:v>
      </x:c>
      <x:c r="F17" s="6" t="n">
        <x:f>F16+E17</x:f>
        <x:v>-141800</x:v>
      </x:c>
      <x:c r="G17" s="6" t="n">
        <x:v>-3100</x:v>
      </x:c>
      <x:c r="H17" s="6" t="n">
        <x:v>11200</x:v>
      </x:c>
    </x:row>
    <x:row r="18" ht="25" customHeight="1">
      <x:c r="A18" s="2" t="str">
        <x:v>2026-10-07_Day</x:v>
      </x:c>
      <x:c r="B18" s="2" t="str">
        <x:v>下落</x:v>
      </x:c>
      <x:c r="C18" s="6" t="n">
        <x:v>10800</x:v>
      </x:c>
      <x:c r="D18" s="6" t="n">
        <x:v>3200</x:v>
      </x:c>
      <x:c r="E18" s="6" t="n">
        <x:f>C18-D18</x:f>
        <x:v>7600</x:v>
      </x:c>
      <x:c r="F18" s="6" t="n">
        <x:f>F17+E18</x:f>
        <x:v>-134200</x:v>
      </x:c>
      <x:c r="G18" s="6" t="n">
        <x:v>-3900</x:v>
      </x:c>
      <x:c r="H18" s="6" t="n">
        <x:v>10000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200</x:v>
      </x:c>
      <x:c r="D19" s="6" t="n">
        <x:v>0</x:v>
      </x:c>
      <x:c r="E19" s="6" t="n">
        <x:f>C19-D19</x:f>
        <x:v>200</x:v>
      </x:c>
      <x:c r="F19" s="6" t="n">
        <x:f>F18+E19</x:f>
        <x:v>-134000</x:v>
      </x:c>
      <x:c r="G19" s="6" t="n">
        <x:v>-200</x:v>
      </x:c>
      <x:c r="H19" s="6" t="n">
        <x:v>400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25600</x:v>
      </x:c>
      <x:c r="E20" s="6" t="n">
        <x:f>C20-D20</x:f>
        <x:v>-25600</x:v>
      </x:c>
      <x:c r="F20" s="6" t="n">
        <x:f>F19+E20</x:f>
        <x:v>-159600</x:v>
      </x:c>
      <x:c r="G20" s="6" t="n">
        <x:v>-25600</x:v>
      </x:c>
      <x:c r="H20" s="6" t="n">
        <x:v>25600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-159600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3100</x:v>
      </x:c>
      <x:c r="D22" s="6" t="n">
        <x:v>70400</x:v>
      </x:c>
      <x:c r="E22" s="6" t="n">
        <x:f>C22-D22</x:f>
        <x:v>-67300</x:v>
      </x:c>
      <x:c r="F22" s="6" t="n">
        <x:f>F21+E22</x:f>
        <x:v>-226900</x:v>
      </x:c>
      <x:c r="G22" s="6" t="n">
        <x:v>-67300</x:v>
      </x:c>
      <x:c r="H22" s="6" t="n">
        <x:v>82300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12800</x:v>
      </x:c>
      <x:c r="E23" s="6" t="n">
        <x:f>C23-D23</x:f>
        <x:v>-12800</x:v>
      </x:c>
      <x:c r="F23" s="6" t="n">
        <x:f>F22+E23</x:f>
        <x:v>-239700</x:v>
      </x:c>
      <x:c r="G23" s="6" t="n">
        <x:v>-12800</x:v>
      </x:c>
      <x:c r="H23" s="6" t="n">
        <x:v>12800</x:v>
      </x:c>
    </x:row>
    <x:row r="24" ht="25" customHeight="1">
      <x:c r="A24" s="2" t="str">
        <x:v>2026-10-15_Day</x:v>
      </x:c>
      <x:c r="B24" s="2" t="str">
        <x:v>下落</x:v>
      </x:c>
      <x:c r="C24" s="6" t="n">
        <x:v>6900</x:v>
      </x:c>
      <x:c r="D24" s="6" t="n">
        <x:v>12800</x:v>
      </x:c>
      <x:c r="E24" s="6" t="n">
        <x:f>C24-D24</x:f>
        <x:v>-5900</x:v>
      </x:c>
      <x:c r="F24" s="6" t="n">
        <x:f>F23+E24</x:f>
        <x:v>-245600</x:v>
      </x:c>
      <x:c r="G24" s="6" t="n">
        <x:v>-14800</x:v>
      </x:c>
      <x:c r="H24" s="6" t="n">
        <x:v>16400</x:v>
      </x:c>
    </x:row>
    <x:row r="25" ht="25" customHeight="1">
      <x:c r="A25" s="2" t="str">
        <x:v>2026-10-16_Day</x:v>
      </x:c>
      <x:c r="B25" s="2" t="str">
        <x:v>上昇</x:v>
      </x:c>
      <x:c r="C25" s="6" t="n">
        <x:v>5800</x:v>
      </x:c>
      <x:c r="D25" s="6" t="n">
        <x:v>31700</x:v>
      </x:c>
      <x:c r="E25" s="6" t="n">
        <x:f>C25-D25</x:f>
        <x:v>-25900</x:v>
      </x:c>
      <x:c r="F25" s="6" t="n">
        <x:f>F24+E25</x:f>
        <x:v>-271500</x:v>
      </x:c>
      <x:c r="G25" s="6" t="n">
        <x:v>-26600</x:v>
      </x:c>
      <x:c r="H25" s="6" t="n">
        <x:v>35000</x:v>
      </x:c>
    </x:row>
    <x:row r="26" ht="25" customHeight="1">
      <x:c r="A26" s="2" t="str">
        <x:v>2026-10-19_Day</x:v>
      </x:c>
      <x:c r="B26" s="2" t="str">
        <x:v>上昇</x:v>
      </x:c>
      <x:c r="C26" s="6" t="n">
        <x:v>53100</x:v>
      </x:c>
      <x:c r="D26" s="6" t="n">
        <x:v>0</x:v>
      </x:c>
      <x:c r="E26" s="6" t="n">
        <x:f>C26-D26</x:f>
        <x:v>53100</x:v>
      </x:c>
      <x:c r="F26" s="6" t="n">
        <x:f>F25+E26</x:f>
        <x:v>-218400</x:v>
      </x:c>
      <x:c r="G26" s="6" t="n">
        <x:v>-8800</x:v>
      </x:c>
      <x:c r="H26" s="6" t="n">
        <x:v>33200</x:v>
      </x:c>
    </x:row>
    <x:row r="27" ht="25" customHeight="1">
      <x:c r="A27" s="2" t="str">
        <x:v>2026-10-20_Day</x:v>
      </x:c>
      <x:c r="B27" s="2" t="str">
        <x:v>下落</x:v>
      </x:c>
      <x:c r="C27" s="6" t="n">
        <x:v>900</x:v>
      </x:c>
      <x:c r="D27" s="6" t="n">
        <x:v>0</x:v>
      </x:c>
      <x:c r="E27" s="6" t="n">
        <x:f>C27-D27</x:f>
        <x:v>900</x:v>
      </x:c>
      <x:c r="F27" s="6" t="n">
        <x:f>F26+E27</x:f>
        <x:v>-217500</x:v>
      </x:c>
      <x:c r="G27" s="6" t="n">
        <x:v>-2700</x:v>
      </x:c>
      <x:c r="H27" s="6" t="n">
        <x:v>4000</x:v>
      </x:c>
    </x:row>
    <x:row r="28" ht="25" customHeight="1">
      <x:c r="A28" s="2" t="str">
        <x:v>2026-10-21_Day</x:v>
      </x:c>
      <x:c r="B28" s="2" t="str">
        <x:v>下落</x:v>
      </x:c>
      <x:c r="C28" s="6" t="n">
        <x:v>1600</x:v>
      </x:c>
      <x:c r="D28" s="6" t="n">
        <x:v>42400</x:v>
      </x:c>
      <x:c r="E28" s="6" t="n">
        <x:f>C28-D28</x:f>
        <x:v>-40800</x:v>
      </x:c>
      <x:c r="F28" s="6" t="n">
        <x:f>F27+E28</x:f>
        <x:v>-258300</x:v>
      </x:c>
      <x:c r="G28" s="6" t="n">
        <x:v>-43200</x:v>
      </x:c>
      <x:c r="H28" s="6" t="n">
        <x:v>59100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0</x:v>
      </x:c>
      <x:c r="E29" s="6" t="n">
        <x:f>C29-D29</x:f>
        <x:v>0</x:v>
      </x:c>
      <x:c r="F29" s="6" t="n">
        <x:f>F28+E29</x:f>
        <x:v>-258300</x:v>
      </x:c>
      <x:c r="G29" s="6" t="n">
        <x:v>-1800</x:v>
      </x:c>
      <x:c r="H29" s="6" t="n">
        <x:v>2400</x:v>
      </x:c>
    </x:row>
    <x:row r="30" ht="25" customHeight="1">
      <x:c r="A30" s="2" t="str">
        <x:v>2026-10-23_Day</x:v>
      </x:c>
      <x:c r="B30" s="2" t="str">
        <x:v>上昇</x:v>
      </x:c>
      <x:c r="C30" s="6" t="n">
        <x:v>12000</x:v>
      </x:c>
      <x:c r="D30" s="6" t="n">
        <x:v>28800</x:v>
      </x:c>
      <x:c r="E30" s="6" t="n">
        <x:f>C30-D30</x:f>
        <x:v>-16800</x:v>
      </x:c>
      <x:c r="F30" s="6" t="n">
        <x:f>F29+E30</x:f>
        <x:v>-275100</x:v>
      </x:c>
      <x:c r="G30" s="6" t="n">
        <x:v>-29800</x:v>
      </x:c>
      <x:c r="H30" s="6" t="n">
        <x:v>46000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16800</x:v>
      </x:c>
      <x:c r="E31" s="6" t="n">
        <x:f>C31-D31</x:f>
        <x:v>-16800</x:v>
      </x:c>
      <x:c r="F31" s="6" t="n">
        <x:f>F30+E31</x:f>
        <x:v>-291900</x:v>
      </x:c>
      <x:c r="G31" s="6" t="n">
        <x:v>-16800</x:v>
      </x:c>
      <x:c r="H31" s="6" t="n">
        <x:v>27600</x:v>
      </x:c>
    </x:row>
    <x:row r="32" ht="25" customHeight="1">
      <x:c r="A32" s="13" t="str">
        <x:v>累計／場内最悪値</x:v>
      </x:c>
      <x:c r="B32" s="13"/>
      <x:c r="C32" s="14" t="n">
        <x:f>SUM(C6:C31)</x:f>
        <x:v>113000</x:v>
      </x:c>
      <x:c r="D32" s="14" t="n">
        <x:f>SUM(D6:D31)</x:f>
        <x:v>404900</x:v>
      </x:c>
      <x:c r="E32" s="14" t="n">
        <x:f>C32-D32</x:f>
        <x:v>-291900</x:v>
      </x:c>
      <x:c r="F32" s="14" t="n">
        <x:f>F31</x:f>
        <x:v>-291900</x:v>
      </x:c>
      <x:c r="G32" s="14" t="n">
        <x:f>MIN(G6:G31)</x:f>
        <x:v>-67300</x:v>
      </x:c>
      <x:c r="H32" s="14" t="n">
        <x:f>MAX(H6:H31)</x:f>
        <x:v>82300</x:v>
      </x:c>
    </x:row>
  </x:sheetData>
  <x:conditionalFormatting sqref="E6:F31">
    <x:cfRule type="cellIs" dxfId="4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f29d0de26e4eb7"/>
  </x:tableParts>
</x:worksheet>
</file>

<file path=xl/worksheets/sheet4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観測修正／順行40ptで支持目標まで追加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75200</x:v>
      </x:c>
      <x:c r="E9" s="6" t="n">
        <x:f>C9-D9</x:f>
        <x:v>-65000</x:v>
      </x:c>
      <x:c r="F9" s="6" t="n">
        <x:f>F8+E9</x:f>
        <x:v>-65000</x:v>
      </x:c>
      <x:c r="G9" s="6" t="n">
        <x:v>-85400</x:v>
      </x:c>
      <x:c r="H9" s="6" t="n">
        <x:v>92600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60000</x:v>
      </x:c>
      <x:c r="E10" s="6" t="n">
        <x:f>C10-D10</x:f>
        <x:v>-60000</x:v>
      </x:c>
      <x:c r="F10" s="6" t="n">
        <x:f>F9+E10</x:f>
        <x:v>-125000</x:v>
      </x:c>
      <x:c r="G10" s="6" t="n">
        <x:v>-60000</x:v>
      </x:c>
      <x:c r="H10" s="6" t="n">
        <x:v>67500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-158600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127000</x:v>
      </x:c>
      <x:c r="E12" s="6" t="n">
        <x:f>C12-D12</x:f>
        <x:v>-127000</x:v>
      </x:c>
      <x:c r="F12" s="6" t="n">
        <x:f>F11+E12</x:f>
        <x:v>-285600</x:v>
      </x:c>
      <x:c r="G12" s="6" t="n">
        <x:v>-127000</x:v>
      </x:c>
      <x:c r="H12" s="6" t="n">
        <x:v>136000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-285600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73600</x:v>
      </x:c>
      <x:c r="E14" s="6" t="n">
        <x:f>C14-D14</x:f>
        <x:v>-61300</x:v>
      </x:c>
      <x:c r="F14" s="6" t="n">
        <x:f>F13+E14</x:f>
        <x:v>-346900</x:v>
      </x:c>
      <x:c r="G14" s="6" t="n">
        <x:v>-66200</x:v>
      </x:c>
      <x:c r="H14" s="6" t="n">
        <x:v>81800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4400</x:v>
      </x:c>
      <x:c r="E15" s="6" t="n">
        <x:f>C15-D15</x:f>
        <x:v>-4400</x:v>
      </x:c>
      <x:c r="F15" s="6" t="n">
        <x:f>F14+E15</x:f>
        <x:v>-351300</x:v>
      </x:c>
      <x:c r="G15" s="6" t="n">
        <x:v>-12000</x:v>
      </x:c>
      <x:c r="H15" s="6" t="n">
        <x:v>30800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11400</x:v>
      </x:c>
      <x:c r="E16" s="6" t="n">
        <x:f>C16-D16</x:f>
        <x:v>-11400</x:v>
      </x:c>
      <x:c r="F16" s="6" t="n">
        <x:f>F15+E16</x:f>
        <x:v>-362700</x:v>
      </x:c>
      <x:c r="G16" s="6" t="n">
        <x:v>-22100</x:v>
      </x:c>
      <x:c r="H16" s="6" t="n">
        <x:v>69000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31500</x:v>
      </x:c>
      <x:c r="E17" s="6" t="n">
        <x:f>C17-D17</x:f>
        <x:v>-31500</x:v>
      </x:c>
      <x:c r="F17" s="6" t="n">
        <x:f>F16+E17</x:f>
        <x:v>-394200</x:v>
      </x:c>
      <x:c r="G17" s="6" t="n">
        <x:v>-32700</x:v>
      </x:c>
      <x:c r="H17" s="6" t="n">
        <x:v>72300</x:v>
      </x:c>
    </x:row>
    <x:row r="18" ht="25" customHeight="1">
      <x:c r="A18" s="2" t="str">
        <x:v>2026-10-07_Day</x:v>
      </x:c>
      <x:c r="B18" s="2" t="str">
        <x:v>下落</x:v>
      </x:c>
      <x:c r="C18" s="6" t="n">
        <x:v>46700</x:v>
      </x:c>
      <x:c r="D18" s="6" t="n">
        <x:v>16800</x:v>
      </x:c>
      <x:c r="E18" s="6" t="n">
        <x:f>C18-D18</x:f>
        <x:v>29900</x:v>
      </x:c>
      <x:c r="F18" s="6" t="n">
        <x:f>F17+E18</x:f>
        <x:v>-364300</x:v>
      </x:c>
      <x:c r="G18" s="6" t="n">
        <x:v>-11100</x:v>
      </x:c>
      <x:c r="H18" s="6" t="n">
        <x:v>52000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-374000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45600</x:v>
      </x:c>
      <x:c r="E20" s="6" t="n">
        <x:f>C20-D20</x:f>
        <x:v>-45600</x:v>
      </x:c>
      <x:c r="F20" s="6" t="n">
        <x:f>F19+E20</x:f>
        <x:v>-419600</x:v>
      </x:c>
      <x:c r="G20" s="6" t="n">
        <x:v>-45600</x:v>
      </x:c>
      <x:c r="H20" s="6" t="n">
        <x:v>45600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-419600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184800</x:v>
      </x:c>
      <x:c r="E22" s="6" t="n">
        <x:f>C22-D22</x:f>
        <x:v>-167000</x:v>
      </x:c>
      <x:c r="F22" s="6" t="n">
        <x:f>F21+E22</x:f>
        <x:v>-586600</x:v>
      </x:c>
      <x:c r="G22" s="6" t="n">
        <x:v>-167000</x:v>
      </x:c>
      <x:c r="H22" s="6" t="n">
        <x:v>188300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32800</x:v>
      </x:c>
      <x:c r="E23" s="6" t="n">
        <x:f>C23-D23</x:f>
        <x:v>-32800</x:v>
      </x:c>
      <x:c r="F23" s="6" t="n">
        <x:f>F22+E23</x:f>
        <x:v>-619400</x:v>
      </x:c>
      <x:c r="G23" s="6" t="n">
        <x:v>-32800</x:v>
      </x:c>
      <x:c r="H23" s="6" t="n">
        <x:v>32800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74400</x:v>
      </x:c>
      <x:c r="E24" s="6" t="n">
        <x:f>C24-D24</x:f>
        <x:v>-74400</x:v>
      </x:c>
      <x:c r="F24" s="6" t="n">
        <x:f>F23+E24</x:f>
        <x:v>-693800</x:v>
      </x:c>
      <x:c r="G24" s="6" t="n">
        <x:v>-74400</x:v>
      </x:c>
      <x:c r="H24" s="6" t="n">
        <x:v>92800</x:v>
      </x:c>
    </x:row>
    <x:row r="25" ht="25" customHeight="1">
      <x:c r="A25" s="2" t="str">
        <x:v>2026-10-16_Day</x:v>
      </x:c>
      <x:c r="B25" s="2" t="str">
        <x:v>上昇</x:v>
      </x:c>
      <x:c r="C25" s="6" t="n">
        <x:v>98400</x:v>
      </x:c>
      <x:c r="D25" s="6" t="n">
        <x:v>90400</x:v>
      </x:c>
      <x:c r="E25" s="6" t="n">
        <x:f>C25-D25</x:f>
        <x:v>8000</x:v>
      </x:c>
      <x:c r="F25" s="6" t="n">
        <x:f>F24+E25</x:f>
        <x:v>-685800</x:v>
      </x:c>
      <x:c r="G25" s="6" t="n">
        <x:v>-64400</x:v>
      </x:c>
      <x:c r="H25" s="6" t="n">
        <x:v>80300</x:v>
      </x:c>
    </x:row>
    <x:row r="26" ht="25" customHeight="1">
      <x:c r="A26" s="2" t="str">
        <x:v>2026-10-19_Day</x:v>
      </x:c>
      <x:c r="B26" s="2" t="str">
        <x:v>上昇</x:v>
      </x:c>
      <x:c r="C26" s="6" t="n">
        <x:v>95900</x:v>
      </x:c>
      <x:c r="D26" s="6" t="n">
        <x:v>34500</x:v>
      </x:c>
      <x:c r="E26" s="6" t="n">
        <x:f>C26-D26</x:f>
        <x:v>61400</x:v>
      </x:c>
      <x:c r="F26" s="6" t="n">
        <x:f>F25+E26</x:f>
        <x:v>-624400</x:v>
      </x:c>
      <x:c r="G26" s="6" t="n">
        <x:v>-18800</x:v>
      </x:c>
      <x:c r="H26" s="6" t="n">
        <x:v>136000</x:v>
      </x:c>
    </x:row>
    <x:row r="27" ht="25" customHeight="1">
      <x:c r="A27" s="2" t="str">
        <x:v>2026-10-20_Day</x:v>
      </x:c>
      <x:c r="B27" s="2" t="str">
        <x:v>下落</x:v>
      </x:c>
      <x:c r="C27" s="6" t="n">
        <x:v>26400</x:v>
      </x:c>
      <x:c r="D27" s="6" t="n">
        <x:v>56600</x:v>
      </x:c>
      <x:c r="E27" s="6" t="n">
        <x:f>C27-D27</x:f>
        <x:v>-30200</x:v>
      </x:c>
      <x:c r="F27" s="6" t="n">
        <x:f>F26+E27</x:f>
        <x:v>-654600</x:v>
      </x:c>
      <x:c r="G27" s="6" t="n">
        <x:v>-30200</x:v>
      </x:c>
      <x:c r="H27" s="6" t="n">
        <x:v>85200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159800</x:v>
      </x:c>
      <x:c r="E28" s="6" t="n">
        <x:f>C28-D28</x:f>
        <x:v>-159800</x:v>
      </x:c>
      <x:c r="F28" s="6" t="n">
        <x:f>F27+E28</x:f>
        <x:v>-814400</x:v>
      </x:c>
      <x:c r="G28" s="6" t="n">
        <x:v>-159800</x:v>
      </x:c>
      <x:c r="H28" s="6" t="n">
        <x:v>181400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-841600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110700</x:v>
      </x:c>
      <x:c r="E30" s="6" t="n">
        <x:f>C30-D30</x:f>
        <x:v>-110700</x:v>
      </x:c>
      <x:c r="F30" s="6" t="n">
        <x:f>F29+E30</x:f>
        <x:v>-952300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30600</x:v>
      </x:c>
      <x:c r="D31" s="6" t="n">
        <x:v>36800</x:v>
      </x:c>
      <x:c r="E31" s="6" t="n">
        <x:f>C31-D31</x:f>
        <x:v>-6200</x:v>
      </x:c>
      <x:c r="F31" s="6" t="n">
        <x:f>F30+E31</x:f>
        <x:v>-958500</x:v>
      </x:c>
      <x:c r="G31" s="6" t="n">
        <x:v>-34200</x:v>
      </x:c>
      <x:c r="H31" s="6" t="n">
        <x:v>81200</x:v>
      </x:c>
    </x:row>
    <x:row r="32" ht="25" customHeight="1">
      <x:c r="A32" s="13" t="str">
        <x:v>累計／場内最悪値</x:v>
      </x:c>
      <x:c r="B32" s="13"/>
      <x:c r="C32" s="14" t="n">
        <x:f>SUM(C6:C31)</x:f>
        <x:v>338300</x:v>
      </x:c>
      <x:c r="D32" s="14" t="n">
        <x:f>SUM(D6:D31)</x:f>
        <x:v>1296800</x:v>
      </x:c>
      <x:c r="E32" s="14" t="n">
        <x:f>C32-D32</x:f>
        <x:v>-958500</x:v>
      </x:c>
      <x:c r="F32" s="14" t="n">
        <x:f>F31</x:f>
        <x:v>-958500</x:v>
      </x:c>
      <x:c r="G32" s="14" t="n">
        <x:f>MIN(G6:G31)</x:f>
        <x:v>-167000</x:v>
      </x:c>
      <x:c r="H32" s="14" t="n">
        <x:f>MAX(H6:H31)</x:f>
        <x:v>188300</x:v>
      </x:c>
    </x:row>
  </x:sheetData>
  <x:conditionalFormatting sqref="E6:F31">
    <x:cfRule type="cellIs" dxfId="4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e4f377716d43f6"/>
  </x:tableParts>
</x:worksheet>
</file>

<file path=xl/worksheets/sheet4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観測修正／二乗抑制＋順行追加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5200</x:v>
      </x:c>
      <x:c r="D9" s="6" t="n">
        <x:v>50400</x:v>
      </x:c>
      <x:c r="E9" s="6" t="n">
        <x:f>C9-D9</x:f>
        <x:v>-45200</x:v>
      </x:c>
      <x:c r="F9" s="6" t="n">
        <x:f>F8+E9</x:f>
        <x:v>-45200</x:v>
      </x:c>
      <x:c r="G9" s="6" t="n">
        <x:v>-55600</x:v>
      </x:c>
      <x:c r="H9" s="6" t="n">
        <x:v>56800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45600</x:v>
      </x:c>
      <x:c r="E10" s="6" t="n">
        <x:f>C10-D10</x:f>
        <x:v>-45600</x:v>
      </x:c>
      <x:c r="F10" s="6" t="n">
        <x:f>F9+E10</x:f>
        <x:v>-90800</x:v>
      </x:c>
      <x:c r="G10" s="6" t="n">
        <x:v>-45600</x:v>
      </x:c>
      <x:c r="H10" s="6" t="n">
        <x:v>51300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13600</x:v>
      </x:c>
      <x:c r="E11" s="6" t="n">
        <x:f>C11-D11</x:f>
        <x:v>-13600</x:v>
      </x:c>
      <x:c r="F11" s="6" t="n">
        <x:f>F10+E11</x:f>
        <x:v>-104400</x:v>
      </x:c>
      <x:c r="G11" s="6" t="n">
        <x:v>-13600</x:v>
      </x:c>
      <x:c r="H11" s="6" t="n">
        <x:v>18700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86800</x:v>
      </x:c>
      <x:c r="E12" s="6" t="n">
        <x:f>C12-D12</x:f>
        <x:v>-86800</x:v>
      </x:c>
      <x:c r="F12" s="6" t="n">
        <x:f>F11+E12</x:f>
        <x:v>-191200</x:v>
      </x:c>
      <x:c r="G12" s="6" t="n">
        <x:v>-86800</x:v>
      </x:c>
      <x:c r="H12" s="6" t="n">
        <x:v>88300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-191200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3000</x:v>
      </x:c>
      <x:c r="D14" s="6" t="n">
        <x:v>51200</x:v>
      </x:c>
      <x:c r="E14" s="6" t="n">
        <x:f>C14-D14</x:f>
        <x:v>-48200</x:v>
      </x:c>
      <x:c r="F14" s="6" t="n">
        <x:f>F13+E14</x:f>
        <x:v>-239400</x:v>
      </x:c>
      <x:c r="G14" s="6" t="n">
        <x:v>-51100</x:v>
      </x:c>
      <x:c r="H14" s="6" t="n">
        <x:v>63500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11300</x:v>
      </x:c>
      <x:c r="E15" s="6" t="n">
        <x:f>C15-D15</x:f>
        <x:v>-11300</x:v>
      </x:c>
      <x:c r="F15" s="6" t="n">
        <x:f>F14+E15</x:f>
        <x:v>-250700</x:v>
      </x:c>
      <x:c r="G15" s="6" t="n">
        <x:v>-11300</x:v>
      </x:c>
      <x:c r="H15" s="6" t="n">
        <x:v>21200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11600</x:v>
      </x:c>
      <x:c r="E16" s="6" t="n">
        <x:f>C16-D16</x:f>
        <x:v>-11600</x:v>
      </x:c>
      <x:c r="F16" s="6" t="n">
        <x:f>F15+E16</x:f>
        <x:v>-262300</x:v>
      </x:c>
      <x:c r="G16" s="6" t="n">
        <x:v>-25000</x:v>
      </x:c>
      <x:c r="H16" s="6" t="n">
        <x:v>49600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27400</x:v>
      </x:c>
      <x:c r="E17" s="6" t="n">
        <x:f>C17-D17</x:f>
        <x:v>-27400</x:v>
      </x:c>
      <x:c r="F17" s="6" t="n">
        <x:f>F16+E17</x:f>
        <x:v>-289700</x:v>
      </x:c>
      <x:c r="G17" s="6" t="n">
        <x:v>-27400</x:v>
      </x:c>
      <x:c r="H17" s="6" t="n">
        <x:v>41900</x:v>
      </x:c>
    </x:row>
    <x:row r="18" ht="25" customHeight="1">
      <x:c r="A18" s="2" t="str">
        <x:v>2026-10-07_Day</x:v>
      </x:c>
      <x:c r="B18" s="2" t="str">
        <x:v>下落</x:v>
      </x:c>
      <x:c r="C18" s="6" t="n">
        <x:v>28000</x:v>
      </x:c>
      <x:c r="D18" s="6" t="n">
        <x:v>3200</x:v>
      </x:c>
      <x:c r="E18" s="6" t="n">
        <x:f>C18-D18</x:f>
        <x:v>24800</x:v>
      </x:c>
      <x:c r="F18" s="6" t="n">
        <x:f>F17+E18</x:f>
        <x:v>-264900</x:v>
      </x:c>
      <x:c r="G18" s="6" t="n">
        <x:v>-3900</x:v>
      </x:c>
      <x:c r="H18" s="6" t="n">
        <x:v>22400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5200</x:v>
      </x:c>
      <x:c r="E19" s="6" t="n">
        <x:f>C19-D19</x:f>
        <x:v>-5200</x:v>
      </x:c>
      <x:c r="F19" s="6" t="n">
        <x:f>F18+E19</x:f>
        <x:v>-270100</x:v>
      </x:c>
      <x:c r="G19" s="6" t="n">
        <x:v>-10600</x:v>
      </x:c>
      <x:c r="H19" s="6" t="n">
        <x:v>11100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25600</x:v>
      </x:c>
      <x:c r="E20" s="6" t="n">
        <x:f>C20-D20</x:f>
        <x:v>-25600</x:v>
      </x:c>
      <x:c r="F20" s="6" t="n">
        <x:f>F19+E20</x:f>
        <x:v>-295700</x:v>
      </x:c>
      <x:c r="G20" s="6" t="n">
        <x:v>-25600</x:v>
      </x:c>
      <x:c r="H20" s="6" t="n">
        <x:v>25600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-295700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79100</x:v>
      </x:c>
      <x:c r="E22" s="6" t="n">
        <x:f>C22-D22</x:f>
        <x:v>-79100</x:v>
      </x:c>
      <x:c r="F22" s="6" t="n">
        <x:f>F21+E22</x:f>
        <x:v>-374800</x:v>
      </x:c>
      <x:c r="G22" s="6" t="n">
        <x:v>-79100</x:v>
      </x:c>
      <x:c r="H22" s="6" t="n">
        <x:v>94100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12800</x:v>
      </x:c>
      <x:c r="E23" s="6" t="n">
        <x:f>C23-D23</x:f>
        <x:v>-12800</x:v>
      </x:c>
      <x:c r="F23" s="6" t="n">
        <x:f>F22+E23</x:f>
        <x:v>-387600</x:v>
      </x:c>
      <x:c r="G23" s="6" t="n">
        <x:v>-12800</x:v>
      </x:c>
      <x:c r="H23" s="6" t="n">
        <x:v>12800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32900</x:v>
      </x:c>
      <x:c r="E24" s="6" t="n">
        <x:f>C24-D24</x:f>
        <x:v>-32900</x:v>
      </x:c>
      <x:c r="F24" s="6" t="n">
        <x:f>F23+E24</x:f>
        <x:v>-420500</x:v>
      </x:c>
      <x:c r="G24" s="6" t="n">
        <x:v>-32900</x:v>
      </x:c>
      <x:c r="H24" s="6" t="n">
        <x:v>52000</x:v>
      </x:c>
    </x:row>
    <x:row r="25" ht="25" customHeight="1">
      <x:c r="A25" s="2" t="str">
        <x:v>2026-10-16_Day</x:v>
      </x:c>
      <x:c r="B25" s="2" t="str">
        <x:v>上昇</x:v>
      </x:c>
      <x:c r="C25" s="6" t="n">
        <x:v>62300</x:v>
      </x:c>
      <x:c r="D25" s="6" t="n">
        <x:v>40600</x:v>
      </x:c>
      <x:c r="E25" s="6" t="n">
        <x:f>C25-D25</x:f>
        <x:v>21700</x:v>
      </x:c>
      <x:c r="F25" s="6" t="n">
        <x:f>F24+E25</x:f>
        <x:v>-398800</x:v>
      </x:c>
      <x:c r="G25" s="6" t="n">
        <x:v>-40500</x:v>
      </x:c>
      <x:c r="H25" s="6" t="n">
        <x:v>51300</x:v>
      </x:c>
    </x:row>
    <x:row r="26" ht="25" customHeight="1">
      <x:c r="A26" s="2" t="str">
        <x:v>2026-10-19_Day</x:v>
      </x:c>
      <x:c r="B26" s="2" t="str">
        <x:v>上昇</x:v>
      </x:c>
      <x:c r="C26" s="6" t="n">
        <x:v>27400</x:v>
      </x:c>
      <x:c r="D26" s="6" t="n">
        <x:v>10200</x:v>
      </x:c>
      <x:c r="E26" s="6" t="n">
        <x:f>C26-D26</x:f>
        <x:v>17200</x:v>
      </x:c>
      <x:c r="F26" s="6" t="n">
        <x:f>F25+E26</x:f>
        <x:v>-381600</x:v>
      </x:c>
      <x:c r="G26" s="6" t="n">
        <x:v>-8800</x:v>
      </x:c>
      <x:c r="H26" s="6" t="n">
        <x:v>105200</x:v>
      </x:c>
    </x:row>
    <x:row r="27" ht="25" customHeight="1">
      <x:c r="A27" s="2" t="str">
        <x:v>2026-10-20_Day</x:v>
      </x:c>
      <x:c r="B27" s="2" t="str">
        <x:v>下落</x:v>
      </x:c>
      <x:c r="C27" s="6" t="n">
        <x:v>15000</x:v>
      </x:c>
      <x:c r="D27" s="6" t="n">
        <x:v>46400</x:v>
      </x:c>
      <x:c r="E27" s="6" t="n">
        <x:f>C27-D27</x:f>
        <x:v>-31400</x:v>
      </x:c>
      <x:c r="F27" s="6" t="n">
        <x:f>F26+E27</x:f>
        <x:v>-413000</x:v>
      </x:c>
      <x:c r="G27" s="6" t="n">
        <x:v>-31400</x:v>
      </x:c>
      <x:c r="H27" s="6" t="n">
        <x:v>76400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101600</x:v>
      </x:c>
      <x:c r="E28" s="6" t="n">
        <x:f>C28-D28</x:f>
        <x:v>-101600</x:v>
      </x:c>
      <x:c r="F28" s="6" t="n">
        <x:f>F27+E28</x:f>
        <x:v>-514600</x:v>
      </x:c>
      <x:c r="G28" s="6" t="n">
        <x:v>-101600</x:v>
      </x:c>
      <x:c r="H28" s="6" t="n">
        <x:v>117500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23200</x:v>
      </x:c>
      <x:c r="E29" s="6" t="n">
        <x:f>C29-D29</x:f>
        <x:v>-23200</x:v>
      </x:c>
      <x:c r="F29" s="6" t="n">
        <x:f>F28+E29</x:f>
        <x:v>-537800</x:v>
      </x:c>
      <x:c r="G29" s="6" t="n">
        <x:v>-23200</x:v>
      </x:c>
      <x:c r="H29" s="6" t="n">
        <x:v>25600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90700</x:v>
      </x:c>
      <x:c r="E30" s="6" t="n">
        <x:f>C30-D30</x:f>
        <x:v>-90700</x:v>
      </x:c>
      <x:c r="F30" s="6" t="n">
        <x:f>F29+E30</x:f>
        <x:v>-628500</x:v>
      </x:c>
      <x:c r="G30" s="6" t="n">
        <x:v>-95100</x:v>
      </x:c>
      <x:c r="H30" s="6" t="n">
        <x:v>108600</x:v>
      </x:c>
    </x:row>
    <x:row r="31" ht="25" customHeight="1">
      <x:c r="A31" s="2" t="str">
        <x:v>2026-10-26_Day</x:v>
      </x:c>
      <x:c r="B31" s="2" t="str">
        <x:v>下落</x:v>
      </x:c>
      <x:c r="C31" s="6" t="n">
        <x:v>13000</x:v>
      </x:c>
      <x:c r="D31" s="6" t="n">
        <x:v>16800</x:v>
      </x:c>
      <x:c r="E31" s="6" t="n">
        <x:f>C31-D31</x:f>
        <x:v>-3800</x:v>
      </x:c>
      <x:c r="F31" s="6" t="n">
        <x:f>F30+E31</x:f>
        <x:v>-632300</x:v>
      </x:c>
      <x:c r="G31" s="6" t="n">
        <x:v>-43800</x:v>
      </x:c>
      <x:c r="H31" s="6" t="n">
        <x:v>63600</x:v>
      </x:c>
    </x:row>
    <x:row r="32" ht="25" customHeight="1">
      <x:c r="A32" s="13" t="str">
        <x:v>累計／場内最悪値</x:v>
      </x:c>
      <x:c r="B32" s="13"/>
      <x:c r="C32" s="14" t="n">
        <x:f>SUM(C6:C31)</x:f>
        <x:v>153900</x:v>
      </x:c>
      <x:c r="D32" s="14" t="n">
        <x:f>SUM(D6:D31)</x:f>
        <x:v>786200</x:v>
      </x:c>
      <x:c r="E32" s="14" t="n">
        <x:f>C32-D32</x:f>
        <x:v>-632300</x:v>
      </x:c>
      <x:c r="F32" s="14" t="n">
        <x:f>F31</x:f>
        <x:v>-632300</x:v>
      </x:c>
      <x:c r="G32" s="14" t="n">
        <x:f>MIN(G6:G31)</x:f>
        <x:v>-101600</x:v>
      </x:c>
      <x:c r="H32" s="14" t="n">
        <x:f>MAX(H6:H31)</x:f>
        <x:v>117500</x:v>
      </x:c>
    </x:row>
  </x:sheetData>
  <x:conditionalFormatting sqref="E6:F31">
    <x:cfRule type="cellIs" dxfId="4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9b0392d9ee4298"/>
  </x:tableParts>
</x:worksheet>
</file>

<file path=xl/worksheets/sheet5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観測修正／順行追加＋短期反対支持でセーブ/復帰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75200</x:v>
      </x:c>
      <x:c r="E9" s="6" t="n">
        <x:f>C9-D9</x:f>
        <x:v>-65000</x:v>
      </x:c>
      <x:c r="F9" s="6" t="n">
        <x:f>F8+E9</x:f>
        <x:v>-65000</x:v>
      </x:c>
      <x:c r="G9" s="6" t="n">
        <x:v>-85400</x:v>
      </x:c>
      <x:c r="H9" s="6" t="n">
        <x:v>92600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-136600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-170200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123300</x:v>
      </x:c>
      <x:c r="E12" s="6" t="n">
        <x:f>C12-D12</x:f>
        <x:v>-123300</x:v>
      </x:c>
      <x:c r="F12" s="6" t="n">
        <x:f>F11+E12</x:f>
        <x:v>-293500</x:v>
      </x:c>
      <x:c r="G12" s="6" t="n">
        <x:v>-123300</x:v>
      </x:c>
      <x:c r="H12" s="6" t="n">
        <x:v>132300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-293500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-353700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20200</x:v>
      </x:c>
      <x:c r="E15" s="6" t="n">
        <x:f>C15-D15</x:f>
        <x:v>-20200</x:v>
      </x:c>
      <x:c r="F15" s="6" t="n">
        <x:f>F14+E15</x:f>
        <x:v>-373900</x:v>
      </x:c>
      <x:c r="G15" s="6" t="n">
        <x:v>-24500</x:v>
      </x:c>
      <x:c r="H15" s="6" t="n">
        <x:v>30800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-387300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45600</x:v>
      </x:c>
      <x:c r="E17" s="6" t="n">
        <x:f>C17-D17</x:f>
        <x:v>-45600</x:v>
      </x:c>
      <x:c r="F17" s="6" t="n">
        <x:f>F16+E17</x:f>
        <x:v>-432900</x:v>
      </x:c>
      <x:c r="G17" s="6" t="n">
        <x:v>-47300</x:v>
      </x:c>
      <x:c r="H17" s="6" t="n">
        <x:v>86900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25400</x:v>
      </x:c>
      <x:c r="E18" s="6" t="n">
        <x:f>C18-D18</x:f>
        <x:v>17400</x:v>
      </x:c>
      <x:c r="F18" s="6" t="n">
        <x:f>F17+E18</x:f>
        <x:v>-415500</x:v>
      </x:c>
      <x:c r="G18" s="6" t="n">
        <x:v>-15000</x:v>
      </x:c>
      <x:c r="H18" s="6" t="n">
        <x:v>60600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-425200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-478200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-478200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182100</x:v>
      </x:c>
      <x:c r="E22" s="6" t="n">
        <x:f>C22-D22</x:f>
        <x:v>-164300</x:v>
      </x:c>
      <x:c r="F22" s="6" t="n">
        <x:f>F21+E22</x:f>
        <x:v>-642500</x:v>
      </x:c>
      <x:c r="G22" s="6" t="n">
        <x:v>-164300</x:v>
      </x:c>
      <x:c r="H22" s="6" t="n">
        <x:v>185600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-676800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94600</x:v>
      </x:c>
      <x:c r="E24" s="6" t="n">
        <x:f>C24-D24</x:f>
        <x:v>-94600</x:v>
      </x:c>
      <x:c r="F24" s="6" t="n">
        <x:f>F23+E24</x:f>
        <x:v>-771400</x:v>
      </x:c>
      <x:c r="G24" s="6" t="n">
        <x:v>-99100</x:v>
      </x:c>
      <x:c r="H24" s="6" t="n">
        <x:v>117500</x:v>
      </x:c>
    </x:row>
    <x:row r="25" ht="25" customHeight="1">
      <x:c r="A25" s="2" t="str">
        <x:v>2026-10-16_Day</x:v>
      </x:c>
      <x:c r="B25" s="2" t="str">
        <x:v>上昇</x:v>
      </x:c>
      <x:c r="C25" s="6" t="n">
        <x:v>94700</x:v>
      </x:c>
      <x:c r="D25" s="6" t="n">
        <x:v>94500</x:v>
      </x:c>
      <x:c r="E25" s="6" t="n">
        <x:f>C25-D25</x:f>
        <x:v>200</x:v>
      </x:c>
      <x:c r="F25" s="6" t="n">
        <x:f>F24+E25</x:f>
        <x:v>-771200</x:v>
      </x:c>
      <x:c r="G25" s="6" t="n">
        <x:v>-64400</x:v>
      </x:c>
      <x:c r="H25" s="6" t="n">
        <x:v>80300</x:v>
      </x:c>
    </x:row>
    <x:row r="26" ht="25" customHeight="1">
      <x:c r="A26" s="2" t="str">
        <x:v>2026-10-19_Day</x:v>
      </x:c>
      <x:c r="B26" s="2" t="str">
        <x:v>上昇</x:v>
      </x:c>
      <x:c r="C26" s="6" t="n">
        <x:v>92700</x:v>
      </x:c>
      <x:c r="D26" s="6" t="n">
        <x:v>48900</x:v>
      </x:c>
      <x:c r="E26" s="6" t="n">
        <x:f>C26-D26</x:f>
        <x:v>43800</x:v>
      </x:c>
      <x:c r="F26" s="6" t="n">
        <x:f>F25+E26</x:f>
        <x:v>-727400</x:v>
      </x:c>
      <x:c r="G26" s="6" t="n">
        <x:v>-29000</x:v>
      </x:c>
      <x:c r="H26" s="6" t="n">
        <x:v>150900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68500</x:v>
      </x:c>
      <x:c r="E27" s="6" t="n">
        <x:f>C27-D27</x:f>
        <x:v>-68500</x:v>
      </x:c>
      <x:c r="F27" s="6" t="n">
        <x:f>F26+E27</x:f>
        <x:v>-795900</x:v>
      </x:c>
      <x:c r="G27" s="6" t="n">
        <x:v>-68500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174800</x:v>
      </x:c>
      <x:c r="E28" s="6" t="n">
        <x:f>C28-D28</x:f>
        <x:v>-174800</x:v>
      </x:c>
      <x:c r="F28" s="6" t="n">
        <x:f>F27+E28</x:f>
        <x:v>-970700</x:v>
      </x:c>
      <x:c r="G28" s="6" t="n">
        <x:v>-174800</x:v>
      </x:c>
      <x:c r="H28" s="6" t="n">
        <x:v>182000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-997900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116800</x:v>
      </x:c>
      <x:c r="E30" s="6" t="n">
        <x:f>C30-D30</x:f>
        <x:v>-116800</x:v>
      </x:c>
      <x:c r="F30" s="6" t="n">
        <x:f>F29+E30</x:f>
        <x:v>-1114700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37500</x:v>
      </x:c>
      <x:c r="E31" s="6" t="n">
        <x:f>C31-D31</x:f>
        <x:v>-37500</x:v>
      </x:c>
      <x:c r="F31" s="6" t="n">
        <x:f>F30+E31</x:f>
        <x:v>-1152200</x:v>
      </x:c>
      <x:c r="G31" s="6" t="n">
        <x:v>-47200</x:v>
      </x:c>
      <x:c r="H31" s="6" t="n">
        <x:v>85700</x:v>
      </x:c>
    </x:row>
    <x:row r="32" ht="25" customHeight="1">
      <x:c r="A32" s="13" t="str">
        <x:v>累計／場内最悪値</x:v>
      </x:c>
      <x:c r="B32" s="13"/>
      <x:c r="C32" s="14" t="n">
        <x:f>SUM(C6:C31)</x:f>
        <x:v>270500</x:v>
      </x:c>
      <x:c r="D32" s="14" t="n">
        <x:f>SUM(D6:D31)</x:f>
        <x:v>1422700</x:v>
      </x:c>
      <x:c r="E32" s="14" t="n">
        <x:f>C32-D32</x:f>
        <x:v>-1152200</x:v>
      </x:c>
      <x:c r="F32" s="14" t="n">
        <x:f>F31</x:f>
        <x:v>-1152200</x:v>
      </x:c>
      <x:c r="G32" s="14" t="n">
        <x:f>MIN(G6:G31)</x:f>
        <x:v>-174800</x:v>
      </x:c>
      <x:c r="H32" s="14" t="n">
        <x:f>MAX(H6:H31)</x:f>
        <x:v>185600</x:v>
      </x:c>
    </x:row>
  </x:sheetData>
  <x:conditionalFormatting sqref="E6:F31">
    <x:cfRule type="cellIs" dxfId="4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0b030381c3434b"/>
  </x:tableParts>
</x:worksheet>
</file>

<file path=xl/worksheets/sheet5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観測修正／二乗抑制＋セーブ/復帰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5200</x:v>
      </x:c>
      <x:c r="D9" s="6" t="n">
        <x:v>50400</x:v>
      </x:c>
      <x:c r="E9" s="6" t="n">
        <x:f>C9-D9</x:f>
        <x:v>-45200</x:v>
      </x:c>
      <x:c r="F9" s="6" t="n">
        <x:f>F8+E9</x:f>
        <x:v>-45200</x:v>
      </x:c>
      <x:c r="G9" s="6" t="n">
        <x:v>-55600</x:v>
      </x:c>
      <x:c r="H9" s="6" t="n">
        <x:v>56800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57200</x:v>
      </x:c>
      <x:c r="E10" s="6" t="n">
        <x:f>C10-D10</x:f>
        <x:v>-57200</x:v>
      </x:c>
      <x:c r="F10" s="6" t="n">
        <x:f>F9+E10</x:f>
        <x:v>-102400</x:v>
      </x:c>
      <x:c r="G10" s="6" t="n">
        <x:v>-57200</x:v>
      </x:c>
      <x:c r="H10" s="6" t="n">
        <x:v>62900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13600</x:v>
      </x:c>
      <x:c r="E11" s="6" t="n">
        <x:f>C11-D11</x:f>
        <x:v>-13600</x:v>
      </x:c>
      <x:c r="F11" s="6" t="n">
        <x:f>F10+E11</x:f>
        <x:v>-116000</x:v>
      </x:c>
      <x:c r="G11" s="6" t="n">
        <x:v>-13600</x:v>
      </x:c>
      <x:c r="H11" s="6" t="n">
        <x:v>18700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83100</x:v>
      </x:c>
      <x:c r="E12" s="6" t="n">
        <x:f>C12-D12</x:f>
        <x:v>-83100</x:v>
      </x:c>
      <x:c r="F12" s="6" t="n">
        <x:f>F11+E12</x:f>
        <x:v>-199100</x:v>
      </x:c>
      <x:c r="G12" s="6" t="n">
        <x:v>-83100</x:v>
      </x:c>
      <x:c r="H12" s="6" t="n">
        <x:v>84600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-199100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3000</x:v>
      </x:c>
      <x:c r="D14" s="6" t="n">
        <x:v>50100</x:v>
      </x:c>
      <x:c r="E14" s="6" t="n">
        <x:f>C14-D14</x:f>
        <x:v>-47100</x:v>
      </x:c>
      <x:c r="F14" s="6" t="n">
        <x:f>F13+E14</x:f>
        <x:v>-246200</x:v>
      </x:c>
      <x:c r="G14" s="6" t="n">
        <x:v>-50000</x:v>
      </x:c>
      <x:c r="H14" s="6" t="n">
        <x:v>62400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27100</x:v>
      </x:c>
      <x:c r="E15" s="6" t="n">
        <x:f>C15-D15</x:f>
        <x:v>-27100</x:v>
      </x:c>
      <x:c r="F15" s="6" t="n">
        <x:f>F14+E15</x:f>
        <x:v>-273300</x:v>
      </x:c>
      <x:c r="G15" s="6" t="n">
        <x:v>-27100</x:v>
      </x:c>
      <x:c r="H15" s="6" t="n">
        <x:v>28300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13600</x:v>
      </x:c>
      <x:c r="E16" s="6" t="n">
        <x:f>C16-D16</x:f>
        <x:v>-13600</x:v>
      </x:c>
      <x:c r="F16" s="6" t="n">
        <x:f>F15+E16</x:f>
        <x:v>-286900</x:v>
      </x:c>
      <x:c r="G16" s="6" t="n">
        <x:v>-25000</x:v>
      </x:c>
      <x:c r="H16" s="6" t="n">
        <x:v>51600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41500</x:v>
      </x:c>
      <x:c r="E17" s="6" t="n">
        <x:f>C17-D17</x:f>
        <x:v>-41500</x:v>
      </x:c>
      <x:c r="F17" s="6" t="n">
        <x:f>F16+E17</x:f>
        <x:v>-328400</x:v>
      </x:c>
      <x:c r="G17" s="6" t="n">
        <x:v>-43200</x:v>
      </x:c>
      <x:c r="H17" s="6" t="n">
        <x:v>57700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24100</x:v>
      </x:c>
      <x:c r="D18" s="6" t="n">
        <x:v>11800</x:v>
      </x:c>
      <x:c r="E18" s="6" t="n">
        <x:f>C18-D18</x:f>
        <x:v>12300</x:v>
      </x:c>
      <x:c r="F18" s="6" t="n">
        <x:f>F17+E18</x:f>
        <x:v>-316100</x:v>
      </x:c>
      <x:c r="G18" s="6" t="n">
        <x:v>-7800</x:v>
      </x:c>
      <x:c r="H18" s="6" t="n">
        <x:v>31000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5200</x:v>
      </x:c>
      <x:c r="E19" s="6" t="n">
        <x:f>C19-D19</x:f>
        <x:v>-5200</x:v>
      </x:c>
      <x:c r="F19" s="6" t="n">
        <x:f>F18+E19</x:f>
        <x:v>-321300</x:v>
      </x:c>
      <x:c r="G19" s="6" t="n">
        <x:v>-10600</x:v>
      </x:c>
      <x:c r="H19" s="6" t="n">
        <x:v>11100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33000</x:v>
      </x:c>
      <x:c r="E20" s="6" t="n">
        <x:f>C20-D20</x:f>
        <x:v>-33000</x:v>
      </x:c>
      <x:c r="F20" s="6" t="n">
        <x:f>F19+E20</x:f>
        <x:v>-354300</x:v>
      </x:c>
      <x:c r="G20" s="6" t="n">
        <x:v>-33000</x:v>
      </x:c>
      <x:c r="H20" s="6" t="n">
        <x:v>33000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-354300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78100</x:v>
      </x:c>
      <x:c r="E22" s="6" t="n">
        <x:f>C22-D22</x:f>
        <x:v>-78100</x:v>
      </x:c>
      <x:c r="F22" s="6" t="n">
        <x:f>F21+E22</x:f>
        <x:v>-432400</x:v>
      </x:c>
      <x:c r="G22" s="6" t="n">
        <x:v>-78100</x:v>
      </x:c>
      <x:c r="H22" s="6" t="n">
        <x:v>93100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14300</x:v>
      </x:c>
      <x:c r="E23" s="6" t="n">
        <x:f>C23-D23</x:f>
        <x:v>-14300</x:v>
      </x:c>
      <x:c r="F23" s="6" t="n">
        <x:f>F22+E23</x:f>
        <x:v>-446700</x:v>
      </x:c>
      <x:c r="G23" s="6" t="n">
        <x:v>-14300</x:v>
      </x:c>
      <x:c r="H23" s="6" t="n">
        <x:v>14300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53100</x:v>
      </x:c>
      <x:c r="E24" s="6" t="n">
        <x:f>C24-D24</x:f>
        <x:v>-53100</x:v>
      </x:c>
      <x:c r="F24" s="6" t="n">
        <x:f>F23+E24</x:f>
        <x:v>-499800</x:v>
      </x:c>
      <x:c r="G24" s="6" t="n">
        <x:v>-61100</x:v>
      </x:c>
      <x:c r="H24" s="6" t="n">
        <x:v>80000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62300</x:v>
      </x:c>
      <x:c r="D25" s="6" t="n">
        <x:v>48400</x:v>
      </x:c>
      <x:c r="E25" s="6" t="n">
        <x:f>C25-D25</x:f>
        <x:v>13900</x:v>
      </x:c>
      <x:c r="F25" s="6" t="n">
        <x:f>F24+E25</x:f>
        <x:v>-485900</x:v>
      </x:c>
      <x:c r="G25" s="6" t="n">
        <x:v>-40500</x:v>
      </x:c>
      <x:c r="H25" s="6" t="n">
        <x:v>51300</x:v>
      </x:c>
    </x:row>
    <x:row r="26" ht="25" customHeight="1">
      <x:c r="A26" s="2" t="str">
        <x:v>2026-10-19_Day</x:v>
      </x:c>
      <x:c r="B26" s="2" t="str">
        <x:v>上昇</x:v>
      </x:c>
      <x:c r="C26" s="6" t="n">
        <x:v>16000</x:v>
      </x:c>
      <x:c r="D26" s="6" t="n">
        <x:v>20100</x:v>
      </x:c>
      <x:c r="E26" s="6" t="n">
        <x:f>C26-D26</x:f>
        <x:v>-4100</x:v>
      </x:c>
      <x:c r="F26" s="6" t="n">
        <x:f>F25+E26</x:f>
        <x:v>-490000</x:v>
      </x:c>
      <x:c r="G26" s="6" t="n">
        <x:v>-24300</x:v>
      </x:c>
      <x:c r="H26" s="6" t="n">
        <x:v>123800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70900</x:v>
      </x:c>
      <x:c r="E27" s="6" t="n">
        <x:f>C27-D27</x:f>
        <x:v>-70900</x:v>
      </x:c>
      <x:c r="F27" s="6" t="n">
        <x:f>F26+E27</x:f>
        <x:v>-560900</x:v>
      </x:c>
      <x:c r="G27" s="6" t="n">
        <x:v>-70900</x:v>
      </x:c>
      <x:c r="H27" s="6" t="n">
        <x:v>105300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116600</x:v>
      </x:c>
      <x:c r="E28" s="6" t="n">
        <x:f>C28-D28</x:f>
        <x:v>-116600</x:v>
      </x:c>
      <x:c r="F28" s="6" t="n">
        <x:f>F27+E28</x:f>
        <x:v>-677500</x:v>
      </x:c>
      <x:c r="G28" s="6" t="n">
        <x:v>-116600</x:v>
      </x:c>
      <x:c r="H28" s="6" t="n">
        <x:v>121900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23200</x:v>
      </x:c>
      <x:c r="E29" s="6" t="n">
        <x:f>C29-D29</x:f>
        <x:v>-23200</x:v>
      </x:c>
      <x:c r="F29" s="6" t="n">
        <x:f>F28+E29</x:f>
        <x:v>-700700</x:v>
      </x:c>
      <x:c r="G29" s="6" t="n">
        <x:v>-23200</x:v>
      </x:c>
      <x:c r="H29" s="6" t="n">
        <x:v>25600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96800</x:v>
      </x:c>
      <x:c r="E30" s="6" t="n">
        <x:f>C30-D30</x:f>
        <x:v>-96800</x:v>
      </x:c>
      <x:c r="F30" s="6" t="n">
        <x:f>F29+E30</x:f>
        <x:v>-797500</x:v>
      </x:c>
      <x:c r="G30" s="6" t="n">
        <x:v>-99000</x:v>
      </x:c>
      <x:c r="H30" s="6" t="n">
        <x:v>112500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32700</x:v>
      </x:c>
      <x:c r="E31" s="6" t="n">
        <x:f>C31-D31</x:f>
        <x:v>-32700</x:v>
      </x:c>
      <x:c r="F31" s="6" t="n">
        <x:f>F30+E31</x:f>
        <x:v>-830200</x:v>
      </x:c>
      <x:c r="G31" s="6" t="n">
        <x:v>-56800</x:v>
      </x:c>
      <x:c r="H31" s="6" t="n">
        <x:v>78100</x:v>
      </x:c>
    </x:row>
    <x:row r="32" ht="25" customHeight="1">
      <x:c r="A32" s="13" t="str">
        <x:v>累計／場内最悪値</x:v>
      </x:c>
      <x:c r="B32" s="13"/>
      <x:c r="C32" s="14" t="n">
        <x:f>SUM(C6:C31)</x:f>
        <x:v>110600</x:v>
      </x:c>
      <x:c r="D32" s="14" t="n">
        <x:f>SUM(D6:D31)</x:f>
        <x:v>940800</x:v>
      </x:c>
      <x:c r="E32" s="14" t="n">
        <x:f>C32-D32</x:f>
        <x:v>-830200</x:v>
      </x:c>
      <x:c r="F32" s="14" t="n">
        <x:f>F31</x:f>
        <x:v>-830200</x:v>
      </x:c>
      <x:c r="G32" s="14" t="n">
        <x:f>MIN(G6:G31)</x:f>
        <x:v>-116600</x:v>
      </x:c>
      <x:c r="H32" s="14" t="n">
        <x:f>MAX(H6:H31)</x:f>
        <x:v>123800</x:v>
      </x:c>
    </x:row>
  </x:sheetData>
  <x:conditionalFormatting sqref="E6:F31">
    <x:cfRule type="cellIs" dxfId="4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2c5fad73924cbe"/>
  </x:tableParts>
</x:worksheet>
</file>

<file path=xl/worksheets/sheet5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観測修正／逆行20pt後20pt回復・累計25micro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132000</x:v>
      </x:c>
      <x:c r="E9" s="6" t="n">
        <x:f>C9-D9</x:f>
        <x:v>-121800</x:v>
      </x:c>
      <x:c r="F9" s="6" t="n">
        <x:f>F8+E9</x:f>
        <x:v>-121800</x:v>
      </x:c>
      <x:c r="G9" s="6" t="n">
        <x:v>-142200</x:v>
      </x:c>
      <x:c r="H9" s="6" t="n">
        <x:v>144000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71200</x:v>
      </x:c>
      <x:c r="E10" s="6" t="n">
        <x:f>C10-D10</x:f>
        <x:v>-71200</x:v>
      </x:c>
      <x:c r="F10" s="6" t="n">
        <x:f>F9+E10</x:f>
        <x:v>-193000</x:v>
      </x:c>
      <x:c r="G10" s="6" t="n">
        <x:v>-71200</x:v>
      </x:c>
      <x:c r="H10" s="6" t="n">
        <x:v>78700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51200</x:v>
      </x:c>
      <x:c r="E11" s="6" t="n">
        <x:f>C11-D11</x:f>
        <x:v>-51200</x:v>
      </x:c>
      <x:c r="F11" s="6" t="n">
        <x:f>F10+E11</x:f>
        <x:v>-244200</x:v>
      </x:c>
      <x:c r="G11" s="6" t="n">
        <x:v>-51200</x:v>
      </x:c>
      <x:c r="H11" s="6" t="n">
        <x:v>68200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119400</x:v>
      </x:c>
      <x:c r="E12" s="6" t="n">
        <x:f>C12-D12</x:f>
        <x:v>-119400</x:v>
      </x:c>
      <x:c r="F12" s="6" t="n">
        <x:f>F11+E12</x:f>
        <x:v>-363600</x:v>
      </x:c>
      <x:c r="G12" s="6" t="n">
        <x:v>-119400</x:v>
      </x:c>
      <x:c r="H12" s="6" t="n">
        <x:v>136800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-363600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9900</x:v>
      </x:c>
      <x:c r="D14" s="6" t="n">
        <x:v>72500</x:v>
      </x:c>
      <x:c r="E14" s="6" t="n">
        <x:f>C14-D14</x:f>
        <x:v>-62600</x:v>
      </x:c>
      <x:c r="F14" s="6" t="n">
        <x:f>F13+E14</x:f>
        <x:v>-426200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41000</x:v>
      </x:c>
      <x:c r="E15" s="6" t="n">
        <x:f>C15-D15</x:f>
        <x:v>-41000</x:v>
      </x:c>
      <x:c r="F15" s="6" t="n">
        <x:f>F14+E15</x:f>
        <x:v>-467200</x:v>
      </x:c>
      <x:c r="G15" s="6" t="n">
        <x:v>-41000</x:v>
      </x:c>
      <x:c r="H15" s="6" t="n">
        <x:v>47000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14700</x:v>
      </x:c>
      <x:c r="E16" s="6" t="n">
        <x:f>C16-D16</x:f>
        <x:v>-14700</x:v>
      </x:c>
      <x:c r="F16" s="6" t="n">
        <x:f>F15+E16</x:f>
        <x:v>-481900</x:v>
      </x:c>
      <x:c r="G16" s="6" t="n">
        <x:v>-15400</x:v>
      </x:c>
      <x:c r="H16" s="6" t="n">
        <x:v>67800</x:v>
      </x:c>
    </x:row>
    <x:row r="17" ht="25" customHeight="1">
      <x:c r="A17" s="2" t="str">
        <x:v>2026-10-06_Day</x:v>
      </x:c>
      <x:c r="B17" s="2" t="str">
        <x:v>上昇</x:v>
      </x:c>
      <x:c r="C17" s="6" t="n">
        <x:v>8500</x:v>
      </x:c>
      <x:c r="D17" s="6" t="n">
        <x:v>70100</x:v>
      </x:c>
      <x:c r="E17" s="6" t="n">
        <x:f>C17-D17</x:f>
        <x:v>-61600</x:v>
      </x:c>
      <x:c r="F17" s="6" t="n">
        <x:f>F16+E17</x:f>
        <x:v>-543500</x:v>
      </x:c>
      <x:c r="G17" s="6" t="n">
        <x:v>-63300</x:v>
      </x:c>
      <x:c r="H17" s="6" t="n">
        <x:v>93400</x:v>
      </x:c>
    </x:row>
    <x:row r="18" ht="25" customHeight="1">
      <x:c r="A18" s="2" t="str">
        <x:v>2026-10-07_Day</x:v>
      </x:c>
      <x:c r="B18" s="2" t="str">
        <x:v>下落</x:v>
      </x:c>
      <x:c r="C18" s="6" t="n">
        <x:v>50500</x:v>
      </x:c>
      <x:c r="D18" s="6" t="n">
        <x:v>45400</x:v>
      </x:c>
      <x:c r="E18" s="6" t="n">
        <x:f>C18-D18</x:f>
        <x:v>5100</x:v>
      </x:c>
      <x:c r="F18" s="6" t="n">
        <x:f>F17+E18</x:f>
        <x:v>-538400</x:v>
      </x:c>
      <x:c r="G18" s="6" t="n">
        <x:v>-24000</x:v>
      </x:c>
      <x:c r="H18" s="6" t="n">
        <x:v>80600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300</x:v>
      </x:c>
      <x:c r="E19" s="6" t="n">
        <x:f>C19-D19</x:f>
        <x:v>-300</x:v>
      </x:c>
      <x:c r="F19" s="6" t="n">
        <x:f>F18+E19</x:f>
        <x:v>-538700</x:v>
      </x:c>
      <x:c r="G19" s="6" t="n">
        <x:v>-8700</x:v>
      </x:c>
      <x:c r="H19" s="6" t="n">
        <x:v>16100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-591700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-591700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30100</x:v>
      </x:c>
      <x:c r="D22" s="6" t="n">
        <x:v>178600</x:v>
      </x:c>
      <x:c r="E22" s="6" t="n">
        <x:f>C22-D22</x:f>
        <x:v>-148500</x:v>
      </x:c>
      <x:c r="F22" s="6" t="n">
        <x:f>F21+E22</x:f>
        <x:v>-740200</x:v>
      </x:c>
      <x:c r="G22" s="6" t="n">
        <x:v>-170900</x:v>
      </x:c>
      <x:c r="H22" s="6" t="n">
        <x:v>192200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-774500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112100</x:v>
      </x:c>
      <x:c r="E24" s="6" t="n">
        <x:f>C24-D24</x:f>
        <x:v>-112100</x:v>
      </x:c>
      <x:c r="F24" s="6" t="n">
        <x:f>F23+E24</x:f>
        <x:v>-886600</x:v>
      </x:c>
      <x:c r="G24" s="6" t="n">
        <x:v>-116600</x:v>
      </x:c>
      <x:c r="H24" s="6" t="n">
        <x:v>138700</x:v>
      </x:c>
    </x:row>
    <x:row r="25" ht="25" customHeight="1">
      <x:c r="A25" s="2" t="str">
        <x:v>2026-10-16_Day</x:v>
      </x:c>
      <x:c r="B25" s="2" t="str">
        <x:v>上昇</x:v>
      </x:c>
      <x:c r="C25" s="6" t="n">
        <x:v>16100</x:v>
      </x:c>
      <x:c r="D25" s="6" t="n">
        <x:v>167400</x:v>
      </x:c>
      <x:c r="E25" s="6" t="n">
        <x:f>C25-D25</x:f>
        <x:v>-151300</x:v>
      </x:c>
      <x:c r="F25" s="6" t="n">
        <x:f>F24+E25</x:f>
        <x:v>-1037900</x:v>
      </x:c>
      <x:c r="G25" s="6" t="n">
        <x:v>-154000</x:v>
      </x:c>
      <x:c r="H25" s="6" t="n">
        <x:v>171900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119500</x:v>
      </x:c>
      <x:c r="D26" s="6" t="n">
        <x:v>49700</x:v>
      </x:c>
      <x:c r="E26" s="6" t="n">
        <x:f>C26-D26</x:f>
        <x:v>69800</x:v>
      </x:c>
      <x:c r="F26" s="6" t="n">
        <x:f>F25+E26</x:f>
        <x:v>-968100</x:v>
      </x:c>
      <x:c r="G26" s="6" t="n">
        <x:v>-30700</x:v>
      </x:c>
      <x:c r="H26" s="6" t="n">
        <x:v>164300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19800</x:v>
      </x:c>
      <x:c r="E27" s="6" t="n">
        <x:f>C27-D27</x:f>
        <x:v>-19800</x:v>
      </x:c>
      <x:c r="F27" s="6" t="n">
        <x:f>F26+E27</x:f>
        <x:v>-987900</x:v>
      </x:c>
      <x:c r="G27" s="6" t="n">
        <x:v>-19800</x:v>
      </x:c>
      <x:c r="H27" s="6" t="n">
        <x:v>70500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193900</x:v>
      </x:c>
      <x:c r="E28" s="6" t="n">
        <x:f>C28-D28</x:f>
        <x:v>-193900</x:v>
      </x:c>
      <x:c r="F28" s="6" t="n">
        <x:f>F27+E28</x:f>
        <x:v>-1181800</x:v>
      </x:c>
      <x:c r="G28" s="6" t="n">
        <x:v>-193900</x:v>
      </x:c>
      <x:c r="H28" s="6" t="n">
        <x:v>201100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32200</x:v>
      </x:c>
      <x:c r="E29" s="6" t="n">
        <x:f>C29-D29</x:f>
        <x:v>-32200</x:v>
      </x:c>
      <x:c r="F29" s="6" t="n">
        <x:f>F28+E29</x:f>
        <x:v>-1214000</x:v>
      </x:c>
      <x:c r="G29" s="6" t="n">
        <x:v>-35800</x:v>
      </x:c>
      <x:c r="H29" s="6" t="n">
        <x:v>53300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133400</x:v>
      </x:c>
      <x:c r="E30" s="6" t="n">
        <x:f>C30-D30</x:f>
        <x:v>-133400</x:v>
      </x:c>
      <x:c r="F30" s="6" t="n">
        <x:f>F29+E30</x:f>
        <x:v>-1347400</x:v>
      </x:c>
      <x:c r="G30" s="6" t="n">
        <x:v>-140600</x:v>
      </x:c>
      <x:c r="H30" s="6" t="n">
        <x:v>176600</x:v>
      </x:c>
    </x:row>
    <x:row r="31" ht="25" customHeight="1">
      <x:c r="A31" s="2" t="str">
        <x:v>2026-10-26_Day</x:v>
      </x:c>
      <x:c r="B31" s="2" t="str">
        <x:v>下落</x:v>
      </x:c>
      <x:c r="C31" s="6" t="n">
        <x:v>300</x:v>
      </x:c>
      <x:c r="D31" s="6" t="n">
        <x:v>36800</x:v>
      </x:c>
      <x:c r="E31" s="6" t="n">
        <x:f>C31-D31</x:f>
        <x:v>-36500</x:v>
      </x:c>
      <x:c r="F31" s="6" t="n">
        <x:f>F30+E31</x:f>
        <x:v>-1383900</x:v>
      </x:c>
      <x:c r="G31" s="6" t="n">
        <x:v>-50700</x:v>
      </x:c>
      <x:c r="H31" s="6" t="n">
        <x:v>85700</x:v>
      </x:c>
    </x:row>
    <x:row r="32" ht="25" customHeight="1">
      <x:c r="A32" s="13" t="str">
        <x:v>累計／場内最悪値</x:v>
      </x:c>
      <x:c r="B32" s="13"/>
      <x:c r="C32" s="14" t="n">
        <x:f>SUM(C6:C31)</x:f>
        <x:v>245100</x:v>
      </x:c>
      <x:c r="D32" s="14" t="n">
        <x:f>SUM(D6:D31)</x:f>
        <x:v>1629000</x:v>
      </x:c>
      <x:c r="E32" s="14" t="n">
        <x:f>C32-D32</x:f>
        <x:v>-1383900</x:v>
      </x:c>
      <x:c r="F32" s="14" t="n">
        <x:f>F31</x:f>
        <x:v>-1383900</x:v>
      </x:c>
      <x:c r="G32" s="14" t="n">
        <x:f>MIN(G6:G31)</x:f>
        <x:v>-193900</x:v>
      </x:c>
      <x:c r="H32" s="14" t="n">
        <x:f>MAX(H6:H31)</x:f>
        <x:v>201100</x:v>
      </x:c>
    </x:row>
  </x:sheetData>
  <x:conditionalFormatting sqref="E6:F31">
    <x:cfRule type="cellIs" dxfId="5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300b0959934a21"/>
  </x:tableParts>
</x:worksheet>
</file>

<file path=xl/worksheets/sheet5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観測修正／逆行40pt後20pt回復・累計25micro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132000</x:v>
      </x:c>
      <x:c r="E9" s="6" t="n">
        <x:f>C9-D9</x:f>
        <x:v>-121800</x:v>
      </x:c>
      <x:c r="F9" s="6" t="n">
        <x:f>F8+E9</x:f>
        <x:v>-121800</x:v>
      </x:c>
      <x:c r="G9" s="6" t="n">
        <x:v>-142200</x:v>
      </x:c>
      <x:c r="H9" s="6" t="n">
        <x:v>144000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-193400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-227000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119900</x:v>
      </x:c>
      <x:c r="E12" s="6" t="n">
        <x:f>C12-D12</x:f>
        <x:v>-119900</x:v>
      </x:c>
      <x:c r="F12" s="6" t="n">
        <x:f>F11+E12</x:f>
        <x:v>-346900</x:v>
      </x:c>
      <x:c r="G12" s="6" t="n">
        <x:v>-119900</x:v>
      </x:c>
      <x:c r="H12" s="6" t="n">
        <x:v>138500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-346900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-407100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10800</x:v>
      </x:c>
      <x:c r="E15" s="6" t="n">
        <x:f>C15-D15</x:f>
        <x:v>-10800</x:v>
      </x:c>
      <x:c r="F15" s="6" t="n">
        <x:f>F14+E15</x:f>
        <x:v>-417900</x:v>
      </x:c>
      <x:c r="G15" s="6" t="n">
        <x:v>-23900</x:v>
      </x:c>
      <x:c r="H15" s="6" t="n">
        <x:v>34200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-431300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33200</x:v>
      </x:c>
      <x:c r="E17" s="6" t="n">
        <x:f>C17-D17</x:f>
        <x:v>-33200</x:v>
      </x:c>
      <x:c r="F17" s="6" t="n">
        <x:f>F16+E17</x:f>
        <x:v>-464500</x:v>
      </x:c>
      <x:c r="G17" s="6" t="n">
        <x:v>-34900</x:v>
      </x:c>
      <x:c r="H17" s="6" t="n">
        <x:v>91800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45400</x:v>
      </x:c>
      <x:c r="E18" s="6" t="n">
        <x:f>C18-D18</x:f>
        <x:v>-2600</x:v>
      </x:c>
      <x:c r="F18" s="6" t="n">
        <x:f>F17+E18</x:f>
        <x:v>-467100</x:v>
      </x:c>
      <x:c r="G18" s="6" t="n">
        <x:v>-15000</x:v>
      </x:c>
      <x:c r="H18" s="6" t="n">
        <x:v>80600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-476800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-529800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-529800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184500</x:v>
      </x:c>
      <x:c r="E22" s="6" t="n">
        <x:f>C22-D22</x:f>
        <x:v>-166700</x:v>
      </x:c>
      <x:c r="F22" s="6" t="n">
        <x:f>F21+E22</x:f>
        <x:v>-696500</x:v>
      </x:c>
      <x:c r="G22" s="6" t="n">
        <x:v>-166700</x:v>
      </x:c>
      <x:c r="H22" s="6" t="n">
        <x:v>188000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-730800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64900</x:v>
      </x:c>
      <x:c r="E24" s="6" t="n">
        <x:f>C24-D24</x:f>
        <x:v>-64900</x:v>
      </x:c>
      <x:c r="F24" s="6" t="n">
        <x:f>F23+E24</x:f>
        <x:v>-795700</x:v>
      </x:c>
      <x:c r="G24" s="6" t="n">
        <x:v>-69400</x:v>
      </x:c>
      <x:c r="H24" s="6" t="n">
        <x:v>91500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100100</x:v>
      </x:c>
      <x:c r="D25" s="6" t="n">
        <x:v>94900</x:v>
      </x:c>
      <x:c r="E25" s="6" t="n">
        <x:f>C25-D25</x:f>
        <x:v>5200</x:v>
      </x:c>
      <x:c r="F25" s="6" t="n">
        <x:f>F24+E25</x:f>
        <x:v>-790500</x:v>
      </x:c>
      <x:c r="G25" s="6" t="n">
        <x:v>-64200</x:v>
      </x:c>
      <x:c r="H25" s="6" t="n">
        <x:v>80100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110100</x:v>
      </x:c>
      <x:c r="D26" s="6" t="n">
        <x:v>48900</x:v>
      </x:c>
      <x:c r="E26" s="6" t="n">
        <x:f>C26-D26</x:f>
        <x:v>61200</x:v>
      </x:c>
      <x:c r="F26" s="6" t="n">
        <x:f>F25+E26</x:f>
        <x:v>-729300</x:v>
      </x:c>
      <x:c r="G26" s="6" t="n">
        <x:v>-24000</x:v>
      </x:c>
      <x:c r="H26" s="6" t="n">
        <x:v>155300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65300</x:v>
      </x:c>
      <x:c r="E27" s="6" t="n">
        <x:f>C27-D27</x:f>
        <x:v>-65300</x:v>
      </x:c>
      <x:c r="F27" s="6" t="n">
        <x:f>F26+E27</x:f>
        <x:v>-794600</x:v>
      </x:c>
      <x:c r="G27" s="6" t="n">
        <x:v>-65300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174300</x:v>
      </x:c>
      <x:c r="E28" s="6" t="n">
        <x:f>C28-D28</x:f>
        <x:v>-174300</x:v>
      </x:c>
      <x:c r="F28" s="6" t="n">
        <x:f>F27+E28</x:f>
        <x:v>-968900</x:v>
      </x:c>
      <x:c r="G28" s="6" t="n">
        <x:v>-174300</x:v>
      </x:c>
      <x:c r="H28" s="6" t="n">
        <x:v>181500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-996100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115000</x:v>
      </x:c>
      <x:c r="E30" s="6" t="n">
        <x:f>C30-D30</x:f>
        <x:v>-115000</x:v>
      </x:c>
      <x:c r="F30" s="6" t="n">
        <x:f>F29+E30</x:f>
        <x:v>-1111100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22300</x:v>
      </x:c>
      <x:c r="D31" s="6" t="n">
        <x:v>36800</x:v>
      </x:c>
      <x:c r="E31" s="6" t="n">
        <x:f>C31-D31</x:f>
        <x:v>-14500</x:v>
      </x:c>
      <x:c r="F31" s="6" t="n">
        <x:f>F30+E31</x:f>
        <x:v>-1125600</x:v>
      </x:c>
      <x:c r="G31" s="6" t="n">
        <x:v>-47200</x:v>
      </x:c>
      <x:c r="H31" s="6" t="n">
        <x:v>69100</x:v>
      </x:c>
    </x:row>
    <x:row r="32" ht="25" customHeight="1">
      <x:c r="A32" s="13" t="str">
        <x:v>累計／場内最悪値</x:v>
      </x:c>
      <x:c r="B32" s="13"/>
      <x:c r="C32" s="14" t="n">
        <x:f>SUM(C6:C31)</x:f>
        <x:v>315600</x:v>
      </x:c>
      <x:c r="D32" s="14" t="n">
        <x:f>SUM(D6:D31)</x:f>
        <x:v>1441200</x:v>
      </x:c>
      <x:c r="E32" s="14" t="n">
        <x:f>C32-D32</x:f>
        <x:v>-1125600</x:v>
      </x:c>
      <x:c r="F32" s="14" t="n">
        <x:f>F31</x:f>
        <x:v>-1125600</x:v>
      </x:c>
      <x:c r="G32" s="14" t="n">
        <x:f>MIN(G6:G31)</x:f>
        <x:v>-174300</x:v>
      </x:c>
      <x:c r="H32" s="14" t="n">
        <x:f>MAX(H6:H31)</x:f>
        <x:v>188000</x:v>
      </x:c>
    </x:row>
  </x:sheetData>
  <x:conditionalFormatting sqref="E6:F31">
    <x:cfRule type="cellIs" dxfId="5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c29a8b6b1145b3"/>
  </x:tableParts>
</x:worksheet>
</file>

<file path=xl/worksheets/sheet5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観測修正／逆行60pt後20pt回復・累計25micro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85200</x:v>
      </x:c>
      <x:c r="E9" s="6" t="n">
        <x:f>C9-D9</x:f>
        <x:v>-75000</x:v>
      </x:c>
      <x:c r="F9" s="6" t="n">
        <x:f>F8+E9</x:f>
        <x:v>-75000</x:v>
      </x:c>
      <x:c r="G9" s="6" t="n">
        <x:v>-95400</x:v>
      </x:c>
      <x:c r="H9" s="6" t="n">
        <x:v>113500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-146600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-180200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123300</x:v>
      </x:c>
      <x:c r="E12" s="6" t="n">
        <x:f>C12-D12</x:f>
        <x:v>-123300</x:v>
      </x:c>
      <x:c r="F12" s="6" t="n">
        <x:f>F11+E12</x:f>
        <x:v>-303500</x:v>
      </x:c>
      <x:c r="G12" s="6" t="n">
        <x:v>-123300</x:v>
      </x:c>
      <x:c r="H12" s="6" t="n">
        <x:v>132300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-303500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-363700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19600</x:v>
      </x:c>
      <x:c r="E15" s="6" t="n">
        <x:f>C15-D15</x:f>
        <x:v>-19600</x:v>
      </x:c>
      <x:c r="F15" s="6" t="n">
        <x:f>F14+E15</x:f>
        <x:v>-383300</x:v>
      </x:c>
      <x:c r="G15" s="6" t="n">
        <x:v>-23900</x:v>
      </x:c>
      <x:c r="H15" s="6" t="n">
        <x:v>34200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-396700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33200</x:v>
      </x:c>
      <x:c r="E17" s="6" t="n">
        <x:f>C17-D17</x:f>
        <x:v>-33200</x:v>
      </x:c>
      <x:c r="F17" s="6" t="n">
        <x:f>F16+E17</x:f>
        <x:v>-429900</x:v>
      </x:c>
      <x:c r="G17" s="6" t="n">
        <x:v>-34900</x:v>
      </x:c>
      <x:c r="H17" s="6" t="n">
        <x:v>91800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45400</x:v>
      </x:c>
      <x:c r="E18" s="6" t="n">
        <x:f>C18-D18</x:f>
        <x:v>-2600</x:v>
      </x:c>
      <x:c r="F18" s="6" t="n">
        <x:f>F17+E18</x:f>
        <x:v>-432500</x:v>
      </x:c>
      <x:c r="G18" s="6" t="n">
        <x:v>-15000</x:v>
      </x:c>
      <x:c r="H18" s="6" t="n">
        <x:v>80600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-442200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-495200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-495200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182100</x:v>
      </x:c>
      <x:c r="E22" s="6" t="n">
        <x:f>C22-D22</x:f>
        <x:v>-164300</x:v>
      </x:c>
      <x:c r="F22" s="6" t="n">
        <x:f>F21+E22</x:f>
        <x:v>-659500</x:v>
      </x:c>
      <x:c r="G22" s="6" t="n">
        <x:v>-164300</x:v>
      </x:c>
      <x:c r="H22" s="6" t="n">
        <x:v>185600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-693800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94600</x:v>
      </x:c>
      <x:c r="E24" s="6" t="n">
        <x:f>C24-D24</x:f>
        <x:v>-94600</x:v>
      </x:c>
      <x:c r="F24" s="6" t="n">
        <x:f>F23+E24</x:f>
        <x:v>-788400</x:v>
      </x:c>
      <x:c r="G24" s="6" t="n">
        <x:v>-99100</x:v>
      </x:c>
      <x:c r="H24" s="6" t="n">
        <x:v>117500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104700</x:v>
      </x:c>
      <x:c r="D25" s="6" t="n">
        <x:v>94500</x:v>
      </x:c>
      <x:c r="E25" s="6" t="n">
        <x:f>C25-D25</x:f>
        <x:v>10200</x:v>
      </x:c>
      <x:c r="F25" s="6" t="n">
        <x:f>F24+E25</x:f>
        <x:v>-778200</x:v>
      </x:c>
      <x:c r="G25" s="6" t="n">
        <x:v>-64400</x:v>
      </x:c>
      <x:c r="H25" s="6" t="n">
        <x:v>80300</x:v>
      </x:c>
    </x:row>
    <x:row r="26" ht="25" customHeight="1">
      <x:c r="A26" s="2" t="str">
        <x:v>2026-10-19_Day</x:v>
      </x:c>
      <x:c r="B26" s="2" t="str">
        <x:v>上昇</x:v>
      </x:c>
      <x:c r="C26" s="6" t="n">
        <x:v>92700</x:v>
      </x:c>
      <x:c r="D26" s="6" t="n">
        <x:v>48900</x:v>
      </x:c>
      <x:c r="E26" s="6" t="n">
        <x:f>C26-D26</x:f>
        <x:v>43800</x:v>
      </x:c>
      <x:c r="F26" s="6" t="n">
        <x:f>F25+E26</x:f>
        <x:v>-734400</x:v>
      </x:c>
      <x:c r="G26" s="6" t="n">
        <x:v>-29000</x:v>
      </x:c>
      <x:c r="H26" s="6" t="n">
        <x:v>150900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65300</x:v>
      </x:c>
      <x:c r="E27" s="6" t="n">
        <x:f>C27-D27</x:f>
        <x:v>-65300</x:v>
      </x:c>
      <x:c r="F27" s="6" t="n">
        <x:f>F26+E27</x:f>
        <x:v>-799700</x:v>
      </x:c>
      <x:c r="G27" s="6" t="n">
        <x:v>-65300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172000</x:v>
      </x:c>
      <x:c r="E28" s="6" t="n">
        <x:f>C28-D28</x:f>
        <x:v>-172000</x:v>
      </x:c>
      <x:c r="F28" s="6" t="n">
        <x:f>F27+E28</x:f>
        <x:v>-971700</x:v>
      </x:c>
      <x:c r="G28" s="6" t="n">
        <x:v>-172000</x:v>
      </x:c>
      <x:c r="H28" s="6" t="n">
        <x:v>179200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-998900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116800</x:v>
      </x:c>
      <x:c r="E30" s="6" t="n">
        <x:f>C30-D30</x:f>
        <x:v>-116800</x:v>
      </x:c>
      <x:c r="F30" s="6" t="n">
        <x:f>F29+E30</x:f>
        <x:v>-1115700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3900</x:v>
      </x:c>
      <x:c r="D31" s="6" t="n">
        <x:v>36800</x:v>
      </x:c>
      <x:c r="E31" s="6" t="n">
        <x:f>C31-D31</x:f>
        <x:v>-32900</x:v>
      </x:c>
      <x:c r="F31" s="6" t="n">
        <x:f>F30+E31</x:f>
        <x:v>-1148600</x:v>
      </x:c>
      <x:c r="G31" s="6" t="n">
        <x:v>-47200</x:v>
      </x:c>
      <x:c r="H31" s="6" t="n">
        <x:v>85700</x:v>
      </x:c>
    </x:row>
    <x:row r="32" ht="25" customHeight="1">
      <x:c r="A32" s="13" t="str">
        <x:v>累計／場内最悪値</x:v>
      </x:c>
      <x:c r="B32" s="13"/>
      <x:c r="C32" s="14" t="n">
        <x:f>SUM(C6:C31)</x:f>
        <x:v>284400</x:v>
      </x:c>
      <x:c r="D32" s="14" t="n">
        <x:f>SUM(D6:D31)</x:f>
        <x:v>1433000</x:v>
      </x:c>
      <x:c r="E32" s="14" t="n">
        <x:f>C32-D32</x:f>
        <x:v>-1148600</x:v>
      </x:c>
      <x:c r="F32" s="14" t="n">
        <x:f>F31</x:f>
        <x:v>-1148600</x:v>
      </x:c>
      <x:c r="G32" s="14" t="n">
        <x:f>MIN(G6:G31)</x:f>
        <x:v>-172000</x:v>
      </x:c>
      <x:c r="H32" s="14" t="n">
        <x:f>MAX(H6:H31)</x:f>
        <x:v>185600</x:v>
      </x:c>
    </x:row>
  </x:sheetData>
  <x:conditionalFormatting sqref="E6:F31">
    <x:cfRule type="cellIs" dxfId="5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8857259e7a436e"/>
  </x:tableParts>
</x:worksheet>
</file>

<file path=xl/worksheets/sheet5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V_Q10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観測修正／逆行40pt後20pt回復・累計50micro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130500</x:v>
      </x:c>
      <x:c r="E9" s="6" t="n">
        <x:f>C9-D9</x:f>
        <x:v>-120300</x:v>
      </x:c>
      <x:c r="F9" s="6" t="n">
        <x:f>F8+E9</x:f>
        <x:v>-120300</x:v>
      </x:c>
      <x:c r="G9" s="6" t="n">
        <x:v>-140700</x:v>
      </x:c>
      <x:c r="H9" s="6" t="n">
        <x:v>142500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-191900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-225500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16000</x:v>
      </x:c>
      <x:c r="D12" s="6" t="n">
        <x:v>111400</x:v>
      </x:c>
      <x:c r="E12" s="6" t="n">
        <x:f>C12-D12</x:f>
        <x:v>-95400</x:v>
      </x:c>
      <x:c r="F12" s="6" t="n">
        <x:f>F11+E12</x:f>
        <x:v>-320900</x:v>
      </x:c>
      <x:c r="G12" s="6" t="n">
        <x:v>-95400</x:v>
      </x:c>
      <x:c r="H12" s="6" t="n">
        <x:v>115800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-320900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-381100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10800</x:v>
      </x:c>
      <x:c r="E15" s="6" t="n">
        <x:f>C15-D15</x:f>
        <x:v>-10800</x:v>
      </x:c>
      <x:c r="F15" s="6" t="n">
        <x:f>F14+E15</x:f>
        <x:v>-391900</x:v>
      </x:c>
      <x:c r="G15" s="6" t="n">
        <x:v>-23900</x:v>
      </x:c>
      <x:c r="H15" s="6" t="n">
        <x:v>34200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-405300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33200</x:v>
      </x:c>
      <x:c r="E17" s="6" t="n">
        <x:f>C17-D17</x:f>
        <x:v>-33200</x:v>
      </x:c>
      <x:c r="F17" s="6" t="n">
        <x:f>F16+E17</x:f>
        <x:v>-438500</x:v>
      </x:c>
      <x:c r="G17" s="6" t="n">
        <x:v>-34900</x:v>
      </x:c>
      <x:c r="H17" s="6" t="n">
        <x:v>91800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53400</x:v>
      </x:c>
      <x:c r="E18" s="6" t="n">
        <x:f>C18-D18</x:f>
        <x:v>-10600</x:v>
      </x:c>
      <x:c r="F18" s="6" t="n">
        <x:f>F17+E18</x:f>
        <x:v>-449100</x:v>
      </x:c>
      <x:c r="G18" s="6" t="n">
        <x:v>-15000</x:v>
      </x:c>
      <x:c r="H18" s="6" t="n">
        <x:v>88600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-458800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-511800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-511800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184500</x:v>
      </x:c>
      <x:c r="E22" s="6" t="n">
        <x:f>C22-D22</x:f>
        <x:v>-166700</x:v>
      </x:c>
      <x:c r="F22" s="6" t="n">
        <x:f>F21+E22</x:f>
        <x:v>-678500</x:v>
      </x:c>
      <x:c r="G22" s="6" t="n">
        <x:v>-166700</x:v>
      </x:c>
      <x:c r="H22" s="6" t="n">
        <x:v>188000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-712800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64900</x:v>
      </x:c>
      <x:c r="E24" s="6" t="n">
        <x:f>C24-D24</x:f>
        <x:v>-64900</x:v>
      </x:c>
      <x:c r="F24" s="6" t="n">
        <x:f>F23+E24</x:f>
        <x:v>-777700</x:v>
      </x:c>
      <x:c r="G24" s="6" t="n">
        <x:v>-69400</x:v>
      </x:c>
      <x:c r="H24" s="6" t="n">
        <x:v>91500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101000</x:v>
      </x:c>
      <x:c r="D25" s="6" t="n">
        <x:v>94200</x:v>
      </x:c>
      <x:c r="E25" s="6" t="n">
        <x:f>C25-D25</x:f>
        <x:v>6800</x:v>
      </x:c>
      <x:c r="F25" s="6" t="n">
        <x:f>F24+E25</x:f>
        <x:v>-770900</x:v>
      </x:c>
      <x:c r="G25" s="6" t="n">
        <x:v>-64200</x:v>
      </x:c>
      <x:c r="H25" s="6" t="n">
        <x:v>80100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110100</x:v>
      </x:c>
      <x:c r="D26" s="6" t="n">
        <x:v>48900</x:v>
      </x:c>
      <x:c r="E26" s="6" t="n">
        <x:f>C26-D26</x:f>
        <x:v>61200</x:v>
      </x:c>
      <x:c r="F26" s="6" t="n">
        <x:f>F25+E26</x:f>
        <x:v>-709700</x:v>
      </x:c>
      <x:c r="G26" s="6" t="n">
        <x:v>-24000</x:v>
      </x:c>
      <x:c r="H26" s="6" t="n">
        <x:v>155300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65300</x:v>
      </x:c>
      <x:c r="E27" s="6" t="n">
        <x:f>C27-D27</x:f>
        <x:v>-65300</x:v>
      </x:c>
      <x:c r="F27" s="6" t="n">
        <x:f>F26+E27</x:f>
        <x:v>-775000</x:v>
      </x:c>
      <x:c r="G27" s="6" t="n">
        <x:v>-65300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174300</x:v>
      </x:c>
      <x:c r="E28" s="6" t="n">
        <x:f>C28-D28</x:f>
        <x:v>-174300</x:v>
      </x:c>
      <x:c r="F28" s="6" t="n">
        <x:f>F27+E28</x:f>
        <x:v>-949300</x:v>
      </x:c>
      <x:c r="G28" s="6" t="n">
        <x:v>-174300</x:v>
      </x:c>
      <x:c r="H28" s="6" t="n">
        <x:v>181500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-976500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115000</x:v>
      </x:c>
      <x:c r="E30" s="6" t="n">
        <x:f>C30-D30</x:f>
        <x:v>-115000</x:v>
      </x:c>
      <x:c r="F30" s="6" t="n">
        <x:f>F29+E30</x:f>
        <x:v>-1091500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11600</x:v>
      </x:c>
      <x:c r="D31" s="6" t="n">
        <x:v>36800</x:v>
      </x:c>
      <x:c r="E31" s="6" t="n">
        <x:f>C31-D31</x:f>
        <x:v>-25200</x:v>
      </x:c>
      <x:c r="F31" s="6" t="n">
        <x:f>F30+E31</x:f>
        <x:v>-1116700</x:v>
      </x:c>
      <x:c r="G31" s="6" t="n">
        <x:v>-47200</x:v>
      </x:c>
      <x:c r="H31" s="6" t="n">
        <x:v>80800</x:v>
      </x:c>
    </x:row>
    <x:row r="32" ht="25" customHeight="1">
      <x:c r="A32" s="13" t="str">
        <x:v>累計／場内最悪値</x:v>
      </x:c>
      <x:c r="B32" s="13"/>
      <x:c r="C32" s="14" t="n">
        <x:f>SUM(C6:C31)</x:f>
        <x:v>321800</x:v>
      </x:c>
      <x:c r="D32" s="14" t="n">
        <x:f>SUM(D6:D31)</x:f>
        <x:v>1438500</x:v>
      </x:c>
      <x:c r="E32" s="14" t="n">
        <x:f>C32-D32</x:f>
        <x:v>-1116700</x:v>
      </x:c>
      <x:c r="F32" s="14" t="n">
        <x:f>F31</x:f>
        <x:v>-1116700</x:v>
      </x:c>
      <x:c r="G32" s="14" t="n">
        <x:f>MIN(G6:G31)</x:f>
        <x:v>-174300</x:v>
      </x:c>
      <x:c r="H32" s="14" t="n">
        <x:f>MAX(H6:H31)</x:f>
        <x:v>188000</x:v>
      </x:c>
    </x:row>
  </x:sheetData>
  <x:conditionalFormatting sqref="E6:F31">
    <x:cfRule type="cellIs" dxfId="5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882586057f4749"/>
  </x:tableParts>
</x:worksheet>
</file>

<file path=xl/worksheets/sheet5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V_Q11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観測修正／二乗抑制＋逆行40pt/累計25micro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5200</x:v>
      </x:c>
      <x:c r="D9" s="6" t="n">
        <x:v>109400</x:v>
      </x:c>
      <x:c r="E9" s="6" t="n">
        <x:f>C9-D9</x:f>
        <x:v>-104200</x:v>
      </x:c>
      <x:c r="F9" s="6" t="n">
        <x:f>F8+E9</x:f>
        <x:v>-104200</x:v>
      </x:c>
      <x:c r="G9" s="6" t="n">
        <x:v>-114600</x:v>
      </x:c>
      <x:c r="H9" s="6" t="n">
        <x:v>114900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57200</x:v>
      </x:c>
      <x:c r="E10" s="6" t="n">
        <x:f>C10-D10</x:f>
        <x:v>-57200</x:v>
      </x:c>
      <x:c r="F10" s="6" t="n">
        <x:f>F9+E10</x:f>
        <x:v>-161400</x:v>
      </x:c>
      <x:c r="G10" s="6" t="n">
        <x:v>-57200</x:v>
      </x:c>
      <x:c r="H10" s="6" t="n">
        <x:v>62900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13600</x:v>
      </x:c>
      <x:c r="E11" s="6" t="n">
        <x:f>C11-D11</x:f>
        <x:v>-13600</x:v>
      </x:c>
      <x:c r="F11" s="6" t="n">
        <x:f>F10+E11</x:f>
        <x:v>-175000</x:v>
      </x:c>
      <x:c r="G11" s="6" t="n">
        <x:v>-13600</x:v>
      </x:c>
      <x:c r="H11" s="6" t="n">
        <x:v>18700</x:v>
      </x:c>
    </x:row>
    <x:row r="12" ht="25" customHeight="1">
      <x:c r="A12" s="2" t="str">
        <x:v>2026-09-29_Day</x:v>
      </x:c>
      <x:c r="B12" s="2" t="str">
        <x:v>下落</x:v>
      </x:c>
      <x:c r="C12" s="6" t="n">
        <x:v>12900</x:v>
      </x:c>
      <x:c r="D12" s="6" t="n">
        <x:v>71400</x:v>
      </x:c>
      <x:c r="E12" s="6" t="n">
        <x:f>C12-D12</x:f>
        <x:v>-58500</x:v>
      </x:c>
      <x:c r="F12" s="6" t="n">
        <x:f>F11+E12</x:f>
        <x:v>-233500</x:v>
      </x:c>
      <x:c r="G12" s="6" t="n">
        <x:v>-58500</x:v>
      </x:c>
      <x:c r="H12" s="6" t="n">
        <x:v>72400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-233500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3000</x:v>
      </x:c>
      <x:c r="D14" s="6" t="n">
        <x:v>50100</x:v>
      </x:c>
      <x:c r="E14" s="6" t="n">
        <x:f>C14-D14</x:f>
        <x:v>-47100</x:v>
      </x:c>
      <x:c r="F14" s="6" t="n">
        <x:f>F13+E14</x:f>
        <x:v>-280600</x:v>
      </x:c>
      <x:c r="G14" s="6" t="n">
        <x:v>-50000</x:v>
      </x:c>
      <x:c r="H14" s="6" t="n">
        <x:v>62400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16600</x:v>
      </x:c>
      <x:c r="E15" s="6" t="n">
        <x:f>C15-D15</x:f>
        <x:v>-16600</x:v>
      </x:c>
      <x:c r="F15" s="6" t="n">
        <x:f>F14+E15</x:f>
        <x:v>-297200</x:v>
      </x:c>
      <x:c r="G15" s="6" t="n">
        <x:v>-18500</x:v>
      </x:c>
      <x:c r="H15" s="6" t="n">
        <x:v>20200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13600</x:v>
      </x:c>
      <x:c r="E16" s="6" t="n">
        <x:f>C16-D16</x:f>
        <x:v>-13600</x:v>
      </x:c>
      <x:c r="F16" s="6" t="n">
        <x:f>F15+E16</x:f>
        <x:v>-310800</x:v>
      </x:c>
      <x:c r="G16" s="6" t="n">
        <x:v>-25000</x:v>
      </x:c>
      <x:c r="H16" s="6" t="n">
        <x:v>51600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32600</x:v>
      </x:c>
      <x:c r="E17" s="6" t="n">
        <x:f>C17-D17</x:f>
        <x:v>-32600</x:v>
      </x:c>
      <x:c r="F17" s="6" t="n">
        <x:f>F16+E17</x:f>
        <x:v>-343400</x:v>
      </x:c>
      <x:c r="G17" s="6" t="n">
        <x:v>-34300</x:v>
      </x:c>
      <x:c r="H17" s="6" t="n">
        <x:v>63000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24100</x:v>
      </x:c>
      <x:c r="D18" s="6" t="n">
        <x:v>31800</x:v>
      </x:c>
      <x:c r="E18" s="6" t="n">
        <x:f>C18-D18</x:f>
        <x:v>-7700</x:v>
      </x:c>
      <x:c r="F18" s="6" t="n">
        <x:f>F17+E18</x:f>
        <x:v>-351100</x:v>
      </x:c>
      <x:c r="G18" s="6" t="n">
        <x:v>-8200</x:v>
      </x:c>
      <x:c r="H18" s="6" t="n">
        <x:v>51000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5200</x:v>
      </x:c>
      <x:c r="E19" s="6" t="n">
        <x:f>C19-D19</x:f>
        <x:v>-5200</x:v>
      </x:c>
      <x:c r="F19" s="6" t="n">
        <x:f>F18+E19</x:f>
        <x:v>-356300</x:v>
      </x:c>
      <x:c r="G19" s="6" t="n">
        <x:v>-10600</x:v>
      </x:c>
      <x:c r="H19" s="6" t="n">
        <x:v>11100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33000</x:v>
      </x:c>
      <x:c r="E20" s="6" t="n">
        <x:f>C20-D20</x:f>
        <x:v>-33000</x:v>
      </x:c>
      <x:c r="F20" s="6" t="n">
        <x:f>F19+E20</x:f>
        <x:v>-389300</x:v>
      </x:c>
      <x:c r="G20" s="6" t="n">
        <x:v>-33000</x:v>
      </x:c>
      <x:c r="H20" s="6" t="n">
        <x:v>33000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-389300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92500</x:v>
      </x:c>
      <x:c r="E22" s="6" t="n">
        <x:f>C22-D22</x:f>
        <x:v>-92500</x:v>
      </x:c>
      <x:c r="F22" s="6" t="n">
        <x:f>F21+E22</x:f>
        <x:v>-481800</x:v>
      </x:c>
      <x:c r="G22" s="6" t="n">
        <x:v>-92500</x:v>
      </x:c>
      <x:c r="H22" s="6" t="n">
        <x:v>107500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14300</x:v>
      </x:c>
      <x:c r="E23" s="6" t="n">
        <x:f>C23-D23</x:f>
        <x:v>-14300</x:v>
      </x:c>
      <x:c r="F23" s="6" t="n">
        <x:f>F22+E23</x:f>
        <x:v>-496100</x:v>
      </x:c>
      <x:c r="G23" s="6" t="n">
        <x:v>-14300</x:v>
      </x:c>
      <x:c r="H23" s="6" t="n">
        <x:v>14300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50500</x:v>
      </x:c>
      <x:c r="E24" s="6" t="n">
        <x:f>C24-D24</x:f>
        <x:v>-50500</x:v>
      </x:c>
      <x:c r="F24" s="6" t="n">
        <x:f>F23+E24</x:f>
        <x:v>-546600</x:v>
      </x:c>
      <x:c r="G24" s="6" t="n">
        <x:v>-58500</x:v>
      </x:c>
      <x:c r="H24" s="6" t="n">
        <x:v>79400</x:v>
      </x:c>
    </x:row>
    <x:row r="25" ht="25" customHeight="1">
      <x:c r="A25" s="2" t="str">
        <x:v>2026-10-16_Day</x:v>
      </x:c>
      <x:c r="B25" s="2" t="str">
        <x:v>上昇</x:v>
      </x:c>
      <x:c r="C25" s="6" t="n">
        <x:v>66600</x:v>
      </x:c>
      <x:c r="D25" s="6" t="n">
        <x:v>50300</x:v>
      </x:c>
      <x:c r="E25" s="6" t="n">
        <x:f>C25-D25</x:f>
        <x:v>16300</x:v>
      </x:c>
      <x:c r="F25" s="6" t="n">
        <x:f>F24+E25</x:f>
        <x:v>-530300</x:v>
      </x:c>
      <x:c r="G25" s="6" t="n">
        <x:v>-35400</x:v>
      </x:c>
      <x:c r="H25" s="6" t="n">
        <x:v>45700</x:v>
      </x:c>
    </x:row>
    <x:row r="26" ht="25" customHeight="1">
      <x:c r="A26" s="2" t="str">
        <x:v>2026-10-19_Day</x:v>
      </x:c>
      <x:c r="B26" s="2" t="str">
        <x:v>上昇</x:v>
      </x:c>
      <x:c r="C26" s="6" t="n">
        <x:v>43700</x:v>
      </x:c>
      <x:c r="D26" s="6" t="n">
        <x:v>20100</x:v>
      </x:c>
      <x:c r="E26" s="6" t="n">
        <x:f>C26-D26</x:f>
        <x:v>23600</x:v>
      </x:c>
      <x:c r="F26" s="6" t="n">
        <x:f>F25+E26</x:f>
        <x:v>-506700</x:v>
      </x:c>
      <x:c r="G26" s="6" t="n">
        <x:v>-17100</x:v>
      </x:c>
      <x:c r="H26" s="6" t="n">
        <x:v>129000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70900</x:v>
      </x:c>
      <x:c r="E27" s="6" t="n">
        <x:f>C27-D27</x:f>
        <x:v>-70900</x:v>
      </x:c>
      <x:c r="F27" s="6" t="n">
        <x:f>F26+E27</x:f>
        <x:v>-577600</x:v>
      </x:c>
      <x:c r="G27" s="6" t="n">
        <x:v>-70900</x:v>
      </x:c>
      <x:c r="H27" s="6" t="n">
        <x:v>105300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116900</x:v>
      </x:c>
      <x:c r="E28" s="6" t="n">
        <x:f>C28-D28</x:f>
        <x:v>-116900</x:v>
      </x:c>
      <x:c r="F28" s="6" t="n">
        <x:f>F27+E28</x:f>
        <x:v>-694500</x:v>
      </x:c>
      <x:c r="G28" s="6" t="n">
        <x:v>-116900</x:v>
      </x:c>
      <x:c r="H28" s="6" t="n">
        <x:v>122200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23200</x:v>
      </x:c>
      <x:c r="E29" s="6" t="n">
        <x:f>C29-D29</x:f>
        <x:v>-23200</x:v>
      </x:c>
      <x:c r="F29" s="6" t="n">
        <x:f>F28+E29</x:f>
        <x:v>-717700</x:v>
      </x:c>
      <x:c r="G29" s="6" t="n">
        <x:v>-23200</x:v>
      </x:c>
      <x:c r="H29" s="6" t="n">
        <x:v>25600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94900</x:v>
      </x:c>
      <x:c r="E30" s="6" t="n">
        <x:f>C30-D30</x:f>
        <x:v>-94900</x:v>
      </x:c>
      <x:c r="F30" s="6" t="n">
        <x:f>F29+E30</x:f>
        <x:v>-812600</x:v>
      </x:c>
      <x:c r="G30" s="6" t="n">
        <x:v>-95100</x:v>
      </x:c>
      <x:c r="H30" s="6" t="n">
        <x:v>108600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20300</x:v>
      </x:c>
      <x:c r="E31" s="6" t="n">
        <x:f>C31-D31</x:f>
        <x:v>-20300</x:v>
      </x:c>
      <x:c r="F31" s="6" t="n">
        <x:f>F30+E31</x:f>
        <x:v>-832900</x:v>
      </x:c>
      <x:c r="G31" s="6" t="n">
        <x:v>-56800</x:v>
      </x:c>
      <x:c r="H31" s="6" t="n">
        <x:v>71400</x:v>
      </x:c>
    </x:row>
    <x:row r="32" ht="25" customHeight="1">
      <x:c r="A32" s="13" t="str">
        <x:v>累計／場内最悪値</x:v>
      </x:c>
      <x:c r="B32" s="13"/>
      <x:c r="C32" s="14" t="n">
        <x:f>SUM(C6:C31)</x:f>
        <x:v>155500</x:v>
      </x:c>
      <x:c r="D32" s="14" t="n">
        <x:f>SUM(D6:D31)</x:f>
        <x:v>988400</x:v>
      </x:c>
      <x:c r="E32" s="14" t="n">
        <x:f>C32-D32</x:f>
        <x:v>-832900</x:v>
      </x:c>
      <x:c r="F32" s="14" t="n">
        <x:f>F31</x:f>
        <x:v>-832900</x:v>
      </x:c>
      <x:c r="G32" s="14" t="n">
        <x:f>MIN(G6:G31)</x:f>
        <x:v>-116900</x:v>
      </x:c>
      <x:c r="H32" s="14" t="n">
        <x:f>MAX(H6:H31)</x:f>
        <x:v>129000</x:v>
      </x:c>
    </x:row>
  </x:sheetData>
  <x:conditionalFormatting sqref="E6:F31">
    <x:cfRule type="cellIs" dxfId="5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102c6ad6eb4860"/>
  </x:tableParts>
</x:worksheet>
</file>

<file path=xl/worksheets/sheet5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V_Q12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観測修正／セーブ有・順行追加80pt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91800</x:v>
      </x:c>
      <x:c r="E9" s="6" t="n">
        <x:f>C9-D9</x:f>
        <x:v>-81600</x:v>
      </x:c>
      <x:c r="F9" s="6" t="n">
        <x:f>F8+E9</x:f>
        <x:v>-81600</x:v>
      </x:c>
      <x:c r="G9" s="6" t="n">
        <x:v>-102000</x:v>
      </x:c>
      <x:c r="H9" s="6" t="n">
        <x:v>132800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-153200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-186800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1200</x:v>
      </x:c>
      <x:c r="D12" s="6" t="n">
        <x:v>56900</x:v>
      </x:c>
      <x:c r="E12" s="6" t="n">
        <x:f>C12-D12</x:f>
        <x:v>-55700</x:v>
      </x:c>
      <x:c r="F12" s="6" t="n">
        <x:f>F11+E12</x:f>
        <x:v>-242500</x:v>
      </x:c>
      <x:c r="G12" s="6" t="n">
        <x:v>-59600</x:v>
      </x:c>
      <x:c r="H12" s="6" t="n">
        <x:v>68600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-242500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0</x:v>
      </x:c>
      <x:c r="D14" s="6" t="n">
        <x:v>80800</x:v>
      </x:c>
      <x:c r="E14" s="6" t="n">
        <x:f>C14-D14</x:f>
        <x:v>-80800</x:v>
      </x:c>
      <x:c r="F14" s="6" t="n">
        <x:f>F13+E14</x:f>
        <x:v>-323300</x:v>
      </x:c>
      <x:c r="G14" s="6" t="n">
        <x:v>-80800</x:v>
      </x:c>
      <x:c r="H14" s="6" t="n">
        <x:v>96400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50000</x:v>
      </x:c>
      <x:c r="E15" s="6" t="n">
        <x:f>C15-D15</x:f>
        <x:v>-50000</x:v>
      </x:c>
      <x:c r="F15" s="6" t="n">
        <x:f>F14+E15</x:f>
        <x:v>-373300</x:v>
      </x:c>
      <x:c r="G15" s="6" t="n">
        <x:v>-50000</x:v>
      </x:c>
      <x:c r="H15" s="6" t="n">
        <x:v>56000</x:v>
      </x:c>
    </x:row>
    <x:row r="16" ht="25" customHeight="1">
      <x:c r="A16" s="2" t="str">
        <x:v>2026-10-05_Day</x:v>
      </x:c>
      <x:c r="B16" s="2" t="str">
        <x:v>上昇</x:v>
      </x:c>
      <x:c r="C16" s="6" t="n">
        <x:v>50500</x:v>
      </x:c>
      <x:c r="D16" s="6" t="n">
        <x:v>0</x:v>
      </x:c>
      <x:c r="E16" s="6" t="n">
        <x:f>C16-D16</x:f>
        <x:v>50500</x:v>
      </x:c>
      <x:c r="F16" s="6" t="n">
        <x:f>F15+E16</x:f>
        <x:v>-322800</x:v>
      </x:c>
      <x:c r="G16" s="6" t="n">
        <x:v>-33100</x:v>
      </x:c>
      <x:c r="H16" s="6" t="n">
        <x:v>46300</x:v>
      </x:c>
    </x:row>
    <x:row r="17" ht="25" customHeight="1">
      <x:c r="A17" s="2" t="str">
        <x:v>2026-10-06_Day</x:v>
      </x:c>
      <x:c r="B17" s="2" t="str">
        <x:v>上昇</x:v>
      </x:c>
      <x:c r="C17" s="6" t="n">
        <x:v>2100</x:v>
      </x:c>
      <x:c r="D17" s="6" t="n">
        <x:v>41600</x:v>
      </x:c>
      <x:c r="E17" s="6" t="n">
        <x:f>C17-D17</x:f>
        <x:v>-39500</x:v>
      </x:c>
      <x:c r="F17" s="6" t="n">
        <x:f>F16+E17</x:f>
        <x:v>-362300</x:v>
      </x:c>
      <x:c r="G17" s="6" t="n">
        <x:v>-39500</x:v>
      </x:c>
      <x:c r="H17" s="6" t="n">
        <x:v>72600</x:v>
      </x:c>
    </x:row>
    <x:row r="18" ht="25" customHeight="1">
      <x:c r="A18" s="2" t="str">
        <x:v>2026-10-07_Day</x:v>
      </x:c>
      <x:c r="B18" s="2" t="str">
        <x:v>下落</x:v>
      </x:c>
      <x:c r="C18" s="6" t="n">
        <x:v>106900</x:v>
      </x:c>
      <x:c r="D18" s="6" t="n">
        <x:v>25400</x:v>
      </x:c>
      <x:c r="E18" s="6" t="n">
        <x:f>C18-D18</x:f>
        <x:v>81500</x:v>
      </x:c>
      <x:c r="F18" s="6" t="n">
        <x:f>F17+E18</x:f>
        <x:v>-280800</x:v>
      </x:c>
      <x:c r="G18" s="6" t="n">
        <x:v>-15000</x:v>
      </x:c>
      <x:c r="H18" s="6" t="n">
        <x:v>52000</x:v>
      </x:c>
    </x:row>
    <x:row r="19" ht="25" customHeight="1">
      <x:c r="A19" s="2" t="str">
        <x:v>2026-10-08_Day</x:v>
      </x:c>
      <x:c r="B19" s="2" t="str">
        <x:v>下落</x:v>
      </x:c>
      <x:c r="C19" s="6" t="n">
        <x:v>2400</x:v>
      </x:c>
      <x:c r="D19" s="6" t="n">
        <x:v>0</x:v>
      </x:c>
      <x:c r="E19" s="6" t="n">
        <x:f>C19-D19</x:f>
        <x:v>2400</x:v>
      </x:c>
      <x:c r="F19" s="6" t="n">
        <x:f>F18+E19</x:f>
        <x:v>-278400</x:v>
      </x:c>
      <x:c r="G19" s="6" t="n">
        <x:v>-2400</x:v>
      </x:c>
      <x:c r="H19" s="6" t="n">
        <x:v>4800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-331400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-331400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156200</x:v>
      </x:c>
      <x:c r="E22" s="6" t="n">
        <x:f>C22-D22</x:f>
        <x:v>-156200</x:v>
      </x:c>
      <x:c r="F22" s="6" t="n">
        <x:f>F21+E22</x:f>
        <x:v>-487600</x:v>
      </x:c>
      <x:c r="G22" s="6" t="n">
        <x:v>-156200</x:v>
      </x:c>
      <x:c r="H22" s="6" t="n">
        <x:v>177500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-521900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85800</x:v>
      </x:c>
      <x:c r="E24" s="6" t="n">
        <x:f>C24-D24</x:f>
        <x:v>-85800</x:v>
      </x:c>
      <x:c r="F24" s="6" t="n">
        <x:f>F23+E24</x:f>
        <x:v>-607700</x:v>
      </x:c>
      <x:c r="G24" s="6" t="n">
        <x:v>-90300</x:v>
      </x:c>
      <x:c r="H24" s="6" t="n">
        <x:v>113100</x:v>
      </x:c>
    </x:row>
    <x:row r="25" ht="25" customHeight="1">
      <x:c r="A25" s="2" t="str">
        <x:v>2026-10-16_Day</x:v>
      </x:c>
      <x:c r="B25" s="2" t="str">
        <x:v>上昇</x:v>
      </x:c>
      <x:c r="C25" s="6" t="n">
        <x:v>0</x:v>
      </x:c>
      <x:c r="D25" s="6" t="n">
        <x:v>151300</x:v>
      </x:c>
      <x:c r="E25" s="6" t="n">
        <x:f>C25-D25</x:f>
        <x:v>-151300</x:v>
      </x:c>
      <x:c r="F25" s="6" t="n">
        <x:f>F24+E25</x:f>
        <x:v>-759000</x:v>
      </x:c>
      <x:c r="G25" s="6" t="n">
        <x:v>-154000</x:v>
      </x:c>
      <x:c r="H25" s="6" t="n">
        <x:v>169900</x:v>
      </x:c>
    </x:row>
    <x:row r="26" ht="25" customHeight="1">
      <x:c r="A26" s="2" t="str">
        <x:v>2026-10-19_Day</x:v>
      </x:c>
      <x:c r="B26" s="2" t="str">
        <x:v>上昇</x:v>
      </x:c>
      <x:c r="C26" s="6" t="n">
        <x:v>78000</x:v>
      </x:c>
      <x:c r="D26" s="6" t="n">
        <x:v>39400</x:v>
      </x:c>
      <x:c r="E26" s="6" t="n">
        <x:f>C26-D26</x:f>
        <x:v>38600</x:v>
      </x:c>
      <x:c r="F26" s="6" t="n">
        <x:f>F25+E26</x:f>
        <x:v>-720400</x:v>
      </x:c>
      <x:c r="G26" s="6" t="n">
        <x:v>-22200</x:v>
      </x:c>
      <x:c r="H26" s="6" t="n">
        <x:v>142800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100800</x:v>
      </x:c>
      <x:c r="E27" s="6" t="n">
        <x:f>C27-D27</x:f>
        <x:v>-100800</x:v>
      </x:c>
      <x:c r="F27" s="6" t="n">
        <x:f>F26+E27</x:f>
        <x:v>-821200</x:v>
      </x:c>
      <x:c r="G27" s="6" t="n">
        <x:v>-100800</x:v>
      </x:c>
      <x:c r="H27" s="6" t="n">
        <x:v>152400</x:v>
      </x:c>
    </x:row>
    <x:row r="28" ht="25" customHeight="1">
      <x:c r="A28" s="2" t="str">
        <x:v>2026-10-21_Day</x:v>
      </x:c>
      <x:c r="B28" s="2" t="str">
        <x:v>下落</x:v>
      </x:c>
      <x:c r="C28" s="6" t="n">
        <x:v>18200</x:v>
      </x:c>
      <x:c r="D28" s="6" t="n">
        <x:v>72600</x:v>
      </x:c>
      <x:c r="E28" s="6" t="n">
        <x:f>C28-D28</x:f>
        <x:v>-54400</x:v>
      </x:c>
      <x:c r="F28" s="6" t="n">
        <x:f>F27+E28</x:f>
        <x:v>-875600</x:v>
      </x:c>
      <x:c r="G28" s="6" t="n">
        <x:v>-98000</x:v>
      </x:c>
      <x:c r="H28" s="6" t="n">
        <x:v>105200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40100</x:v>
      </x:c>
      <x:c r="E29" s="6" t="n">
        <x:f>C29-D29</x:f>
        <x:v>-40100</x:v>
      </x:c>
      <x:c r="F29" s="6" t="n">
        <x:f>F28+E29</x:f>
        <x:v>-915700</x:v>
      </x:c>
      <x:c r="G29" s="6" t="n">
        <x:v>-40100</x:v>
      </x:c>
      <x:c r="H29" s="6" t="n">
        <x:v>71700</x:v>
      </x:c>
    </x:row>
    <x:row r="30" ht="25" customHeight="1">
      <x:c r="A30" s="2" t="str">
        <x:v>2026-10-23_Day</x:v>
      </x:c>
      <x:c r="B30" s="2" t="str">
        <x:v>上昇</x:v>
      </x:c>
      <x:c r="C30" s="6" t="n">
        <x:v>1700</x:v>
      </x:c>
      <x:c r="D30" s="6" t="n">
        <x:v>93600</x:v>
      </x:c>
      <x:c r="E30" s="6" t="n">
        <x:f>C30-D30</x:f>
        <x:v>-91900</x:v>
      </x:c>
      <x:c r="F30" s="6" t="n">
        <x:f>F29+E30</x:f>
        <x:v>-1007600</x:v>
      </x:c>
      <x:c r="G30" s="6" t="n">
        <x:v>-113000</x:v>
      </x:c>
      <x:c r="H30" s="6" t="n">
        <x:v>144200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114000</x:v>
      </x:c>
      <x:c r="E31" s="6" t="n">
        <x:f>C31-D31</x:f>
        <x:v>-114000</x:v>
      </x:c>
      <x:c r="F31" s="6" t="n">
        <x:f>F30+E31</x:f>
        <x:v>-1121600</x:v>
      </x:c>
      <x:c r="G31" s="6" t="n">
        <x:v>-114000</x:v>
      </x:c>
      <x:c r="H31" s="6" t="n">
        <x:v>148400</x:v>
      </x:c>
    </x:row>
    <x:row r="32" ht="25" customHeight="1">
      <x:c r="A32" s="13" t="str">
        <x:v>累計／場内最悪値</x:v>
      </x:c>
      <x:c r="B32" s="13"/>
      <x:c r="C32" s="14" t="n">
        <x:f>SUM(C6:C31)</x:f>
        <x:v>271200</x:v>
      </x:c>
      <x:c r="D32" s="14" t="n">
        <x:f>SUM(D6:D31)</x:f>
        <x:v>1392800</x:v>
      </x:c>
      <x:c r="E32" s="14" t="n">
        <x:f>C32-D32</x:f>
        <x:v>-1121600</x:v>
      </x:c>
      <x:c r="F32" s="14" t="n">
        <x:f>F31</x:f>
        <x:v>-1121600</x:v>
      </x:c>
      <x:c r="G32" s="14" t="n">
        <x:f>MIN(G6:G31)</x:f>
        <x:v>-156200</x:v>
      </x:c>
      <x:c r="H32" s="14" t="n">
        <x:f>MAX(H6:H31)</x:f>
        <x:v>177500</x:v>
      </x:c>
    </x:row>
  </x:sheetData>
  <x:conditionalFormatting sqref="E6:F31">
    <x:cfRule type="cellIs" dxfId="5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fe852f016640e0"/>
  </x:tableParts>
</x:worksheet>
</file>

<file path=xl/worksheets/sheet5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V_Q13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観測修正／セーブ有・順行追加20pt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98700</x:v>
      </x:c>
      <x:c r="E9" s="6" t="n">
        <x:f>C9-D9</x:f>
        <x:v>-88500</x:v>
      </x:c>
      <x:c r="F9" s="6" t="n">
        <x:f>F8+E9</x:f>
        <x:v>-88500</x:v>
      </x:c>
      <x:c r="G9" s="6" t="n">
        <x:v>-108900</x:v>
      </x:c>
      <x:c r="H9" s="6" t="n">
        <x:v>161000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-160100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50400</x:v>
      </x:c>
      <x:c r="E11" s="6" t="n">
        <x:f>C11-D11</x:f>
        <x:v>-50400</x:v>
      </x:c>
      <x:c r="F11" s="6" t="n">
        <x:f>F10+E11</x:f>
        <x:v>-210500</x:v>
      </x:c>
      <x:c r="G11" s="6" t="n">
        <x:v>-50400</x:v>
      </x:c>
      <x:c r="H11" s="6" t="n">
        <x:v>63000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196400</x:v>
      </x:c>
      <x:c r="E12" s="6" t="n">
        <x:f>C12-D12</x:f>
        <x:v>-196400</x:v>
      </x:c>
      <x:c r="F12" s="6" t="n">
        <x:f>F11+E12</x:f>
        <x:v>-406900</x:v>
      </x:c>
      <x:c r="G12" s="6" t="n">
        <x:v>-196400</x:v>
      </x:c>
      <x:c r="H12" s="6" t="n">
        <x:v>212600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-406900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8200</x:v>
      </x:c>
      <x:c r="D14" s="6" t="n">
        <x:v>78400</x:v>
      </x:c>
      <x:c r="E14" s="6" t="n">
        <x:f>C14-D14</x:f>
        <x:v>-70200</x:v>
      </x:c>
      <x:c r="F14" s="6" t="n">
        <x:f>F13+E14</x:f>
        <x:v>-477100</x:v>
      </x:c>
      <x:c r="G14" s="6" t="n">
        <x:v>-73800</x:v>
      </x:c>
      <x:c r="H14" s="6" t="n">
        <x:v>89400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18200</x:v>
      </x:c>
      <x:c r="E15" s="6" t="n">
        <x:f>C15-D15</x:f>
        <x:v>-18200</x:v>
      </x:c>
      <x:c r="F15" s="6" t="n">
        <x:f>F14+E15</x:f>
        <x:v>-495300</x:v>
      </x:c>
      <x:c r="G15" s="6" t="n">
        <x:v>-31600</x:v>
      </x:c>
      <x:c r="H15" s="6" t="n">
        <x:v>37600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21400</x:v>
      </x:c>
      <x:c r="E16" s="6" t="n">
        <x:f>C16-D16</x:f>
        <x:v>-21400</x:v>
      </x:c>
      <x:c r="F16" s="6" t="n">
        <x:f>F15+E16</x:f>
        <x:v>-516700</x:v>
      </x:c>
      <x:c r="G16" s="6" t="n">
        <x:v>-21400</x:v>
      </x:c>
      <x:c r="H16" s="6" t="n">
        <x:v>77000</x:v>
      </x:c>
    </x:row>
    <x:row r="17" ht="25" customHeight="1">
      <x:c r="A17" s="2" t="str">
        <x:v>2026-10-06_Day</x:v>
      </x:c>
      <x:c r="B17" s="2" t="str">
        <x:v>上昇</x:v>
      </x:c>
      <x:c r="C17" s="6" t="n">
        <x:v>4700</x:v>
      </x:c>
      <x:c r="D17" s="6" t="n">
        <x:v>27300</x:v>
      </x:c>
      <x:c r="E17" s="6" t="n">
        <x:f>C17-D17</x:f>
        <x:v>-22600</x:v>
      </x:c>
      <x:c r="F17" s="6" t="n">
        <x:f>F16+E17</x:f>
        <x:v>-539300</x:v>
      </x:c>
      <x:c r="G17" s="6" t="n">
        <x:v>-24200</x:v>
      </x:c>
      <x:c r="H17" s="6" t="n">
        <x:v>78500</x:v>
      </x:c>
    </x:row>
    <x:row r="18" ht="25" customHeight="1">
      <x:c r="A18" s="2" t="str">
        <x:v>2026-10-07_Day</x:v>
      </x:c>
      <x:c r="B18" s="2" t="str">
        <x:v>下落</x:v>
      </x:c>
      <x:c r="C18" s="6" t="n">
        <x:v>32200</x:v>
      </x:c>
      <x:c r="D18" s="6" t="n">
        <x:v>25400</x:v>
      </x:c>
      <x:c r="E18" s="6" t="n">
        <x:f>C18-D18</x:f>
        <x:v>6800</x:v>
      </x:c>
      <x:c r="F18" s="6" t="n">
        <x:f>F17+E18</x:f>
        <x:v>-532500</x:v>
      </x:c>
      <x:c r="G18" s="6" t="n">
        <x:v>-19800</x:v>
      </x:c>
      <x:c r="H18" s="6" t="n">
        <x:v>65400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10900</x:v>
      </x:c>
      <x:c r="E19" s="6" t="n">
        <x:f>C19-D19</x:f>
        <x:v>-10900</x:v>
      </x:c>
      <x:c r="F19" s="6" t="n">
        <x:f>F18+E19</x:f>
        <x:v>-543400</x:v>
      </x:c>
      <x:c r="G19" s="6" t="n">
        <x:v>-26200</x:v>
      </x:c>
      <x:c r="H19" s="6" t="n">
        <x:v>32200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-596400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-596400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49000</x:v>
      </x:c>
      <x:c r="D22" s="6" t="n">
        <x:v>206600</x:v>
      </x:c>
      <x:c r="E22" s="6" t="n">
        <x:f>C22-D22</x:f>
        <x:v>-157600</x:v>
      </x:c>
      <x:c r="F22" s="6" t="n">
        <x:f>F21+E22</x:f>
        <x:v>-754000</x:v>
      </x:c>
      <x:c r="G22" s="6" t="n">
        <x:v>-207400</x:v>
      </x:c>
      <x:c r="H22" s="6" t="n">
        <x:v>226800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-788300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89000</x:v>
      </x:c>
      <x:c r="E24" s="6" t="n">
        <x:f>C24-D24</x:f>
        <x:v>-89000</x:v>
      </x:c>
      <x:c r="F24" s="6" t="n">
        <x:f>F23+E24</x:f>
        <x:v>-877300</x:v>
      </x:c>
      <x:c r="G24" s="6" t="n">
        <x:v>-93500</x:v>
      </x:c>
      <x:c r="H24" s="6" t="n">
        <x:v>112800</x:v>
      </x:c>
    </x:row>
    <x:row r="25" ht="25" customHeight="1">
      <x:c r="A25" s="2" t="str">
        <x:v>2026-10-16_Day</x:v>
      </x:c>
      <x:c r="B25" s="2" t="str">
        <x:v>上昇</x:v>
      </x:c>
      <x:c r="C25" s="6" t="n">
        <x:v>35200</x:v>
      </x:c>
      <x:c r="D25" s="6" t="n">
        <x:v>100800</x:v>
      </x:c>
      <x:c r="E25" s="6" t="n">
        <x:f>C25-D25</x:f>
        <x:v>-65600</x:v>
      </x:c>
      <x:c r="F25" s="6" t="n">
        <x:f>F24+E25</x:f>
        <x:v>-942900</x:v>
      </x:c>
      <x:c r="G25" s="6" t="n">
        <x:v>-78500</x:v>
      </x:c>
      <x:c r="H25" s="6" t="n">
        <x:v>94400</x:v>
      </x:c>
    </x:row>
    <x:row r="26" ht="25" customHeight="1">
      <x:c r="A26" s="2" t="str">
        <x:v>2026-10-19_Day</x:v>
      </x:c>
      <x:c r="B26" s="2" t="str">
        <x:v>上昇</x:v>
      </x:c>
      <x:c r="C26" s="6" t="n">
        <x:v>40200</x:v>
      </x:c>
      <x:c r="D26" s="6" t="n">
        <x:v>7200</x:v>
      </x:c>
      <x:c r="E26" s="6" t="n">
        <x:f>C26-D26</x:f>
        <x:v>33000</x:v>
      </x:c>
      <x:c r="F26" s="6" t="n">
        <x:f>F25+E26</x:f>
        <x:v>-909900</x:v>
      </x:c>
      <x:c r="G26" s="6" t="n">
        <x:v>-28700</x:v>
      </x:c>
      <x:c r="H26" s="6" t="n">
        <x:v>159200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65400</x:v>
      </x:c>
      <x:c r="E27" s="6" t="n">
        <x:f>C27-D27</x:f>
        <x:v>-65400</x:v>
      </x:c>
      <x:c r="F27" s="6" t="n">
        <x:f>F26+E27</x:f>
        <x:v>-975300</x:v>
      </x:c>
      <x:c r="G27" s="6" t="n">
        <x:v>-65400</x:v>
      </x:c>
      <x:c r="H27" s="6" t="n">
        <x:v>118400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137000</x:v>
      </x:c>
      <x:c r="E28" s="6" t="n">
        <x:f>C28-D28</x:f>
        <x:v>-137000</x:v>
      </x:c>
      <x:c r="F28" s="6" t="n">
        <x:f>F27+E28</x:f>
        <x:v>-1112300</x:v>
      </x:c>
      <x:c r="G28" s="6" t="n">
        <x:v>-137000</x:v>
      </x:c>
      <x:c r="H28" s="6" t="n">
        <x:v>144200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27600</x:v>
      </x:c>
      <x:c r="E29" s="6" t="n">
        <x:f>C29-D29</x:f>
        <x:v>-27600</x:v>
      </x:c>
      <x:c r="F29" s="6" t="n">
        <x:f>F28+E29</x:f>
        <x:v>-1139900</x:v>
      </x:c>
      <x:c r="G29" s="6" t="n">
        <x:v>-51800</x:v>
      </x:c>
      <x:c r="H29" s="6" t="n">
        <x:v>67300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193200</x:v>
      </x:c>
      <x:c r="E30" s="6" t="n">
        <x:f>C30-D30</x:f>
        <x:v>-193200</x:v>
      </x:c>
      <x:c r="F30" s="6" t="n">
        <x:f>F29+E30</x:f>
        <x:v>-1333100</x:v>
      </x:c>
      <x:c r="G30" s="6" t="n">
        <x:v>-193200</x:v>
      </x:c>
      <x:c r="H30" s="6" t="n">
        <x:v>229200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98000</x:v>
      </x:c>
      <x:c r="E31" s="6" t="n">
        <x:f>C31-D31</x:f>
        <x:v>-98000</x:v>
      </x:c>
      <x:c r="F31" s="6" t="n">
        <x:f>F30+E31</x:f>
        <x:v>-1431100</x:v>
      </x:c>
      <x:c r="G31" s="6" t="n">
        <x:v>-98000</x:v>
      </x:c>
      <x:c r="H31" s="6" t="n">
        <x:v>121500</x:v>
      </x:c>
    </x:row>
    <x:row r="32" ht="25" customHeight="1">
      <x:c r="A32" s="13" t="str">
        <x:v>累計／場内最悪値</x:v>
      </x:c>
      <x:c r="B32" s="13"/>
      <x:c r="C32" s="14" t="n">
        <x:f>SUM(C6:C31)</x:f>
        <x:v>179700</x:v>
      </x:c>
      <x:c r="D32" s="14" t="n">
        <x:f>SUM(D6:D31)</x:f>
        <x:v>1610800</x:v>
      </x:c>
      <x:c r="E32" s="14" t="n">
        <x:f>C32-D32</x:f>
        <x:v>-1431100</x:v>
      </x:c>
      <x:c r="F32" s="14" t="n">
        <x:f>F31</x:f>
        <x:v>-1431100</x:v>
      </x:c>
      <x:c r="G32" s="14" t="n">
        <x:f>MIN(G6:G31)</x:f>
        <x:v>-207400</x:v>
      </x:c>
      <x:c r="H32" s="14" t="n">
        <x:f>MAX(H6:H31)</x:f>
        <x:v>229200</x:v>
      </x:c>
    </x:row>
  </x:sheetData>
  <x:conditionalFormatting sqref="E6:F31">
    <x:cfRule type="cellIs" dxfId="5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86e4f2fb634d2e"/>
  </x:tableParts>
</x:worksheet>
</file>

<file path=xl/worksheets/sheet5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V_H05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観測修正／同じCanonical判断を両側保有で実行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75200</x:v>
      </x:c>
      <x:c r="E9" s="6" t="n">
        <x:f>C9-D9</x:f>
        <x:v>-65000</x:v>
      </x:c>
      <x:c r="F9" s="6" t="n">
        <x:f>F8+E9</x:f>
        <x:v>-65000</x:v>
      </x:c>
      <x:c r="G9" s="6" t="n">
        <x:v>-85400</x:v>
      </x:c>
      <x:c r="H9" s="6" t="n">
        <x:v>92600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-136600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-170200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123300</x:v>
      </x:c>
      <x:c r="E12" s="6" t="n">
        <x:f>C12-D12</x:f>
        <x:v>-123300</x:v>
      </x:c>
      <x:c r="F12" s="6" t="n">
        <x:f>F11+E12</x:f>
        <x:v>-293500</x:v>
      </x:c>
      <x:c r="G12" s="6" t="n">
        <x:v>-123300</x:v>
      </x:c>
      <x:c r="H12" s="6" t="n">
        <x:v>132300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-293500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-353700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20200</x:v>
      </x:c>
      <x:c r="E15" s="6" t="n">
        <x:f>C15-D15</x:f>
        <x:v>-20200</x:v>
      </x:c>
      <x:c r="F15" s="6" t="n">
        <x:f>F14+E15</x:f>
        <x:v>-373900</x:v>
      </x:c>
      <x:c r="G15" s="6" t="n">
        <x:v>-24500</x:v>
      </x:c>
      <x:c r="H15" s="6" t="n">
        <x:v>30800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-387300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45600</x:v>
      </x:c>
      <x:c r="E17" s="6" t="n">
        <x:f>C17-D17</x:f>
        <x:v>-45600</x:v>
      </x:c>
      <x:c r="F17" s="6" t="n">
        <x:f>F16+E17</x:f>
        <x:v>-432900</x:v>
      </x:c>
      <x:c r="G17" s="6" t="n">
        <x:v>-48300</x:v>
      </x:c>
      <x:c r="H17" s="6" t="n">
        <x:v>87900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25400</x:v>
      </x:c>
      <x:c r="E18" s="6" t="n">
        <x:f>C18-D18</x:f>
        <x:v>17400</x:v>
      </x:c>
      <x:c r="F18" s="6" t="n">
        <x:f>F17+E18</x:f>
        <x:v>-415500</x:v>
      </x:c>
      <x:c r="G18" s="6" t="n">
        <x:v>-15000</x:v>
      </x:c>
      <x:c r="H18" s="6" t="n">
        <x:v>60600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-425200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-478200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-478200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182100</x:v>
      </x:c>
      <x:c r="E22" s="6" t="n">
        <x:f>C22-D22</x:f>
        <x:v>-164300</x:v>
      </x:c>
      <x:c r="F22" s="6" t="n">
        <x:f>F21+E22</x:f>
        <x:v>-642500</x:v>
      </x:c>
      <x:c r="G22" s="6" t="n">
        <x:v>-164300</x:v>
      </x:c>
      <x:c r="H22" s="6" t="n">
        <x:v>185600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-676800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94600</x:v>
      </x:c>
      <x:c r="E24" s="6" t="n">
        <x:f>C24-D24</x:f>
        <x:v>-94600</x:v>
      </x:c>
      <x:c r="F24" s="6" t="n">
        <x:f>F23+E24</x:f>
        <x:v>-771400</x:v>
      </x:c>
      <x:c r="G24" s="6" t="n">
        <x:v>-100600</x:v>
      </x:c>
      <x:c r="H24" s="6" t="n">
        <x:v>119000</x:v>
      </x:c>
    </x:row>
    <x:row r="25" ht="25" customHeight="1">
      <x:c r="A25" s="2" t="str">
        <x:v>2026-10-16_Day</x:v>
      </x:c>
      <x:c r="B25" s="2" t="str">
        <x:v>上昇</x:v>
      </x:c>
      <x:c r="C25" s="6" t="n">
        <x:v>94700</x:v>
      </x:c>
      <x:c r="D25" s="6" t="n">
        <x:v>94500</x:v>
      </x:c>
      <x:c r="E25" s="6" t="n">
        <x:f>C25-D25</x:f>
        <x:v>200</x:v>
      </x:c>
      <x:c r="F25" s="6" t="n">
        <x:f>F24+E25</x:f>
        <x:v>-771200</x:v>
      </x:c>
      <x:c r="G25" s="6" t="n">
        <x:v>-64400</x:v>
      </x:c>
      <x:c r="H25" s="6" t="n">
        <x:v>80300</x:v>
      </x:c>
    </x:row>
    <x:row r="26" ht="25" customHeight="1">
      <x:c r="A26" s="2" t="str">
        <x:v>2026-10-19_Day</x:v>
      </x:c>
      <x:c r="B26" s="2" t="str">
        <x:v>上昇</x:v>
      </x:c>
      <x:c r="C26" s="6" t="n">
        <x:v>92700</x:v>
      </x:c>
      <x:c r="D26" s="6" t="n">
        <x:v>48900</x:v>
      </x:c>
      <x:c r="E26" s="6" t="n">
        <x:f>C26-D26</x:f>
        <x:v>43800</x:v>
      </x:c>
      <x:c r="F26" s="6" t="n">
        <x:f>F25+E26</x:f>
        <x:v>-727400</x:v>
      </x:c>
      <x:c r="G26" s="6" t="n">
        <x:v>-29000</x:v>
      </x:c>
      <x:c r="H26" s="6" t="n">
        <x:v>150900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68500</x:v>
      </x:c>
      <x:c r="E27" s="6" t="n">
        <x:f>C27-D27</x:f>
        <x:v>-68500</x:v>
      </x:c>
      <x:c r="F27" s="6" t="n">
        <x:f>F26+E27</x:f>
        <x:v>-795900</x:v>
      </x:c>
      <x:c r="G27" s="6" t="n">
        <x:v>-68500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174800</x:v>
      </x:c>
      <x:c r="E28" s="6" t="n">
        <x:f>C28-D28</x:f>
        <x:v>-174800</x:v>
      </x:c>
      <x:c r="F28" s="6" t="n">
        <x:f>F27+E28</x:f>
        <x:v>-970700</x:v>
      </x:c>
      <x:c r="G28" s="6" t="n">
        <x:v>-174800</x:v>
      </x:c>
      <x:c r="H28" s="6" t="n">
        <x:v>182000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-997900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117300</x:v>
      </x:c>
      <x:c r="E30" s="6" t="n">
        <x:f>C30-D30</x:f>
        <x:v>-117300</x:v>
      </x:c>
      <x:c r="F30" s="6" t="n">
        <x:f>F29+E30</x:f>
        <x:v>-1115200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37500</x:v>
      </x:c>
      <x:c r="E31" s="6" t="n">
        <x:f>C31-D31</x:f>
        <x:v>-37500</x:v>
      </x:c>
      <x:c r="F31" s="6" t="n">
        <x:f>F30+E31</x:f>
        <x:v>-1152700</x:v>
      </x:c>
      <x:c r="G31" s="6" t="n">
        <x:v>-47200</x:v>
      </x:c>
      <x:c r="H31" s="6" t="n">
        <x:v>85700</x:v>
      </x:c>
    </x:row>
    <x:row r="32" ht="25" customHeight="1">
      <x:c r="A32" s="13" t="str">
        <x:v>累計／場内最悪値</x:v>
      </x:c>
      <x:c r="B32" s="13"/>
      <x:c r="C32" s="14" t="n">
        <x:f>SUM(C6:C31)</x:f>
        <x:v>270500</x:v>
      </x:c>
      <x:c r="D32" s="14" t="n">
        <x:f>SUM(D6:D31)</x:f>
        <x:v>1423200</x:v>
      </x:c>
      <x:c r="E32" s="14" t="n">
        <x:f>C32-D32</x:f>
        <x:v>-1152700</x:v>
      </x:c>
      <x:c r="F32" s="14" t="n">
        <x:f>F31</x:f>
        <x:v>-1152700</x:v>
      </x:c>
      <x:c r="G32" s="14" t="n">
        <x:f>MIN(G6:G31)</x:f>
        <x:v>-174800</x:v>
      </x:c>
      <x:c r="H32" s="14" t="n">
        <x:f>MAX(H6:H31)</x:f>
        <x:v>185600</x:v>
      </x:c>
    </x:row>
  </x:sheetData>
  <x:conditionalFormatting sqref="E6:F31">
    <x:cfRule type="cellIs" dxfId="5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87ee175e60478f"/>
  </x:tableParts>
</x:worksheet>
</file>

<file path=xl/worksheets/sheet6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V_H08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観測修正／同じCanonical判断を両側保有で実行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132000</x:v>
      </x:c>
      <x:c r="E9" s="6" t="n">
        <x:f>C9-D9</x:f>
        <x:v>-121800</x:v>
      </x:c>
      <x:c r="F9" s="6" t="n">
        <x:f>F8+E9</x:f>
        <x:v>-121800</x:v>
      </x:c>
      <x:c r="G9" s="6" t="n">
        <x:v>-142200</x:v>
      </x:c>
      <x:c r="H9" s="6" t="n">
        <x:v>144000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-193400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-227000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119900</x:v>
      </x:c>
      <x:c r="E12" s="6" t="n">
        <x:f>C12-D12</x:f>
        <x:v>-119900</x:v>
      </x:c>
      <x:c r="F12" s="6" t="n">
        <x:f>F11+E12</x:f>
        <x:v>-346900</x:v>
      </x:c>
      <x:c r="G12" s="6" t="n">
        <x:v>-119900</x:v>
      </x:c>
      <x:c r="H12" s="6" t="n">
        <x:v>138500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-346900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-407100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10800</x:v>
      </x:c>
      <x:c r="E15" s="6" t="n">
        <x:f>C15-D15</x:f>
        <x:v>-10800</x:v>
      </x:c>
      <x:c r="F15" s="6" t="n">
        <x:f>F14+E15</x:f>
        <x:v>-417900</x:v>
      </x:c>
      <x:c r="G15" s="6" t="n">
        <x:v>-23900</x:v>
      </x:c>
      <x:c r="H15" s="6" t="n">
        <x:v>34200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-431300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33200</x:v>
      </x:c>
      <x:c r="E17" s="6" t="n">
        <x:f>C17-D17</x:f>
        <x:v>-33200</x:v>
      </x:c>
      <x:c r="F17" s="6" t="n">
        <x:f>F16+E17</x:f>
        <x:v>-464500</x:v>
      </x:c>
      <x:c r="G17" s="6" t="n">
        <x:v>-35900</x:v>
      </x:c>
      <x:c r="H17" s="6" t="n">
        <x:v>92800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45400</x:v>
      </x:c>
      <x:c r="E18" s="6" t="n">
        <x:f>C18-D18</x:f>
        <x:v>-2600</x:v>
      </x:c>
      <x:c r="F18" s="6" t="n">
        <x:f>F17+E18</x:f>
        <x:v>-467100</x:v>
      </x:c>
      <x:c r="G18" s="6" t="n">
        <x:v>-15000</x:v>
      </x:c>
      <x:c r="H18" s="6" t="n">
        <x:v>80600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-476800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-529800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-529800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17800</x:v>
      </x:c>
      <x:c r="D22" s="6" t="n">
        <x:v>184500</x:v>
      </x:c>
      <x:c r="E22" s="6" t="n">
        <x:f>C22-D22</x:f>
        <x:v>-166700</x:v>
      </x:c>
      <x:c r="F22" s="6" t="n">
        <x:f>F21+E22</x:f>
        <x:v>-696500</x:v>
      </x:c>
      <x:c r="G22" s="6" t="n">
        <x:v>-166700</x:v>
      </x:c>
      <x:c r="H22" s="6" t="n">
        <x:v>188000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-730800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64900</x:v>
      </x:c>
      <x:c r="E24" s="6" t="n">
        <x:f>C24-D24</x:f>
        <x:v>-64900</x:v>
      </x:c>
      <x:c r="F24" s="6" t="n">
        <x:f>F23+E24</x:f>
        <x:v>-795700</x:v>
      </x:c>
      <x:c r="G24" s="6" t="n">
        <x:v>-70900</x:v>
      </x:c>
      <x:c r="H24" s="6" t="n">
        <x:v>93000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100100</x:v>
      </x:c>
      <x:c r="D25" s="6" t="n">
        <x:v>94900</x:v>
      </x:c>
      <x:c r="E25" s="6" t="n">
        <x:f>C25-D25</x:f>
        <x:v>5200</x:v>
      </x:c>
      <x:c r="F25" s="6" t="n">
        <x:f>F24+E25</x:f>
        <x:v>-790500</x:v>
      </x:c>
      <x:c r="G25" s="6" t="n">
        <x:v>-64200</x:v>
      </x:c>
      <x:c r="H25" s="6" t="n">
        <x:v>80100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110100</x:v>
      </x:c>
      <x:c r="D26" s="6" t="n">
        <x:v>48900</x:v>
      </x:c>
      <x:c r="E26" s="6" t="n">
        <x:f>C26-D26</x:f>
        <x:v>61200</x:v>
      </x:c>
      <x:c r="F26" s="6" t="n">
        <x:f>F25+E26</x:f>
        <x:v>-729300</x:v>
      </x:c>
      <x:c r="G26" s="6" t="n">
        <x:v>-24000</x:v>
      </x:c>
      <x:c r="H26" s="6" t="n">
        <x:v>155300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65300</x:v>
      </x:c>
      <x:c r="E27" s="6" t="n">
        <x:f>C27-D27</x:f>
        <x:v>-65300</x:v>
      </x:c>
      <x:c r="F27" s="6" t="n">
        <x:f>F26+E27</x:f>
        <x:v>-794600</x:v>
      </x:c>
      <x:c r="G27" s="6" t="n">
        <x:v>-65300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174300</x:v>
      </x:c>
      <x:c r="E28" s="6" t="n">
        <x:f>C28-D28</x:f>
        <x:v>-174300</x:v>
      </x:c>
      <x:c r="F28" s="6" t="n">
        <x:f>F27+E28</x:f>
        <x:v>-968900</x:v>
      </x:c>
      <x:c r="G28" s="6" t="n">
        <x:v>-174300</x:v>
      </x:c>
      <x:c r="H28" s="6" t="n">
        <x:v>181500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-996100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115500</x:v>
      </x:c>
      <x:c r="E30" s="6" t="n">
        <x:f>C30-D30</x:f>
        <x:v>-115500</x:v>
      </x:c>
      <x:c r="F30" s="6" t="n">
        <x:f>F29+E30</x:f>
        <x:v>-1111600</x:v>
      </x:c>
      <x:c r="G30" s="6" t="n">
        <x:v>-120200</x:v>
      </x:c>
      <x:c r="H30" s="6" t="n">
        <x:v>148400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22300</x:v>
      </x:c>
      <x:c r="D31" s="6" t="n">
        <x:v>36800</x:v>
      </x:c>
      <x:c r="E31" s="6" t="n">
        <x:f>C31-D31</x:f>
        <x:v>-14500</x:v>
      </x:c>
      <x:c r="F31" s="6" t="n">
        <x:f>F30+E31</x:f>
        <x:v>-1126100</x:v>
      </x:c>
      <x:c r="G31" s="6" t="n">
        <x:v>-47200</x:v>
      </x:c>
      <x:c r="H31" s="6" t="n">
        <x:v>72100</x:v>
      </x:c>
    </x:row>
    <x:row r="32" ht="25" customHeight="1">
      <x:c r="A32" s="13" t="str">
        <x:v>累計／場内最悪値</x:v>
      </x:c>
      <x:c r="B32" s="13"/>
      <x:c r="C32" s="14" t="n">
        <x:f>SUM(C6:C31)</x:f>
        <x:v>315600</x:v>
      </x:c>
      <x:c r="D32" s="14" t="n">
        <x:f>SUM(D6:D31)</x:f>
        <x:v>1441700</x:v>
      </x:c>
      <x:c r="E32" s="14" t="n">
        <x:f>C32-D32</x:f>
        <x:v>-1126100</x:v>
      </x:c>
      <x:c r="F32" s="14" t="n">
        <x:f>F31</x:f>
        <x:v>-1126100</x:v>
      </x:c>
      <x:c r="G32" s="14" t="n">
        <x:f>MIN(G6:G31)</x:f>
        <x:v>-174300</x:v>
      </x:c>
      <x:c r="H32" s="14" t="n">
        <x:f>MAX(H6:H31)</x:f>
        <x:v>188000</x:v>
      </x:c>
    </x:row>
  </x:sheetData>
  <x:conditionalFormatting sqref="E6:F31">
    <x:cfRule type="cellIs" dxfId="5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d232794e98455e"/>
  </x:tableParts>
</x:worksheet>
</file>

<file path=xl/worksheets/sheet6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V_D05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観測修正／場開始比赤字8～16万円で新規量抑制/16万円停止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10200</x:v>
      </x:c>
      <x:c r="D9" s="6" t="n">
        <x:v>75200</x:v>
      </x:c>
      <x:c r="E9" s="6" t="n">
        <x:f>C9-D9</x:f>
        <x:v>-65000</x:v>
      </x:c>
      <x:c r="F9" s="6" t="n">
        <x:f>F8+E9</x:f>
        <x:v>-65000</x:v>
      </x:c>
      <x:c r="G9" s="6" t="n">
        <x:v>-85400</x:v>
      </x:c>
      <x:c r="H9" s="6" t="n">
        <x:v>92600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-136600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-170200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120500</x:v>
      </x:c>
      <x:c r="E12" s="6" t="n">
        <x:f>C12-D12</x:f>
        <x:v>-120500</x:v>
      </x:c>
      <x:c r="F12" s="6" t="n">
        <x:f>F11+E12</x:f>
        <x:v>-290700</x:v>
      </x:c>
      <x:c r="G12" s="6" t="n">
        <x:v>-120500</x:v>
      </x:c>
      <x:c r="H12" s="6" t="n">
        <x:v>129500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-290700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-350900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20200</x:v>
      </x:c>
      <x:c r="E15" s="6" t="n">
        <x:f>C15-D15</x:f>
        <x:v>-20200</x:v>
      </x:c>
      <x:c r="F15" s="6" t="n">
        <x:f>F14+E15</x:f>
        <x:v>-371100</x:v>
      </x:c>
      <x:c r="G15" s="6" t="n">
        <x:v>-24500</x:v>
      </x:c>
      <x:c r="H15" s="6" t="n">
        <x:v>30800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-384500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45600</x:v>
      </x:c>
      <x:c r="E17" s="6" t="n">
        <x:f>C17-D17</x:f>
        <x:v>-45600</x:v>
      </x:c>
      <x:c r="F17" s="6" t="n">
        <x:f>F16+E17</x:f>
        <x:v>-430100</x:v>
      </x:c>
      <x:c r="G17" s="6" t="n">
        <x:v>-47300</x:v>
      </x:c>
      <x:c r="H17" s="6" t="n">
        <x:v>86900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25400</x:v>
      </x:c>
      <x:c r="E18" s="6" t="n">
        <x:f>C18-D18</x:f>
        <x:v>17400</x:v>
      </x:c>
      <x:c r="F18" s="6" t="n">
        <x:f>F17+E18</x:f>
        <x:v>-412700</x:v>
      </x:c>
      <x:c r="G18" s="6" t="n">
        <x:v>-15000</x:v>
      </x:c>
      <x:c r="H18" s="6" t="n">
        <x:v>60600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-422400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-475400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-475400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100</x:v>
      </x:c>
      <x:c r="D22" s="6" t="n">
        <x:v>144400</x:v>
      </x:c>
      <x:c r="E22" s="6" t="n">
        <x:f>C22-D22</x:f>
        <x:v>-144300</x:v>
      </x:c>
      <x:c r="F22" s="6" t="n">
        <x:f>F21+E22</x:f>
        <x:v>-619700</x:v>
      </x:c>
      <x:c r="G22" s="6" t="n">
        <x:v>-144300</x:v>
      </x:c>
      <x:c r="H22" s="6" t="n">
        <x:v>165600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-654000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95100</x:v>
      </x:c>
      <x:c r="E24" s="6" t="n">
        <x:f>C24-D24</x:f>
        <x:v>-95100</x:v>
      </x:c>
      <x:c r="F24" s="6" t="n">
        <x:f>F23+E24</x:f>
        <x:v>-749100</x:v>
      </x:c>
      <x:c r="G24" s="6" t="n">
        <x:v>-98800</x:v>
      </x:c>
      <x:c r="H24" s="6" t="n">
        <x:v>117200</x:v>
      </x:c>
    </x:row>
    <x:row r="25" ht="25" customHeight="1">
      <x:c r="A25" s="2" t="str">
        <x:v>2026-10-16_Day</x:v>
      </x:c>
      <x:c r="B25" s="2" t="str">
        <x:v>上昇</x:v>
      </x:c>
      <x:c r="C25" s="6" t="n">
        <x:v>94700</x:v>
      </x:c>
      <x:c r="D25" s="6" t="n">
        <x:v>94500</x:v>
      </x:c>
      <x:c r="E25" s="6" t="n">
        <x:f>C25-D25</x:f>
        <x:v>200</x:v>
      </x:c>
      <x:c r="F25" s="6" t="n">
        <x:f>F24+E25</x:f>
        <x:v>-748900</x:v>
      </x:c>
      <x:c r="G25" s="6" t="n">
        <x:v>-64400</x:v>
      </x:c>
      <x:c r="H25" s="6" t="n">
        <x:v>80300</x:v>
      </x:c>
    </x:row>
    <x:row r="26" ht="25" customHeight="1">
      <x:c r="A26" s="2" t="str">
        <x:v>2026-10-19_Day</x:v>
      </x:c>
      <x:c r="B26" s="2" t="str">
        <x:v>上昇</x:v>
      </x:c>
      <x:c r="C26" s="6" t="n">
        <x:v>92700</x:v>
      </x:c>
      <x:c r="D26" s="6" t="n">
        <x:v>48900</x:v>
      </x:c>
      <x:c r="E26" s="6" t="n">
        <x:f>C26-D26</x:f>
        <x:v>43800</x:v>
      </x:c>
      <x:c r="F26" s="6" t="n">
        <x:f>F25+E26</x:f>
        <x:v>-705100</x:v>
      </x:c>
      <x:c r="G26" s="6" t="n">
        <x:v>-29000</x:v>
      </x:c>
      <x:c r="H26" s="6" t="n">
        <x:v>150900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68500</x:v>
      </x:c>
      <x:c r="E27" s="6" t="n">
        <x:f>C27-D27</x:f>
        <x:v>-68500</x:v>
      </x:c>
      <x:c r="F27" s="6" t="n">
        <x:f>F26+E27</x:f>
        <x:v>-773600</x:v>
      </x:c>
      <x:c r="G27" s="6" t="n">
        <x:v>-68500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141800</x:v>
      </x:c>
      <x:c r="E28" s="6" t="n">
        <x:f>C28-D28</x:f>
        <x:v>-141800</x:v>
      </x:c>
      <x:c r="F28" s="6" t="n">
        <x:f>F27+E28</x:f>
        <x:v>-915400</x:v>
      </x:c>
      <x:c r="G28" s="6" t="n">
        <x:v>-141800</x:v>
      </x:c>
      <x:c r="H28" s="6" t="n">
        <x:v>149000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-942600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111200</x:v>
      </x:c>
      <x:c r="E30" s="6" t="n">
        <x:f>C30-D30</x:f>
        <x:v>-111200</x:v>
      </x:c>
      <x:c r="F30" s="6" t="n">
        <x:f>F29+E30</x:f>
        <x:v>-1053800</x:v>
      </x:c>
      <x:c r="G30" s="6" t="n">
        <x:v>-115400</x:v>
      </x:c>
      <x:c r="H30" s="6" t="n">
        <x:v>143600</x:v>
      </x:c>
    </x:row>
    <x:row r="31" ht="25" customHeight="1">
      <x:c r="A31" s="2" t="str">
        <x:v>2026-10-26_Day</x:v>
      </x:c>
      <x:c r="B31" s="2" t="str">
        <x:v>下落</x:v>
      </x:c>
      <x:c r="C31" s="6" t="n">
        <x:v>0</x:v>
      </x:c>
      <x:c r="D31" s="6" t="n">
        <x:v>37500</x:v>
      </x:c>
      <x:c r="E31" s="6" t="n">
        <x:f>C31-D31</x:f>
        <x:v>-37500</x:v>
      </x:c>
      <x:c r="F31" s="6" t="n">
        <x:f>F30+E31</x:f>
        <x:v>-1091300</x:v>
      </x:c>
      <x:c r="G31" s="6" t="n">
        <x:v>-47200</x:v>
      </x:c>
      <x:c r="H31" s="6" t="n">
        <x:v>85700</x:v>
      </x:c>
    </x:row>
    <x:row r="32" ht="25" customHeight="1">
      <x:c r="A32" s="13" t="str">
        <x:v>累計／場内最悪値</x:v>
      </x:c>
      <x:c r="B32" s="13"/>
      <x:c r="C32" s="14" t="n">
        <x:f>SUM(C6:C31)</x:f>
        <x:v>252800</x:v>
      </x:c>
      <x:c r="D32" s="14" t="n">
        <x:f>SUM(D6:D31)</x:f>
        <x:v>1344100</x:v>
      </x:c>
      <x:c r="E32" s="14" t="n">
        <x:f>C32-D32</x:f>
        <x:v>-1091300</x:v>
      </x:c>
      <x:c r="F32" s="14" t="n">
        <x:f>F31</x:f>
        <x:v>-1091300</x:v>
      </x:c>
      <x:c r="G32" s="14" t="n">
        <x:f>MIN(G6:G31)</x:f>
        <x:v>-144300</x:v>
      </x:c>
      <x:c r="H32" s="14" t="n">
        <x:f>MAX(H6:H31)</x:f>
        <x:v>165600</x:v>
      </x:c>
    </x:row>
  </x:sheetData>
  <x:conditionalFormatting sqref="E6:F31">
    <x:cfRule type="cellIs" dxfId="5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52a1f6906348c8"/>
  </x:tableParts>
</x:worksheet>
</file>

<file path=xl/worksheets/sheet6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V_D08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観測修正／場開始比赤字8～16万円で新規量抑制/16万円停止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0</x:v>
      </x:c>
      <x:c r="E7" s="6" t="n">
        <x:f>C7-D7</x:f>
        <x:v>0</x:v>
      </x:c>
      <x:c r="F7" s="6" t="n">
        <x:f>F6+E7</x:f>
        <x:v>0</x:v>
      </x:c>
      <x:c r="G7" s="6" t="n">
        <x:v>0</x:v>
      </x:c>
      <x:c r="H7" s="6" t="n">
        <x:v>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0</x:v>
      </x:c>
      <x:c r="G8" s="6" t="n">
        <x:v>0</x:v>
      </x:c>
      <x:c r="H8" s="6" t="n">
        <x:v>0</x:v>
      </x:c>
    </x:row>
    <x:row r="9" ht="25" customHeight="1">
      <x:c r="A9" s="2" t="str">
        <x:v>2026-09-24_Day</x:v>
      </x:c>
      <x:c r="B9" s="2" t="str">
        <x:v>下落</x:v>
      </x:c>
      <x:c r="C9" s="6" t="n">
        <x:v>4000</x:v>
      </x:c>
      <x:c r="D9" s="6" t="n">
        <x:v>127200</x:v>
      </x:c>
      <x:c r="E9" s="6" t="n">
        <x:f>C9-D9</x:f>
        <x:v>-123200</x:v>
      </x:c>
      <x:c r="F9" s="6" t="n">
        <x:f>F8+E9</x:f>
        <x:v>-123200</x:v>
      </x:c>
      <x:c r="G9" s="6" t="n">
        <x:v>-131200</x:v>
      </x:c>
      <x:c r="H9" s="6" t="n">
        <x:v>133000</x:v>
      </x:c>
    </x:row>
    <x:row r="10" ht="25" customHeight="1">
      <x:c r="A10" s="2" t="str">
        <x:v>2026-09-25_Day</x:v>
      </x:c>
      <x:c r="B10" s="2" t="str">
        <x:v>上昇</x:v>
      </x:c>
      <x:c r="C10" s="6" t="n">
        <x:v>0</x:v>
      </x:c>
      <x:c r="D10" s="6" t="n">
        <x:v>71600</x:v>
      </x:c>
      <x:c r="E10" s="6" t="n">
        <x:f>C10-D10</x:f>
        <x:v>-71600</x:v>
      </x:c>
      <x:c r="F10" s="6" t="n">
        <x:f>F9+E10</x:f>
        <x:v>-194800</x:v>
      </x:c>
      <x:c r="G10" s="6" t="n">
        <x:v>-71600</x:v>
      </x:c>
      <x:c r="H10" s="6" t="n">
        <x:v>79100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33600</x:v>
      </x:c>
      <x:c r="E11" s="6" t="n">
        <x:f>C11-D11</x:f>
        <x:v>-33600</x:v>
      </x:c>
      <x:c r="F11" s="6" t="n">
        <x:f>F10+E11</x:f>
        <x:v>-228400</x:v>
      </x:c>
      <x:c r="G11" s="6" t="n">
        <x:v>-33600</x:v>
      </x:c>
      <x:c r="H11" s="6" t="n">
        <x:v>46200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117500</x:v>
      </x:c>
      <x:c r="E12" s="6" t="n">
        <x:f>C12-D12</x:f>
        <x:v>-117500</x:v>
      </x:c>
      <x:c r="F12" s="6" t="n">
        <x:f>F11+E12</x:f>
        <x:v>-345900</x:v>
      </x:c>
      <x:c r="G12" s="6" t="n">
        <x:v>-117500</x:v>
      </x:c>
      <x:c r="H12" s="6" t="n">
        <x:v>136100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0</x:v>
      </x:c>
      <x:c r="E13" s="6" t="n">
        <x:f>C13-D13</x:f>
        <x:v>0</x:v>
      </x:c>
      <x:c r="F13" s="6" t="n">
        <x:f>F12+E13</x:f>
        <x:v>-345900</x:v>
      </x:c>
      <x:c r="G13" s="6" t="n">
        <x:v>0</x:v>
      </x:c>
      <x:c r="H13" s="6" t="n">
        <x:v>0</x:v>
      </x:c>
    </x:row>
    <x:row r="14" ht="25" customHeight="1">
      <x:c r="A14" s="2" t="str">
        <x:v>2026-10-01_Day</x:v>
      </x:c>
      <x:c r="B14" s="2" t="str">
        <x:v>上昇</x:v>
      </x:c>
      <x:c r="C14" s="6" t="n">
        <x:v>12300</x:v>
      </x:c>
      <x:c r="D14" s="6" t="n">
        <x:v>72500</x:v>
      </x:c>
      <x:c r="E14" s="6" t="n">
        <x:f>C14-D14</x:f>
        <x:v>-60200</x:v>
      </x:c>
      <x:c r="F14" s="6" t="n">
        <x:f>F13+E14</x:f>
        <x:v>-406100</x:v>
      </x:c>
      <x:c r="G14" s="6" t="n">
        <x:v>-65100</x:v>
      </x:c>
      <x:c r="H14" s="6" t="n">
        <x:v>80700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10800</x:v>
      </x:c>
      <x:c r="E15" s="6" t="n">
        <x:f>C15-D15</x:f>
        <x:v>-10800</x:v>
      </x:c>
      <x:c r="F15" s="6" t="n">
        <x:f>F14+E15</x:f>
        <x:v>-416900</x:v>
      </x:c>
      <x:c r="G15" s="6" t="n">
        <x:v>-23900</x:v>
      </x:c>
      <x:c r="H15" s="6" t="n">
        <x:v>34200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13400</x:v>
      </x:c>
      <x:c r="E16" s="6" t="n">
        <x:f>C16-D16</x:f>
        <x:v>-13400</x:v>
      </x:c>
      <x:c r="F16" s="6" t="n">
        <x:f>F15+E16</x:f>
        <x:v>-430300</x:v>
      </x:c>
      <x:c r="G16" s="6" t="n">
        <x:v>-22100</x:v>
      </x:c>
      <x:c r="H16" s="6" t="n">
        <x:v>71000</x:v>
      </x:c>
    </x:row>
    <x:row r="17" ht="25" customHeight="1">
      <x:c r="A17" s="2" t="str">
        <x:v>2026-10-06_Day</x:v>
      </x:c>
      <x:c r="B17" s="2" t="str">
        <x:v>上昇</x:v>
      </x:c>
      <x:c r="C17" s="6" t="n">
        <x:v>0</x:v>
      </x:c>
      <x:c r="D17" s="6" t="n">
        <x:v>33200</x:v>
      </x:c>
      <x:c r="E17" s="6" t="n">
        <x:f>C17-D17</x:f>
        <x:v>-33200</x:v>
      </x:c>
      <x:c r="F17" s="6" t="n">
        <x:f>F16+E17</x:f>
        <x:v>-463500</x:v>
      </x:c>
      <x:c r="G17" s="6" t="n">
        <x:v>-34900</x:v>
      </x:c>
      <x:c r="H17" s="6" t="n">
        <x:v>91800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42800</x:v>
      </x:c>
      <x:c r="D18" s="6" t="n">
        <x:v>45400</x:v>
      </x:c>
      <x:c r="E18" s="6" t="n">
        <x:f>C18-D18</x:f>
        <x:v>-2600</x:v>
      </x:c>
      <x:c r="F18" s="6" t="n">
        <x:f>F17+E18</x:f>
        <x:v>-466100</x:v>
      </x:c>
      <x:c r="G18" s="6" t="n">
        <x:v>-15000</x:v>
      </x:c>
      <x:c r="H18" s="6" t="n">
        <x:v>80600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9700</x:v>
      </x:c>
      <x:c r="E19" s="6" t="n">
        <x:f>C19-D19</x:f>
        <x:v>-9700</x:v>
      </x:c>
      <x:c r="F19" s="6" t="n">
        <x:f>F18+E19</x:f>
        <x:v>-475800</x:v>
      </x:c>
      <x:c r="G19" s="6" t="n">
        <x:v>-16200</x:v>
      </x:c>
      <x:c r="H19" s="6" t="n">
        <x:v>22200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53000</x:v>
      </x:c>
      <x:c r="E20" s="6" t="n">
        <x:f>C20-D20</x:f>
        <x:v>-53000</x:v>
      </x:c>
      <x:c r="F20" s="6" t="n">
        <x:f>F19+E20</x:f>
        <x:v>-528800</x:v>
      </x:c>
      <x:c r="G20" s="6" t="n">
        <x:v>-53000</x:v>
      </x:c>
      <x:c r="H20" s="6" t="n">
        <x:v>53000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0</x:v>
      </x:c>
      <x:c r="E21" s="6" t="n">
        <x:f>C21-D21</x:f>
        <x:v>0</x:v>
      </x:c>
      <x:c r="F21" s="6" t="n">
        <x:f>F20+E21</x:f>
        <x:v>-528800</x:v>
      </x:c>
      <x:c r="G21" s="6" t="n">
        <x:v>0</x:v>
      </x:c>
      <x:c r="H21" s="6" t="n">
        <x:v>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149100</x:v>
      </x:c>
      <x:c r="E22" s="6" t="n">
        <x:f>C22-D22</x:f>
        <x:v>-149100</x:v>
      </x:c>
      <x:c r="F22" s="6" t="n">
        <x:f>F21+E22</x:f>
        <x:v>-677900</x:v>
      </x:c>
      <x:c r="G22" s="6" t="n">
        <x:v>-149100</x:v>
      </x:c>
      <x:c r="H22" s="6" t="n">
        <x:v>170400</x:v>
      </x:c>
    </x:row>
    <x:row r="23" ht="25" customHeight="1">
      <x:c r="A23" s="2" t="str">
        <x:v>2026-10-14_Day</x:v>
      </x:c>
      <x:c r="B23" s="2" t="str">
        <x:v>上昇</x:v>
      </x:c>
      <x:c r="C23" s="6" t="n">
        <x:v>0</x:v>
      </x:c>
      <x:c r="D23" s="6" t="n">
        <x:v>34300</x:v>
      </x:c>
      <x:c r="E23" s="6" t="n">
        <x:f>C23-D23</x:f>
        <x:v>-34300</x:v>
      </x:c>
      <x:c r="F23" s="6" t="n">
        <x:f>F22+E23</x:f>
        <x:v>-712200</x:v>
      </x:c>
      <x:c r="G23" s="6" t="n">
        <x:v>-34300</x:v>
      </x:c>
      <x:c r="H23" s="6" t="n">
        <x:v>34300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64900</x:v>
      </x:c>
      <x:c r="E24" s="6" t="n">
        <x:f>C24-D24</x:f>
        <x:v>-64900</x:v>
      </x:c>
      <x:c r="F24" s="6" t="n">
        <x:f>F23+E24</x:f>
        <x:v>-777100</x:v>
      </x:c>
      <x:c r="G24" s="6" t="n">
        <x:v>-69400</x:v>
      </x:c>
      <x:c r="H24" s="6" t="n">
        <x:v>91500</x:v>
      </x:c>
    </x:row>
    <x:row r="25" ht="25" customHeight="1">
      <x:c r="A25" s="2" t="str">
        <x:v>2026-10-16_Day</x:v>
      </x:c>
      <x:c r="B25" s="2" t="str">
        <x:v>上昇</x:v>
      </x:c>
      <x:c r="C25" s="6" t="n">
        <x:v>100100</x:v>
      </x:c>
      <x:c r="D25" s="6" t="n">
        <x:v>94900</x:v>
      </x:c>
      <x:c r="E25" s="6" t="n">
        <x:f>C25-D25</x:f>
        <x:v>5200</x:v>
      </x:c>
      <x:c r="F25" s="6" t="n">
        <x:f>F24+E25</x:f>
        <x:v>-771900</x:v>
      </x:c>
      <x:c r="G25" s="6" t="n">
        <x:v>-64200</x:v>
      </x:c>
      <x:c r="H25" s="6" t="n">
        <x:v>80100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110100</x:v>
      </x:c>
      <x:c r="D26" s="6" t="n">
        <x:v>48900</x:v>
      </x:c>
      <x:c r="E26" s="6" t="n">
        <x:f>C26-D26</x:f>
        <x:v>61200</x:v>
      </x:c>
      <x:c r="F26" s="6" t="n">
        <x:f>F25+E26</x:f>
        <x:v>-710700</x:v>
      </x:c>
      <x:c r="G26" s="6" t="n">
        <x:v>-24000</x:v>
      </x:c>
      <x:c r="H26" s="6" t="n">
        <x:v>155300</x:v>
      </x:c>
    </x:row>
    <x:row r="27" ht="25" customHeight="1">
      <x:c r="A27" s="2" t="str">
        <x:v>2026-10-20_Day</x:v>
      </x:c>
      <x:c r="B27" s="2" t="str">
        <x:v>下落</x:v>
      </x:c>
      <x:c r="C27" s="6" t="n">
        <x:v>0</x:v>
      </x:c>
      <x:c r="D27" s="6" t="n">
        <x:v>65300</x:v>
      </x:c>
      <x:c r="E27" s="6" t="n">
        <x:f>C27-D27</x:f>
        <x:v>-65300</x:v>
      </x:c>
      <x:c r="F27" s="6" t="n">
        <x:f>F26+E27</x:f>
        <x:v>-776000</x:v>
      </x:c>
      <x:c r="G27" s="6" t="n">
        <x:v>-65300</x:v>
      </x:c>
      <x:c r="H27" s="6" t="n">
        <x:v>113700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142400</x:v>
      </x:c>
      <x:c r="E28" s="6" t="n">
        <x:f>C28-D28</x:f>
        <x:v>-142400</x:v>
      </x:c>
      <x:c r="F28" s="6" t="n">
        <x:f>F27+E28</x:f>
        <x:v>-918400</x:v>
      </x:c>
      <x:c r="G28" s="6" t="n">
        <x:v>-142400</x:v>
      </x:c>
      <x:c r="H28" s="6" t="n">
        <x:v>149600</x:v>
      </x:c>
    </x:row>
    <x:row r="29" ht="25" customHeight="1">
      <x:c r="A29" s="2" t="str">
        <x:v>2026-10-22_Day</x:v>
      </x:c>
      <x:c r="B29" s="2" t="str">
        <x:v>下落</x:v>
      </x:c>
      <x:c r="C29" s="6" t="n">
        <x:v>0</x:v>
      </x:c>
      <x:c r="D29" s="6" t="n">
        <x:v>27200</x:v>
      </x:c>
      <x:c r="E29" s="6" t="n">
        <x:f>C29-D29</x:f>
        <x:v>-27200</x:v>
      </x:c>
      <x:c r="F29" s="6" t="n">
        <x:f>F28+E29</x:f>
        <x:v>-945600</x:v>
      </x:c>
      <x:c r="G29" s="6" t="n">
        <x:v>-27200</x:v>
      </x:c>
      <x:c r="H29" s="6" t="n">
        <x:v>37200</x:v>
      </x:c>
    </x:row>
    <x:row r="30" ht="25" customHeight="1">
      <x:c r="A30" s="2" t="str">
        <x:v>2026-10-23_Day</x:v>
      </x:c>
      <x:c r="B30" s="2" t="str">
        <x:v>上昇</x:v>
      </x:c>
      <x:c r="C30" s="6" t="n">
        <x:v>0</x:v>
      </x:c>
      <x:c r="D30" s="6" t="n">
        <x:v>110300</x:v>
      </x:c>
      <x:c r="E30" s="6" t="n">
        <x:f>C30-D30</x:f>
        <x:v>-110300</x:v>
      </x:c>
      <x:c r="F30" s="6" t="n">
        <x:f>F29+E30</x:f>
        <x:v>-1055900</x:v>
      </x:c>
      <x:c r="G30" s="6" t="n">
        <x:v>-115400</x:v>
      </x:c>
      <x:c r="H30" s="6" t="n">
        <x:v>143600</x:v>
      </x:c>
    </x:row>
    <x:row r="31" ht="25" customHeight="1">
      <x:c r="A31" s="2" t="str">
        <x:v>2026-10-26_Day</x:v>
      </x:c>
      <x:c r="B31" s="2" t="str">
        <x:v>下落</x:v>
      </x:c>
      <x:c r="C31" s="6" t="n">
        <x:v>22300</x:v>
      </x:c>
      <x:c r="D31" s="6" t="n">
        <x:v>36800</x:v>
      </x:c>
      <x:c r="E31" s="6" t="n">
        <x:f>C31-D31</x:f>
        <x:v>-14500</x:v>
      </x:c>
      <x:c r="F31" s="6" t="n">
        <x:f>F30+E31</x:f>
        <x:v>-1070400</x:v>
      </x:c>
      <x:c r="G31" s="6" t="n">
        <x:v>-47200</x:v>
      </x:c>
      <x:c r="H31" s="6" t="n">
        <x:v>69100</x:v>
      </x:c>
    </x:row>
    <x:row r="32" ht="25" customHeight="1">
      <x:c r="A32" s="13" t="str">
        <x:v>累計／場内最悪値</x:v>
      </x:c>
      <x:c r="B32" s="13"/>
      <x:c r="C32" s="14" t="n">
        <x:f>SUM(C6:C31)</x:f>
        <x:v>291600</x:v>
      </x:c>
      <x:c r="D32" s="14" t="n">
        <x:f>SUM(D6:D31)</x:f>
        <x:v>1362000</x:v>
      </x:c>
      <x:c r="E32" s="14" t="n">
        <x:f>C32-D32</x:f>
        <x:v>-1070400</x:v>
      </x:c>
      <x:c r="F32" s="14" t="n">
        <x:f>F31</x:f>
        <x:v>-1070400</x:v>
      </x:c>
      <x:c r="G32" s="14" t="n">
        <x:f>MIN(G6:G31)</x:f>
        <x:v>-149100</x:v>
      </x:c>
      <x:c r="H32" s="14" t="n">
        <x:f>MAX(H6:H31)</x:f>
        <x:v>170400</x:v>
      </x:c>
    </x:row>
  </x:sheetData>
  <x:conditionalFormatting sqref="E6:F31">
    <x:cfRule type="cellIs" dxfId="6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87ab830e8c4ca6"/>
  </x:tableParts>
</x:worksheet>
</file>

<file path=xl/worksheets/sheet6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新共通出口・最低5micro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2500</x:v>
      </x:c>
      <x:c r="D6" s="6" t="n">
        <x:v>4000</x:v>
      </x:c>
      <x:c r="E6" s="6" t="n">
        <x:f>C6-D6</x:f>
        <x:v>-1500</x:v>
      </x:c>
      <x:c r="F6" s="6" t="n">
        <x:f>E6</x:f>
        <x:v>-1500</x:v>
      </x:c>
      <x:c r="G6" s="6" t="n">
        <x:v>-5000</x:v>
      </x:c>
      <x:c r="H6" s="6" t="n">
        <x:v>5500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7000</x:v>
      </x:c>
      <x:c r="E7" s="6" t="n">
        <x:f>C7-D7</x:f>
        <x:v>-7000</x:v>
      </x:c>
      <x:c r="F7" s="6" t="n">
        <x:f>F6+E7</x:f>
        <x:v>-8500</x:v>
      </x:c>
      <x:c r="G7" s="6" t="n">
        <x:v>-7000</x:v>
      </x:c>
      <x:c r="H7" s="6" t="n">
        <x:v>8000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-8500</x:v>
      </x:c>
      <x:c r="G8" s="6" t="n">
        <x:v>-1000</x:v>
      </x:c>
      <x:c r="H8" s="6" t="n">
        <x:v>2000</x:v>
      </x:c>
    </x:row>
    <x:row r="9" ht="25" customHeight="1">
      <x:c r="A9" s="2" t="str">
        <x:v>2026-09-24_Day</x:v>
      </x:c>
      <x:c r="B9" s="2" t="str">
        <x:v>下落</x:v>
      </x:c>
      <x:c r="C9" s="6" t="n">
        <x:v>18900</x:v>
      </x:c>
      <x:c r="D9" s="6" t="n">
        <x:v>37600</x:v>
      </x:c>
      <x:c r="E9" s="6" t="n">
        <x:f>C9-D9</x:f>
        <x:v>-18700</x:v>
      </x:c>
      <x:c r="F9" s="6" t="n">
        <x:f>F8+E9</x:f>
        <x:v>-27200</x:v>
      </x:c>
      <x:c r="G9" s="6" t="n">
        <x:v>-39900</x:v>
      </x:c>
      <x:c r="H9" s="6" t="n">
        <x:v>48700</x:v>
      </x:c>
    </x:row>
    <x:row r="10" ht="25" customHeight="1">
      <x:c r="A10" s="2" t="str">
        <x:v>2026-09-25_Day</x:v>
      </x:c>
      <x:c r="B10" s="2" t="str">
        <x:v>上昇</x:v>
      </x:c>
      <x:c r="C10" s="6" t="n">
        <x:v>13200</x:v>
      </x:c>
      <x:c r="D10" s="6" t="n">
        <x:v>64800</x:v>
      </x:c>
      <x:c r="E10" s="6" t="n">
        <x:f>C10-D10</x:f>
        <x:v>-51600</x:v>
      </x:c>
      <x:c r="F10" s="6" t="n">
        <x:f>F9+E10</x:f>
        <x:v>-78800</x:v>
      </x:c>
      <x:c r="G10" s="6" t="n">
        <x:v>-51600</x:v>
      </x:c>
      <x:c r="H10" s="6" t="n">
        <x:v>74400</x:v>
      </x:c>
    </x:row>
    <x:row r="11" ht="25" customHeight="1">
      <x:c r="A11" s="2" t="str">
        <x:v>2026-09-28_Day</x:v>
      </x:c>
      <x:c r="B11" s="2" t="str">
        <x:v>下落</x:v>
      </x:c>
      <x:c r="C11" s="6" t="n">
        <x:v>2400</x:v>
      </x:c>
      <x:c r="D11" s="6" t="n">
        <x:v>51200</x:v>
      </x:c>
      <x:c r="E11" s="6" t="n">
        <x:f>C11-D11</x:f>
        <x:v>-48800</x:v>
      </x:c>
      <x:c r="F11" s="6" t="n">
        <x:f>F10+E11</x:f>
        <x:v>-127600</x:v>
      </x:c>
      <x:c r="G11" s="6" t="n">
        <x:v>-50700</x:v>
      </x:c>
      <x:c r="H11" s="6" t="n">
        <x:v>63900</x:v>
      </x:c>
    </x:row>
    <x:row r="12" ht="25" customHeight="1">
      <x:c r="A12" s="2" t="str">
        <x:v>2026-09-29_Day</x:v>
      </x:c>
      <x:c r="B12" s="2" t="str">
        <x:v>下落</x:v>
      </x:c>
      <x:c r="C12" s="6" t="n">
        <x:v>11100</x:v>
      </x:c>
      <x:c r="D12" s="6" t="n">
        <x:v>61500</x:v>
      </x:c>
      <x:c r="E12" s="6" t="n">
        <x:f>C12-D12</x:f>
        <x:v>-50400</x:v>
      </x:c>
      <x:c r="F12" s="6" t="n">
        <x:f>F11+E12</x:f>
        <x:v>-178000</x:v>
      </x:c>
      <x:c r="G12" s="6" t="n">
        <x:v>-61200</x:v>
      </x:c>
      <x:c r="H12" s="6" t="n">
        <x:v>72200</x:v>
      </x:c>
    </x:row>
    <x:row r="13" ht="25" customHeight="1">
      <x:c r="A13" s="2" t="str">
        <x:v>2026-09-30_Day</x:v>
      </x:c>
      <x:c r="B13" s="2" t="str">
        <x:v>上昇</x:v>
      </x:c>
      <x:c r="C13" s="6" t="n">
        <x:v>1700</x:v>
      </x:c>
      <x:c r="D13" s="6" t="n">
        <x:v>11200</x:v>
      </x:c>
      <x:c r="E13" s="6" t="n">
        <x:f>C13-D13</x:f>
        <x:v>-9500</x:v>
      </x:c>
      <x:c r="F13" s="6" t="n">
        <x:f>F12+E13</x:f>
        <x:v>-187500</x:v>
      </x:c>
      <x:c r="G13" s="6" t="n">
        <x:v>-13900</x:v>
      </x:c>
      <x:c r="H13" s="6" t="n">
        <x:v>17200</x:v>
      </x:c>
    </x:row>
    <x:row r="14" ht="25" customHeight="1">
      <x:c r="A14" s="2" t="str">
        <x:v>2026-10-01_Day</x:v>
      </x:c>
      <x:c r="B14" s="2" t="str">
        <x:v>上昇</x:v>
      </x:c>
      <x:c r="C14" s="6" t="n">
        <x:v>22900</x:v>
      </x:c>
      <x:c r="D14" s="6" t="n">
        <x:v>84700</x:v>
      </x:c>
      <x:c r="E14" s="6" t="n">
        <x:f>C14-D14</x:f>
        <x:v>-61800</x:v>
      </x:c>
      <x:c r="F14" s="6" t="n">
        <x:f>F13+E14</x:f>
        <x:v>-249300</x:v>
      </x:c>
      <x:c r="G14" s="6" t="n">
        <x:v>-67300</x:v>
      </x:c>
      <x:c r="H14" s="6" t="n">
        <x:v>83100</x:v>
      </x:c>
    </x:row>
    <x:row r="15" ht="25" customHeight="1">
      <x:c r="A15" s="2" t="str">
        <x:v>2026-10-02_Day</x:v>
      </x:c>
      <x:c r="B15" s="2" t="str">
        <x:v>上昇</x:v>
      </x:c>
      <x:c r="C15" s="6" t="n">
        <x:v>22600</x:v>
      </x:c>
      <x:c r="D15" s="6" t="n">
        <x:v>2300</x:v>
      </x:c>
      <x:c r="E15" s="6" t="n">
        <x:f>C15-D15</x:f>
        <x:v>20300</x:v>
      </x:c>
      <x:c r="F15" s="6" t="n">
        <x:f>F14+E15</x:f>
        <x:v>-229000</x:v>
      </x:c>
      <x:c r="G15" s="6" t="n">
        <x:v>-8400</x:v>
      </x:c>
      <x:c r="H15" s="6" t="n">
        <x:v>21600</x:v>
      </x:c>
    </x:row>
    <x:row r="16" ht="25" customHeight="1">
      <x:c r="A16" s="2" t="str">
        <x:v>2026-10-05_Day</x:v>
      </x:c>
      <x:c r="B16" s="2" t="str">
        <x:v>上昇</x:v>
      </x:c>
      <x:c r="C16" s="6" t="n">
        <x:v>22600</x:v>
      </x:c>
      <x:c r="D16" s="6" t="n">
        <x:v>19500</x:v>
      </x:c>
      <x:c r="E16" s="6" t="n">
        <x:f>C16-D16</x:f>
        <x:v>3100</x:v>
      </x:c>
      <x:c r="F16" s="6" t="n">
        <x:f>F15+E16</x:f>
        <x:v>-225900</x:v>
      </x:c>
      <x:c r="G16" s="6" t="n">
        <x:v>-11800</x:v>
      </x:c>
      <x:c r="H16" s="6" t="n">
        <x:v>28100</x:v>
      </x:c>
    </x:row>
    <x:row r="17" ht="25" customHeight="1">
      <x:c r="A17" s="2" t="str">
        <x:v>2026-10-06_Day</x:v>
      </x:c>
      <x:c r="B17" s="2" t="str">
        <x:v>上昇</x:v>
      </x:c>
      <x:c r="C17" s="6" t="n">
        <x:v>28300</x:v>
      </x:c>
      <x:c r="D17" s="6" t="n">
        <x:v>8800</x:v>
      </x:c>
      <x:c r="E17" s="6" t="n">
        <x:f>C17-D17</x:f>
        <x:v>19500</x:v>
      </x:c>
      <x:c r="F17" s="6" t="n">
        <x:f>F16+E17</x:f>
        <x:v>-206400</x:v>
      </x:c>
      <x:c r="G17" s="6" t="n">
        <x:v>-14300</x:v>
      </x:c>
      <x:c r="H17" s="6" t="n">
        <x:v>31000</x:v>
      </x:c>
    </x:row>
    <x:row r="18" ht="25" customHeight="1">
      <x:c r="A18" s="2" t="str">
        <x:v>2026-10-07_Day</x:v>
      </x:c>
      <x:c r="B18" s="2" t="str">
        <x:v>下落</x:v>
      </x:c>
      <x:c r="C18" s="6" t="n">
        <x:v>42300</x:v>
      </x:c>
      <x:c r="D18" s="6" t="n">
        <x:v>24500</x:v>
      </x:c>
      <x:c r="E18" s="6" t="n">
        <x:f>C18-D18</x:f>
        <x:v>17800</x:v>
      </x:c>
      <x:c r="F18" s="6" t="n">
        <x:f>F17+E18</x:f>
        <x:v>-188600</x:v>
      </x:c>
      <x:c r="G18" s="6" t="n">
        <x:v>-12000</x:v>
      </x:c>
      <x:c r="H18" s="6" t="n">
        <x:v>38300</x:v>
      </x:c>
    </x:row>
    <x:row r="19" ht="25" customHeight="1">
      <x:c r="A19" s="2" t="str">
        <x:v>2026-10-08_Day</x:v>
      </x:c>
      <x:c r="B19" s="2" t="str">
        <x:v>下落</x:v>
      </x:c>
      <x:c r="C19" s="6" t="n">
        <x:v>6400</x:v>
      </x:c>
      <x:c r="D19" s="6" t="n">
        <x:v>23600</x:v>
      </x:c>
      <x:c r="E19" s="6" t="n">
        <x:f>C19-D19</x:f>
        <x:v>-17200</x:v>
      </x:c>
      <x:c r="F19" s="6" t="n">
        <x:f>F18+E19</x:f>
        <x:v>-205800</x:v>
      </x:c>
      <x:c r="G19" s="6" t="n">
        <x:v>-20200</x:v>
      </x:c>
      <x:c r="H19" s="6" t="n">
        <x:v>21900</x:v>
      </x:c>
    </x:row>
    <x:row r="20" ht="25" customHeight="1">
      <x:c r="A20" s="2" t="str">
        <x:v>2026-10-09_Day</x:v>
      </x:c>
      <x:c r="B20" s="2" t="str">
        <x:v>上昇</x:v>
      </x:c>
      <x:c r="C20" s="6" t="n">
        <x:v>8700</x:v>
      </x:c>
      <x:c r="D20" s="6" t="n">
        <x:v>67200</x:v>
      </x:c>
      <x:c r="E20" s="6" t="n">
        <x:f>C20-D20</x:f>
        <x:v>-58500</x:v>
      </x:c>
      <x:c r="F20" s="6" t="n">
        <x:f>F19+E20</x:f>
        <x:v>-264300</x:v>
      </x:c>
      <x:c r="G20" s="6" t="n">
        <x:v>-61000</x:v>
      </x:c>
      <x:c r="H20" s="6" t="n">
        <x:v>67000</x:v>
      </x:c>
    </x:row>
    <x:row r="21" ht="25" customHeight="1">
      <x:c r="A21" s="2" t="str">
        <x:v>2026-10-12_Day</x:v>
      </x:c>
      <x:c r="B21" s="2" t="str">
        <x:v>下落</x:v>
      </x:c>
      <x:c r="C21" s="6" t="n">
        <x:v>4500</x:v>
      </x:c>
      <x:c r="D21" s="6" t="n">
        <x:v>2500</x:v>
      </x:c>
      <x:c r="E21" s="6" t="n">
        <x:f>C21-D21</x:f>
        <x:v>2000</x:v>
      </x:c>
      <x:c r="F21" s="6" t="n">
        <x:f>F20+E21</x:f>
        <x:v>-262300</x:v>
      </x:c>
      <x:c r="G21" s="6" t="n">
        <x:v>-3500</x:v>
      </x:c>
      <x:c r="H21" s="6" t="n">
        <x:v>5500</x:v>
      </x:c>
    </x:row>
    <x:row r="22" ht="25" customHeight="1">
      <x:c r="A22" s="2" t="str">
        <x:v>2026-10-13_Day</x:v>
      </x:c>
      <x:c r="B22" s="2" t="str">
        <x:v>下落</x:v>
      </x:c>
      <x:c r="C22" s="6" t="n">
        <x:v>32500</x:v>
      </x:c>
      <x:c r="D22" s="6" t="n">
        <x:v>171600</x:v>
      </x:c>
      <x:c r="E22" s="6" t="n">
        <x:f>C22-D22</x:f>
        <x:v>-139100</x:v>
      </x:c>
      <x:c r="F22" s="6" t="n">
        <x:f>F21+E22</x:f>
        <x:v>-401400</x:v>
      </x:c>
      <x:c r="G22" s="6" t="n">
        <x:v>-140900</x:v>
      </x:c>
      <x:c r="H22" s="6" t="n">
        <x:v>162500</x:v>
      </x:c>
    </x:row>
    <x:row r="23" ht="25" customHeight="1">
      <x:c r="A23" s="2" t="str">
        <x:v>2026-10-14_Day</x:v>
      </x:c>
      <x:c r="B23" s="2" t="str">
        <x:v>上昇</x:v>
      </x:c>
      <x:c r="C23" s="6" t="n">
        <x:v>6200</x:v>
      </x:c>
      <x:c r="D23" s="6" t="n">
        <x:v>35200</x:v>
      </x:c>
      <x:c r="E23" s="6" t="n">
        <x:f>C23-D23</x:f>
        <x:v>-29000</x:v>
      </x:c>
      <x:c r="F23" s="6" t="n">
        <x:f>F22+E23</x:f>
        <x:v>-430400</x:v>
      </x:c>
      <x:c r="G23" s="6" t="n">
        <x:v>-35700</x:v>
      </x:c>
      <x:c r="H23" s="6" t="n">
        <x:v>35700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15000</x:v>
      </x:c>
      <x:c r="D24" s="6" t="n">
        <x:v>54700</x:v>
      </x:c>
      <x:c r="E24" s="6" t="n">
        <x:f>C24-D24</x:f>
        <x:v>-39700</x:v>
      </x:c>
      <x:c r="F24" s="6" t="n">
        <x:f>F23+E24</x:f>
        <x:v>-470100</x:v>
      </x:c>
      <x:c r="G24" s="6" t="n">
        <x:v>-48300</x:v>
      </x:c>
      <x:c r="H24" s="6" t="n">
        <x:v>48300</x:v>
      </x:c>
    </x:row>
    <x:row r="25" ht="25" customHeight="1">
      <x:c r="A25" s="2" t="str">
        <x:v>2026-10-16_Day</x:v>
      </x:c>
      <x:c r="B25" s="2" t="str">
        <x:v>上昇</x:v>
      </x:c>
      <x:c r="C25" s="6" t="n">
        <x:v>58200</x:v>
      </x:c>
      <x:c r="D25" s="6" t="n">
        <x:v>111500</x:v>
      </x:c>
      <x:c r="E25" s="6" t="n">
        <x:f>C25-D25</x:f>
        <x:v>-53300</x:v>
      </x:c>
      <x:c r="F25" s="6" t="n">
        <x:f>F24+E25</x:f>
        <x:v>-523400</x:v>
      </x:c>
      <x:c r="G25" s="6" t="n">
        <x:v>-69700</x:v>
      </x:c>
      <x:c r="H25" s="6" t="n">
        <x:v>86200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104100</x:v>
      </x:c>
      <x:c r="D26" s="6" t="n">
        <x:v>0</x:v>
      </x:c>
      <x:c r="E26" s="6" t="n">
        <x:f>C26-D26</x:f>
        <x:v>104100</x:v>
      </x:c>
      <x:c r="F26" s="6" t="n">
        <x:f>F25+E26</x:f>
        <x:v>-419300</x:v>
      </x:c>
      <x:c r="G26" s="6" t="n">
        <x:v>-20000</x:v>
      </x:c>
      <x:c r="H26" s="6" t="n">
        <x:v>61600</x:v>
      </x:c>
    </x:row>
    <x:row r="27" ht="25" customHeight="1">
      <x:c r="A27" s="2" t="str">
        <x:v>2026-10-20_Day</x:v>
      </x:c>
      <x:c r="B27" s="2" t="str">
        <x:v>下落</x:v>
      </x:c>
      <x:c r="C27" s="6" t="n">
        <x:v>7400</x:v>
      </x:c>
      <x:c r="D27" s="6" t="n">
        <x:v>18400</x:v>
      </x:c>
      <x:c r="E27" s="6" t="n">
        <x:f>C27-D27</x:f>
        <x:v>-11000</x:v>
      </x:c>
      <x:c r="F27" s="6" t="n">
        <x:f>F26+E27</x:f>
        <x:v>-430300</x:v>
      </x:c>
      <x:c r="G27" s="6" t="n">
        <x:v>-11400</x:v>
      </x:c>
      <x:c r="H27" s="6" t="n">
        <x:v>26800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11900</x:v>
      </x:c>
      <x:c r="D28" s="6" t="n">
        <x:v>81700</x:v>
      </x:c>
      <x:c r="E28" s="6" t="n">
        <x:f>C28-D28</x:f>
        <x:v>-69800</x:v>
      </x:c>
      <x:c r="F28" s="6" t="n">
        <x:f>F27+E28</x:f>
        <x:v>-500100</x:v>
      </x:c>
      <x:c r="G28" s="6" t="n">
        <x:v>-79100</x:v>
      </x:c>
      <x:c r="H28" s="6" t="n">
        <x:v>89400</x:v>
      </x:c>
    </x:row>
    <x:row r="29" ht="25" customHeight="1">
      <x:c r="A29" s="2" t="str">
        <x:v>2026-10-22_Day</x:v>
      </x:c>
      <x:c r="B29" s="2" t="str">
        <x:v>下落</x:v>
      </x:c>
      <x:c r="C29" s="6" t="n">
        <x:v>6600</x:v>
      </x:c>
      <x:c r="D29" s="6" t="n">
        <x:v>0</x:v>
      </x:c>
      <x:c r="E29" s="6" t="n">
        <x:f>C29-D29</x:f>
        <x:v>6600</x:v>
      </x:c>
      <x:c r="F29" s="6" t="n">
        <x:f>F28+E29</x:f>
        <x:v>-493500</x:v>
      </x:c>
      <x:c r="G29" s="6" t="n">
        <x:v>-2100</x:v>
      </x:c>
      <x:c r="H29" s="6" t="n">
        <x:v>11600</x:v>
      </x:c>
    </x:row>
    <x:row r="30" ht="25" customHeight="1">
      <x:c r="A30" s="2" t="str">
        <x:v>2026-10-23_Day</x:v>
      </x:c>
      <x:c r="B30" s="2" t="str">
        <x:v>上昇</x:v>
      </x:c>
      <x:c r="C30" s="6" t="n">
        <x:v>38700</x:v>
      </x:c>
      <x:c r="D30" s="6" t="n">
        <x:v>82100</x:v>
      </x:c>
      <x:c r="E30" s="6" t="n">
        <x:f>C30-D30</x:f>
        <x:v>-43400</x:v>
      </x:c>
      <x:c r="F30" s="6" t="n">
        <x:f>F29+E30</x:f>
        <x:v>-536900</x:v>
      </x:c>
      <x:c r="G30" s="6" t="n">
        <x:v>-70400</x:v>
      </x:c>
      <x:c r="H30" s="6" t="n">
        <x:v>102800</x:v>
      </x:c>
    </x:row>
    <x:row r="31" ht="25" customHeight="1">
      <x:c r="A31" s="2" t="str">
        <x:v>2026-10-26_Day</x:v>
      </x:c>
      <x:c r="B31" s="2" t="str">
        <x:v>下落</x:v>
      </x:c>
      <x:c r="C31" s="6" t="n">
        <x:v>500</x:v>
      </x:c>
      <x:c r="D31" s="6" t="n">
        <x:v>50400</x:v>
      </x:c>
      <x:c r="E31" s="6" t="n">
        <x:f>C31-D31</x:f>
        <x:v>-49900</x:v>
      </x:c>
      <x:c r="F31" s="6" t="n">
        <x:f>F30+E31</x:f>
        <x:v>-586800</x:v>
      </x:c>
      <x:c r="G31" s="6" t="n">
        <x:v>-49900</x:v>
      </x:c>
      <x:c r="H31" s="6" t="n">
        <x:v>64300</x:v>
      </x:c>
    </x:row>
    <x:row r="32" ht="25" customHeight="1">
      <x:c r="A32" s="13" t="str">
        <x:v>累計／場内最悪値</x:v>
      </x:c>
      <x:c r="B32" s="13"/>
      <x:c r="C32" s="14" t="n">
        <x:f>SUM(C6:C31)</x:f>
        <x:v>489200</x:v>
      </x:c>
      <x:c r="D32" s="14" t="n">
        <x:f>SUM(D6:D31)</x:f>
        <x:v>1076000</x:v>
      </x:c>
      <x:c r="E32" s="14" t="n">
        <x:f>C32-D32</x:f>
        <x:v>-586800</x:v>
      </x:c>
      <x:c r="F32" s="14" t="n">
        <x:f>F31</x:f>
        <x:v>-586800</x:v>
      </x:c>
      <x:c r="G32" s="14" t="n">
        <x:f>MIN(G6:G31)</x:f>
        <x:v>-140900</x:v>
      </x:c>
      <x:c r="H32" s="14" t="n">
        <x:f>MAX(H6:H31)</x:f>
        <x:v>162500</x:v>
      </x:c>
    </x:row>
  </x:sheetData>
  <x:conditionalFormatting sqref="E6:F31">
    <x:cfRule type="cellIs" dxfId="6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bdc071e0e94ddf"/>
  </x:tableParts>
</x:worksheet>
</file>

<file path=xl/worksheets/sheet6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J05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新共通出口・最低10micro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-2000</x:v>
      </x:c>
      <x:c r="H8" s="6" t="n">
        <x:v>4000</x:v>
      </x:c>
    </x:row>
    <x:row r="9" ht="25" customHeight="1">
      <x:c r="A9" s="2" t="str">
        <x:v>2026-09-24_Day</x:v>
      </x:c>
      <x:c r="B9" s="2" t="str">
        <x:v>下落</x:v>
      </x:c>
      <x:c r="C9" s="6" t="n">
        <x:v>25800</x:v>
      </x:c>
      <x:c r="D9" s="6" t="n">
        <x:v>39200</x:v>
      </x:c>
      <x:c r="E9" s="6" t="n">
        <x:f>C9-D9</x:f>
        <x:v>-13400</x:v>
      </x:c>
      <x:c r="F9" s="6" t="n">
        <x:f>F8+E9</x:f>
        <x:v>-30400</x:v>
      </x:c>
      <x:c r="G9" s="6" t="n">
        <x:v>-43600</x:v>
      </x:c>
      <x:c r="H9" s="6" t="n">
        <x:v>54000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27000</x:v>
      </x:c>
      <x:c r="D10" s="6" t="n">
        <x:v>70400</x:v>
      </x:c>
      <x:c r="E10" s="6" t="n">
        <x:f>C10-D10</x:f>
        <x:v>-43400</x:v>
      </x:c>
      <x:c r="F10" s="6" t="n">
        <x:f>F9+E10</x:f>
        <x:v>-73800</x:v>
      </x:c>
      <x:c r="G10" s="6" t="n">
        <x:v>-43400</x:v>
      </x:c>
      <x:c r="H10" s="6" t="n">
        <x:v>82200</x:v>
      </x:c>
    </x:row>
    <x:row r="11" ht="25" customHeight="1">
      <x:c r="A11" s="2" t="str">
        <x:v>2026-09-28_Day</x:v>
      </x:c>
      <x:c r="B11" s="2" t="str">
        <x:v>下落</x:v>
      </x:c>
      <x:c r="C11" s="6" t="n">
        <x:v>5000</x:v>
      </x:c>
      <x:c r="D11" s="6" t="n">
        <x:v>69600</x:v>
      </x:c>
      <x:c r="E11" s="6" t="n">
        <x:f>C11-D11</x:f>
        <x:v>-64600</x:v>
      </x:c>
      <x:c r="F11" s="6" t="n">
        <x:f>F10+E11</x:f>
        <x:v>-138400</x:v>
      </x:c>
      <x:c r="G11" s="6" t="n">
        <x:v>-68600</x:v>
      </x:c>
      <x:c r="H11" s="6" t="n">
        <x:v>82700</x:v>
      </x:c>
    </x:row>
    <x:row r="12" ht="25" customHeight="1">
      <x:c r="A12" s="2" t="str">
        <x:v>2026-09-29_Day</x:v>
      </x:c>
      <x:c r="B12" s="2" t="str">
        <x:v>下落</x:v>
      </x:c>
      <x:c r="C12" s="6" t="n">
        <x:v>14600</x:v>
      </x:c>
      <x:c r="D12" s="6" t="n">
        <x:v>68900</x:v>
      </x:c>
      <x:c r="E12" s="6" t="n">
        <x:f>C12-D12</x:f>
        <x:v>-54300</x:v>
      </x:c>
      <x:c r="F12" s="6" t="n">
        <x:f>F11+E12</x:f>
        <x:v>-192700</x:v>
      </x:c>
      <x:c r="G12" s="6" t="n">
        <x:v>-63600</x:v>
      </x:c>
      <x:c r="H12" s="6" t="n">
        <x:v>76600</x:v>
      </x:c>
    </x:row>
    <x:row r="13" ht="25" customHeight="1">
      <x:c r="A13" s="2" t="str">
        <x:v>2026-09-30_Day</x:v>
      </x:c>
      <x:c r="B13" s="2" t="str">
        <x:v>上昇</x:v>
      </x:c>
      <x:c r="C13" s="6" t="n">
        <x:v>3500</x:v>
      </x:c>
      <x:c r="D13" s="6" t="n">
        <x:v>19200</x:v>
      </x:c>
      <x:c r="E13" s="6" t="n">
        <x:f>C13-D13</x:f>
        <x:v>-15700</x:v>
      </x:c>
      <x:c r="F13" s="6" t="n">
        <x:f>F12+E13</x:f>
        <x:v>-208400</x:v>
      </x:c>
      <x:c r="G13" s="6" t="n">
        <x:v>-22100</x:v>
      </x:c>
      <x:c r="H13" s="6" t="n">
        <x:v>28600</x:v>
      </x:c>
    </x:row>
    <x:row r="14" ht="25" customHeight="1">
      <x:c r="A14" s="2" t="str">
        <x:v>2026-10-01_Day</x:v>
      </x:c>
      <x:c r="B14" s="2" t="str">
        <x:v>上昇</x:v>
      </x:c>
      <x:c r="C14" s="6" t="n">
        <x:v>31000</x:v>
      </x:c>
      <x:c r="D14" s="6" t="n">
        <x:v>92300</x:v>
      </x:c>
      <x:c r="E14" s="6" t="n">
        <x:f>C14-D14</x:f>
        <x:v>-61300</x:v>
      </x:c>
      <x:c r="F14" s="6" t="n">
        <x:f>F13+E14</x:f>
        <x:v>-269700</x:v>
      </x:c>
      <x:c r="G14" s="6" t="n">
        <x:v>-69300</x:v>
      </x:c>
      <x:c r="H14" s="6" t="n">
        <x:v>85500</x:v>
      </x:c>
    </x:row>
    <x:row r="15" ht="25" customHeight="1">
      <x:c r="A15" s="2" t="str">
        <x:v>2026-10-02_Day</x:v>
      </x:c>
      <x:c r="B15" s="2" t="str">
        <x:v>上昇</x:v>
      </x:c>
      <x:c r="C15" s="6" t="n">
        <x:v>28400</x:v>
      </x:c>
      <x:c r="D15" s="6" t="n">
        <x:v>4200</x:v>
      </x:c>
      <x:c r="E15" s="6" t="n">
        <x:f>C15-D15</x:f>
        <x:v>24200</x:v>
      </x:c>
      <x:c r="F15" s="6" t="n">
        <x:f>F14+E15</x:f>
        <x:v>-245500</x:v>
      </x:c>
      <x:c r="G15" s="6" t="n">
        <x:v>-11200</x:v>
      </x:c>
      <x:c r="H15" s="6" t="n">
        <x:v>25200</x:v>
      </x:c>
    </x:row>
    <x:row r="16" ht="25" customHeight="1">
      <x:c r="A16" s="2" t="str">
        <x:v>2026-10-05_Day</x:v>
      </x:c>
      <x:c r="B16" s="2" t="str">
        <x:v>上昇</x:v>
      </x:c>
      <x:c r="C16" s="6" t="n">
        <x:v>32600</x:v>
      </x:c>
      <x:c r="D16" s="6" t="n">
        <x:v>29900</x:v>
      </x:c>
      <x:c r="E16" s="6" t="n">
        <x:f>C16-D16</x:f>
        <x:v>2700</x:v>
      </x:c>
      <x:c r="F16" s="6" t="n">
        <x:f>F15+E16</x:f>
        <x:v>-242800</x:v>
      </x:c>
      <x:c r="G16" s="6" t="n">
        <x:v>-17000</x:v>
      </x:c>
      <x:c r="H16" s="6" t="n">
        <x:v>38700</x:v>
      </x:c>
    </x:row>
    <x:row r="17" ht="25" customHeight="1">
      <x:c r="A17" s="2" t="str">
        <x:v>2026-10-06_Day</x:v>
      </x:c>
      <x:c r="B17" s="2" t="str">
        <x:v>上昇</x:v>
      </x:c>
      <x:c r="C17" s="6" t="n">
        <x:v>37800</x:v>
      </x:c>
      <x:c r="D17" s="6" t="n">
        <x:v>16000</x:v>
      </x:c>
      <x:c r="E17" s="6" t="n">
        <x:f>C17-D17</x:f>
        <x:v>21800</x:v>
      </x:c>
      <x:c r="F17" s="6" t="n">
        <x:f>F16+E17</x:f>
        <x:v>-221000</x:v>
      </x:c>
      <x:c r="G17" s="6" t="n">
        <x:v>-16300</x:v>
      </x:c>
      <x:c r="H17" s="6" t="n">
        <x:v>35800</x:v>
      </x:c>
    </x:row>
    <x:row r="18" ht="25" customHeight="1">
      <x:c r="A18" s="2" t="str">
        <x:v>2026-10-07_Day</x:v>
      </x:c>
      <x:c r="B18" s="2" t="str">
        <x:v>下落</x:v>
      </x:c>
      <x:c r="C18" s="6" t="n">
        <x:v>51700</x:v>
      </x:c>
      <x:c r="D18" s="6" t="n">
        <x:v>30200</x:v>
      </x:c>
      <x:c r="E18" s="6" t="n">
        <x:f>C18-D18</x:f>
        <x:v>21500</x:v>
      </x:c>
      <x:c r="F18" s="6" t="n">
        <x:f>F17+E18</x:f>
        <x:v>-199500</x:v>
      </x:c>
      <x:c r="G18" s="6" t="n">
        <x:v>-12900</x:v>
      </x:c>
      <x:c r="H18" s="6" t="n">
        <x:v>46500</x:v>
      </x:c>
    </x:row>
    <x:row r="19" ht="25" customHeight="1">
      <x:c r="A19" s="2" t="str">
        <x:v>2026-10-08_Day</x:v>
      </x:c>
      <x:c r="B19" s="2" t="str">
        <x:v>下落</x:v>
      </x:c>
      <x:c r="C19" s="6" t="n">
        <x:v>10200</x:v>
      </x:c>
      <x:c r="D19" s="6" t="n">
        <x:v>32800</x:v>
      </x:c>
      <x:c r="E19" s="6" t="n">
        <x:f>C19-D19</x:f>
        <x:v>-22600</x:v>
      </x:c>
      <x:c r="F19" s="6" t="n">
        <x:f>F18+E19</x:f>
        <x:v>-222100</x:v>
      </x:c>
      <x:c r="G19" s="6" t="n">
        <x:v>-28600</x:v>
      </x:c>
      <x:c r="H19" s="6" t="n">
        <x:v>30700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16400</x:v>
      </x:c>
      <x:c r="D20" s="6" t="n">
        <x:v>76000</x:v>
      </x:c>
      <x:c r="E20" s="6" t="n">
        <x:f>C20-D20</x:f>
        <x:v>-59600</x:v>
      </x:c>
      <x:c r="F20" s="6" t="n">
        <x:f>F19+E20</x:f>
        <x:v>-281700</x:v>
      </x:c>
      <x:c r="G20" s="6" t="n">
        <x:v>-64600</x:v>
      </x:c>
      <x:c r="H20" s="6" t="n">
        <x:v>76100</x:v>
      </x:c>
    </x:row>
    <x:row r="21" ht="25" customHeight="1">
      <x:c r="A21" s="2" t="str">
        <x:v>2026-10-12_Day</x:v>
      </x:c>
      <x:c r="B21" s="2" t="str">
        <x:v>下落</x:v>
      </x:c>
      <x:c r="C21" s="6" t="n">
        <x:v>9000</x:v>
      </x:c>
      <x:c r="D21" s="6" t="n">
        <x:v>5000</x:v>
      </x:c>
      <x:c r="E21" s="6" t="n">
        <x:f>C21-D21</x:f>
        <x:v>4000</x:v>
      </x:c>
      <x:c r="F21" s="6" t="n">
        <x:f>F20+E21</x:f>
        <x:v>-277700</x:v>
      </x:c>
      <x:c r="G21" s="6" t="n">
        <x:v>-7000</x:v>
      </x:c>
      <x:c r="H21" s="6" t="n">
        <x:v>11000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41200</x:v>
      </x:c>
      <x:c r="D22" s="6" t="n">
        <x:v>190100</x:v>
      </x:c>
      <x:c r="E22" s="6" t="n">
        <x:f>C22-D22</x:f>
        <x:v>-148900</x:v>
      </x:c>
      <x:c r="F22" s="6" t="n">
        <x:f>F21+E22</x:f>
        <x:v>-426600</x:v>
      </x:c>
      <x:c r="G22" s="6" t="n">
        <x:v>-149700</x:v>
      </x:c>
      <x:c r="H22" s="6" t="n">
        <x:v>171900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10900</x:v>
      </x:c>
      <x:c r="D23" s="6" t="n">
        <x:v>36800</x:v>
      </x:c>
      <x:c r="E23" s="6" t="n">
        <x:f>C23-D23</x:f>
        <x:v>-25900</x:v>
      </x:c>
      <x:c r="F23" s="6" t="n">
        <x:f>F22+E23</x:f>
        <x:v>-452500</x:v>
      </x:c>
      <x:c r="G23" s="6" t="n">
        <x:v>-37800</x:v>
      </x:c>
      <x:c r="H23" s="6" t="n">
        <x:v>37800</x:v>
      </x:c>
    </x:row>
    <x:row r="24" ht="25" customHeight="1">
      <x:c r="A24" s="2" t="str">
        <x:v>2026-10-15_Day</x:v>
      </x:c>
      <x:c r="B24" s="2" t="str">
        <x:v>下落</x:v>
      </x:c>
      <x:c r="C24" s="6" t="n">
        <x:v>15900</x:v>
      </x:c>
      <x:c r="D24" s="6" t="n">
        <x:v>64600</x:v>
      </x:c>
      <x:c r="E24" s="6" t="n">
        <x:f>C24-D24</x:f>
        <x:v>-48700</x:v>
      </x:c>
      <x:c r="F24" s="6" t="n">
        <x:f>F23+E24</x:f>
        <x:v>-501200</x:v>
      </x:c>
      <x:c r="G24" s="6" t="n">
        <x:v>-56200</x:v>
      </x:c>
      <x:c r="H24" s="6" t="n">
        <x:v>56200</x:v>
      </x:c>
    </x:row>
    <x:row r="25" ht="25" customHeight="1">
      <x:c r="A25" s="2" t="str">
        <x:v>2026-10-16_Day</x:v>
      </x:c>
      <x:c r="B25" s="2" t="str">
        <x:v>上昇</x:v>
      </x:c>
      <x:c r="C25" s="6" t="n">
        <x:v>76500</x:v>
      </x:c>
      <x:c r="D25" s="6" t="n">
        <x:v>127900</x:v>
      </x:c>
      <x:c r="E25" s="6" t="n">
        <x:f>C25-D25</x:f>
        <x:v>-51400</x:v>
      </x:c>
      <x:c r="F25" s="6" t="n">
        <x:f>F24+E25</x:f>
        <x:v>-552600</x:v>
      </x:c>
      <x:c r="G25" s="6" t="n">
        <x:v>-79800</x:v>
      </x:c>
      <x:c r="H25" s="6" t="n">
        <x:v>97200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106600</x:v>
      </x:c>
      <x:c r="D26" s="6" t="n">
        <x:v>0</x:v>
      </x:c>
      <x:c r="E26" s="6" t="n">
        <x:f>C26-D26</x:f>
        <x:v>106600</x:v>
      </x:c>
      <x:c r="F26" s="6" t="n">
        <x:f>F25+E26</x:f>
        <x:v>-446000</x:v>
      </x:c>
      <x:c r="G26" s="6" t="n">
        <x:v>-20800</x:v>
      </x:c>
      <x:c r="H26" s="6" t="n">
        <x:v>62800</x:v>
      </x:c>
    </x:row>
    <x:row r="27" ht="25" customHeight="1">
      <x:c r="A27" s="2" t="str">
        <x:v>2026-10-20_Day</x:v>
      </x:c>
      <x:c r="B27" s="2" t="str">
        <x:v>下落</x:v>
      </x:c>
      <x:c r="C27" s="6" t="n">
        <x:v>11700</x:v>
      </x:c>
      <x:c r="D27" s="6" t="n">
        <x:v>29600</x:v>
      </x:c>
      <x:c r="E27" s="6" t="n">
        <x:f>C27-D27</x:f>
        <x:v>-17900</x:v>
      </x:c>
      <x:c r="F27" s="6" t="n">
        <x:f>F26+E27</x:f>
        <x:v>-463900</x:v>
      </x:c>
      <x:c r="G27" s="6" t="n">
        <x:v>-17900</x:v>
      </x:c>
      <x:c r="H27" s="6" t="n">
        <x:v>33900</x:v>
      </x:c>
    </x:row>
    <x:row r="28" ht="25" customHeight="1">
      <x:c r="A28" s="2" t="str">
        <x:v>2026-10-21_Day</x:v>
      </x:c>
      <x:c r="B28" s="2" t="str">
        <x:v>下落</x:v>
      </x:c>
      <x:c r="C28" s="6" t="n">
        <x:v>15300</x:v>
      </x:c>
      <x:c r="D28" s="6" t="n">
        <x:v>101000</x:v>
      </x:c>
      <x:c r="E28" s="6" t="n">
        <x:f>C28-D28</x:f>
        <x:v>-85700</x:v>
      </x:c>
      <x:c r="F28" s="6" t="n">
        <x:f>F27+E28</x:f>
        <x:v>-549600</x:v>
      </x:c>
      <x:c r="G28" s="6" t="n">
        <x:v>-97500</x:v>
      </x:c>
      <x:c r="H28" s="6" t="n">
        <x:v>98600</x:v>
      </x:c>
    </x:row>
    <x:row r="29" ht="25" customHeight="1">
      <x:c r="A29" s="2" t="str">
        <x:v>2026-10-22_Day</x:v>
      </x:c>
      <x:c r="B29" s="2" t="str">
        <x:v>下落</x:v>
      </x:c>
      <x:c r="C29" s="6" t="n">
        <x:v>14000</x:v>
      </x:c>
      <x:c r="D29" s="6" t="n">
        <x:v>0</x:v>
      </x:c>
      <x:c r="E29" s="6" t="n">
        <x:f>C29-D29</x:f>
        <x:v>14000</x:v>
      </x:c>
      <x:c r="F29" s="6" t="n">
        <x:f>F28+E29</x:f>
        <x:v>-535600</x:v>
      </x:c>
      <x:c r="G29" s="6" t="n">
        <x:v>-3000</x:v>
      </x:c>
      <x:c r="H29" s="6" t="n">
        <x:v>13200</x:v>
      </x:c>
    </x:row>
    <x:row r="30" ht="25" customHeight="1">
      <x:c r="A30" s="2" t="str">
        <x:v>2026-10-23_Day</x:v>
      </x:c>
      <x:c r="B30" s="2" t="str">
        <x:v>上昇</x:v>
      </x:c>
      <x:c r="C30" s="6" t="n">
        <x:v>49800</x:v>
      </x:c>
      <x:c r="D30" s="6" t="n">
        <x:v>95900</x:v>
      </x:c>
      <x:c r="E30" s="6" t="n">
        <x:f>C30-D30</x:f>
        <x:v>-46100</x:v>
      </x:c>
      <x:c r="F30" s="6" t="n">
        <x:f>F29+E30</x:f>
        <x:v>-581700</x:v>
      </x:c>
      <x:c r="G30" s="6" t="n">
        <x:v>-74100</x:v>
      </x:c>
      <x:c r="H30" s="6" t="n">
        <x:v>108300</x:v>
      </x:c>
    </x:row>
    <x:row r="31" ht="25" customHeight="1">
      <x:c r="A31" s="2" t="str">
        <x:v>2026-10-26_Day</x:v>
      </x:c>
      <x:c r="B31" s="2" t="str">
        <x:v>下落</x:v>
      </x:c>
      <x:c r="C31" s="6" t="n">
        <x:v>1000</x:v>
      </x:c>
      <x:c r="D31" s="6" t="n">
        <x:v>60000</x:v>
      </x:c>
      <x:c r="E31" s="6" t="n">
        <x:f>C31-D31</x:f>
        <x:v>-59000</x:v>
      </x:c>
      <x:c r="F31" s="6" t="n">
        <x:f>F30+E31</x:f>
        <x:v>-640700</x:v>
      </x:c>
      <x:c r="G31" s="6" t="n">
        <x:v>-59000</x:v>
      </x:c>
      <x:c r="H31" s="6" t="n">
        <x:v>70600</x:v>
      </x:c>
    </x:row>
    <x:row r="32" ht="25" customHeight="1">
      <x:c r="A32" s="13" t="str">
        <x:v>累計／場内最悪値</x:v>
      </x:c>
      <x:c r="B32" s="13"/>
      <x:c r="C32" s="14" t="n">
        <x:f>SUM(C6:C31)</x:f>
        <x:v>640900</x:v>
      </x:c>
      <x:c r="D32" s="14" t="n">
        <x:f>SUM(D6:D31)</x:f>
        <x:v>1281600</x:v>
      </x:c>
      <x:c r="E32" s="14" t="n">
        <x:f>C32-D32</x:f>
        <x:v>-640700</x:v>
      </x:c>
      <x:c r="F32" s="14" t="n">
        <x:f>F31</x:f>
        <x:v>-640700</x:v>
      </x:c>
      <x:c r="G32" s="14" t="n">
        <x:f>MIN(G6:G31)</x:f>
        <x:v>-149700</x:v>
      </x:c>
      <x:c r="H32" s="14" t="n">
        <x:f>MAX(H6:H31)</x:f>
        <x:v>171900</x:v>
      </x:c>
    </x:row>
  </x:sheetData>
  <x:conditionalFormatting sqref="E6:F31">
    <x:cfRule type="cellIs" dxfId="6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a6ef71f9ea41ae"/>
  </x:tableParts>
</x:worksheet>
</file>

<file path=xl/worksheets/sheet6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J06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新共通出口・最低20micro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10000</x:v>
      </x:c>
      <x:c r="D6" s="6" t="n">
        <x:v>16000</x:v>
      </x:c>
      <x:c r="E6" s="6" t="n">
        <x:f>C6-D6</x:f>
        <x:v>-6000</x:v>
      </x:c>
      <x:c r="F6" s="6" t="n">
        <x:f>E6</x:f>
        <x:v>-6000</x:v>
      </x:c>
      <x:c r="G6" s="6" t="n">
        <x:v>-20000</x:v>
      </x:c>
      <x:c r="H6" s="6" t="n">
        <x:v>22000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28000</x:v>
      </x:c>
      <x:c r="E7" s="6" t="n">
        <x:f>C7-D7</x:f>
        <x:v>-28000</x:v>
      </x:c>
      <x:c r="F7" s="6" t="n">
        <x:f>F6+E7</x:f>
        <x:v>-34000</x:v>
      </x:c>
      <x:c r="G7" s="6" t="n">
        <x:v>-28000</x:v>
      </x:c>
      <x:c r="H7" s="6" t="n">
        <x:v>32000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-34000</x:v>
      </x:c>
      <x:c r="G8" s="6" t="n">
        <x:v>-4000</x:v>
      </x:c>
      <x:c r="H8" s="6" t="n">
        <x:v>8000</x:v>
      </x:c>
    </x:row>
    <x:row r="9" ht="25" customHeight="1">
      <x:c r="A9" s="2" t="str">
        <x:v>2026-09-24_Day</x:v>
      </x:c>
      <x:c r="B9" s="2" t="str">
        <x:v>下落</x:v>
      </x:c>
      <x:c r="C9" s="6" t="n">
        <x:v>39800</x:v>
      </x:c>
      <x:c r="D9" s="6" t="n">
        <x:v>44000</x:v>
      </x:c>
      <x:c r="E9" s="6" t="n">
        <x:f>C9-D9</x:f>
        <x:v>-4200</x:v>
      </x:c>
      <x:c r="F9" s="6" t="n">
        <x:f>F8+E9</x:f>
        <x:v>-38200</x:v>
      </x:c>
      <x:c r="G9" s="6" t="n">
        <x:v>-54600</x:v>
      </x:c>
      <x:c r="H9" s="6" t="n">
        <x:v>68200</x:v>
      </x:c>
    </x:row>
    <x:row r="10" ht="25" customHeight="1">
      <x:c r="A10" s="2" t="str">
        <x:v>2026-09-25_Day</x:v>
      </x:c>
      <x:c r="B10" s="2" t="str">
        <x:v>上昇</x:v>
      </x:c>
      <x:c r="C10" s="6" t="n">
        <x:v>54000</x:v>
      </x:c>
      <x:c r="D10" s="6" t="n">
        <x:v>80000</x:v>
      </x:c>
      <x:c r="E10" s="6" t="n">
        <x:f>C10-D10</x:f>
        <x:v>-26000</x:v>
      </x:c>
      <x:c r="F10" s="6" t="n">
        <x:f>F9+E10</x:f>
        <x:v>-64200</x:v>
      </x:c>
      <x:c r="G10" s="6" t="n">
        <x:v>-26000</x:v>
      </x:c>
      <x:c r="H10" s="6" t="n">
        <x:v>96000</x:v>
      </x:c>
    </x:row>
    <x:row r="11" ht="25" customHeight="1">
      <x:c r="A11" s="2" t="str">
        <x:v>2026-09-28_Day</x:v>
      </x:c>
      <x:c r="B11" s="2" t="str">
        <x:v>下落</x:v>
      </x:c>
      <x:c r="C11" s="6" t="n">
        <x:v>10000</x:v>
      </x:c>
      <x:c r="D11" s="6" t="n">
        <x:v>106400</x:v>
      </x:c>
      <x:c r="E11" s="6" t="n">
        <x:f>C11-D11</x:f>
        <x:v>-96400</x:v>
      </x:c>
      <x:c r="F11" s="6" t="n">
        <x:f>F10+E11</x:f>
        <x:v>-160600</x:v>
      </x:c>
      <x:c r="G11" s="6" t="n">
        <x:v>-104400</x:v>
      </x:c>
      <x:c r="H11" s="6" t="n">
        <x:v>120300</x:v>
      </x:c>
    </x:row>
    <x:row r="12" ht="25" customHeight="1">
      <x:c r="A12" s="2" t="str">
        <x:v>2026-09-29_Day</x:v>
      </x:c>
      <x:c r="B12" s="2" t="str">
        <x:v>下落</x:v>
      </x:c>
      <x:c r="C12" s="6" t="n">
        <x:v>21900</x:v>
      </x:c>
      <x:c r="D12" s="6" t="n">
        <x:v>81300</x:v>
      </x:c>
      <x:c r="E12" s="6" t="n">
        <x:f>C12-D12</x:f>
        <x:v>-59400</x:v>
      </x:c>
      <x:c r="F12" s="6" t="n">
        <x:f>F11+E12</x:f>
        <x:v>-220000</x:v>
      </x:c>
      <x:c r="G12" s="6" t="n">
        <x:v>-67600</x:v>
      </x:c>
      <x:c r="H12" s="6" t="n">
        <x:v>84600</x:v>
      </x:c>
    </x:row>
    <x:row r="13" ht="25" customHeight="1">
      <x:c r="A13" s="2" t="str">
        <x:v>2026-09-30_Day</x:v>
      </x:c>
      <x:c r="B13" s="2" t="str">
        <x:v>上昇</x:v>
      </x:c>
      <x:c r="C13" s="6" t="n">
        <x:v>7000</x:v>
      </x:c>
      <x:c r="D13" s="6" t="n">
        <x:v>35200</x:v>
      </x:c>
      <x:c r="E13" s="6" t="n">
        <x:f>C13-D13</x:f>
        <x:v>-28200</x:v>
      </x:c>
      <x:c r="F13" s="6" t="n">
        <x:f>F12+E13</x:f>
        <x:v>-248200</x:v>
      </x:c>
      <x:c r="G13" s="6" t="n">
        <x:v>-38200</x:v>
      </x:c>
      <x:c r="H13" s="6" t="n">
        <x:v>51200</x:v>
      </x:c>
    </x:row>
    <x:row r="14" ht="25" customHeight="1">
      <x:c r="A14" s="2" t="str">
        <x:v>2026-10-01_Day</x:v>
      </x:c>
      <x:c r="B14" s="2" t="str">
        <x:v>上昇</x:v>
      </x:c>
      <x:c r="C14" s="6" t="n">
        <x:v>46400</x:v>
      </x:c>
      <x:c r="D14" s="6" t="n">
        <x:v>107300</x:v>
      </x:c>
      <x:c r="E14" s="6" t="n">
        <x:f>C14-D14</x:f>
        <x:v>-60900</x:v>
      </x:c>
      <x:c r="F14" s="6" t="n">
        <x:f>F13+E14</x:f>
        <x:v>-309100</x:v>
      </x:c>
      <x:c r="G14" s="6" t="n">
        <x:v>-71500</x:v>
      </x:c>
      <x:c r="H14" s="6" t="n">
        <x:v>88100</x:v>
      </x:c>
    </x:row>
    <x:row r="15" ht="25" customHeight="1">
      <x:c r="A15" s="2" t="str">
        <x:v>2026-10-02_Day</x:v>
      </x:c>
      <x:c r="B15" s="2" t="str">
        <x:v>上昇</x:v>
      </x:c>
      <x:c r="C15" s="6" t="n">
        <x:v>42100</x:v>
      </x:c>
      <x:c r="D15" s="6" t="n">
        <x:v>6500</x:v>
      </x:c>
      <x:c r="E15" s="6" t="n">
        <x:f>C15-D15</x:f>
        <x:v>35600</x:v>
      </x:c>
      <x:c r="F15" s="6" t="n">
        <x:f>F14+E15</x:f>
        <x:v>-273500</x:v>
      </x:c>
      <x:c r="G15" s="6" t="n">
        <x:v>-17500</x:v>
      </x:c>
      <x:c r="H15" s="6" t="n">
        <x:v>32400</x:v>
      </x:c>
    </x:row>
    <x:row r="16" ht="25" customHeight="1">
      <x:c r="A16" s="2" t="str">
        <x:v>2026-10-05_Day</x:v>
      </x:c>
      <x:c r="B16" s="2" t="str">
        <x:v>上昇</x:v>
      </x:c>
      <x:c r="C16" s="6" t="n">
        <x:v>51300</x:v>
      </x:c>
      <x:c r="D16" s="6" t="n">
        <x:v>50700</x:v>
      </x:c>
      <x:c r="E16" s="6" t="n">
        <x:f>C16-D16</x:f>
        <x:v>600</x:v>
      </x:c>
      <x:c r="F16" s="6" t="n">
        <x:f>F15+E16</x:f>
        <x:v>-272900</x:v>
      </x:c>
      <x:c r="G16" s="6" t="n">
        <x:v>-27400</x:v>
      </x:c>
      <x:c r="H16" s="6" t="n">
        <x:v>60500</x:v>
      </x:c>
    </x:row>
    <x:row r="17" ht="25" customHeight="1">
      <x:c r="A17" s="2" t="str">
        <x:v>2026-10-06_Day</x:v>
      </x:c>
      <x:c r="B17" s="2" t="str">
        <x:v>上昇</x:v>
      </x:c>
      <x:c r="C17" s="6" t="n">
        <x:v>56000</x:v>
      </x:c>
      <x:c r="D17" s="6" t="n">
        <x:v>32000</x:v>
      </x:c>
      <x:c r="E17" s="6" t="n">
        <x:f>C17-D17</x:f>
        <x:v>24000</x:v>
      </x:c>
      <x:c r="F17" s="6" t="n">
        <x:f>F16+E17</x:f>
        <x:v>-248900</x:v>
      </x:c>
      <x:c r="G17" s="6" t="n">
        <x:v>-19700</x:v>
      </x:c>
      <x:c r="H17" s="6" t="n">
        <x:v>44700</x:v>
      </x:c>
    </x:row>
    <x:row r="18" ht="25" customHeight="1">
      <x:c r="A18" s="2" t="str">
        <x:v>2026-10-07_Day</x:v>
      </x:c>
      <x:c r="B18" s="2" t="str">
        <x:v>下落</x:v>
      </x:c>
      <x:c r="C18" s="6" t="n">
        <x:v>71300</x:v>
      </x:c>
      <x:c r="D18" s="6" t="n">
        <x:v>41600</x:v>
      </x:c>
      <x:c r="E18" s="6" t="n">
        <x:f>C18-D18</x:f>
        <x:v>29700</x:v>
      </x:c>
      <x:c r="F18" s="6" t="n">
        <x:f>F17+E18</x:f>
        <x:v>-219200</x:v>
      </x:c>
      <x:c r="G18" s="6" t="n">
        <x:v>-14700</x:v>
      </x:c>
      <x:c r="H18" s="6" t="n">
        <x:v>62700</x:v>
      </x:c>
    </x:row>
    <x:row r="19" ht="25" customHeight="1">
      <x:c r="A19" s="2" t="str">
        <x:v>2026-10-08_Day</x:v>
      </x:c>
      <x:c r="B19" s="2" t="str">
        <x:v>下落</x:v>
      </x:c>
      <x:c r="C19" s="6" t="n">
        <x:v>18000</x:v>
      </x:c>
      <x:c r="D19" s="6" t="n">
        <x:v>51200</x:v>
      </x:c>
      <x:c r="E19" s="6" t="n">
        <x:f>C19-D19</x:f>
        <x:v>-33200</x:v>
      </x:c>
      <x:c r="F19" s="6" t="n">
        <x:f>F18+E19</x:f>
        <x:v>-252400</x:v>
      </x:c>
      <x:c r="G19" s="6" t="n">
        <x:v>-45200</x:v>
      </x:c>
      <x:c r="H19" s="6" t="n">
        <x:v>48200</x:v>
      </x:c>
    </x:row>
    <x:row r="20" ht="25" customHeight="1">
      <x:c r="A20" s="2" t="str">
        <x:v>2026-10-09_Day</x:v>
      </x:c>
      <x:c r="B20" s="2" t="str">
        <x:v>上昇</x:v>
      </x:c>
      <x:c r="C20" s="6" t="n">
        <x:v>31900</x:v>
      </x:c>
      <x:c r="D20" s="6" t="n">
        <x:v>93600</x:v>
      </x:c>
      <x:c r="E20" s="6" t="n">
        <x:f>C20-D20</x:f>
        <x:v>-61700</x:v>
      </x:c>
      <x:c r="F20" s="6" t="n">
        <x:f>F19+E20</x:f>
        <x:v>-314100</x:v>
      </x:c>
      <x:c r="G20" s="6" t="n">
        <x:v>-71700</x:v>
      </x:c>
      <x:c r="H20" s="6" t="n">
        <x:v>94700</x:v>
      </x:c>
    </x:row>
    <x:row r="21" ht="25" customHeight="1">
      <x:c r="A21" s="2" t="str">
        <x:v>2026-10-12_Day</x:v>
      </x:c>
      <x:c r="B21" s="2" t="str">
        <x:v>下落</x:v>
      </x:c>
      <x:c r="C21" s="6" t="n">
        <x:v>18000</x:v>
      </x:c>
      <x:c r="D21" s="6" t="n">
        <x:v>10000</x:v>
      </x:c>
      <x:c r="E21" s="6" t="n">
        <x:f>C21-D21</x:f>
        <x:v>8000</x:v>
      </x:c>
      <x:c r="F21" s="6" t="n">
        <x:f>F20+E21</x:f>
        <x:v>-306100</x:v>
      </x:c>
      <x:c r="G21" s="6" t="n">
        <x:v>-14000</x:v>
      </x:c>
      <x:c r="H21" s="6" t="n">
        <x:v>22000</x:v>
      </x:c>
    </x:row>
    <x:row r="22" ht="25" customHeight="1">
      <x:c r="A22" s="2" t="str">
        <x:v>2026-10-13_Day</x:v>
      </x:c>
      <x:c r="B22" s="2" t="str">
        <x:v>下落</x:v>
      </x:c>
      <x:c r="C22" s="6" t="n">
        <x:v>59500</x:v>
      </x:c>
      <x:c r="D22" s="6" t="n">
        <x:v>225800</x:v>
      </x:c>
      <x:c r="E22" s="6" t="n">
        <x:f>C22-D22</x:f>
        <x:v>-166300</x:v>
      </x:c>
      <x:c r="F22" s="6" t="n">
        <x:f>F21+E22</x:f>
        <x:v>-472400</x:v>
      </x:c>
      <x:c r="G22" s="6" t="n">
        <x:v>-166300</x:v>
      </x:c>
      <x:c r="H22" s="6" t="n">
        <x:v>189400</x:v>
      </x:c>
    </x:row>
    <x:row r="23" ht="25" customHeight="1">
      <x:c r="A23" s="2" t="str">
        <x:v>2026-10-14_Day</x:v>
      </x:c>
      <x:c r="B23" s="2" t="str">
        <x:v>上昇</x:v>
      </x:c>
      <x:c r="C23" s="6" t="n">
        <x:v>20900</x:v>
      </x:c>
      <x:c r="D23" s="6" t="n">
        <x:v>41600</x:v>
      </x:c>
      <x:c r="E23" s="6" t="n">
        <x:f>C23-D23</x:f>
        <x:v>-20700</x:v>
      </x:c>
      <x:c r="F23" s="6" t="n">
        <x:f>F22+E23</x:f>
        <x:v>-493100</x:v>
      </x:c>
      <x:c r="G23" s="6" t="n">
        <x:v>-43600</x:v>
      </x:c>
      <x:c r="H23" s="6" t="n">
        <x:v>43600</x:v>
      </x:c>
    </x:row>
    <x:row r="24" ht="25" customHeight="1">
      <x:c r="A24" s="2" t="str">
        <x:v>2026-10-15_Day</x:v>
      </x:c>
      <x:c r="B24" s="2" t="str">
        <x:v>下落</x:v>
      </x:c>
      <x:c r="C24" s="6" t="n">
        <x:v>17400</x:v>
      </x:c>
      <x:c r="D24" s="6" t="n">
        <x:v>82800</x:v>
      </x:c>
      <x:c r="E24" s="6" t="n">
        <x:f>C24-D24</x:f>
        <x:v>-65400</x:v>
      </x:c>
      <x:c r="F24" s="6" t="n">
        <x:f>F23+E24</x:f>
        <x:v>-558500</x:v>
      </x:c>
      <x:c r="G24" s="6" t="n">
        <x:v>-70800</x:v>
      </x:c>
      <x:c r="H24" s="6" t="n">
        <x:v>70800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113900</x:v>
      </x:c>
      <x:c r="D25" s="6" t="n">
        <x:v>157900</x:v>
      </x:c>
      <x:c r="E25" s="6" t="n">
        <x:f>C25-D25</x:f>
        <x:v>-44000</x:v>
      </x:c>
      <x:c r="F25" s="6" t="n">
        <x:f>F24+E25</x:f>
        <x:v>-602500</x:v>
      </x:c>
      <x:c r="G25" s="6" t="n">
        <x:v>-98000</x:v>
      </x:c>
      <x:c r="H25" s="6" t="n">
        <x:v>116600</x:v>
      </x:c>
    </x:row>
    <x:row r="26" ht="25" customHeight="1">
      <x:c r="A26" s="2" t="str">
        <x:v>2026-10-19_Day</x:v>
      </x:c>
      <x:c r="B26" s="2" t="str">
        <x:v>上昇</x:v>
      </x:c>
      <x:c r="C26" s="6" t="n">
        <x:v>111900</x:v>
      </x:c>
      <x:c r="D26" s="6" t="n">
        <x:v>0</x:v>
      </x:c>
      <x:c r="E26" s="6" t="n">
        <x:f>C26-D26</x:f>
        <x:v>111900</x:v>
      </x:c>
      <x:c r="F26" s="6" t="n">
        <x:f>F25+E26</x:f>
        <x:v>-490600</x:v>
      </x:c>
      <x:c r="G26" s="6" t="n">
        <x:v>-22800</x:v>
      </x:c>
      <x:c r="H26" s="6" t="n">
        <x:v>64800</x:v>
      </x:c>
    </x:row>
    <x:row r="27" ht="25" customHeight="1">
      <x:c r="A27" s="2" t="str">
        <x:v>2026-10-20_Day</x:v>
      </x:c>
      <x:c r="B27" s="2" t="str">
        <x:v>下落</x:v>
      </x:c>
      <x:c r="C27" s="6" t="n">
        <x:v>20400</x:v>
      </x:c>
      <x:c r="D27" s="6" t="n">
        <x:v>52800</x:v>
      </x:c>
      <x:c r="E27" s="6" t="n">
        <x:f>C27-D27</x:f>
        <x:v>-32400</x:v>
      </x:c>
      <x:c r="F27" s="6" t="n">
        <x:f>F26+E27</x:f>
        <x:v>-523000</x:v>
      </x:c>
      <x:c r="G27" s="6" t="n">
        <x:v>-32400</x:v>
      </x:c>
      <x:c r="H27" s="6" t="n">
        <x:v>49400</x:v>
      </x:c>
    </x:row>
    <x:row r="28" ht="25" customHeight="1">
      <x:c r="A28" s="2" t="str">
        <x:v>2026-10-21_Day</x:v>
      </x:c>
      <x:c r="B28" s="2" t="str">
        <x:v>下落</x:v>
      </x:c>
      <x:c r="C28" s="6" t="n">
        <x:v>22700</x:v>
      </x:c>
      <x:c r="D28" s="6" t="n">
        <x:v>138800</x:v>
      </x:c>
      <x:c r="E28" s="6" t="n">
        <x:f>C28-D28</x:f>
        <x:v>-116100</x:v>
      </x:c>
      <x:c r="F28" s="6" t="n">
        <x:f>F27+E28</x:f>
        <x:v>-639100</x:v>
      </x:c>
      <x:c r="G28" s="6" t="n">
        <x:v>-136900</x:v>
      </x:c>
      <x:c r="H28" s="6" t="n">
        <x:v>136900</x:v>
      </x:c>
    </x:row>
    <x:row r="29" ht="25" customHeight="1">
      <x:c r="A29" s="2" t="str">
        <x:v>2026-10-22_Day</x:v>
      </x:c>
      <x:c r="B29" s="2" t="str">
        <x:v>下落</x:v>
      </x:c>
      <x:c r="C29" s="6" t="n">
        <x:v>28000</x:v>
      </x:c>
      <x:c r="D29" s="6" t="n">
        <x:v>0</x:v>
      </x:c>
      <x:c r="E29" s="6" t="n">
        <x:f>C29-D29</x:f>
        <x:v>28000</x:v>
      </x:c>
      <x:c r="F29" s="6" t="n">
        <x:f>F28+E29</x:f>
        <x:v>-611100</x:v>
      </x:c>
      <x:c r="G29" s="6" t="n">
        <x:v>-6000</x:v>
      </x:c>
      <x:c r="H29" s="6" t="n">
        <x:v>16000</x:v>
      </x:c>
    </x:row>
    <x:row r="30" ht="25" customHeight="1">
      <x:c r="A30" s="2" t="str">
        <x:v>2026-10-23_Day</x:v>
      </x:c>
      <x:c r="B30" s="2" t="str">
        <x:v>上昇</x:v>
      </x:c>
      <x:c r="C30" s="6" t="n">
        <x:v>73100</x:v>
      </x:c>
      <x:c r="D30" s="6" t="n">
        <x:v>122200</x:v>
      </x:c>
      <x:c r="E30" s="6" t="n">
        <x:f>C30-D30</x:f>
        <x:v>-49100</x:v>
      </x:c>
      <x:c r="F30" s="6" t="n">
        <x:f>F29+E30</x:f>
        <x:v>-660200</x:v>
      </x:c>
      <x:c r="G30" s="6" t="n">
        <x:v>-79600</x:v>
      </x:c>
      <x:c r="H30" s="6" t="n">
        <x:v>126000</x:v>
      </x:c>
    </x:row>
    <x:row r="31" ht="25" customHeight="1">
      <x:c r="A31" s="2" t="str">
        <x:v>2026-10-26_Day</x:v>
      </x:c>
      <x:c r="B31" s="2" t="str">
        <x:v>下落</x:v>
      </x:c>
      <x:c r="C31" s="6" t="n">
        <x:v>2000</x:v>
      </x:c>
      <x:c r="D31" s="6" t="n">
        <x:v>80800</x:v>
      </x:c>
      <x:c r="E31" s="6" t="n">
        <x:f>C31-D31</x:f>
        <x:v>-78800</x:v>
      </x:c>
      <x:c r="F31" s="6" t="n">
        <x:f>F30+E31</x:f>
        <x:v>-739000</x:v>
      </x:c>
      <x:c r="G31" s="6" t="n">
        <x:v>-78800</x:v>
      </x:c>
      <x:c r="H31" s="6" t="n">
        <x:v>86000</x:v>
      </x:c>
    </x:row>
    <x:row r="32" ht="25" customHeight="1">
      <x:c r="A32" s="13" t="str">
        <x:v>累計／場内最悪値</x:v>
      </x:c>
      <x:c r="B32" s="13"/>
      <x:c r="C32" s="14" t="n">
        <x:f>SUM(C6:C31)</x:f>
        <x:v>947500</x:v>
      </x:c>
      <x:c r="D32" s="14" t="n">
        <x:f>SUM(D6:D31)</x:f>
        <x:v>1686500</x:v>
      </x:c>
      <x:c r="E32" s="14" t="n">
        <x:f>C32-D32</x:f>
        <x:v>-739000</x:v>
      </x:c>
      <x:c r="F32" s="14" t="n">
        <x:f>F31</x:f>
        <x:v>-739000</x:v>
      </x:c>
      <x:c r="G32" s="14" t="n">
        <x:f>MIN(G6:G31)</x:f>
        <x:v>-166300</x:v>
      </x:c>
      <x:c r="H32" s="14" t="n">
        <x:f>MAX(H6:H31)</x:f>
        <x:v>189400</x:v>
      </x:c>
    </x:row>
  </x:sheetData>
  <x:conditionalFormatting sqref="E6:F31">
    <x:cfRule type="cellIs" dxfId="6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0561928cbc4882"/>
  </x:tableParts>
</x:worksheet>
</file>

<file path=xl/worksheets/sheet6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J07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最低10＋順行40追加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46000</x:v>
      </x:c>
      <x:c r="D9" s="6" t="n">
        <x:v>105600</x:v>
      </x:c>
      <x:c r="E9" s="6" t="n">
        <x:f>C9-D9</x:f>
        <x:v>-59600</x:v>
      </x:c>
      <x:c r="F9" s="6" t="n">
        <x:f>F8+E9</x:f>
        <x:v>-76600</x:v>
      </x:c>
      <x:c r="G9" s="6" t="n">
        <x:v>-115000</x:v>
      </x:c>
      <x:c r="H9" s="6" t="n">
        <x:v>125400</x:v>
      </x:c>
    </x:row>
    <x:row r="10" ht="25" customHeight="1">
      <x:c r="A10" s="2" t="str">
        <x:v>2026-09-25_Day</x:v>
      </x:c>
      <x:c r="B10" s="2" t="str">
        <x:v>上昇</x:v>
      </x:c>
      <x:c r="C10" s="6" t="n">
        <x:v>155500</x:v>
      </x:c>
      <x:c r="D10" s="6" t="n">
        <x:v>92000</x:v>
      </x:c>
      <x:c r="E10" s="6" t="n">
        <x:f>C10-D10</x:f>
        <x:v>63500</x:v>
      </x:c>
      <x:c r="F10" s="6" t="n">
        <x:f>F9+E10</x:f>
        <x:v>-13100</x:v>
      </x:c>
      <x:c r="G10" s="6" t="n">
        <x:v>-11800</x:v>
      </x:c>
      <x:c r="H10" s="6" t="n">
        <x:v>80600</x:v>
      </x:c>
    </x:row>
    <x:row r="11" ht="25" customHeight="1">
      <x:c r="A11" s="2" t="str">
        <x:v>2026-09-28_Day</x:v>
      </x:c>
      <x:c r="B11" s="2" t="str">
        <x:v>下落</x:v>
      </x:c>
      <x:c r="C11" s="6" t="n">
        <x:v>5000</x:v>
      </x:c>
      <x:c r="D11" s="6" t="n">
        <x:v>91200</x:v>
      </x:c>
      <x:c r="E11" s="6" t="n">
        <x:f>C11-D11</x:f>
        <x:v>-86200</x:v>
      </x:c>
      <x:c r="F11" s="6" t="n">
        <x:f>F10+E11</x:f>
        <x:v>-99300</x:v>
      </x:c>
      <x:c r="G11" s="6" t="n">
        <x:v>-86200</x:v>
      </x:c>
      <x:c r="H11" s="6" t="n">
        <x:v>100300</x:v>
      </x:c>
    </x:row>
    <x:row r="12" ht="25" customHeight="1">
      <x:c r="A12" s="2" t="str">
        <x:v>2026-09-29_Day</x:v>
      </x:c>
      <x:c r="B12" s="2" t="str">
        <x:v>下落</x:v>
      </x:c>
      <x:c r="C12" s="6" t="n">
        <x:v>6600</x:v>
      </x:c>
      <x:c r="D12" s="6" t="n">
        <x:v>164000</x:v>
      </x:c>
      <x:c r="E12" s="6" t="n">
        <x:f>C12-D12</x:f>
        <x:v>-157400</x:v>
      </x:c>
      <x:c r="F12" s="6" t="n">
        <x:f>F11+E12</x:f>
        <x:v>-256700</x:v>
      </x:c>
      <x:c r="G12" s="6" t="n">
        <x:v>-171000</x:v>
      </x:c>
      <x:c r="H12" s="6" t="n">
        <x:v>184000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84400</x:v>
      </x:c>
      <x:c r="E13" s="6" t="n">
        <x:f>C13-D13</x:f>
        <x:v>-84400</x:v>
      </x:c>
      <x:c r="F13" s="6" t="n">
        <x:f>F12+E13</x:f>
        <x:v>-341100</x:v>
      </x:c>
      <x:c r="G13" s="6" t="n">
        <x:v>-84400</x:v>
      </x:c>
      <x:c r="H13" s="6" t="n">
        <x:v>103700</x:v>
      </x:c>
    </x:row>
    <x:row r="14" ht="25" customHeight="1">
      <x:c r="A14" s="2" t="str">
        <x:v>2026-10-01_Day</x:v>
      </x:c>
      <x:c r="B14" s="2" t="str">
        <x:v>上昇</x:v>
      </x:c>
      <x:c r="C14" s="6" t="n">
        <x:v>69700</x:v>
      </x:c>
      <x:c r="D14" s="6" t="n">
        <x:v>92300</x:v>
      </x:c>
      <x:c r="E14" s="6" t="n">
        <x:f>C14-D14</x:f>
        <x:v>-22600</x:v>
      </x:c>
      <x:c r="F14" s="6" t="n">
        <x:f>F13+E14</x:f>
        <x:v>-363700</x:v>
      </x:c>
      <x:c r="G14" s="6" t="n">
        <x:v>-69300</x:v>
      </x:c>
      <x:c r="H14" s="6" t="n">
        <x:v>85500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82800</x:v>
      </x:c>
      <x:c r="E15" s="6" t="n">
        <x:f>C15-D15</x:f>
        <x:v>-82800</x:v>
      </x:c>
      <x:c r="F15" s="6" t="n">
        <x:f>F14+E15</x:f>
        <x:v>-446500</x:v>
      </x:c>
      <x:c r="G15" s="6" t="n">
        <x:v>-82800</x:v>
      </x:c>
      <x:c r="H15" s="6" t="n">
        <x:v>144400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117700</x:v>
      </x:c>
      <x:c r="E16" s="6" t="n">
        <x:f>C16-D16</x:f>
        <x:v>-117700</x:v>
      </x:c>
      <x:c r="F16" s="6" t="n">
        <x:f>F15+E16</x:f>
        <x:v>-564200</x:v>
      </x:c>
      <x:c r="G16" s="6" t="n">
        <x:v>-117700</x:v>
      </x:c>
      <x:c r="H16" s="6" t="n">
        <x:v>167700</x:v>
      </x:c>
    </x:row>
    <x:row r="17" ht="25" customHeight="1">
      <x:c r="A17" s="2" t="str">
        <x:v>2026-10-06_Day</x:v>
      </x:c>
      <x:c r="B17" s="2" t="str">
        <x:v>上昇</x:v>
      </x:c>
      <x:c r="C17" s="6" t="n">
        <x:v>81500</x:v>
      </x:c>
      <x:c r="D17" s="6" t="n">
        <x:v>111700</x:v>
      </x:c>
      <x:c r="E17" s="6" t="n">
        <x:f>C17-D17</x:f>
        <x:v>-30200</x:v>
      </x:c>
      <x:c r="F17" s="6" t="n">
        <x:f>F16+E17</x:f>
        <x:v>-594400</x:v>
      </x:c>
      <x:c r="G17" s="6" t="n">
        <x:v>-103100</x:v>
      </x:c>
      <x:c r="H17" s="6" t="n">
        <x:v>151100</x:v>
      </x:c>
    </x:row>
    <x:row r="18" ht="25" customHeight="1">
      <x:c r="A18" s="2" t="str">
        <x:v>2026-10-07_Day</x:v>
      </x:c>
      <x:c r="B18" s="2" t="str">
        <x:v>下落</x:v>
      </x:c>
      <x:c r="C18" s="6" t="n">
        <x:v>79400</x:v>
      </x:c>
      <x:c r="D18" s="6" t="n">
        <x:v>43300</x:v>
      </x:c>
      <x:c r="E18" s="6" t="n">
        <x:f>C18-D18</x:f>
        <x:v>36100</x:v>
      </x:c>
      <x:c r="F18" s="6" t="n">
        <x:f>F17+E18</x:f>
        <x:v>-558300</x:v>
      </x:c>
      <x:c r="G18" s="6" t="n">
        <x:v>-12900</x:v>
      </x:c>
      <x:c r="H18" s="6" t="n">
        <x:v>71100</x:v>
      </x:c>
    </x:row>
    <x:row r="19" ht="25" customHeight="1">
      <x:c r="A19" s="2" t="str">
        <x:v>2026-10-08_Day</x:v>
      </x:c>
      <x:c r="B19" s="2" t="str">
        <x:v>下落</x:v>
      </x:c>
      <x:c r="C19" s="6" t="n">
        <x:v>6500</x:v>
      </x:c>
      <x:c r="D19" s="6" t="n">
        <x:v>98600</x:v>
      </x:c>
      <x:c r="E19" s="6" t="n">
        <x:f>C19-D19</x:f>
        <x:v>-92100</x:v>
      </x:c>
      <x:c r="F19" s="6" t="n">
        <x:f>F18+E19</x:f>
        <x:v>-650400</x:v>
      </x:c>
      <x:c r="G19" s="6" t="n">
        <x:v>-111400</x:v>
      </x:c>
      <x:c r="H19" s="6" t="n">
        <x:v>113500</x:v>
      </x:c>
    </x:row>
    <x:row r="20" ht="25" customHeight="1">
      <x:c r="A20" s="2" t="str">
        <x:v>2026-10-09_Day</x:v>
      </x:c>
      <x:c r="B20" s="2" t="str">
        <x:v>上昇</x:v>
      </x:c>
      <x:c r="C20" s="6" t="n">
        <x:v>28100</x:v>
      </x:c>
      <x:c r="D20" s="6" t="n">
        <x:v>128500</x:v>
      </x:c>
      <x:c r="E20" s="6" t="n">
        <x:f>C20-D20</x:f>
        <x:v>-100400</x:v>
      </x:c>
      <x:c r="F20" s="6" t="n">
        <x:f>F19+E20</x:f>
        <x:v>-750800</x:v>
      </x:c>
      <x:c r="G20" s="6" t="n">
        <x:v>-100400</x:v>
      </x:c>
      <x:c r="H20" s="6" t="n">
        <x:v>130700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-771400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29000</x:v>
      </x:c>
      <x:c r="D22" s="6" t="n">
        <x:v>285400</x:v>
      </x:c>
      <x:c r="E22" s="6" t="n">
        <x:f>C22-D22</x:f>
        <x:v>-256400</x:v>
      </x:c>
      <x:c r="F22" s="6" t="n">
        <x:f>F21+E22</x:f>
        <x:v>-1027800</x:v>
      </x:c>
      <x:c r="G22" s="6" t="n">
        <x:v>-256400</x:v>
      </x:c>
      <x:c r="H22" s="6" t="n">
        <x:v>278600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81800</x:v>
      </x:c>
      <x:c r="E23" s="6" t="n">
        <x:f>C23-D23</x:f>
        <x:v>82900</x:v>
      </x:c>
      <x:c r="F23" s="6" t="n">
        <x:f>F22+E23</x:f>
        <x:v>-944900</x:v>
      </x:c>
      <x:c r="G23" s="6" t="n">
        <x:v>-82500</x:v>
      </x:c>
      <x:c r="H23" s="6" t="n">
        <x:v>82500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94600</x:v>
      </x:c>
      <x:c r="E24" s="6" t="n">
        <x:f>C24-D24</x:f>
        <x:v>-94600</x:v>
      </x:c>
      <x:c r="F24" s="6" t="n">
        <x:f>F23+E24</x:f>
        <x:v>-1039500</x:v>
      </x:c>
      <x:c r="G24" s="6" t="n">
        <x:v>-94600</x:v>
      </x:c>
      <x:c r="H24" s="6" t="n">
        <x:v>102500</x:v>
      </x:c>
    </x:row>
    <x:row r="25" ht="25" customHeight="1">
      <x:c r="A25" s="2" t="str">
        <x:v>2026-10-16_Day</x:v>
      </x:c>
      <x:c r="B25" s="2" t="str">
        <x:v>上昇</x:v>
      </x:c>
      <x:c r="C25" s="6" t="n">
        <x:v>200600</x:v>
      </x:c>
      <x:c r="D25" s="6" t="n">
        <x:v>207100</x:v>
      </x:c>
      <x:c r="E25" s="6" t="n">
        <x:f>C25-D25</x:f>
        <x:v>-6500</x:v>
      </x:c>
      <x:c r="F25" s="6" t="n">
        <x:f>F24+E25</x:f>
        <x:v>-1046000</x:v>
      </x:c>
      <x:c r="G25" s="6" t="n">
        <x:v>-103200</x:v>
      </x:c>
      <x:c r="H25" s="6" t="n">
        <x:v>135500</x:v>
      </x:c>
    </x:row>
    <x:row r="26" ht="25" customHeight="1">
      <x:c r="A26" s="2" t="str">
        <x:v>2026-10-19_Day</x:v>
      </x:c>
      <x:c r="B26" s="2" t="str">
        <x:v>上昇</x:v>
      </x:c>
      <x:c r="C26" s="6" t="n">
        <x:v>109300</x:v>
      </x:c>
      <x:c r="D26" s="6" t="n">
        <x:v>43200</x:v>
      </x:c>
      <x:c r="E26" s="6" t="n">
        <x:f>C26-D26</x:f>
        <x:v>66100</x:v>
      </x:c>
      <x:c r="F26" s="6" t="n">
        <x:f>F25+E26</x:f>
        <x:v>-979900</x:v>
      </x:c>
      <x:c r="G26" s="6" t="n">
        <x:v>-20800</x:v>
      </x:c>
      <x:c r="H26" s="6" t="n">
        <x:v>142800</x:v>
      </x:c>
    </x:row>
    <x:row r="27" ht="25" customHeight="1">
      <x:c r="A27" s="2" t="str">
        <x:v>2026-10-20_Day</x:v>
      </x:c>
      <x:c r="B27" s="2" t="str">
        <x:v>下落</x:v>
      </x:c>
      <x:c r="C27" s="6" t="n">
        <x:v>37400</x:v>
      </x:c>
      <x:c r="D27" s="6" t="n">
        <x:v>226200</x:v>
      </x:c>
      <x:c r="E27" s="6" t="n">
        <x:f>C27-D27</x:f>
        <x:v>-188800</x:v>
      </x:c>
      <x:c r="F27" s="6" t="n">
        <x:f>F26+E27</x:f>
        <x:v>-1168700</x:v>
      </x:c>
      <x:c r="G27" s="6" t="n">
        <x:v>-188800</x:v>
      </x:c>
      <x:c r="H27" s="6" t="n">
        <x:v>215900</x:v>
      </x:c>
    </x:row>
    <x:row r="28" ht="25" customHeight="1">
      <x:c r="A28" s="2" t="str">
        <x:v>2026-10-21_Day</x:v>
      </x:c>
      <x:c r="B28" s="2" t="str">
        <x:v>下落</x:v>
      </x:c>
      <x:c r="C28" s="6" t="n">
        <x:v>8800</x:v>
      </x:c>
      <x:c r="D28" s="6" t="n">
        <x:v>240600</x:v>
      </x:c>
      <x:c r="E28" s="6" t="n">
        <x:f>C28-D28</x:f>
        <x:v>-231800</x:v>
      </x:c>
      <x:c r="F28" s="6" t="n">
        <x:f>F27+E28</x:f>
        <x:v>-1400500</x:v>
      </x:c>
      <x:c r="G28" s="6" t="n">
        <x:v>-250900</x:v>
      </x:c>
      <x:c r="H28" s="6" t="n">
        <x:v>250900</x:v>
      </x:c>
    </x:row>
    <x:row r="29" ht="25" customHeight="1">
      <x:c r="A29" s="2" t="str">
        <x:v>2026-10-22_Day</x:v>
      </x:c>
      <x:c r="B29" s="2" t="str">
        <x:v>下落</x:v>
      </x:c>
      <x:c r="C29" s="6" t="n">
        <x:v>86000</x:v>
      </x:c>
      <x:c r="D29" s="6" t="n">
        <x:v>24000</x:v>
      </x:c>
      <x:c r="E29" s="6" t="n">
        <x:f>C29-D29</x:f>
        <x:v>62000</x:v>
      </x:c>
      <x:c r="F29" s="6" t="n">
        <x:f>F28+E29</x:f>
        <x:v>-1338500</x:v>
      </x:c>
      <x:c r="G29" s="6" t="n">
        <x:v>-3000</x:v>
      </x:c>
      <x:c r="H29" s="6" t="n">
        <x:v>77700</x:v>
      </x:c>
    </x:row>
    <x:row r="30" ht="25" customHeight="1">
      <x:c r="A30" s="2" t="str">
        <x:v>2026-10-23_Day</x:v>
      </x:c>
      <x:c r="B30" s="2" t="str">
        <x:v>上昇</x:v>
      </x:c>
      <x:c r="C30" s="6" t="n">
        <x:v>51000</x:v>
      </x:c>
      <x:c r="D30" s="6" t="n">
        <x:v>149700</x:v>
      </x:c>
      <x:c r="E30" s="6" t="n">
        <x:f>C30-D30</x:f>
        <x:v>-98700</x:v>
      </x:c>
      <x:c r="F30" s="6" t="n">
        <x:f>F29+E30</x:f>
        <x:v>-1437200</x:v>
      </x:c>
      <x:c r="G30" s="6" t="n">
        <x:v>-121300</x:v>
      </x:c>
      <x:c r="H30" s="6" t="n">
        <x:v>152800</x:v>
      </x:c>
    </x:row>
    <x:row r="31" ht="25" customHeight="1">
      <x:c r="A31" s="2" t="str">
        <x:v>2026-10-26_Day</x:v>
      </x:c>
      <x:c r="B31" s="2" t="str">
        <x:v>下落</x:v>
      </x:c>
      <x:c r="C31" s="6" t="n">
        <x:v>35400</x:v>
      </x:c>
      <x:c r="D31" s="6" t="n">
        <x:v>90500</x:v>
      </x:c>
      <x:c r="E31" s="6" t="n">
        <x:f>C31-D31</x:f>
        <x:v>-55100</x:v>
      </x:c>
      <x:c r="F31" s="6" t="n">
        <x:f>F30+E31</x:f>
        <x:v>-1492300</x:v>
      </x:c>
      <x:c r="G31" s="6" t="n">
        <x:v>-55100</x:v>
      </x:c>
      <x:c r="H31" s="6" t="n">
        <x:v>123300</x:v>
      </x:c>
    </x:row>
    <x:row r="32" ht="25" customHeight="1">
      <x:c r="A32" s="13" t="str">
        <x:v>累計／場内最悪値</x:v>
      </x:c>
      <x:c r="B32" s="13"/>
      <x:c r="C32" s="14" t="n">
        <x:f>SUM(C6:C31)</x:f>
        <x:v>1208900</x:v>
      </x:c>
      <x:c r="D32" s="14" t="n">
        <x:f>SUM(D6:D31)</x:f>
        <x:v>2701200</x:v>
      </x:c>
      <x:c r="E32" s="14" t="n">
        <x:f>C32-D32</x:f>
        <x:v>-1492300</x:v>
      </x:c>
      <x:c r="F32" s="14" t="n">
        <x:f>F31</x:f>
        <x:v>-1492300</x:v>
      </x:c>
      <x:c r="G32" s="14" t="n">
        <x:f>MIN(G6:G31)</x:f>
        <x:v>-256400</x:v>
      </x:c>
      <x:c r="H32" s="14" t="n">
        <x:f>MAX(H6:H31)</x:f>
        <x:v>278600</x:v>
      </x:c>
    </x:row>
  </x:sheetData>
  <x:conditionalFormatting sqref="E6:F31">
    <x:cfRule type="cellIs" dxfId="6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8ea70315924e62"/>
  </x:tableParts>
</x:worksheet>
</file>

<file path=xl/worksheets/sheet6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J08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最低10＋順行40＋カバー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46000</x:v>
      </x:c>
      <x:c r="D9" s="6" t="n">
        <x:v>112800</x:v>
      </x:c>
      <x:c r="E9" s="6" t="n">
        <x:f>C9-D9</x:f>
        <x:v>-66800</x:v>
      </x:c>
      <x:c r="F9" s="6" t="n">
        <x:f>F8+E9</x:f>
        <x:v>-83800</x:v>
      </x:c>
      <x:c r="G9" s="6" t="n">
        <x:v>-122200</x:v>
      </x:c>
      <x:c r="H9" s="6" t="n">
        <x:v>132600</x:v>
      </x:c>
    </x:row>
    <x:row r="10" ht="25" customHeight="1">
      <x:c r="A10" s="2" t="str">
        <x:v>2026-09-25_Day</x:v>
      </x:c>
      <x:c r="B10" s="2" t="str">
        <x:v>上昇</x:v>
      </x:c>
      <x:c r="C10" s="6" t="n">
        <x:v>132600</x:v>
      </x:c>
      <x:c r="D10" s="6" t="n">
        <x:v>100400</x:v>
      </x:c>
      <x:c r="E10" s="6" t="n">
        <x:f>C10-D10</x:f>
        <x:v>32200</x:v>
      </x:c>
      <x:c r="F10" s="6" t="n">
        <x:f>F9+E10</x:f>
        <x:v>-51600</x:v>
      </x:c>
      <x:c r="G10" s="6" t="n">
        <x:v>-11800</x:v>
      </x:c>
      <x:c r="H10" s="6" t="n">
        <x:v>109300</x:v>
      </x:c>
    </x:row>
    <x:row r="11" ht="25" customHeight="1">
      <x:c r="A11" s="2" t="str">
        <x:v>2026-09-28_Day</x:v>
      </x:c>
      <x:c r="B11" s="2" t="str">
        <x:v>下落</x:v>
      </x:c>
      <x:c r="C11" s="6" t="n">
        <x:v>5000</x:v>
      </x:c>
      <x:c r="D11" s="6" t="n">
        <x:v>102200</x:v>
      </x:c>
      <x:c r="E11" s="6" t="n">
        <x:f>C11-D11</x:f>
        <x:v>-97200</x:v>
      </x:c>
      <x:c r="F11" s="6" t="n">
        <x:f>F10+E11</x:f>
        <x:v>-148800</x:v>
      </x:c>
      <x:c r="G11" s="6" t="n">
        <x:v>-97200</x:v>
      </x:c>
      <x:c r="H11" s="6" t="n">
        <x:v>111300</x:v>
      </x:c>
    </x:row>
    <x:row r="12" ht="25" customHeight="1">
      <x:c r="A12" s="2" t="str">
        <x:v>2026-09-29_Day</x:v>
      </x:c>
      <x:c r="B12" s="2" t="str">
        <x:v>下落</x:v>
      </x:c>
      <x:c r="C12" s="6" t="n">
        <x:v>6600</x:v>
      </x:c>
      <x:c r="D12" s="6" t="n">
        <x:v>177900</x:v>
      </x:c>
      <x:c r="E12" s="6" t="n">
        <x:f>C12-D12</x:f>
        <x:v>-171300</x:v>
      </x:c>
      <x:c r="F12" s="6" t="n">
        <x:f>F11+E12</x:f>
        <x:v>-320100</x:v>
      </x:c>
      <x:c r="G12" s="6" t="n">
        <x:v>-184900</x:v>
      </x:c>
      <x:c r="H12" s="6" t="n">
        <x:v>197900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85800</x:v>
      </x:c>
      <x:c r="E13" s="6" t="n">
        <x:f>C13-D13</x:f>
        <x:v>-85800</x:v>
      </x:c>
      <x:c r="F13" s="6" t="n">
        <x:f>F12+E13</x:f>
        <x:v>-405900</x:v>
      </x:c>
      <x:c r="G13" s="6" t="n">
        <x:v>-85800</x:v>
      </x:c>
      <x:c r="H13" s="6" t="n">
        <x:v>105100</x:v>
      </x:c>
    </x:row>
    <x:row r="14" ht="25" customHeight="1">
      <x:c r="A14" s="2" t="str">
        <x:v>2026-10-01_Day</x:v>
      </x:c>
      <x:c r="B14" s="2" t="str">
        <x:v>上昇</x:v>
      </x:c>
      <x:c r="C14" s="6" t="n">
        <x:v>64300</x:v>
      </x:c>
      <x:c r="D14" s="6" t="n">
        <x:v>91200</x:v>
      </x:c>
      <x:c r="E14" s="6" t="n">
        <x:f>C14-D14</x:f>
        <x:v>-26900</x:v>
      </x:c>
      <x:c r="F14" s="6" t="n">
        <x:f>F13+E14</x:f>
        <x:v>-432800</x:v>
      </x:c>
      <x:c r="G14" s="6" t="n">
        <x:v>-68200</x:v>
      </x:c>
      <x:c r="H14" s="6" t="n">
        <x:v>84400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115100</x:v>
      </x:c>
      <x:c r="E15" s="6" t="n">
        <x:f>C15-D15</x:f>
        <x:v>-115100</x:v>
      </x:c>
      <x:c r="F15" s="6" t="n">
        <x:f>F14+E15</x:f>
        <x:v>-547900</x:v>
      </x:c>
      <x:c r="G15" s="6" t="n">
        <x:v>-115100</x:v>
      </x:c>
      <x:c r="H15" s="6" t="n">
        <x:v>175200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131100</x:v>
      </x:c>
      <x:c r="E16" s="6" t="n">
        <x:f>C16-D16</x:f>
        <x:v>-131100</x:v>
      </x:c>
      <x:c r="F16" s="6" t="n">
        <x:f>F15+E16</x:f>
        <x:v>-679000</x:v>
      </x:c>
      <x:c r="G16" s="6" t="n">
        <x:v>-131100</x:v>
      </x:c>
      <x:c r="H16" s="6" t="n">
        <x:v>181100</x:v>
      </x:c>
    </x:row>
    <x:row r="17" ht="25" customHeight="1">
      <x:c r="A17" s="2" t="str">
        <x:v>2026-10-06_Day</x:v>
      </x:c>
      <x:c r="B17" s="2" t="str">
        <x:v>上昇</x:v>
      </x:c>
      <x:c r="C17" s="6" t="n">
        <x:v>79300</x:v>
      </x:c>
      <x:c r="D17" s="6" t="n">
        <x:v>123300</x:v>
      </x:c>
      <x:c r="E17" s="6" t="n">
        <x:f>C17-D17</x:f>
        <x:v>-44000</x:v>
      </x:c>
      <x:c r="F17" s="6" t="n">
        <x:f>F16+E17</x:f>
        <x:v>-723000</x:v>
      </x:c>
      <x:c r="G17" s="6" t="n">
        <x:v>-114700</x:v>
      </x:c>
      <x:c r="H17" s="6" t="n">
        <x:v>162700</x:v>
      </x:c>
    </x:row>
    <x:row r="18" ht="25" customHeight="1">
      <x:c r="A18" s="2" t="str">
        <x:v>2026-10-07_Day</x:v>
      </x:c>
      <x:c r="B18" s="2" t="str">
        <x:v>下落</x:v>
      </x:c>
      <x:c r="C18" s="6" t="n">
        <x:v>75500</x:v>
      </x:c>
      <x:c r="D18" s="6" t="n">
        <x:v>63900</x:v>
      </x:c>
      <x:c r="E18" s="6" t="n">
        <x:f>C18-D18</x:f>
        <x:v>11600</x:v>
      </x:c>
      <x:c r="F18" s="6" t="n">
        <x:f>F17+E18</x:f>
        <x:v>-711400</x:v>
      </x:c>
      <x:c r="G18" s="6" t="n">
        <x:v>-16800</x:v>
      </x:c>
      <x:c r="H18" s="6" t="n">
        <x:v>79700</x:v>
      </x:c>
    </x:row>
    <x:row r="19" ht="25" customHeight="1">
      <x:c r="A19" s="2" t="str">
        <x:v>2026-10-08_Day</x:v>
      </x:c>
      <x:c r="B19" s="2" t="str">
        <x:v>下落</x:v>
      </x:c>
      <x:c r="C19" s="6" t="n">
        <x:v>6500</x:v>
      </x:c>
      <x:c r="D19" s="6" t="n">
        <x:v>103000</x:v>
      </x:c>
      <x:c r="E19" s="6" t="n">
        <x:f>C19-D19</x:f>
        <x:v>-96500</x:v>
      </x:c>
      <x:c r="F19" s="6" t="n">
        <x:f>F18+E19</x:f>
        <x:v>-807900</x:v>
      </x:c>
      <x:c r="G19" s="6" t="n">
        <x:v>-115800</x:v>
      </x:c>
      <x:c r="H19" s="6" t="n">
        <x:v>117900</x:v>
      </x:c>
    </x:row>
    <x:row r="20" ht="25" customHeight="1">
      <x:c r="A20" s="2" t="str">
        <x:v>2026-10-09_Day</x:v>
      </x:c>
      <x:c r="B20" s="2" t="str">
        <x:v>上昇</x:v>
      </x:c>
      <x:c r="C20" s="6" t="n">
        <x:v>28100</x:v>
      </x:c>
      <x:c r="D20" s="6" t="n">
        <x:v>143100</x:v>
      </x:c>
      <x:c r="E20" s="6" t="n">
        <x:f>C20-D20</x:f>
        <x:v>-115000</x:v>
      </x:c>
      <x:c r="F20" s="6" t="n">
        <x:f>F19+E20</x:f>
        <x:v>-922900</x:v>
      </x:c>
      <x:c r="G20" s="6" t="n">
        <x:v>-115000</x:v>
      </x:c>
      <x:c r="H20" s="6" t="n">
        <x:v>145300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-943500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29000</x:v>
      </x:c>
      <x:c r="D22" s="6" t="n">
        <x:v>310300</x:v>
      </x:c>
      <x:c r="E22" s="6" t="n">
        <x:f>C22-D22</x:f>
        <x:v>-281300</x:v>
      </x:c>
      <x:c r="F22" s="6" t="n">
        <x:f>F21+E22</x:f>
        <x:v>-1224800</x:v>
      </x:c>
      <x:c r="G22" s="6" t="n">
        <x:v>-281300</x:v>
      </x:c>
      <x:c r="H22" s="6" t="n">
        <x:v>303500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85500</x:v>
      </x:c>
      <x:c r="E23" s="6" t="n">
        <x:f>C23-D23</x:f>
        <x:v>79200</x:v>
      </x:c>
      <x:c r="F23" s="6" t="n">
        <x:f>F22+E23</x:f>
        <x:v>-1145600</x:v>
      </x:c>
      <x:c r="G23" s="6" t="n">
        <x:v>-86200</x:v>
      </x:c>
      <x:c r="H23" s="6" t="n">
        <x:v>86200</x:v>
      </x:c>
    </x:row>
    <x:row r="24" ht="25" customHeight="1">
      <x:c r="A24" s="2" t="str">
        <x:v>2026-10-15_Day</x:v>
      </x:c>
      <x:c r="B24" s="2" t="str">
        <x:v>下落</x:v>
      </x:c>
      <x:c r="C24" s="6" t="n">
        <x:v>5400</x:v>
      </x:c>
      <x:c r="D24" s="6" t="n">
        <x:v>107800</x:v>
      </x:c>
      <x:c r="E24" s="6" t="n">
        <x:f>C24-D24</x:f>
        <x:v>-102400</x:v>
      </x:c>
      <x:c r="F24" s="6" t="n">
        <x:f>F23+E24</x:f>
        <x:v>-1248000</x:v>
      </x:c>
      <x:c r="G24" s="6" t="n">
        <x:v>-106900</x:v>
      </x:c>
      <x:c r="H24" s="6" t="n">
        <x:v>127200</x:v>
      </x:c>
    </x:row>
    <x:row r="25" ht="25" customHeight="1">
      <x:c r="A25" s="2" t="str">
        <x:v>2026-10-16_Day</x:v>
      </x:c>
      <x:c r="B25" s="2" t="str">
        <x:v>上昇</x:v>
      </x:c>
      <x:c r="C25" s="6" t="n">
        <x:v>192800</x:v>
      </x:c>
      <x:c r="D25" s="6" t="n">
        <x:v>210500</x:v>
      </x:c>
      <x:c r="E25" s="6" t="n">
        <x:f>C25-D25</x:f>
        <x:v>-17700</x:v>
      </x:c>
      <x:c r="F25" s="6" t="n">
        <x:f>F24+E25</x:f>
        <x:v>-1265700</x:v>
      </x:c>
      <x:c r="G25" s="6" t="n">
        <x:v>-112700</x:v>
      </x:c>
      <x:c r="H25" s="6" t="n">
        <x:v>143300</x:v>
      </x:c>
    </x:row>
    <x:row r="26" ht="25" customHeight="1">
      <x:c r="A26" s="2" t="str">
        <x:v>2026-10-19_Day</x:v>
      </x:c>
      <x:c r="B26" s="2" t="str">
        <x:v>上昇</x:v>
      </x:c>
      <x:c r="C26" s="6" t="n">
        <x:v>98300</x:v>
      </x:c>
      <x:c r="D26" s="6" t="n">
        <x:v>40700</x:v>
      </x:c>
      <x:c r="E26" s="6" t="n">
        <x:f>C26-D26</x:f>
        <x:v>57600</x:v>
      </x:c>
      <x:c r="F26" s="6" t="n">
        <x:f>F25+E26</x:f>
        <x:v>-1208100</x:v>
      </x:c>
      <x:c r="G26" s="6" t="n">
        <x:v>-23600</x:v>
      </x:c>
      <x:c r="H26" s="6" t="n">
        <x:v>148600</x:v>
      </x:c>
    </x:row>
    <x:row r="27" ht="25" customHeight="1">
      <x:c r="A27" s="2" t="str">
        <x:v>2026-10-20_Day</x:v>
      </x:c>
      <x:c r="B27" s="2" t="str">
        <x:v>下落</x:v>
      </x:c>
      <x:c r="C27" s="6" t="n">
        <x:v>9100</x:v>
      </x:c>
      <x:c r="D27" s="6" t="n">
        <x:v>236200</x:v>
      </x:c>
      <x:c r="E27" s="6" t="n">
        <x:f>C27-D27</x:f>
        <x:v>-227100</x:v>
      </x:c>
      <x:c r="F27" s="6" t="n">
        <x:f>F26+E27</x:f>
        <x:v>-1435200</x:v>
      </x:c>
      <x:c r="G27" s="6" t="n">
        <x:v>-227100</x:v>
      </x:c>
      <x:c r="H27" s="6" t="n">
        <x:v>243700</x:v>
      </x:c>
    </x:row>
    <x:row r="28" ht="25" customHeight="1">
      <x:c r="A28" s="2" t="str">
        <x:v>2026-10-21_Day</x:v>
      </x:c>
      <x:c r="B28" s="2" t="str">
        <x:v>下落</x:v>
      </x:c>
      <x:c r="C28" s="6" t="n">
        <x:v>8800</x:v>
      </x:c>
      <x:c r="D28" s="6" t="n">
        <x:v>256400</x:v>
      </x:c>
      <x:c r="E28" s="6" t="n">
        <x:f>C28-D28</x:f>
        <x:v>-247600</x:v>
      </x:c>
      <x:c r="F28" s="6" t="n">
        <x:f>F27+E28</x:f>
        <x:v>-1682800</x:v>
      </x:c>
      <x:c r="G28" s="6" t="n">
        <x:v>-266700</x:v>
      </x:c>
      <x:c r="H28" s="6" t="n">
        <x:v>266700</x:v>
      </x:c>
    </x:row>
    <x:row r="29" ht="25" customHeight="1">
      <x:c r="A29" s="2" t="str">
        <x:v>2026-10-22_Day</x:v>
      </x:c>
      <x:c r="B29" s="2" t="str">
        <x:v>下落</x:v>
      </x:c>
      <x:c r="C29" s="6" t="n">
        <x:v>70700</x:v>
      </x:c>
      <x:c r="D29" s="6" t="n">
        <x:v>24000</x:v>
      </x:c>
      <x:c r="E29" s="6" t="n">
        <x:f>C29-D29</x:f>
        <x:v>46700</x:v>
      </x:c>
      <x:c r="F29" s="6" t="n">
        <x:f>F28+E29</x:f>
        <x:v>-1636100</x:v>
      </x:c>
      <x:c r="G29" s="6" t="n">
        <x:v>-3000</x:v>
      </x:c>
      <x:c r="H29" s="6" t="n">
        <x:v>75500</x:v>
      </x:c>
    </x:row>
    <x:row r="30" ht="25" customHeight="1">
      <x:c r="A30" s="2" t="str">
        <x:v>2026-10-23_Day</x:v>
      </x:c>
      <x:c r="B30" s="2" t="str">
        <x:v>上昇</x:v>
      </x:c>
      <x:c r="C30" s="6" t="n">
        <x:v>49000</x:v>
      </x:c>
      <x:c r="D30" s="6" t="n">
        <x:v>167000</x:v>
      </x:c>
      <x:c r="E30" s="6" t="n">
        <x:f>C30-D30</x:f>
        <x:v>-118000</x:v>
      </x:c>
      <x:c r="F30" s="6" t="n">
        <x:f>F29+E30</x:f>
        <x:v>-1754100</x:v>
      </x:c>
      <x:c r="G30" s="6" t="n">
        <x:v>-134500</x:v>
      </x:c>
      <x:c r="H30" s="6" t="n">
        <x:v>166000</x:v>
      </x:c>
    </x:row>
    <x:row r="31" ht="25" customHeight="1">
      <x:c r="A31" s="2" t="str">
        <x:v>2026-10-26_Day</x:v>
      </x:c>
      <x:c r="B31" s="2" t="str">
        <x:v>下落</x:v>
      </x:c>
      <x:c r="C31" s="6" t="n">
        <x:v>4100</x:v>
      </x:c>
      <x:c r="D31" s="6" t="n">
        <x:v>90500</x:v>
      </x:c>
      <x:c r="E31" s="6" t="n">
        <x:f>C31-D31</x:f>
        <x:v>-86400</x:v>
      </x:c>
      <x:c r="F31" s="6" t="n">
        <x:f>F30+E31</x:f>
        <x:v>-1840500</x:v>
      </x:c>
      <x:c r="G31" s="6" t="n">
        <x:v>-86400</x:v>
      </x:c>
      <x:c r="H31" s="6" t="n">
        <x:v>127600</x:v>
      </x:c>
    </x:row>
    <x:row r="32" ht="25" customHeight="1">
      <x:c r="A32" s="13" t="str">
        <x:v>累計／場内最悪値</x:v>
      </x:c>
      <x:c r="B32" s="13"/>
      <x:c r="C32" s="14" t="n">
        <x:f>SUM(C6:C31)</x:f>
        <x:v>1084200</x:v>
      </x:c>
      <x:c r="D32" s="14" t="n">
        <x:f>SUM(D6:D31)</x:f>
        <x:v>2924700</x:v>
      </x:c>
      <x:c r="E32" s="14" t="n">
        <x:f>C32-D32</x:f>
        <x:v>-1840500</x:v>
      </x:c>
      <x:c r="F32" s="14" t="n">
        <x:f>F31</x:f>
        <x:v>-1840500</x:v>
      </x:c>
      <x:c r="G32" s="14" t="n">
        <x:f>MIN(G6:G31)</x:f>
        <x:v>-281300</x:v>
      </x:c>
      <x:c r="H32" s="14" t="n">
        <x:f>MAX(H6:H31)</x:f>
        <x:v>303500</x:v>
      </x:c>
    </x:row>
  </x:sheetData>
  <x:conditionalFormatting sqref="E6:F31">
    <x:cfRule type="cellIs" dxfId="6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b46eef8d0b42fe"/>
  </x:tableParts>
</x:worksheet>
</file>

<file path=xl/worksheets/sheet6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J09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最低10＋逆行20回復・累計25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10000</x:v>
      </x:c>
      <x:c r="D8" s="6" t="n">
        <x:v>0</x:v>
      </x:c>
      <x:c r="E8" s="6" t="n">
        <x:f>C8-D8</x:f>
        <x:v>10000</x:v>
      </x:c>
      <x:c r="F8" s="6" t="n">
        <x:f>F7+E8</x:f>
        <x:v>-7000</x:v>
      </x:c>
      <x:c r="G8" s="6" t="n">
        <x:v>-15000</x:v>
      </x:c>
      <x:c r="H8" s="6" t="n">
        <x:v>21500</x:v>
      </x:c>
    </x:row>
    <x:row r="9" ht="25" customHeight="1">
      <x:c r="A9" s="2" t="str">
        <x:v>2026-09-24_Day</x:v>
      </x:c>
      <x:c r="B9" s="2" t="str">
        <x:v>下落</x:v>
      </x:c>
      <x:c r="C9" s="6" t="n">
        <x:v>47700</x:v>
      </x:c>
      <x:c r="D9" s="6" t="n">
        <x:v>163300</x:v>
      </x:c>
      <x:c r="E9" s="6" t="n">
        <x:f>C9-D9</x:f>
        <x:v>-115600</x:v>
      </x:c>
      <x:c r="F9" s="6" t="n">
        <x:f>F8+E9</x:f>
        <x:v>-122600</x:v>
      </x:c>
      <x:c r="G9" s="6" t="n">
        <x:v>-171800</x:v>
      </x:c>
      <x:c r="H9" s="6" t="n">
        <x:v>174400</x:v>
      </x:c>
    </x:row>
    <x:row r="10" ht="25" customHeight="1">
      <x:c r="A10" s="2" t="str">
        <x:v>2026-09-25_Day</x:v>
      </x:c>
      <x:c r="B10" s="2" t="str">
        <x:v>上昇</x:v>
      </x:c>
      <x:c r="C10" s="6" t="n">
        <x:v>164100</x:v>
      </x:c>
      <x:c r="D10" s="6" t="n">
        <x:v>94800</x:v>
      </x:c>
      <x:c r="E10" s="6" t="n">
        <x:f>C10-D10</x:f>
        <x:v>69300</x:v>
      </x:c>
      <x:c r="F10" s="6" t="n">
        <x:f>F9+E10</x:f>
        <x:v>-53300</x:v>
      </x:c>
      <x:c r="G10" s="6" t="n">
        <x:v>-6000</x:v>
      </x:c>
      <x:c r="H10" s="6" t="n">
        <x:v>105800</x:v>
      </x:c>
    </x:row>
    <x:row r="11" ht="25" customHeight="1">
      <x:c r="A11" s="2" t="str">
        <x:v>2026-09-28_Day</x:v>
      </x:c>
      <x:c r="B11" s="2" t="str">
        <x:v>下落</x:v>
      </x:c>
      <x:c r="C11" s="6" t="n">
        <x:v>0</x:v>
      </x:c>
      <x:c r="D11" s="6" t="n">
        <x:v>138100</x:v>
      </x:c>
      <x:c r="E11" s="6" t="n">
        <x:f>C11-D11</x:f>
        <x:v>-138100</x:v>
      </x:c>
      <x:c r="F11" s="6" t="n">
        <x:f>F10+E11</x:f>
        <x:v>-191400</x:v>
      </x:c>
      <x:c r="G11" s="6" t="n">
        <x:v>-138100</x:v>
      </x:c>
      <x:c r="H11" s="6" t="n">
        <x:v>156200</x:v>
      </x:c>
    </x:row>
    <x:row r="12" ht="25" customHeight="1">
      <x:c r="A12" s="2" t="str">
        <x:v>2026-09-29_Day</x:v>
      </x:c>
      <x:c r="B12" s="2" t="str">
        <x:v>下落</x:v>
      </x:c>
      <x:c r="C12" s="6" t="n">
        <x:v>31100</x:v>
      </x:c>
      <x:c r="D12" s="6" t="n">
        <x:v>164900</x:v>
      </x:c>
      <x:c r="E12" s="6" t="n">
        <x:f>C12-D12</x:f>
        <x:v>-133800</x:v>
      </x:c>
      <x:c r="F12" s="6" t="n">
        <x:f>F11+E12</x:f>
        <x:v>-325200</x:v>
      </x:c>
      <x:c r="G12" s="6" t="n">
        <x:v>-148900</x:v>
      </x:c>
      <x:c r="H12" s="6" t="n">
        <x:v>171300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84300</x:v>
      </x:c>
      <x:c r="E13" s="6" t="n">
        <x:f>C13-D13</x:f>
        <x:v>-84300</x:v>
      </x:c>
      <x:c r="F13" s="6" t="n">
        <x:f>F12+E13</x:f>
        <x:v>-409500</x:v>
      </x:c>
      <x:c r="G13" s="6" t="n">
        <x:v>-105000</x:v>
      </x:c>
      <x:c r="H13" s="6" t="n">
        <x:v>121300</x:v>
      </x:c>
    </x:row>
    <x:row r="14" ht="25" customHeight="1">
      <x:c r="A14" s="2" t="str">
        <x:v>2026-10-01_Day</x:v>
      </x:c>
      <x:c r="B14" s="2" t="str">
        <x:v>上昇</x:v>
      </x:c>
      <x:c r="C14" s="6" t="n">
        <x:v>46600</x:v>
      </x:c>
      <x:c r="D14" s="6" t="n">
        <x:v>111200</x:v>
      </x:c>
      <x:c r="E14" s="6" t="n">
        <x:f>C14-D14</x:f>
        <x:v>-64600</x:v>
      </x:c>
      <x:c r="F14" s="6" t="n">
        <x:f>F13+E14</x:f>
        <x:v>-474100</x:v>
      </x:c>
      <x:c r="G14" s="6" t="n">
        <x:v>-68200</x:v>
      </x:c>
      <x:c r="H14" s="6" t="n">
        <x:v>90400</x:v>
      </x:c>
    </x:row>
    <x:row r="15" ht="25" customHeight="1">
      <x:c r="A15" s="2" t="str">
        <x:v>2026-10-02_Day</x:v>
      </x:c>
      <x:c r="B15" s="2" t="str">
        <x:v>上昇</x:v>
      </x:c>
      <x:c r="C15" s="6" t="n">
        <x:v>17500</x:v>
      </x:c>
      <x:c r="D15" s="6" t="n">
        <x:v>82400</x:v>
      </x:c>
      <x:c r="E15" s="6" t="n">
        <x:f>C15-D15</x:f>
        <x:v>-64900</x:v>
      </x:c>
      <x:c r="F15" s="6" t="n">
        <x:f>F14+E15</x:f>
        <x:v>-539000</x:v>
      </x:c>
      <x:c r="G15" s="6" t="n">
        <x:v>-64900</x:v>
      </x:c>
      <x:c r="H15" s="6" t="n">
        <x:v>127400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168900</x:v>
      </x:c>
      <x:c r="E16" s="6" t="n">
        <x:f>C16-D16</x:f>
        <x:v>-168900</x:v>
      </x:c>
      <x:c r="F16" s="6" t="n">
        <x:f>F15+E16</x:f>
        <x:v>-707900</x:v>
      </x:c>
      <x:c r="G16" s="6" t="n">
        <x:v>-168900</x:v>
      </x:c>
      <x:c r="H16" s="6" t="n">
        <x:v>218900</x:v>
      </x:c>
    </x:row>
    <x:row r="17" ht="25" customHeight="1">
      <x:c r="A17" s="2" t="str">
        <x:v>2026-10-06_Day</x:v>
      </x:c>
      <x:c r="B17" s="2" t="str">
        <x:v>上昇</x:v>
      </x:c>
      <x:c r="C17" s="6" t="n">
        <x:v>56300</x:v>
      </x:c>
      <x:c r="D17" s="6" t="n">
        <x:v>156300</x:v>
      </x:c>
      <x:c r="E17" s="6" t="n">
        <x:f>C17-D17</x:f>
        <x:v>-100000</x:v>
      </x:c>
      <x:c r="F17" s="6" t="n">
        <x:f>F16+E17</x:f>
        <x:v>-807900</x:v>
      </x:c>
      <x:c r="G17" s="6" t="n">
        <x:v>-138800</x:v>
      </x:c>
      <x:c r="H17" s="6" t="n">
        <x:v>176500</x:v>
      </x:c>
    </x:row>
    <x:row r="18" ht="25" customHeight="1">
      <x:c r="A18" s="2" t="str">
        <x:v>2026-10-07_Day</x:v>
      </x:c>
      <x:c r="B18" s="2" t="str">
        <x:v>下落</x:v>
      </x:c>
      <x:c r="C18" s="6" t="n">
        <x:v>85600</x:v>
      </x:c>
      <x:c r="D18" s="6" t="n">
        <x:v>73300</x:v>
      </x:c>
      <x:c r="E18" s="6" t="n">
        <x:f>C18-D18</x:f>
        <x:v>12300</x:v>
      </x:c>
      <x:c r="F18" s="6" t="n">
        <x:f>F17+E18</x:f>
        <x:v>-795600</x:v>
      </x:c>
      <x:c r="G18" s="6" t="n">
        <x:v>-24800</x:v>
      </x:c>
      <x:c r="H18" s="6" t="n">
        <x:v>112200</x:v>
      </x:c>
    </x:row>
    <x:row r="19" ht="25" customHeight="1">
      <x:c r="A19" s="2" t="str">
        <x:v>2026-10-08_Day</x:v>
      </x:c>
      <x:c r="B19" s="2" t="str">
        <x:v>下落</x:v>
      </x:c>
      <x:c r="C19" s="6" t="n">
        <x:v>22300</x:v>
      </x:c>
      <x:c r="D19" s="6" t="n">
        <x:v>98900</x:v>
      </x:c>
      <x:c r="E19" s="6" t="n">
        <x:f>C19-D19</x:f>
        <x:v>-76600</x:v>
      </x:c>
      <x:c r="F19" s="6" t="n">
        <x:f>F18+E19</x:f>
        <x:v>-872200</x:v>
      </x:c>
      <x:c r="G19" s="6" t="n">
        <x:v>-107300</x:v>
      </x:c>
      <x:c r="H19" s="6" t="n">
        <x:v>109400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167300</x:v>
      </x:c>
      <x:c r="E20" s="6" t="n">
        <x:f>C20-D20</x:f>
        <x:v>-167300</x:v>
      </x:c>
      <x:c r="F20" s="6" t="n">
        <x:f>F19+E20</x:f>
        <x:v>-1039500</x:v>
      </x:c>
      <x:c r="G20" s="6" t="n">
        <x:v>-167300</x:v>
      </x:c>
      <x:c r="H20" s="6" t="n">
        <x:v>197600</x:v>
      </x:c>
    </x:row>
    <x:row r="21" ht="25" customHeight="1">
      <x:c r="A21" s="2" t="str">
        <x:v>2026-10-12_Day</x:v>
      </x:c>
      <x:c r="B21" s="2" t="str">
        <x:v>下落</x:v>
      </x:c>
      <x:c r="C21" s="6" t="n">
        <x:v>0</x:v>
      </x:c>
      <x:c r="D21" s="6" t="n">
        <x:v>23500</x:v>
      </x:c>
      <x:c r="E21" s="6" t="n">
        <x:f>C21-D21</x:f>
        <x:v>-23500</x:v>
      </x:c>
      <x:c r="F21" s="6" t="n">
        <x:f>F20+E21</x:f>
        <x:v>-1063000</x:v>
      </x:c>
      <x:c r="G21" s="6" t="n">
        <x:v>-23500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43700</x:v>
      </x:c>
      <x:c r="D22" s="6" t="n">
        <x:v>300600</x:v>
      </x:c>
      <x:c r="E22" s="6" t="n">
        <x:f>C22-D22</x:f>
        <x:v>-256900</x:v>
      </x:c>
      <x:c r="F22" s="6" t="n">
        <x:f>F21+E22</x:f>
        <x:v>-1319900</x:v>
      </x:c>
      <x:c r="G22" s="6" t="n">
        <x:v>-256900</x:v>
      </x:c>
      <x:c r="H22" s="6" t="n">
        <x:v>279100</x:v>
      </x:c>
    </x:row>
    <x:row r="23" ht="25" customHeight="1">
      <x:c r="A23" s="2" t="str">
        <x:v>2026-10-14_Day</x:v>
      </x:c>
      <x:c r="B23" s="2" t="str">
        <x:v>上昇</x:v>
      </x:c>
      <x:c r="C23" s="6" t="n">
        <x:v>171700</x:v>
      </x:c>
      <x:c r="D23" s="6" t="n">
        <x:v>81900</x:v>
      </x:c>
      <x:c r="E23" s="6" t="n">
        <x:f>C23-D23</x:f>
        <x:v>89800</x:v>
      </x:c>
      <x:c r="F23" s="6" t="n">
        <x:f>F22+E23</x:f>
        <x:v>-1230100</x:v>
      </x:c>
      <x:c r="G23" s="6" t="n">
        <x:v>-88700</x:v>
      </x:c>
      <x:c r="H23" s="6" t="n">
        <x:v>88700</x:v>
      </x:c>
    </x:row>
    <x:row r="24" ht="25" customHeight="1">
      <x:c r="A24" s="2" t="str">
        <x:v>2026-10-15_Day</x:v>
      </x:c>
      <x:c r="B24" s="2" t="str">
        <x:v>下落</x:v>
      </x:c>
      <x:c r="C24" s="6" t="n">
        <x:v>0</x:v>
      </x:c>
      <x:c r="D24" s="6" t="n">
        <x:v>143900</x:v>
      </x:c>
      <x:c r="E24" s="6" t="n">
        <x:f>C24-D24</x:f>
        <x:v>-143900</x:v>
      </x:c>
      <x:c r="F24" s="6" t="n">
        <x:f>F23+E24</x:f>
        <x:v>-1374000</x:v>
      </x:c>
      <x:c r="G24" s="6" t="n">
        <x:v>-148400</x:v>
      </x:c>
      <x:c r="H24" s="6" t="n">
        <x:v>148400</x:v>
      </x:c>
    </x:row>
    <x:row r="25" ht="25" customHeight="1">
      <x:c r="A25" s="2" t="str">
        <x:v>2026-10-16_Day</x:v>
      </x:c>
      <x:c r="B25" s="2" t="str">
        <x:v>上昇</x:v>
      </x:c>
      <x:c r="C25" s="6" t="n">
        <x:v>133000</x:v>
      </x:c>
      <x:c r="D25" s="6" t="n">
        <x:v>293200</x:v>
      </x:c>
      <x:c r="E25" s="6" t="n">
        <x:f>C25-D25</x:f>
        <x:v>-160200</x:v>
      </x:c>
      <x:c r="F25" s="6" t="n">
        <x:f>F24+E25</x:f>
        <x:v>-1534200</x:v>
      </x:c>
      <x:c r="G25" s="6" t="n">
        <x:v>-256900</x:v>
      </x:c>
      <x:c r="H25" s="6" t="n">
        <x:v>276100</x:v>
      </x:c>
    </x:row>
    <x:row r="26" ht="25" customHeight="1">
      <x:c r="A26" s="2" t="str">
        <x:v>2026-10-19_Day</x:v>
      </x:c>
      <x:c r="B26" s="2" t="str">
        <x:v>上昇</x:v>
      </x:c>
      <x:c r="C26" s="6" t="n">
        <x:v>132700</x:v>
      </x:c>
      <x:c r="D26" s="6" t="n">
        <x:v>38800</x:v>
      </x:c>
      <x:c r="E26" s="6" t="n">
        <x:f>C26-D26</x:f>
        <x:v>93900</x:v>
      </x:c>
      <x:c r="F26" s="6" t="n">
        <x:f>F25+E26</x:f>
        <x:v>-1440300</x:v>
      </x:c>
      <x:c r="G26" s="6" t="n">
        <x:v>-20800</x:v>
      </x:c>
      <x:c r="H26" s="6" t="n">
        <x:v>156100</x:v>
      </x:c>
    </x:row>
    <x:row r="27" ht="25" customHeight="1">
      <x:c r="A27" s="2" t="str">
        <x:v>2026-10-20_Day</x:v>
      </x:c>
      <x:c r="B27" s="2" t="str">
        <x:v>下落</x:v>
      </x:c>
      <x:c r="C27" s="6" t="n">
        <x:v>18600</x:v>
      </x:c>
      <x:c r="D27" s="6" t="n">
        <x:v>191400</x:v>
      </x:c>
      <x:c r="E27" s="6" t="n">
        <x:f>C27-D27</x:f>
        <x:v>-172800</x:v>
      </x:c>
      <x:c r="F27" s="6" t="n">
        <x:f>F26+E27</x:f>
        <x:v>-1613100</x:v>
      </x:c>
      <x:c r="G27" s="6" t="n">
        <x:v>-172800</x:v>
      </x:c>
      <x:c r="H27" s="6" t="n">
        <x:v>231400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11500</x:v>
      </x:c>
      <x:c r="D28" s="6" t="n">
        <x:v>274700</x:v>
      </x:c>
      <x:c r="E28" s="6" t="n">
        <x:f>C28-D28</x:f>
        <x:v>-263200</x:v>
      </x:c>
      <x:c r="F28" s="6" t="n">
        <x:f>F27+E28</x:f>
        <x:v>-1876300</x:v>
      </x:c>
      <x:c r="G28" s="6" t="n">
        <x:v>-281200</x:v>
      </x:c>
      <x:c r="H28" s="6" t="n">
        <x:v>281200</x:v>
      </x:c>
    </x:row>
    <x:row r="29" ht="25" customHeight="1">
      <x:c r="A29" s="2" t="str">
        <x:v>2026-10-22_Day</x:v>
      </x:c>
      <x:c r="B29" s="2" t="str">
        <x:v>下落</x:v>
      </x:c>
      <x:c r="C29" s="6" t="n">
        <x:v>73400</x:v>
      </x:c>
      <x:c r="D29" s="6" t="n">
        <x:v>33600</x:v>
      </x:c>
      <x:c r="E29" s="6" t="n">
        <x:f>C29-D29</x:f>
        <x:v>39800</x:v>
      </x:c>
      <x:c r="F29" s="6" t="n">
        <x:f>F28+E29</x:f>
        <x:v>-1836500</x:v>
      </x:c>
      <x:c r="G29" s="6" t="n">
        <x:v>-5900</x:v>
      </x:c>
      <x:c r="H29" s="6" t="n">
        <x:v>93600</x:v>
      </x:c>
    </x:row>
    <x:row r="30" ht="25" customHeight="1">
      <x:c r="A30" s="2" t="str">
        <x:v>2026-10-23_Day</x:v>
      </x:c>
      <x:c r="B30" s="2" t="str">
        <x:v>上昇</x:v>
      </x:c>
      <x:c r="C30" s="6" t="n">
        <x:v>51800</x:v>
      </x:c>
      <x:c r="D30" s="6" t="n">
        <x:v>222000</x:v>
      </x:c>
      <x:c r="E30" s="6" t="n">
        <x:f>C30-D30</x:f>
        <x:v>-170200</x:v>
      </x:c>
      <x:c r="F30" s="6" t="n">
        <x:f>F29+E30</x:f>
        <x:v>-2006700</x:v>
      </x:c>
      <x:c r="G30" s="6" t="n">
        <x:v>-200000</x:v>
      </x:c>
      <x:c r="H30" s="6" t="n">
        <x:v>238400</x:v>
      </x:c>
    </x:row>
    <x:row r="31" ht="25" customHeight="1">
      <x:c r="A31" s="2" t="str">
        <x:v>2026-10-26_Day</x:v>
      </x:c>
      <x:c r="B31" s="2" t="str">
        <x:v>下落</x:v>
      </x:c>
      <x:c r="C31" s="6" t="n">
        <x:v>3200</x:v>
      </x:c>
      <x:c r="D31" s="6" t="n">
        <x:v>79000</x:v>
      </x:c>
      <x:c r="E31" s="6" t="n">
        <x:f>C31-D31</x:f>
        <x:v>-75800</x:v>
      </x:c>
      <x:c r="F31" s="6" t="n">
        <x:f>F30+E31</x:f>
        <x:v>-2082500</x:v>
      </x:c>
      <x:c r="G31" s="6" t="n">
        <x:v>-75800</x:v>
      </x:c>
      <x:c r="H31" s="6" t="n">
        <x:v>116100</x:v>
      </x:c>
    </x:row>
    <x:row r="32" ht="25" customHeight="1">
      <x:c r="A32" s="13" t="str">
        <x:v>累計／場内最悪値</x:v>
      </x:c>
      <x:c r="B32" s="13"/>
      <x:c r="C32" s="14" t="n">
        <x:f>SUM(C6:C31)</x:f>
        <x:v>1125800</x:v>
      </x:c>
      <x:c r="D32" s="14" t="n">
        <x:f>SUM(D6:D31)</x:f>
        <x:v>3208300</x:v>
      </x:c>
      <x:c r="E32" s="14" t="n">
        <x:f>C32-D32</x:f>
        <x:v>-2082500</x:v>
      </x:c>
      <x:c r="F32" s="14" t="n">
        <x:f>F31</x:f>
        <x:v>-2082500</x:v>
      </x:c>
      <x:c r="G32" s="14" t="n">
        <x:f>MIN(G6:G31)</x:f>
        <x:v>-281200</x:v>
      </x:c>
      <x:c r="H32" s="14" t="n">
        <x:f>MAX(H6:H31)</x:f>
        <x:v>281200</x:v>
      </x:c>
    </x:row>
  </x:sheetData>
  <x:conditionalFormatting sqref="E6:F31">
    <x:cfRule type="cellIs" dxfId="6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4fbf65108f4d82"/>
  </x:tableParts>
</x:worksheet>
</file>

<file path=xl/worksheets/sheet6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J10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最低10＋逆行40回復・累計25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46000</x:v>
      </x:c>
      <x:c r="D9" s="6" t="n">
        <x:v>163300</x:v>
      </x:c>
      <x:c r="E9" s="6" t="n">
        <x:f>C9-D9</x:f>
        <x:v>-117300</x:v>
      </x:c>
      <x:c r="F9" s="6" t="n">
        <x:f>F8+E9</x:f>
        <x:v>-134300</x:v>
      </x:c>
      <x:c r="G9" s="6" t="n">
        <x:v>-172700</x:v>
      </x:c>
      <x:c r="H9" s="6" t="n">
        <x:v>175300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142200</x:v>
      </x:c>
      <x:c r="D10" s="6" t="n">
        <x:v>96400</x:v>
      </x:c>
      <x:c r="E10" s="6" t="n">
        <x:f>C10-D10</x:f>
        <x:v>45800</x:v>
      </x:c>
      <x:c r="F10" s="6" t="n">
        <x:f>F9+E10</x:f>
        <x:v>-88500</x:v>
      </x:c>
      <x:c r="G10" s="6" t="n">
        <x:v>-11800</x:v>
      </x:c>
      <x:c r="H10" s="6" t="n">
        <x:v>109800</x:v>
      </x:c>
    </x:row>
    <x:row r="11" ht="25" customHeight="1">
      <x:c r="A11" s="2" t="str">
        <x:v>2026-09-28_Day</x:v>
      </x:c>
      <x:c r="B11" s="2" t="str">
        <x:v>下落</x:v>
      </x:c>
      <x:c r="C11" s="6" t="n">
        <x:v>17400</x:v>
      </x:c>
      <x:c r="D11" s="6" t="n">
        <x:v>102200</x:v>
      </x:c>
      <x:c r="E11" s="6" t="n">
        <x:f>C11-D11</x:f>
        <x:v>-84800</x:v>
      </x:c>
      <x:c r="F11" s="6" t="n">
        <x:f>F10+E11</x:f>
        <x:v>-173300</x:v>
      </x:c>
      <x:c r="G11" s="6" t="n">
        <x:v>-84800</x:v>
      </x:c>
      <x:c r="H11" s="6" t="n">
        <x:v>98900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13600</x:v>
      </x:c>
      <x:c r="D12" s="6" t="n">
        <x:v>175500</x:v>
      </x:c>
      <x:c r="E12" s="6" t="n">
        <x:f>C12-D12</x:f>
        <x:v>-161900</x:v>
      </x:c>
      <x:c r="F12" s="6" t="n">
        <x:f>F11+E12</x:f>
        <x:v>-335200</x:v>
      </x:c>
      <x:c r="G12" s="6" t="n">
        <x:v>-183000</x:v>
      </x:c>
      <x:c r="H12" s="6" t="n">
        <x:v>204800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84300</x:v>
      </x:c>
      <x:c r="E13" s="6" t="n">
        <x:f>C13-D13</x:f>
        <x:v>-84300</x:v>
      </x:c>
      <x:c r="F13" s="6" t="n">
        <x:f>F12+E13</x:f>
        <x:v>-419500</x:v>
      </x:c>
      <x:c r="G13" s="6" t="n">
        <x:v>-105000</x:v>
      </x:c>
      <x:c r="H13" s="6" t="n">
        <x:v>121300</x:v>
      </x:c>
    </x:row>
    <x:row r="14" ht="25" customHeight="1">
      <x:c r="A14" s="2" t="str">
        <x:v>2026-10-01_Day</x:v>
      </x:c>
      <x:c r="B14" s="2" t="str">
        <x:v>上昇</x:v>
      </x:c>
      <x:c r="C14" s="6" t="n">
        <x:v>48700</x:v>
      </x:c>
      <x:c r="D14" s="6" t="n">
        <x:v>91200</x:v>
      </x:c>
      <x:c r="E14" s="6" t="n">
        <x:f>C14-D14</x:f>
        <x:v>-42500</x:v>
      </x:c>
      <x:c r="F14" s="6" t="n">
        <x:f>F13+E14</x:f>
        <x:v>-462000</x:v>
      </x:c>
      <x:c r="G14" s="6" t="n">
        <x:v>-68200</x:v>
      </x:c>
      <x:c r="H14" s="6" t="n">
        <x:v>84400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11900</x:v>
      </x:c>
      <x:c r="D15" s="6" t="n">
        <x:v>46800</x:v>
      </x:c>
      <x:c r="E15" s="6" t="n">
        <x:f>C15-D15</x:f>
        <x:v>-34900</x:v>
      </x:c>
      <x:c r="F15" s="6" t="n">
        <x:f>F14+E15</x:f>
        <x:v>-496900</x:v>
      </x:c>
      <x:c r="G15" s="6" t="n">
        <x:v>-34900</x:v>
      </x:c>
      <x:c r="H15" s="6" t="n">
        <x:v>93900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151900</x:v>
      </x:c>
      <x:c r="E16" s="6" t="n">
        <x:f>C16-D16</x:f>
        <x:v>-151900</x:v>
      </x:c>
      <x:c r="F16" s="6" t="n">
        <x:f>F15+E16</x:f>
        <x:v>-648800</x:v>
      </x:c>
      <x:c r="G16" s="6" t="n">
        <x:v>-151900</x:v>
      </x:c>
      <x:c r="H16" s="6" t="n">
        <x:v>201900</x:v>
      </x:c>
    </x:row>
    <x:row r="17" ht="25" customHeight="1">
      <x:c r="A17" s="2" t="str">
        <x:v>2026-10-06_Day</x:v>
      </x:c>
      <x:c r="B17" s="2" t="str">
        <x:v>上昇</x:v>
      </x:c>
      <x:c r="C17" s="6" t="n">
        <x:v>64400</x:v>
      </x:c>
      <x:c r="D17" s="6" t="n">
        <x:v>107100</x:v>
      </x:c>
      <x:c r="E17" s="6" t="n">
        <x:f>C17-D17</x:f>
        <x:v>-42700</x:v>
      </x:c>
      <x:c r="F17" s="6" t="n">
        <x:f>F16+E17</x:f>
        <x:v>-691500</x:v>
      </x:c>
      <x:c r="G17" s="6" t="n">
        <x:v>-98500</x:v>
      </x:c>
      <x:c r="H17" s="6" t="n">
        <x:v>162200</x:v>
      </x:c>
    </x:row>
    <x:row r="18" ht="25" customHeight="1">
      <x:c r="A18" s="2" t="str">
        <x:v>2026-10-07_Day</x:v>
      </x:c>
      <x:c r="B18" s="2" t="str">
        <x:v>下落</x:v>
      </x:c>
      <x:c r="C18" s="6" t="n">
        <x:v>75500</x:v>
      </x:c>
      <x:c r="D18" s="6" t="n">
        <x:v>83900</x:v>
      </x:c>
      <x:c r="E18" s="6" t="n">
        <x:f>C18-D18</x:f>
        <x:v>-8400</x:v>
      </x:c>
      <x:c r="F18" s="6" t="n">
        <x:f>F17+E18</x:f>
        <x:v>-699900</x:v>
      </x:c>
      <x:c r="G18" s="6" t="n">
        <x:v>-16800</x:v>
      </x:c>
      <x:c r="H18" s="6" t="n">
        <x:v>99700</x:v>
      </x:c>
    </x:row>
    <x:row r="19" ht="25" customHeight="1">
      <x:c r="A19" s="2" t="str">
        <x:v>2026-10-08_Day</x:v>
      </x:c>
      <x:c r="B19" s="2" t="str">
        <x:v>下落</x:v>
      </x:c>
      <x:c r="C19" s="6" t="n">
        <x:v>6500</x:v>
      </x:c>
      <x:c r="D19" s="6" t="n">
        <x:v>111800</x:v>
      </x:c>
      <x:c r="E19" s="6" t="n">
        <x:f>C19-D19</x:f>
        <x:v>-105300</x:v>
      </x:c>
      <x:c r="F19" s="6" t="n">
        <x:f>F18+E19</x:f>
        <x:v>-805200</x:v>
      </x:c>
      <x:c r="G19" s="6" t="n">
        <x:v>-124600</x:v>
      </x:c>
      <x:c r="H19" s="6" t="n">
        <x:v>126700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11400</x:v>
      </x:c>
      <x:c r="D20" s="6" t="n">
        <x:v>132000</x:v>
      </x:c>
      <x:c r="E20" s="6" t="n">
        <x:f>C20-D20</x:f>
        <x:v>-120600</x:v>
      </x:c>
      <x:c r="F20" s="6" t="n">
        <x:f>F19+E20</x:f>
        <x:v>-925800</x:v>
      </x:c>
      <x:c r="G20" s="6" t="n">
        <x:v>-120600</x:v>
      </x:c>
      <x:c r="H20" s="6" t="n">
        <x:v>150900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-946400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29000</x:v>
      </x:c>
      <x:c r="D22" s="6" t="n">
        <x:v>292900</x:v>
      </x:c>
      <x:c r="E22" s="6" t="n">
        <x:f>C22-D22</x:f>
        <x:v>-263900</x:v>
      </x:c>
      <x:c r="F22" s="6" t="n">
        <x:f>F21+E22</x:f>
        <x:v>-1210300</x:v>
      </x:c>
      <x:c r="G22" s="6" t="n">
        <x:v>-263900</x:v>
      </x:c>
      <x:c r="H22" s="6" t="n">
        <x:v>286100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85500</x:v>
      </x:c>
      <x:c r="E23" s="6" t="n">
        <x:f>C23-D23</x:f>
        <x:v>79200</x:v>
      </x:c>
      <x:c r="F23" s="6" t="n">
        <x:f>F22+E23</x:f>
        <x:v>-1131100</x:v>
      </x:c>
      <x:c r="G23" s="6" t="n">
        <x:v>-86200</x:v>
      </x:c>
      <x:c r="H23" s="6" t="n">
        <x:v>86200</x:v>
      </x:c>
    </x:row>
    <x:row r="24" ht="25" customHeight="1">
      <x:c r="A24" s="2" t="str">
        <x:v>2026-10-15_Day</x:v>
      </x:c>
      <x:c r="B24" s="2" t="str">
        <x:v>下落</x:v>
      </x:c>
      <x:c r="C24" s="6" t="n">
        <x:v>5400</x:v>
      </x:c>
      <x:c r="D24" s="6" t="n">
        <x:v>74100</x:v>
      </x:c>
      <x:c r="E24" s="6" t="n">
        <x:f>C24-D24</x:f>
        <x:v>-68700</x:v>
      </x:c>
      <x:c r="F24" s="6" t="n">
        <x:f>F23+E24</x:f>
        <x:v>-1199800</x:v>
      </x:c>
      <x:c r="G24" s="6" t="n">
        <x:v>-73200</x:v>
      </x:c>
      <x:c r="H24" s="6" t="n">
        <x:v>97100</x:v>
      </x:c>
    </x:row>
    <x:row r="25" ht="25" customHeight="1">
      <x:c r="A25" s="2" t="str">
        <x:v>2026-10-16_Day</x:v>
      </x:c>
      <x:c r="B25" s="2" t="str">
        <x:v>上昇</x:v>
      </x:c>
      <x:c r="C25" s="6" t="n">
        <x:v>195300</x:v>
      </x:c>
      <x:c r="D25" s="6" t="n">
        <x:v>231700</x:v>
      </x:c>
      <x:c r="E25" s="6" t="n">
        <x:f>C25-D25</x:f>
        <x:v>-36400</x:v>
      </x:c>
      <x:c r="F25" s="6" t="n">
        <x:f>F24+E25</x:f>
        <x:v>-1236200</x:v>
      </x:c>
      <x:c r="G25" s="6" t="n">
        <x:v>-131400</x:v>
      </x:c>
      <x:c r="H25" s="6" t="n">
        <x:v>148800</x:v>
      </x:c>
    </x:row>
    <x:row r="26" ht="25" customHeight="1">
      <x:c r="A26" s="2" t="str">
        <x:v>2026-10-19_Day</x:v>
      </x:c>
      <x:c r="B26" s="2" t="str">
        <x:v>上昇</x:v>
      </x:c>
      <x:c r="C26" s="6" t="n">
        <x:v>121600</x:v>
      </x:c>
      <x:c r="D26" s="6" t="n">
        <x:v>40700</x:v>
      </x:c>
      <x:c r="E26" s="6" t="n">
        <x:f>C26-D26</x:f>
        <x:v>80900</x:v>
      </x:c>
      <x:c r="F26" s="6" t="n">
        <x:f>F25+E26</x:f>
        <x:v>-1155300</x:v>
      </x:c>
      <x:c r="G26" s="6" t="n">
        <x:v>-20800</x:v>
      </x:c>
      <x:c r="H26" s="6" t="n">
        <x:v>152600</x:v>
      </x:c>
    </x:row>
    <x:row r="27" ht="25" customHeight="1">
      <x:c r="A27" s="2" t="str">
        <x:v>2026-10-20_Day</x:v>
      </x:c>
      <x:c r="B27" s="2" t="str">
        <x:v>下落</x:v>
      </x:c>
      <x:c r="C27" s="6" t="n">
        <x:v>9100</x:v>
      </x:c>
      <x:c r="D27" s="6" t="n">
        <x:v>287300</x:v>
      </x:c>
      <x:c r="E27" s="6" t="n">
        <x:f>C27-D27</x:f>
        <x:v>-278200</x:v>
      </x:c>
      <x:c r="F27" s="6" t="n">
        <x:f>F26+E27</x:f>
        <x:v>-1433500</x:v>
      </x:c>
      <x:c r="G27" s="6" t="n">
        <x:v>-278200</x:v>
      </x:c>
      <x:c r="H27" s="6" t="n">
        <x:v>297600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11500</x:v>
      </x:c>
      <x:c r="D28" s="6" t="n">
        <x:v>300700</x:v>
      </x:c>
      <x:c r="E28" s="6" t="n">
        <x:f>C28-D28</x:f>
        <x:v>-289200</x:v>
      </x:c>
      <x:c r="F28" s="6" t="n">
        <x:f>F27+E28</x:f>
        <x:v>-1722700</x:v>
      </x:c>
      <x:c r="G28" s="6" t="n">
        <x:v>-307200</x:v>
      </x:c>
      <x:c r="H28" s="6" t="n">
        <x:v>307200</x:v>
      </x:c>
    </x:row>
    <x:row r="29" ht="25" customHeight="1">
      <x:c r="A29" s="2" t="str">
        <x:v>2026-10-22_Day</x:v>
      </x:c>
      <x:c r="B29" s="2" t="str">
        <x:v>下落</x:v>
      </x:c>
      <x:c r="C29" s="6" t="n">
        <x:v>70700</x:v>
      </x:c>
      <x:c r="D29" s="6" t="n">
        <x:v>24000</x:v>
      </x:c>
      <x:c r="E29" s="6" t="n">
        <x:f>C29-D29</x:f>
        <x:v>46700</x:v>
      </x:c>
      <x:c r="F29" s="6" t="n">
        <x:f>F28+E29</x:f>
        <x:v>-1676000</x:v>
      </x:c>
      <x:c r="G29" s="6" t="n">
        <x:v>-3000</x:v>
      </x:c>
      <x:c r="H29" s="6" t="n">
        <x:v>75500</x:v>
      </x:c>
    </x:row>
    <x:row r="30" ht="25" customHeight="1">
      <x:c r="A30" s="2" t="str">
        <x:v>2026-10-23_Day</x:v>
      </x:c>
      <x:c r="B30" s="2" t="str">
        <x:v>上昇</x:v>
      </x:c>
      <x:c r="C30" s="6" t="n">
        <x:v>61800</x:v>
      </x:c>
      <x:c r="D30" s="6" t="n">
        <x:v>185200</x:v>
      </x:c>
      <x:c r="E30" s="6" t="n">
        <x:f>C30-D30</x:f>
        <x:v>-123400</x:v>
      </x:c>
      <x:c r="F30" s="6" t="n">
        <x:f>F29+E30</x:f>
        <x:v>-1799400</x:v>
      </x:c>
      <x:c r="G30" s="6" t="n">
        <x:v>-155700</x:v>
      </x:c>
      <x:c r="H30" s="6" t="n">
        <x:v>187200</x:v>
      </x:c>
    </x:row>
    <x:row r="31" ht="25" customHeight="1">
      <x:c r="A31" s="2" t="str">
        <x:v>2026-10-26_Day</x:v>
      </x:c>
      <x:c r="B31" s="2" t="str">
        <x:v>下落</x:v>
      </x:c>
      <x:c r="C31" s="6" t="n">
        <x:v>25100</x:v>
      </x:c>
      <x:c r="D31" s="6" t="n">
        <x:v>90500</x:v>
      </x:c>
      <x:c r="E31" s="6" t="n">
        <x:f>C31-D31</x:f>
        <x:v>-65400</x:v>
      </x:c>
      <x:c r="F31" s="6" t="n">
        <x:f>F30+E31</x:f>
        <x:v>-1864800</x:v>
      </x:c>
      <x:c r="G31" s="6" t="n">
        <x:v>-65400</x:v>
      </x:c>
      <x:c r="H31" s="6" t="n">
        <x:v>104700</x:v>
      </x:c>
    </x:row>
    <x:row r="32" ht="25" customHeight="1">
      <x:c r="A32" s="13" t="str">
        <x:v>累計／場内最悪値</x:v>
      </x:c>
      <x:c r="B32" s="13"/>
      <x:c r="C32" s="14" t="n">
        <x:f>SUM(C6:C31)</x:f>
        <x:v>1140200</x:v>
      </x:c>
      <x:c r="D32" s="14" t="n">
        <x:f>SUM(D6:D31)</x:f>
        <x:v>3005000</x:v>
      </x:c>
      <x:c r="E32" s="14" t="n">
        <x:f>C32-D32</x:f>
        <x:v>-1864800</x:v>
      </x:c>
      <x:c r="F32" s="14" t="n">
        <x:f>F31</x:f>
        <x:v>-1864800</x:v>
      </x:c>
      <x:c r="G32" s="14" t="n">
        <x:f>MIN(G6:G31)</x:f>
        <x:v>-307200</x:v>
      </x:c>
      <x:c r="H32" s="14" t="n">
        <x:f>MAX(H6:H31)</x:f>
        <x:v>307200</x:v>
      </x:c>
    </x:row>
  </x:sheetData>
  <x:conditionalFormatting sqref="E6:F31">
    <x:cfRule type="cellIs" dxfId="6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cf846f280e4f58"/>
  </x:tableParts>
</x:worksheet>
</file>

<file path=xl/worksheets/sheet7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J11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最低10＋逆行60回復・累計25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46000</x:v>
      </x:c>
      <x:c r="D9" s="6" t="n">
        <x:v>108400</x:v>
      </x:c>
      <x:c r="E9" s="6" t="n">
        <x:f>C9-D9</x:f>
        <x:v>-62400</x:v>
      </x:c>
      <x:c r="F9" s="6" t="n">
        <x:f>F8+E9</x:f>
        <x:v>-79400</x:v>
      </x:c>
      <x:c r="G9" s="6" t="n">
        <x:v>-117800</x:v>
      </x:c>
      <x:c r="H9" s="6" t="n">
        <x:v>137700</x:v>
      </x:c>
    </x:row>
    <x:row r="10" ht="25" customHeight="1">
      <x:c r="A10" s="2" t="str">
        <x:v>2026-09-25_Day</x:v>
      </x:c>
      <x:c r="B10" s="2" t="str">
        <x:v>上昇</x:v>
      </x:c>
      <x:c r="C10" s="6" t="n">
        <x:v>132600</x:v>
      </x:c>
      <x:c r="D10" s="6" t="n">
        <x:v>100400</x:v>
      </x:c>
      <x:c r="E10" s="6" t="n">
        <x:f>C10-D10</x:f>
        <x:v>32200</x:v>
      </x:c>
      <x:c r="F10" s="6" t="n">
        <x:f>F9+E10</x:f>
        <x:v>-47200</x:v>
      </x:c>
      <x:c r="G10" s="6" t="n">
        <x:v>-11800</x:v>
      </x:c>
      <x:c r="H10" s="6" t="n">
        <x:v>109300</x:v>
      </x:c>
    </x:row>
    <x:row r="11" ht="25" customHeight="1">
      <x:c r="A11" s="2" t="str">
        <x:v>2026-09-28_Day</x:v>
      </x:c>
      <x:c r="B11" s="2" t="str">
        <x:v>下落</x:v>
      </x:c>
      <x:c r="C11" s="6" t="n">
        <x:v>17400</x:v>
      </x:c>
      <x:c r="D11" s="6" t="n">
        <x:v>102200</x:v>
      </x:c>
      <x:c r="E11" s="6" t="n">
        <x:f>C11-D11</x:f>
        <x:v>-84800</x:v>
      </x:c>
      <x:c r="F11" s="6" t="n">
        <x:f>F10+E11</x:f>
        <x:v>-132000</x:v>
      </x:c>
      <x:c r="G11" s="6" t="n">
        <x:v>-84800</x:v>
      </x:c>
      <x:c r="H11" s="6" t="n">
        <x:v>98900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13600</x:v>
      </x:c>
      <x:c r="D12" s="6" t="n">
        <x:v>194200</x:v>
      </x:c>
      <x:c r="E12" s="6" t="n">
        <x:f>C12-D12</x:f>
        <x:v>-180600</x:v>
      </x:c>
      <x:c r="F12" s="6" t="n">
        <x:f>F11+E12</x:f>
        <x:v>-312600</x:v>
      </x:c>
      <x:c r="G12" s="6" t="n">
        <x:v>-201700</x:v>
      </x:c>
      <x:c r="H12" s="6" t="n">
        <x:v>214700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118800</x:v>
      </x:c>
      <x:c r="E13" s="6" t="n">
        <x:f>C13-D13</x:f>
        <x:v>-118800</x:v>
      </x:c>
      <x:c r="F13" s="6" t="n">
        <x:f>F12+E13</x:f>
        <x:v>-431400</x:v>
      </x:c>
      <x:c r="G13" s="6" t="n">
        <x:v>-118800</x:v>
      </x:c>
      <x:c r="H13" s="6" t="n">
        <x:v>138100</x:v>
      </x:c>
    </x:row>
    <x:row r="14" ht="25" customHeight="1">
      <x:c r="A14" s="2" t="str">
        <x:v>2026-10-01_Day</x:v>
      </x:c>
      <x:c r="B14" s="2" t="str">
        <x:v>上昇</x:v>
      </x:c>
      <x:c r="C14" s="6" t="n">
        <x:v>64300</x:v>
      </x:c>
      <x:c r="D14" s="6" t="n">
        <x:v>91200</x:v>
      </x:c>
      <x:c r="E14" s="6" t="n">
        <x:f>C14-D14</x:f>
        <x:v>-26900</x:v>
      </x:c>
      <x:c r="F14" s="6" t="n">
        <x:f>F13+E14</x:f>
        <x:v>-458300</x:v>
      </x:c>
      <x:c r="G14" s="6" t="n">
        <x:v>-68200</x:v>
      </x:c>
      <x:c r="H14" s="6" t="n">
        <x:v>84400</x:v>
      </x:c>
    </x:row>
    <x:row r="15" ht="25" customHeight="1">
      <x:c r="A15" s="2" t="str">
        <x:v>2026-10-02_Day</x:v>
      </x:c>
      <x:c r="B15" s="2" t="str">
        <x:v>上昇</x:v>
      </x:c>
      <x:c r="C15" s="6" t="n">
        <x:v>0</x:v>
      </x:c>
      <x:c r="D15" s="6" t="n">
        <x:v>114500</x:v>
      </x:c>
      <x:c r="E15" s="6" t="n">
        <x:f>C15-D15</x:f>
        <x:v>-114500</x:v>
      </x:c>
      <x:c r="F15" s="6" t="n">
        <x:f>F14+E15</x:f>
        <x:v>-572800</x:v>
      </x:c>
      <x:c r="G15" s="6" t="n">
        <x:v>-114500</x:v>
      </x:c>
      <x:c r="H15" s="6" t="n">
        <x:v>174600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154400</x:v>
      </x:c>
      <x:c r="E16" s="6" t="n">
        <x:f>C16-D16</x:f>
        <x:v>-154400</x:v>
      </x:c>
      <x:c r="F16" s="6" t="n">
        <x:f>F15+E16</x:f>
        <x:v>-727200</x:v>
      </x:c>
      <x:c r="G16" s="6" t="n">
        <x:v>-154400</x:v>
      </x:c>
      <x:c r="H16" s="6" t="n">
        <x:v>204400</x:v>
      </x:c>
    </x:row>
    <x:row r="17" ht="25" customHeight="1">
      <x:c r="A17" s="2" t="str">
        <x:v>2026-10-06_Day</x:v>
      </x:c>
      <x:c r="B17" s="2" t="str">
        <x:v>上昇</x:v>
      </x:c>
      <x:c r="C17" s="6" t="n">
        <x:v>90300</x:v>
      </x:c>
      <x:c r="D17" s="6" t="n">
        <x:v>111900</x:v>
      </x:c>
      <x:c r="E17" s="6" t="n">
        <x:f>C17-D17</x:f>
        <x:v>-21600</x:v>
      </x:c>
      <x:c r="F17" s="6" t="n">
        <x:f>F16+E17</x:f>
        <x:v>-748800</x:v>
      </x:c>
      <x:c r="G17" s="6" t="n">
        <x:v>-103300</x:v>
      </x:c>
      <x:c r="H17" s="6" t="n">
        <x:v>167000</x:v>
      </x:c>
    </x:row>
    <x:row r="18" ht="25" customHeight="1">
      <x:c r="A18" s="2" t="str">
        <x:v>2026-10-07_Day</x:v>
      </x:c>
      <x:c r="B18" s="2" t="str">
        <x:v>下落</x:v>
      </x:c>
      <x:c r="C18" s="6" t="n">
        <x:v>75500</x:v>
      </x:c>
      <x:c r="D18" s="6" t="n">
        <x:v>83900</x:v>
      </x:c>
      <x:c r="E18" s="6" t="n">
        <x:f>C18-D18</x:f>
        <x:v>-8400</x:v>
      </x:c>
      <x:c r="F18" s="6" t="n">
        <x:f>F17+E18</x:f>
        <x:v>-757200</x:v>
      </x:c>
      <x:c r="G18" s="6" t="n">
        <x:v>-16800</x:v>
      </x:c>
      <x:c r="H18" s="6" t="n">
        <x:v>99700</x:v>
      </x:c>
    </x:row>
    <x:row r="19" ht="25" customHeight="1">
      <x:c r="A19" s="2" t="str">
        <x:v>2026-10-08_Day</x:v>
      </x:c>
      <x:c r="B19" s="2" t="str">
        <x:v>下落</x:v>
      </x:c>
      <x:c r="C19" s="6" t="n">
        <x:v>6500</x:v>
      </x:c>
      <x:c r="D19" s="6" t="n">
        <x:v>103000</x:v>
      </x:c>
      <x:c r="E19" s="6" t="n">
        <x:f>C19-D19</x:f>
        <x:v>-96500</x:v>
      </x:c>
      <x:c r="F19" s="6" t="n">
        <x:f>F18+E19</x:f>
        <x:v>-853700</x:v>
      </x:c>
      <x:c r="G19" s="6" t="n">
        <x:v>-115800</x:v>
      </x:c>
      <x:c r="H19" s="6" t="n">
        <x:v>117900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159200</x:v>
      </x:c>
      <x:c r="E20" s="6" t="n">
        <x:f>C20-D20</x:f>
        <x:v>-159200</x:v>
      </x:c>
      <x:c r="F20" s="6" t="n">
        <x:f>F19+E20</x:f>
        <x:v>-1012900</x:v>
      </x:c>
      <x:c r="G20" s="6" t="n">
        <x:v>-159200</x:v>
      </x:c>
      <x:c r="H20" s="6" t="n">
        <x:v>189500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-1033500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29000</x:v>
      </x:c>
      <x:c r="D22" s="6" t="n">
        <x:v>310300</x:v>
      </x:c>
      <x:c r="E22" s="6" t="n">
        <x:f>C22-D22</x:f>
        <x:v>-281300</x:v>
      </x:c>
      <x:c r="F22" s="6" t="n">
        <x:f>F21+E22</x:f>
        <x:v>-1314800</x:v>
      </x:c>
      <x:c r="G22" s="6" t="n">
        <x:v>-281300</x:v>
      </x:c>
      <x:c r="H22" s="6" t="n">
        <x:v>303500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85500</x:v>
      </x:c>
      <x:c r="E23" s="6" t="n">
        <x:f>C23-D23</x:f>
        <x:v>79200</x:v>
      </x:c>
      <x:c r="F23" s="6" t="n">
        <x:f>F22+E23</x:f>
        <x:v>-1235600</x:v>
      </x:c>
      <x:c r="G23" s="6" t="n">
        <x:v>-86200</x:v>
      </x:c>
      <x:c r="H23" s="6" t="n">
        <x:v>86200</x:v>
      </x:c>
    </x:row>
    <x:row r="24" ht="25" customHeight="1">
      <x:c r="A24" s="2" t="str">
        <x:v>2026-10-15_Day</x:v>
      </x:c>
      <x:c r="B24" s="2" t="str">
        <x:v>下落</x:v>
      </x:c>
      <x:c r="C24" s="6" t="n">
        <x:v>5400</x:v>
      </x:c>
      <x:c r="D24" s="6" t="n">
        <x:v>107800</x:v>
      </x:c>
      <x:c r="E24" s="6" t="n">
        <x:f>C24-D24</x:f>
        <x:v>-102400</x:v>
      </x:c>
      <x:c r="F24" s="6" t="n">
        <x:f>F23+E24</x:f>
        <x:v>-1338000</x:v>
      </x:c>
      <x:c r="G24" s="6" t="n">
        <x:v>-106900</x:v>
      </x:c>
      <x:c r="H24" s="6" t="n">
        <x:v>127200</x:v>
      </x:c>
    </x:row>
    <x:row r="25" ht="25" customHeight="1">
      <x:c r="A25" s="2" t="str">
        <x:v>2026-10-16_Day</x:v>
      </x:c>
      <x:c r="B25" s="2" t="str">
        <x:v>上昇</x:v>
      </x:c>
      <x:c r="C25" s="6" t="n">
        <x:v>205300</x:v>
      </x:c>
      <x:c r="D25" s="6" t="n">
        <x:v>230500</x:v>
      </x:c>
      <x:c r="E25" s="6" t="n">
        <x:f>C25-D25</x:f>
        <x:v>-25200</x:v>
      </x:c>
      <x:c r="F25" s="6" t="n">
        <x:f>F24+E25</x:f>
        <x:v>-1363200</x:v>
      </x:c>
      <x:c r="G25" s="6" t="n">
        <x:v>-126600</x:v>
      </x:c>
      <x:c r="H25" s="6" t="n">
        <x:v>144000</x:v>
      </x:c>
    </x:row>
    <x:row r="26" ht="25" customHeight="1">
      <x:c r="A26" s="2" t="str">
        <x:v>2026-10-19_Day</x:v>
      </x:c>
      <x:c r="B26" s="2" t="str">
        <x:v>上昇</x:v>
      </x:c>
      <x:c r="C26" s="6" t="n">
        <x:v>98300</x:v>
      </x:c>
      <x:c r="D26" s="6" t="n">
        <x:v>40700</x:v>
      </x:c>
      <x:c r="E26" s="6" t="n">
        <x:f>C26-D26</x:f>
        <x:v>57600</x:v>
      </x:c>
      <x:c r="F26" s="6" t="n">
        <x:f>F25+E26</x:f>
        <x:v>-1305600</x:v>
      </x:c>
      <x:c r="G26" s="6" t="n">
        <x:v>-23600</x:v>
      </x:c>
      <x:c r="H26" s="6" t="n">
        <x:v>148600</x:v>
      </x:c>
    </x:row>
    <x:row r="27" ht="25" customHeight="1">
      <x:c r="A27" s="2" t="str">
        <x:v>2026-10-20_Day</x:v>
      </x:c>
      <x:c r="B27" s="2" t="str">
        <x:v>下落</x:v>
      </x:c>
      <x:c r="C27" s="6" t="n">
        <x:v>9100</x:v>
      </x:c>
      <x:c r="D27" s="6" t="n">
        <x:v>244900</x:v>
      </x:c>
      <x:c r="E27" s="6" t="n">
        <x:f>C27-D27</x:f>
        <x:v>-235800</x:v>
      </x:c>
      <x:c r="F27" s="6" t="n">
        <x:f>F26+E27</x:f>
        <x:v>-1541400</x:v>
      </x:c>
      <x:c r="G27" s="6" t="n">
        <x:v>-235800</x:v>
      </x:c>
      <x:c r="H27" s="6" t="n">
        <x:v>255200</x:v>
      </x:c>
    </x:row>
    <x:row r="28" ht="25" customHeight="1">
      <x:c r="A28" s="2" t="str">
        <x:v>2026-10-21_Day</x:v>
      </x:c>
      <x:c r="B28" s="2" t="str">
        <x:v>下落</x:v>
      </x:c>
      <x:c r="C28" s="6" t="n">
        <x:v>8800</x:v>
      </x:c>
      <x:c r="D28" s="6" t="n">
        <x:v>253600</x:v>
      </x:c>
      <x:c r="E28" s="6" t="n">
        <x:f>C28-D28</x:f>
        <x:v>-244800</x:v>
      </x:c>
      <x:c r="F28" s="6" t="n">
        <x:f>F27+E28</x:f>
        <x:v>-1786200</x:v>
      </x:c>
      <x:c r="G28" s="6" t="n">
        <x:v>-263900</x:v>
      </x:c>
      <x:c r="H28" s="6" t="n">
        <x:v>263900</x:v>
      </x:c>
    </x:row>
    <x:row r="29" ht="25" customHeight="1">
      <x:c r="A29" s="2" t="str">
        <x:v>2026-10-22_Day</x:v>
      </x:c>
      <x:c r="B29" s="2" t="str">
        <x:v>下落</x:v>
      </x:c>
      <x:c r="C29" s="6" t="n">
        <x:v>70700</x:v>
      </x:c>
      <x:c r="D29" s="6" t="n">
        <x:v>24000</x:v>
      </x:c>
      <x:c r="E29" s="6" t="n">
        <x:f>C29-D29</x:f>
        <x:v>46700</x:v>
      </x:c>
      <x:c r="F29" s="6" t="n">
        <x:f>F28+E29</x:f>
        <x:v>-1739500</x:v>
      </x:c>
      <x:c r="G29" s="6" t="n">
        <x:v>-3000</x:v>
      </x:c>
      <x:c r="H29" s="6" t="n">
        <x:v>75500</x:v>
      </x:c>
    </x:row>
    <x:row r="30" ht="25" customHeight="1">
      <x:c r="A30" s="2" t="str">
        <x:v>2026-10-23_Day</x:v>
      </x:c>
      <x:c r="B30" s="2" t="str">
        <x:v>上昇</x:v>
      </x:c>
      <x:c r="C30" s="6" t="n">
        <x:v>49000</x:v>
      </x:c>
      <x:c r="D30" s="6" t="n">
        <x:v>220600</x:v>
      </x:c>
      <x:c r="E30" s="6" t="n">
        <x:f>C30-D30</x:f>
        <x:v>-171600</x:v>
      </x:c>
      <x:c r="F30" s="6" t="n">
        <x:f>F29+E30</x:f>
        <x:v>-1911100</x:v>
      </x:c>
      <x:c r="G30" s="6" t="n">
        <x:v>-188100</x:v>
      </x:c>
      <x:c r="H30" s="6" t="n">
        <x:v>219600</x:v>
      </x:c>
    </x:row>
    <x:row r="31" ht="25" customHeight="1">
      <x:c r="A31" s="2" t="str">
        <x:v>2026-10-26_Day</x:v>
      </x:c>
      <x:c r="B31" s="2" t="str">
        <x:v>下落</x:v>
      </x:c>
      <x:c r="C31" s="6" t="n">
        <x:v>8300</x:v>
      </x:c>
      <x:c r="D31" s="6" t="n">
        <x:v>90500</x:v>
      </x:c>
      <x:c r="E31" s="6" t="n">
        <x:f>C31-D31</x:f>
        <x:v>-82200</x:v>
      </x:c>
      <x:c r="F31" s="6" t="n">
        <x:f>F30+E31</x:f>
        <x:v>-1993300</x:v>
      </x:c>
      <x:c r="G31" s="6" t="n">
        <x:v>-82200</x:v>
      </x:c>
      <x:c r="H31" s="6" t="n">
        <x:v>127600</x:v>
      </x:c>
    </x:row>
    <x:row r="32" ht="25" customHeight="1">
      <x:c r="A32" s="13" t="str">
        <x:v>累計／場内最悪値</x:v>
      </x:c>
      <x:c r="B32" s="13"/>
      <x:c r="C32" s="14" t="n">
        <x:f>SUM(C6:C31)</x:f>
        <x:v>1103200</x:v>
      </x:c>
      <x:c r="D32" s="14" t="n">
        <x:f>SUM(D6:D31)</x:f>
        <x:v>3096500</x:v>
      </x:c>
      <x:c r="E32" s="14" t="n">
        <x:f>C32-D32</x:f>
        <x:v>-1993300</x:v>
      </x:c>
      <x:c r="F32" s="14" t="n">
        <x:f>F31</x:f>
        <x:v>-1993300</x:v>
      </x:c>
      <x:c r="G32" s="14" t="n">
        <x:f>MIN(G6:G31)</x:f>
        <x:v>-281300</x:v>
      </x:c>
      <x:c r="H32" s="14" t="n">
        <x:f>MAX(H6:H31)</x:f>
        <x:v>303500</x:v>
      </x:c>
    </x:row>
  </x:sheetData>
  <x:conditionalFormatting sqref="E6:F31">
    <x:cfRule type="cellIs" dxfId="6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11cdc5eb6d4052"/>
  </x:tableParts>
</x:worksheet>
</file>

<file path=xl/worksheets/sheet7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J12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J10と同Canonical・両建て実保有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46000</x:v>
      </x:c>
      <x:c r="D9" s="6" t="n">
        <x:v>163300</x:v>
      </x:c>
      <x:c r="E9" s="6" t="n">
        <x:f>C9-D9</x:f>
        <x:v>-117300</x:v>
      </x:c>
      <x:c r="F9" s="6" t="n">
        <x:f>F8+E9</x:f>
        <x:v>-134300</x:v>
      </x:c>
      <x:c r="G9" s="6" t="n">
        <x:v>-172700</x:v>
      </x:c>
      <x:c r="H9" s="6" t="n">
        <x:v>175300</x:v>
      </x:c>
    </x:row>
    <x:row r="10" ht="25" customHeight="1">
      <x:c r="A10" s="2" t="str">
        <x:v>2026-09-25_Day</x:v>
      </x:c>
      <x:c r="B10" s="2" t="str">
        <x:v>上昇</x:v>
      </x:c>
      <x:c r="C10" s="6" t="n">
        <x:v>142200</x:v>
      </x:c>
      <x:c r="D10" s="6" t="n">
        <x:v>96400</x:v>
      </x:c>
      <x:c r="E10" s="6" t="n">
        <x:f>C10-D10</x:f>
        <x:v>45800</x:v>
      </x:c>
      <x:c r="F10" s="6" t="n">
        <x:f>F9+E10</x:f>
        <x:v>-88500</x:v>
      </x:c>
      <x:c r="G10" s="6" t="n">
        <x:v>-11800</x:v>
      </x:c>
      <x:c r="H10" s="6" t="n">
        <x:v>109800</x:v>
      </x:c>
    </x:row>
    <x:row r="11" ht="25" customHeight="1">
      <x:c r="A11" s="2" t="str">
        <x:v>2026-09-28_Day</x:v>
      </x:c>
      <x:c r="B11" s="2" t="str">
        <x:v>下落</x:v>
      </x:c>
      <x:c r="C11" s="6" t="n">
        <x:v>17400</x:v>
      </x:c>
      <x:c r="D11" s="6" t="n">
        <x:v>102200</x:v>
      </x:c>
      <x:c r="E11" s="6" t="n">
        <x:f>C11-D11</x:f>
        <x:v>-84800</x:v>
      </x:c>
      <x:c r="F11" s="6" t="n">
        <x:f>F10+E11</x:f>
        <x:v>-173300</x:v>
      </x:c>
      <x:c r="G11" s="6" t="n">
        <x:v>-84800</x:v>
      </x:c>
      <x:c r="H11" s="6" t="n">
        <x:v>98900</x:v>
      </x:c>
    </x:row>
    <x:row r="12" ht="25" customHeight="1">
      <x:c r="A12" s="2" t="str">
        <x:v>2026-09-29_Day</x:v>
      </x:c>
      <x:c r="B12" s="2" t="str">
        <x:v>下落</x:v>
      </x:c>
      <x:c r="C12" s="6" t="n">
        <x:v>13600</x:v>
      </x:c>
      <x:c r="D12" s="6" t="n">
        <x:v>175500</x:v>
      </x:c>
      <x:c r="E12" s="6" t="n">
        <x:f>C12-D12</x:f>
        <x:v>-161900</x:v>
      </x:c>
      <x:c r="F12" s="6" t="n">
        <x:f>F11+E12</x:f>
        <x:v>-335200</x:v>
      </x:c>
      <x:c r="G12" s="6" t="n">
        <x:v>-183000</x:v>
      </x:c>
      <x:c r="H12" s="6" t="n">
        <x:v>204800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84300</x:v>
      </x:c>
      <x:c r="E13" s="6" t="n">
        <x:f>C13-D13</x:f>
        <x:v>-84300</x:v>
      </x:c>
      <x:c r="F13" s="6" t="n">
        <x:f>F12+E13</x:f>
        <x:v>-419500</x:v>
      </x:c>
      <x:c r="G13" s="6" t="n">
        <x:v>-105000</x:v>
      </x:c>
      <x:c r="H13" s="6" t="n">
        <x:v>121300</x:v>
      </x:c>
    </x:row>
    <x:row r="14" ht="25" customHeight="1">
      <x:c r="A14" s="2" t="str">
        <x:v>2026-10-01_Day</x:v>
      </x:c>
      <x:c r="B14" s="2" t="str">
        <x:v>上昇</x:v>
      </x:c>
      <x:c r="C14" s="6" t="n">
        <x:v>48700</x:v>
      </x:c>
      <x:c r="D14" s="6" t="n">
        <x:v>91200</x:v>
      </x:c>
      <x:c r="E14" s="6" t="n">
        <x:f>C14-D14</x:f>
        <x:v>-42500</x:v>
      </x:c>
      <x:c r="F14" s="6" t="n">
        <x:f>F13+E14</x:f>
        <x:v>-462000</x:v>
      </x:c>
      <x:c r="G14" s="6" t="n">
        <x:v>-68200</x:v>
      </x:c>
      <x:c r="H14" s="6" t="n">
        <x:v>84400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11900</x:v>
      </x:c>
      <x:c r="D15" s="6" t="n">
        <x:v>46800</x:v>
      </x:c>
      <x:c r="E15" s="6" t="n">
        <x:f>C15-D15</x:f>
        <x:v>-34900</x:v>
      </x:c>
      <x:c r="F15" s="6" t="n">
        <x:f>F14+E15</x:f>
        <x:v>-496900</x:v>
      </x:c>
      <x:c r="G15" s="6" t="n">
        <x:v>-34900</x:v>
      </x:c>
      <x:c r="H15" s="6" t="n">
        <x:v>93900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151900</x:v>
      </x:c>
      <x:c r="E16" s="6" t="n">
        <x:f>C16-D16</x:f>
        <x:v>-151900</x:v>
      </x:c>
      <x:c r="F16" s="6" t="n">
        <x:f>F15+E16</x:f>
        <x:v>-648800</x:v>
      </x:c>
      <x:c r="G16" s="6" t="n">
        <x:v>-151900</x:v>
      </x:c>
      <x:c r="H16" s="6" t="n">
        <x:v>201900</x:v>
      </x:c>
    </x:row>
    <x:row r="17" ht="25" customHeight="1">
      <x:c r="A17" s="2" t="str">
        <x:v>2026-10-06_Day</x:v>
      </x:c>
      <x:c r="B17" s="2" t="str">
        <x:v>上昇</x:v>
      </x:c>
      <x:c r="C17" s="6" t="n">
        <x:v>64400</x:v>
      </x:c>
      <x:c r="D17" s="6" t="n">
        <x:v>107100</x:v>
      </x:c>
      <x:c r="E17" s="6" t="n">
        <x:f>C17-D17</x:f>
        <x:v>-42700</x:v>
      </x:c>
      <x:c r="F17" s="6" t="n">
        <x:f>F16+E17</x:f>
        <x:v>-691500</x:v>
      </x:c>
      <x:c r="G17" s="6" t="n">
        <x:v>-98500</x:v>
      </x:c>
      <x:c r="H17" s="6" t="n">
        <x:v>162200</x:v>
      </x:c>
    </x:row>
    <x:row r="18" ht="25" customHeight="1">
      <x:c r="A18" s="2" t="str">
        <x:v>2026-10-07_Day</x:v>
      </x:c>
      <x:c r="B18" s="2" t="str">
        <x:v>下落</x:v>
      </x:c>
      <x:c r="C18" s="6" t="n">
        <x:v>75500</x:v>
      </x:c>
      <x:c r="D18" s="6" t="n">
        <x:v>83900</x:v>
      </x:c>
      <x:c r="E18" s="6" t="n">
        <x:f>C18-D18</x:f>
        <x:v>-8400</x:v>
      </x:c>
      <x:c r="F18" s="6" t="n">
        <x:f>F17+E18</x:f>
        <x:v>-699900</x:v>
      </x:c>
      <x:c r="G18" s="6" t="n">
        <x:v>-16800</x:v>
      </x:c>
      <x:c r="H18" s="6" t="n">
        <x:v>99700</x:v>
      </x:c>
    </x:row>
    <x:row r="19" ht="25" customHeight="1">
      <x:c r="A19" s="2" t="str">
        <x:v>2026-10-08_Day</x:v>
      </x:c>
      <x:c r="B19" s="2" t="str">
        <x:v>下落</x:v>
      </x:c>
      <x:c r="C19" s="6" t="n">
        <x:v>6500</x:v>
      </x:c>
      <x:c r="D19" s="6" t="n">
        <x:v>111800</x:v>
      </x:c>
      <x:c r="E19" s="6" t="n">
        <x:f>C19-D19</x:f>
        <x:v>-105300</x:v>
      </x:c>
      <x:c r="F19" s="6" t="n">
        <x:f>F18+E19</x:f>
        <x:v>-805200</x:v>
      </x:c>
      <x:c r="G19" s="6" t="n">
        <x:v>-124600</x:v>
      </x:c>
      <x:c r="H19" s="6" t="n">
        <x:v>126700</x:v>
      </x:c>
    </x:row>
    <x:row r="20" ht="25" customHeight="1">
      <x:c r="A20" s="2" t="str">
        <x:v>2026-10-09_Day</x:v>
      </x:c>
      <x:c r="B20" s="2" t="str">
        <x:v>上昇</x:v>
      </x:c>
      <x:c r="C20" s="6" t="n">
        <x:v>11400</x:v>
      </x:c>
      <x:c r="D20" s="6" t="n">
        <x:v>132000</x:v>
      </x:c>
      <x:c r="E20" s="6" t="n">
        <x:f>C20-D20</x:f>
        <x:v>-120600</x:v>
      </x:c>
      <x:c r="F20" s="6" t="n">
        <x:f>F19+E20</x:f>
        <x:v>-925800</x:v>
      </x:c>
      <x:c r="G20" s="6" t="n">
        <x:v>-120600</x:v>
      </x:c>
      <x:c r="H20" s="6" t="n">
        <x:v>150900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-946400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29000</x:v>
      </x:c>
      <x:c r="D22" s="6" t="n">
        <x:v>292900</x:v>
      </x:c>
      <x:c r="E22" s="6" t="n">
        <x:f>C22-D22</x:f>
        <x:v>-263900</x:v>
      </x:c>
      <x:c r="F22" s="6" t="n">
        <x:f>F21+E22</x:f>
        <x:v>-1210300</x:v>
      </x:c>
      <x:c r="G22" s="6" t="n">
        <x:v>-263900</x:v>
      </x:c>
      <x:c r="H22" s="6" t="n">
        <x:v>286100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85500</x:v>
      </x:c>
      <x:c r="E23" s="6" t="n">
        <x:f>C23-D23</x:f>
        <x:v>79200</x:v>
      </x:c>
      <x:c r="F23" s="6" t="n">
        <x:f>F22+E23</x:f>
        <x:v>-1131100</x:v>
      </x:c>
      <x:c r="G23" s="6" t="n">
        <x:v>-86200</x:v>
      </x:c>
      <x:c r="H23" s="6" t="n">
        <x:v>86200</x:v>
      </x:c>
    </x:row>
    <x:row r="24" ht="25" customHeight="1">
      <x:c r="A24" s="2" t="str">
        <x:v>2026-10-15_Day</x:v>
      </x:c>
      <x:c r="B24" s="2" t="str">
        <x:v>下落</x:v>
      </x:c>
      <x:c r="C24" s="6" t="n">
        <x:v>5400</x:v>
      </x:c>
      <x:c r="D24" s="6" t="n">
        <x:v>74100</x:v>
      </x:c>
      <x:c r="E24" s="6" t="n">
        <x:f>C24-D24</x:f>
        <x:v>-68700</x:v>
      </x:c>
      <x:c r="F24" s="6" t="n">
        <x:f>F23+E24</x:f>
        <x:v>-1199800</x:v>
      </x:c>
      <x:c r="G24" s="6" t="n">
        <x:v>-74000</x:v>
      </x:c>
      <x:c r="H24" s="6" t="n">
        <x:v>97900</x:v>
      </x:c>
    </x:row>
    <x:row r="25" ht="25" customHeight="1">
      <x:c r="A25" s="2" t="str">
        <x:v>2026-10-16_Day</x:v>
      </x:c>
      <x:c r="B25" s="2" t="str">
        <x:v>上昇</x:v>
      </x:c>
      <x:c r="C25" s="6" t="n">
        <x:v>195300</x:v>
      </x:c>
      <x:c r="D25" s="6" t="n">
        <x:v>231700</x:v>
      </x:c>
      <x:c r="E25" s="6" t="n">
        <x:f>C25-D25</x:f>
        <x:v>-36400</x:v>
      </x:c>
      <x:c r="F25" s="6" t="n">
        <x:f>F24+E25</x:f>
        <x:v>-1236200</x:v>
      </x:c>
      <x:c r="G25" s="6" t="n">
        <x:v>-131400</x:v>
      </x:c>
      <x:c r="H25" s="6" t="n">
        <x:v>148800</x:v>
      </x:c>
    </x:row>
    <x:row r="26" ht="25" customHeight="1">
      <x:c r="A26" s="2" t="str">
        <x:v>2026-10-19_Day</x:v>
      </x:c>
      <x:c r="B26" s="2" t="str">
        <x:v>上昇</x:v>
      </x:c>
      <x:c r="C26" s="6" t="n">
        <x:v>121600</x:v>
      </x:c>
      <x:c r="D26" s="6" t="n">
        <x:v>40700</x:v>
      </x:c>
      <x:c r="E26" s="6" t="n">
        <x:f>C26-D26</x:f>
        <x:v>80900</x:v>
      </x:c>
      <x:c r="F26" s="6" t="n">
        <x:f>F25+E26</x:f>
        <x:v>-1155300</x:v>
      </x:c>
      <x:c r="G26" s="6" t="n">
        <x:v>-20800</x:v>
      </x:c>
      <x:c r="H26" s="6" t="n">
        <x:v>152600</x:v>
      </x:c>
    </x:row>
    <x:row r="27" ht="25" customHeight="1">
      <x:c r="A27" s="2" t="str">
        <x:v>2026-10-20_Day</x:v>
      </x:c>
      <x:c r="B27" s="2" t="str">
        <x:v>下落</x:v>
      </x:c>
      <x:c r="C27" s="6" t="n">
        <x:v>9100</x:v>
      </x:c>
      <x:c r="D27" s="6" t="n">
        <x:v>287300</x:v>
      </x:c>
      <x:c r="E27" s="6" t="n">
        <x:f>C27-D27</x:f>
        <x:v>-278200</x:v>
      </x:c>
      <x:c r="F27" s="6" t="n">
        <x:f>F26+E27</x:f>
        <x:v>-1433500</x:v>
      </x:c>
      <x:c r="G27" s="6" t="n">
        <x:v>-278200</x:v>
      </x:c>
      <x:c r="H27" s="6" t="n">
        <x:v>297600</x:v>
      </x:c>
    </x:row>
    <x:row r="28" ht="25" customHeight="1">
      <x:c r="A28" s="2" t="str">
        <x:v>2026-10-21_Day</x:v>
      </x:c>
      <x:c r="B28" s="2" t="str">
        <x:v>下落</x:v>
      </x:c>
      <x:c r="C28" s="6" t="n">
        <x:v>11500</x:v>
      </x:c>
      <x:c r="D28" s="6" t="n">
        <x:v>300700</x:v>
      </x:c>
      <x:c r="E28" s="6" t="n">
        <x:f>C28-D28</x:f>
        <x:v>-289200</x:v>
      </x:c>
      <x:c r="F28" s="6" t="n">
        <x:f>F27+E28</x:f>
        <x:v>-1722700</x:v>
      </x:c>
      <x:c r="G28" s="6" t="n">
        <x:v>-307200</x:v>
      </x:c>
      <x:c r="H28" s="6" t="n">
        <x:v>307200</x:v>
      </x:c>
    </x:row>
    <x:row r="29" ht="25" customHeight="1">
      <x:c r="A29" s="2" t="str">
        <x:v>2026-10-22_Day</x:v>
      </x:c>
      <x:c r="B29" s="2" t="str">
        <x:v>下落</x:v>
      </x:c>
      <x:c r="C29" s="6" t="n">
        <x:v>70700</x:v>
      </x:c>
      <x:c r="D29" s="6" t="n">
        <x:v>24000</x:v>
      </x:c>
      <x:c r="E29" s="6" t="n">
        <x:f>C29-D29</x:f>
        <x:v>46700</x:v>
      </x:c>
      <x:c r="F29" s="6" t="n">
        <x:f>F28+E29</x:f>
        <x:v>-1676000</x:v>
      </x:c>
      <x:c r="G29" s="6" t="n">
        <x:v>-3000</x:v>
      </x:c>
      <x:c r="H29" s="6" t="n">
        <x:v>75500</x:v>
      </x:c>
    </x:row>
    <x:row r="30" ht="25" customHeight="1">
      <x:c r="A30" s="2" t="str">
        <x:v>2026-10-23_Day</x:v>
      </x:c>
      <x:c r="B30" s="2" t="str">
        <x:v>上昇</x:v>
      </x:c>
      <x:c r="C30" s="6" t="n">
        <x:v>61800</x:v>
      </x:c>
      <x:c r="D30" s="6" t="n">
        <x:v>185700</x:v>
      </x:c>
      <x:c r="E30" s="6" t="n">
        <x:f>C30-D30</x:f>
        <x:v>-123900</x:v>
      </x:c>
      <x:c r="F30" s="6" t="n">
        <x:f>F29+E30</x:f>
        <x:v>-1799900</x:v>
      </x:c>
      <x:c r="G30" s="6" t="n">
        <x:v>-155700</x:v>
      </x:c>
      <x:c r="H30" s="6" t="n">
        <x:v>187200</x:v>
      </x:c>
    </x:row>
    <x:row r="31" ht="25" customHeight="1">
      <x:c r="A31" s="2" t="str">
        <x:v>2026-10-26_Day</x:v>
      </x:c>
      <x:c r="B31" s="2" t="str">
        <x:v>下落</x:v>
      </x:c>
      <x:c r="C31" s="6" t="n">
        <x:v>25100</x:v>
      </x:c>
      <x:c r="D31" s="6" t="n">
        <x:v>90500</x:v>
      </x:c>
      <x:c r="E31" s="6" t="n">
        <x:f>C31-D31</x:f>
        <x:v>-65400</x:v>
      </x:c>
      <x:c r="F31" s="6" t="n">
        <x:f>F30+E31</x:f>
        <x:v>-1865300</x:v>
      </x:c>
      <x:c r="G31" s="6" t="n">
        <x:v>-65400</x:v>
      </x:c>
      <x:c r="H31" s="6" t="n">
        <x:v>104700</x:v>
      </x:c>
    </x:row>
    <x:row r="32" ht="25" customHeight="1">
      <x:c r="A32" s="13" t="str">
        <x:v>累計／場内最悪値</x:v>
      </x:c>
      <x:c r="B32" s="13"/>
      <x:c r="C32" s="14" t="n">
        <x:f>SUM(C6:C31)</x:f>
        <x:v>1140200</x:v>
      </x:c>
      <x:c r="D32" s="14" t="n">
        <x:f>SUM(D6:D31)</x:f>
        <x:v>3005500</x:v>
      </x:c>
      <x:c r="E32" s="14" t="n">
        <x:f>C32-D32</x:f>
        <x:v>-1865300</x:v>
      </x:c>
      <x:c r="F32" s="14" t="n">
        <x:f>F31</x:f>
        <x:v>-1865300</x:v>
      </x:c>
      <x:c r="G32" s="14" t="n">
        <x:f>MIN(G6:G31)</x:f>
        <x:v>-307200</x:v>
      </x:c>
      <x:c r="H32" s="14" t="n">
        <x:f>MAX(H6:H31)</x:f>
        <x:v>307200</x:v>
      </x:c>
    </x:row>
  </x:sheetData>
  <x:conditionalFormatting sqref="E6:F31">
    <x:cfRule type="cellIs" dxfId="6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65ce964f5c42af"/>
  </x:tableParts>
</x:worksheet>
</file>

<file path=xl/worksheets/sheet7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J13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J10＋場開始比赤字抑制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9900</x:v>
      </x:c>
      <x:c r="D9" s="6" t="n">
        <x:v>139900</x:v>
      </x:c>
      <x:c r="E9" s="6" t="n">
        <x:f>C9-D9</x:f>
        <x:v>-130000</x:v>
      </x:c>
      <x:c r="F9" s="6" t="n">
        <x:f>F8+E9</x:f>
        <x:v>-147000</x:v>
      </x:c>
      <x:c r="G9" s="6" t="n">
        <x:v>-142500</x:v>
      </x:c>
      <x:c r="H9" s="6" t="n">
        <x:v>145100</x:v>
      </x:c>
    </x:row>
    <x:row r="10" ht="25" customHeight="1">
      <x:c r="A10" s="2" t="str">
        <x:v>2026-09-25_Day</x:v>
      </x:c>
      <x:c r="B10" s="2" t="str">
        <x:v>上昇</x:v>
      </x:c>
      <x:c r="C10" s="6" t="n">
        <x:v>142200</x:v>
      </x:c>
      <x:c r="D10" s="6" t="n">
        <x:v>96400</x:v>
      </x:c>
      <x:c r="E10" s="6" t="n">
        <x:f>C10-D10</x:f>
        <x:v>45800</x:v>
      </x:c>
      <x:c r="F10" s="6" t="n">
        <x:f>F9+E10</x:f>
        <x:v>-101200</x:v>
      </x:c>
      <x:c r="G10" s="6" t="n">
        <x:v>-11800</x:v>
      </x:c>
      <x:c r="H10" s="6" t="n">
        <x:v>109800</x:v>
      </x:c>
    </x:row>
    <x:row r="11" ht="25" customHeight="1">
      <x:c r="A11" s="2" t="str">
        <x:v>2026-09-28_Day</x:v>
      </x:c>
      <x:c r="B11" s="2" t="str">
        <x:v>下落</x:v>
      </x:c>
      <x:c r="C11" s="6" t="n">
        <x:v>17400</x:v>
      </x:c>
      <x:c r="D11" s="6" t="n">
        <x:v>102200</x:v>
      </x:c>
      <x:c r="E11" s="6" t="n">
        <x:f>C11-D11</x:f>
        <x:v>-84800</x:v>
      </x:c>
      <x:c r="F11" s="6" t="n">
        <x:f>F10+E11</x:f>
        <x:v>-186000</x:v>
      </x:c>
      <x:c r="G11" s="6" t="n">
        <x:v>-84800</x:v>
      </x:c>
      <x:c r="H11" s="6" t="n">
        <x:v>98900</x:v>
      </x:c>
    </x:row>
    <x:row r="12" ht="25" customHeight="1">
      <x:c r="A12" s="2" t="str">
        <x:v>2026-09-29_Day</x:v>
      </x:c>
      <x:c r="B12" s="2" t="str">
        <x:v>下落</x:v>
      </x:c>
      <x:c r="C12" s="6" t="n">
        <x:v>0</x:v>
      </x:c>
      <x:c r="D12" s="6" t="n">
        <x:v>147500</x:v>
      </x:c>
      <x:c r="E12" s="6" t="n">
        <x:f>C12-D12</x:f>
        <x:v>-147500</x:v>
      </x:c>
      <x:c r="F12" s="6" t="n">
        <x:f>F11+E12</x:f>
        <x:v>-333500</x:v>
      </x:c>
      <x:c r="G12" s="6" t="n">
        <x:v>-147500</x:v>
      </x:c>
      <x:c r="H12" s="6" t="n">
        <x:v>169300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84300</x:v>
      </x:c>
      <x:c r="E13" s="6" t="n">
        <x:f>C13-D13</x:f>
        <x:v>-84300</x:v>
      </x:c>
      <x:c r="F13" s="6" t="n">
        <x:f>F12+E13</x:f>
        <x:v>-417800</x:v>
      </x:c>
      <x:c r="G13" s="6" t="n">
        <x:v>-105000</x:v>
      </x:c>
      <x:c r="H13" s="6" t="n">
        <x:v>121300</x:v>
      </x:c>
    </x:row>
    <x:row r="14" ht="25" customHeight="1">
      <x:c r="A14" s="2" t="str">
        <x:v>2026-10-01_Day</x:v>
      </x:c>
      <x:c r="B14" s="2" t="str">
        <x:v>上昇</x:v>
      </x:c>
      <x:c r="C14" s="6" t="n">
        <x:v>48700</x:v>
      </x:c>
      <x:c r="D14" s="6" t="n">
        <x:v>91200</x:v>
      </x:c>
      <x:c r="E14" s="6" t="n">
        <x:f>C14-D14</x:f>
        <x:v>-42500</x:v>
      </x:c>
      <x:c r="F14" s="6" t="n">
        <x:f>F13+E14</x:f>
        <x:v>-460300</x:v>
      </x:c>
      <x:c r="G14" s="6" t="n">
        <x:v>-68200</x:v>
      </x:c>
      <x:c r="H14" s="6" t="n">
        <x:v>84400</x:v>
      </x:c>
    </x:row>
    <x:row r="15" ht="25" customHeight="1">
      <x:c r="A15" s="2" t="str">
        <x:v>2026-10-02_Day</x:v>
      </x:c>
      <x:c r="B15" s="2" t="str">
        <x:v>上昇</x:v>
      </x:c>
      <x:c r="C15" s="6" t="n">
        <x:v>11900</x:v>
      </x:c>
      <x:c r="D15" s="6" t="n">
        <x:v>46800</x:v>
      </x:c>
      <x:c r="E15" s="6" t="n">
        <x:f>C15-D15</x:f>
        <x:v>-34900</x:v>
      </x:c>
      <x:c r="F15" s="6" t="n">
        <x:f>F14+E15</x:f>
        <x:v>-495200</x:v>
      </x:c>
      <x:c r="G15" s="6" t="n">
        <x:v>-34900</x:v>
      </x:c>
      <x:c r="H15" s="6" t="n">
        <x:v>93900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114600</x:v>
      </x:c>
      <x:c r="E16" s="6" t="n">
        <x:f>C16-D16</x:f>
        <x:v>-114600</x:v>
      </x:c>
      <x:c r="F16" s="6" t="n">
        <x:f>F15+E16</x:f>
        <x:v>-609800</x:v>
      </x:c>
      <x:c r="G16" s="6" t="n">
        <x:v>-119000</x:v>
      </x:c>
      <x:c r="H16" s="6" t="n">
        <x:v>169000</x:v>
      </x:c>
    </x:row>
    <x:row r="17" ht="25" customHeight="1">
      <x:c r="A17" s="2" t="str">
        <x:v>2026-10-06_Day</x:v>
      </x:c>
      <x:c r="B17" s="2" t="str">
        <x:v>上昇</x:v>
      </x:c>
      <x:c r="C17" s="6" t="n">
        <x:v>63200</x:v>
      </x:c>
      <x:c r="D17" s="6" t="n">
        <x:v>107100</x:v>
      </x:c>
      <x:c r="E17" s="6" t="n">
        <x:f>C17-D17</x:f>
        <x:v>-43900</x:v>
      </x:c>
      <x:c r="F17" s="6" t="n">
        <x:f>F16+E17</x:f>
        <x:v>-653700</x:v>
      </x:c>
      <x:c r="G17" s="6" t="n">
        <x:v>-97300</x:v>
      </x:c>
      <x:c r="H17" s="6" t="n">
        <x:v>161000</x:v>
      </x:c>
    </x:row>
    <x:row r="18" ht="25" customHeight="1">
      <x:c r="A18" s="2" t="str">
        <x:v>2026-10-07_Day</x:v>
      </x:c>
      <x:c r="B18" s="2" t="str">
        <x:v>下落</x:v>
      </x:c>
      <x:c r="C18" s="6" t="n">
        <x:v>75500</x:v>
      </x:c>
      <x:c r="D18" s="6" t="n">
        <x:v>83900</x:v>
      </x:c>
      <x:c r="E18" s="6" t="n">
        <x:f>C18-D18</x:f>
        <x:v>-8400</x:v>
      </x:c>
      <x:c r="F18" s="6" t="n">
        <x:f>F17+E18</x:f>
        <x:v>-662100</x:v>
      </x:c>
      <x:c r="G18" s="6" t="n">
        <x:v>-16800</x:v>
      </x:c>
      <x:c r="H18" s="6" t="n">
        <x:v>99700</x:v>
      </x:c>
    </x:row>
    <x:row r="19" ht="25" customHeight="1">
      <x:c r="A19" s="2" t="str">
        <x:v>2026-10-08_Day</x:v>
      </x:c>
      <x:c r="B19" s="2" t="str">
        <x:v>下落</x:v>
      </x:c>
      <x:c r="C19" s="6" t="n">
        <x:v>0</x:v>
      </x:c>
      <x:c r="D19" s="6" t="n">
        <x:v>115200</x:v>
      </x:c>
      <x:c r="E19" s="6" t="n">
        <x:f>C19-D19</x:f>
        <x:v>-115200</x:v>
      </x:c>
      <x:c r="F19" s="6" t="n">
        <x:f>F18+E19</x:f>
        <x:v>-777300</x:v>
      </x:c>
      <x:c r="G19" s="6" t="n">
        <x:v>-120400</x:v>
      </x:c>
      <x:c r="H19" s="6" t="n">
        <x:v>122500</x:v>
      </x:c>
    </x:row>
    <x:row r="20" ht="25" customHeight="1">
      <x:c r="A20" s="2" t="str">
        <x:v>2026-10-09_Day</x:v>
      </x:c>
      <x:c r="B20" s="2" t="str">
        <x:v>上昇</x:v>
      </x:c>
      <x:c r="C20" s="6" t="n">
        <x:v>4200</x:v>
      </x:c>
      <x:c r="D20" s="6" t="n">
        <x:v>133900</x:v>
      </x:c>
      <x:c r="E20" s="6" t="n">
        <x:f>C20-D20</x:f>
        <x:v>-129700</x:v>
      </x:c>
      <x:c r="F20" s="6" t="n">
        <x:f>F19+E20</x:f>
        <x:v>-907000</x:v>
      </x:c>
      <x:c r="G20" s="6" t="n">
        <x:v>-129700</x:v>
      </x:c>
      <x:c r="H20" s="6" t="n">
        <x:v>160000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-927600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0</x:v>
      </x:c>
      <x:c r="D22" s="6" t="n">
        <x:v>156700</x:v>
      </x:c>
      <x:c r="E22" s="6" t="n">
        <x:f>C22-D22</x:f>
        <x:v>-156700</x:v>
      </x:c>
      <x:c r="F22" s="6" t="n">
        <x:f>F21+E22</x:f>
        <x:v>-1084300</x:v>
      </x:c>
      <x:c r="G22" s="6" t="n">
        <x:v>-156700</x:v>
      </x:c>
      <x:c r="H22" s="6" t="n">
        <x:v>178900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85500</x:v>
      </x:c>
      <x:c r="E23" s="6" t="n">
        <x:f>C23-D23</x:f>
        <x:v>79200</x:v>
      </x:c>
      <x:c r="F23" s="6" t="n">
        <x:f>F22+E23</x:f>
        <x:v>-1005100</x:v>
      </x:c>
      <x:c r="G23" s="6" t="n">
        <x:v>-86200</x:v>
      </x:c>
      <x:c r="H23" s="6" t="n">
        <x:v>86200</x:v>
      </x:c>
    </x:row>
    <x:row r="24" ht="25" customHeight="1">
      <x:c r="A24" s="2" t="str">
        <x:v>2026-10-15_Day</x:v>
      </x:c>
      <x:c r="B24" s="2" t="str">
        <x:v>下落</x:v>
      </x:c>
      <x:c r="C24" s="6" t="n">
        <x:v>5400</x:v>
      </x:c>
      <x:c r="D24" s="6" t="n">
        <x:v>74100</x:v>
      </x:c>
      <x:c r="E24" s="6" t="n">
        <x:f>C24-D24</x:f>
        <x:v>-68700</x:v>
      </x:c>
      <x:c r="F24" s="6" t="n">
        <x:f>F23+E24</x:f>
        <x:v>-1073800</x:v>
      </x:c>
      <x:c r="G24" s="6" t="n">
        <x:v>-73200</x:v>
      </x:c>
      <x:c r="H24" s="6" t="n">
        <x:v>97100</x:v>
      </x:c>
    </x:row>
    <x:row r="25" ht="25" customHeight="1">
      <x:c r="A25" s="2" t="str">
        <x:v>2026-10-16_Day</x:v>
      </x:c>
      <x:c r="B25" s="2" t="str">
        <x:v>上昇</x:v>
      </x:c>
      <x:c r="C25" s="6" t="n">
        <x:v>110600</x:v>
      </x:c>
      <x:c r="D25" s="6" t="n">
        <x:v>225700</x:v>
      </x:c>
      <x:c r="E25" s="6" t="n">
        <x:f>C25-D25</x:f>
        <x:v>-115100</x:v>
      </x:c>
      <x:c r="F25" s="6" t="n">
        <x:f>F24+E25</x:f>
        <x:v>-1188900</x:v>
      </x:c>
      <x:c r="G25" s="6" t="n">
        <x:v>-141300</x:v>
      </x:c>
      <x:c r="H25" s="6" t="n">
        <x:v>158700</x:v>
      </x:c>
    </x:row>
    <x:row r="26" ht="25" customHeight="1">
      <x:c r="A26" s="2" t="str">
        <x:v>2026-10-19_Day</x:v>
      </x:c>
      <x:c r="B26" s="2" t="str">
        <x:v>上昇</x:v>
      </x:c>
      <x:c r="C26" s="6" t="n">
        <x:v>121600</x:v>
      </x:c>
      <x:c r="D26" s="6" t="n">
        <x:v>40700</x:v>
      </x:c>
      <x:c r="E26" s="6" t="n">
        <x:f>C26-D26</x:f>
        <x:v>80900</x:v>
      </x:c>
      <x:c r="F26" s="6" t="n">
        <x:f>F25+E26</x:f>
        <x:v>-1108000</x:v>
      </x:c>
      <x:c r="G26" s="6" t="n">
        <x:v>-20800</x:v>
      </x:c>
      <x:c r="H26" s="6" t="n">
        <x:v>152600</x:v>
      </x:c>
    </x:row>
    <x:row r="27" ht="25" customHeight="1">
      <x:c r="A27" s="2" t="str">
        <x:v>2026-10-20_Day</x:v>
      </x:c>
      <x:c r="B27" s="2" t="str">
        <x:v>下落</x:v>
      </x:c>
      <x:c r="C27" s="6" t="n">
        <x:v>9100</x:v>
      </x:c>
      <x:c r="D27" s="6" t="n">
        <x:v>163800</x:v>
      </x:c>
      <x:c r="E27" s="6" t="n">
        <x:f>C27-D27</x:f>
        <x:v>-154700</x:v>
      </x:c>
      <x:c r="F27" s="6" t="n">
        <x:f>F26+E27</x:f>
        <x:v>-1262700</x:v>
      </x:c>
      <x:c r="G27" s="6" t="n">
        <x:v>-154700</x:v>
      </x:c>
      <x:c r="H27" s="6" t="n">
        <x:v>174100</x:v>
      </x:c>
    </x:row>
    <x:row r="28" ht="25" customHeight="1">
      <x:c r="A28" s="2" t="str">
        <x:v>2026-10-21_Day</x:v>
      </x:c>
      <x:c r="B28" s="2" t="str">
        <x:v>下落</x:v>
      </x:c>
      <x:c r="C28" s="6" t="n">
        <x:v>0</x:v>
      </x:c>
      <x:c r="D28" s="6" t="n">
        <x:v>157800</x:v>
      </x:c>
      <x:c r="E28" s="6" t="n">
        <x:f>C28-D28</x:f>
        <x:v>-157800</x:v>
      </x:c>
      <x:c r="F28" s="6" t="n">
        <x:f>F27+E28</x:f>
        <x:v>-1420500</x:v>
      </x:c>
      <x:c r="G28" s="6" t="n">
        <x:v>-157800</x:v>
      </x:c>
      <x:c r="H28" s="6" t="n">
        <x:v>157800</x:v>
      </x:c>
    </x:row>
    <x:row r="29" ht="25" customHeight="1">
      <x:c r="A29" s="2" t="str">
        <x:v>2026-10-22_Day</x:v>
      </x:c>
      <x:c r="B29" s="2" t="str">
        <x:v>下落</x:v>
      </x:c>
      <x:c r="C29" s="6" t="n">
        <x:v>70700</x:v>
      </x:c>
      <x:c r="D29" s="6" t="n">
        <x:v>24000</x:v>
      </x:c>
      <x:c r="E29" s="6" t="n">
        <x:f>C29-D29</x:f>
        <x:v>46700</x:v>
      </x:c>
      <x:c r="F29" s="6" t="n">
        <x:f>F28+E29</x:f>
        <x:v>-1373800</x:v>
      </x:c>
      <x:c r="G29" s="6" t="n">
        <x:v>-3000</x:v>
      </x:c>
      <x:c r="H29" s="6" t="n">
        <x:v>75500</x:v>
      </x:c>
    </x:row>
    <x:row r="30" ht="25" customHeight="1">
      <x:c r="A30" s="2" t="str">
        <x:v>2026-10-23_Day</x:v>
      </x:c>
      <x:c r="B30" s="2" t="str">
        <x:v>上昇</x:v>
      </x:c>
      <x:c r="C30" s="6" t="n">
        <x:v>38000</x:v>
      </x:c>
      <x:c r="D30" s="6" t="n">
        <x:v>167400</x:v>
      </x:c>
      <x:c r="E30" s="6" t="n">
        <x:f>C30-D30</x:f>
        <x:v>-129400</x:v>
      </x:c>
      <x:c r="F30" s="6" t="n">
        <x:f>F29+E30</x:f>
        <x:v>-1503200</x:v>
      </x:c>
      <x:c r="G30" s="6" t="n">
        <x:v>-136100</x:v>
      </x:c>
      <x:c r="H30" s="6" t="n">
        <x:v>167600</x:v>
      </x:c>
    </x:row>
    <x:row r="31" ht="25" customHeight="1">
      <x:c r="A31" s="2" t="str">
        <x:v>2026-10-26_Day</x:v>
      </x:c>
      <x:c r="B31" s="2" t="str">
        <x:v>下落</x:v>
      </x:c>
      <x:c r="C31" s="6" t="n">
        <x:v>25100</x:v>
      </x:c>
      <x:c r="D31" s="6" t="n">
        <x:v>90500</x:v>
      </x:c>
      <x:c r="E31" s="6" t="n">
        <x:f>C31-D31</x:f>
        <x:v>-65400</x:v>
      </x:c>
      <x:c r="F31" s="6" t="n">
        <x:f>F30+E31</x:f>
        <x:v>-1568600</x:v>
      </x:c>
      <x:c r="G31" s="6" t="n">
        <x:v>-65400</x:v>
      </x:c>
      <x:c r="H31" s="6" t="n">
        <x:v>104700</x:v>
      </x:c>
    </x:row>
    <x:row r="32" ht="25" customHeight="1">
      <x:c r="A32" s="13" t="str">
        <x:v>累計／場内最悪値</x:v>
      </x:c>
      <x:c r="B32" s="13"/>
      <x:c r="C32" s="14" t="n">
        <x:f>SUM(C6:C31)</x:f>
        <x:v>926600</x:v>
      </x:c>
      <x:c r="D32" s="14" t="n">
        <x:f>SUM(D6:D31)</x:f>
        <x:v>2495200</x:v>
      </x:c>
      <x:c r="E32" s="14" t="n">
        <x:f>C32-D32</x:f>
        <x:v>-1568600</x:v>
      </x:c>
      <x:c r="F32" s="14" t="n">
        <x:f>F31</x:f>
        <x:v>-1568600</x:v>
      </x:c>
      <x:c r="G32" s="14" t="n">
        <x:f>MIN(G6:G31)</x:f>
        <x:v>-157800</x:v>
      </x:c>
      <x:c r="H32" s="14" t="n">
        <x:f>MAX(H6:H31)</x:f>
        <x:v>178900</x:v>
      </x:c>
    </x:row>
  </x:sheetData>
  <x:conditionalFormatting sqref="E6:F31">
    <x:cfRule type="cellIs" dxfId="7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f05c65570648eb"/>
  </x:tableParts>
</x:worksheet>
</file>

<file path=xl/worksheets/sheet7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J14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J10の逆行累計上限50micro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-18200</x:v>
      </x:c>
      <x:c r="H8" s="6" t="n">
        <x:v>22200</x:v>
      </x:c>
    </x:row>
    <x:row r="9" ht="25" customHeight="1">
      <x:c r="A9" s="2" t="str">
        <x:v>2026-09-24_Day</x:v>
      </x:c>
      <x:c r="B9" s="2" t="str">
        <x:v>下落</x:v>
      </x:c>
      <x:c r="C9" s="6" t="n">
        <x:v>46000</x:v>
      </x:c>
      <x:c r="D9" s="6" t="n">
        <x:v>164500</x:v>
      </x:c>
      <x:c r="E9" s="6" t="n">
        <x:f>C9-D9</x:f>
        <x:v>-118500</x:v>
      </x:c>
      <x:c r="F9" s="6" t="n">
        <x:f>F8+E9</x:f>
        <x:v>-135500</x:v>
      </x:c>
      <x:c r="G9" s="6" t="n">
        <x:v>-173900</x:v>
      </x:c>
      <x:c r="H9" s="6" t="n">
        <x:v>181000</x:v>
      </x:c>
    </x:row>
    <x:row r="10" ht="25" customHeight="1">
      <x:c r="A10" s="2" t="str">
        <x:v>2026-09-25_Day</x:v>
      </x:c>
      <x:c r="B10" s="2" t="str">
        <x:v>上昇</x:v>
      </x:c>
      <x:c r="C10" s="6" t="n">
        <x:v>142200</x:v>
      </x:c>
      <x:c r="D10" s="6" t="n">
        <x:v>96400</x:v>
      </x:c>
      <x:c r="E10" s="6" t="n">
        <x:f>C10-D10</x:f>
        <x:v>45800</x:v>
      </x:c>
      <x:c r="F10" s="6" t="n">
        <x:f>F9+E10</x:f>
        <x:v>-89700</x:v>
      </x:c>
      <x:c r="G10" s="6" t="n">
        <x:v>-11800</x:v>
      </x:c>
      <x:c r="H10" s="6" t="n">
        <x:v>109800</x:v>
      </x:c>
    </x:row>
    <x:row r="11" ht="25" customHeight="1">
      <x:c r="A11" s="2" t="str">
        <x:v>2026-09-28_Day</x:v>
      </x:c>
      <x:c r="B11" s="2" t="str">
        <x:v>下落</x:v>
      </x:c>
      <x:c r="C11" s="6" t="n">
        <x:v>20000</x:v>
      </x:c>
      <x:c r="D11" s="6" t="n">
        <x:v>102200</x:v>
      </x:c>
      <x:c r="E11" s="6" t="n">
        <x:f>C11-D11</x:f>
        <x:v>-82200</x:v>
      </x:c>
      <x:c r="F11" s="6" t="n">
        <x:f>F10+E11</x:f>
        <x:v>-171900</x:v>
      </x:c>
      <x:c r="G11" s="6" t="n">
        <x:v>-82200</x:v>
      </x:c>
      <x:c r="H11" s="6" t="n">
        <x:v>96300</x:v>
      </x:c>
    </x:row>
    <x:row r="12" ht="25" customHeight="1">
      <x:c r="A12" s="2" t="str">
        <x:v>2026-09-29_Day</x:v>
      </x:c>
      <x:c r="B12" s="2" t="str">
        <x:v>下落</x:v>
      </x:c>
      <x:c r="C12" s="6" t="n">
        <x:v>32700</x:v>
      </x:c>
      <x:c r="D12" s="6" t="n">
        <x:v>172000</x:v>
      </x:c>
      <x:c r="E12" s="6" t="n">
        <x:f>C12-D12</x:f>
        <x:v>-139300</x:v>
      </x:c>
      <x:c r="F12" s="6" t="n">
        <x:f>F11+E12</x:f>
        <x:v>-311200</x:v>
      </x:c>
      <x:c r="G12" s="6" t="n">
        <x:v>-161300</x:v>
      </x:c>
      <x:c r="H12" s="6" t="n">
        <x:v>184600</x:v>
      </x:c>
    </x:row>
    <x:row r="13" ht="25" customHeight="1">
      <x:c r="A13" s="2" t="str">
        <x:v>2026-09-30_Day</x:v>
      </x:c>
      <x:c r="B13" s="2" t="str">
        <x:v>上昇</x:v>
      </x:c>
      <x:c r="C13" s="6" t="n">
        <x:v>0</x:v>
      </x:c>
      <x:c r="D13" s="6" t="n">
        <x:v>93900</x:v>
      </x:c>
      <x:c r="E13" s="6" t="n">
        <x:f>C13-D13</x:f>
        <x:v>-93900</x:v>
      </x:c>
      <x:c r="F13" s="6" t="n">
        <x:f>F12+E13</x:f>
        <x:v>-405100</x:v>
      </x:c>
      <x:c r="G13" s="6" t="n">
        <x:v>-114600</x:v>
      </x:c>
      <x:c r="H13" s="6" t="n">
        <x:v>133900</x:v>
      </x:c>
    </x:row>
    <x:row r="14" ht="25" customHeight="1">
      <x:c r="A14" s="2" t="str">
        <x:v>2026-10-01_Day</x:v>
      </x:c>
      <x:c r="B14" s="2" t="str">
        <x:v>上昇</x:v>
      </x:c>
      <x:c r="C14" s="6" t="n">
        <x:v>51200</x:v>
      </x:c>
      <x:c r="D14" s="6" t="n">
        <x:v>91200</x:v>
      </x:c>
      <x:c r="E14" s="6" t="n">
        <x:f>C14-D14</x:f>
        <x:v>-40000</x:v>
      </x:c>
      <x:c r="F14" s="6" t="n">
        <x:f>F13+E14</x:f>
        <x:v>-445100</x:v>
      </x:c>
      <x:c r="G14" s="6" t="n">
        <x:v>-68200</x:v>
      </x:c>
      <x:c r="H14" s="6" t="n">
        <x:v>84400</x:v>
      </x:c>
    </x:row>
    <x:row r="15" ht="25" customHeight="1">
      <x:c r="A15" s="2" t="str">
        <x:v>2026-10-02_Day</x:v>
      </x:c>
      <x:c r="B15" s="2" t="str">
        <x:v>上昇</x:v>
      </x:c>
      <x:c r="C15" s="6" t="n">
        <x:v>12400</x:v>
      </x:c>
      <x:c r="D15" s="6" t="n">
        <x:v>46800</x:v>
      </x:c>
      <x:c r="E15" s="6" t="n">
        <x:f>C15-D15</x:f>
        <x:v>-34400</x:v>
      </x:c>
      <x:c r="F15" s="6" t="n">
        <x:f>F14+E15</x:f>
        <x:v>-479500</x:v>
      </x:c>
      <x:c r="G15" s="6" t="n">
        <x:v>-34400</x:v>
      </x:c>
      <x:c r="H15" s="6" t="n">
        <x:v>93400</x:v>
      </x:c>
    </x:row>
    <x:row r="16" ht="25" customHeight="1">
      <x:c r="A16" s="2" t="str">
        <x:v>2026-10-05_Day</x:v>
      </x:c>
      <x:c r="B16" s="2" t="str">
        <x:v>上昇</x:v>
      </x:c>
      <x:c r="C16" s="6" t="n">
        <x:v>0</x:v>
      </x:c>
      <x:c r="D16" s="6" t="n">
        <x:v>162400</x:v>
      </x:c>
      <x:c r="E16" s="6" t="n">
        <x:f>C16-D16</x:f>
        <x:v>-162400</x:v>
      </x:c>
      <x:c r="F16" s="6" t="n">
        <x:f>F15+E16</x:f>
        <x:v>-641900</x:v>
      </x:c>
      <x:c r="G16" s="6" t="n">
        <x:v>-162400</x:v>
      </x:c>
      <x:c r="H16" s="6" t="n">
        <x:v>212400</x:v>
      </x:c>
    </x:row>
    <x:row r="17" ht="25" customHeight="1">
      <x:c r="A17" s="2" t="str">
        <x:v>2026-10-06_Day</x:v>
      </x:c>
      <x:c r="B17" s="2" t="str">
        <x:v>上昇</x:v>
      </x:c>
      <x:c r="C17" s="6" t="n">
        <x:v>90300</x:v>
      </x:c>
      <x:c r="D17" s="6" t="n">
        <x:v>125500</x:v>
      </x:c>
      <x:c r="E17" s="6" t="n">
        <x:f>C17-D17</x:f>
        <x:v>-35200</x:v>
      </x:c>
      <x:c r="F17" s="6" t="n">
        <x:f>F16+E17</x:f>
        <x:v>-677100</x:v>
      </x:c>
      <x:c r="G17" s="6" t="n">
        <x:v>-116900</x:v>
      </x:c>
      <x:c r="H17" s="6" t="n">
        <x:v>180600</x:v>
      </x:c>
    </x:row>
    <x:row r="18" ht="25" customHeight="1">
      <x:c r="A18" s="2" t="str">
        <x:v>2026-10-07_Day</x:v>
      </x:c>
      <x:c r="B18" s="2" t="str">
        <x:v>下落</x:v>
      </x:c>
      <x:c r="C18" s="6" t="n">
        <x:v>75500</x:v>
      </x:c>
      <x:c r="D18" s="6" t="n">
        <x:v>88700</x:v>
      </x:c>
      <x:c r="E18" s="6" t="n">
        <x:f>C18-D18</x:f>
        <x:v>-13200</x:v>
      </x:c>
      <x:c r="F18" s="6" t="n">
        <x:f>F17+E18</x:f>
        <x:v>-690300</x:v>
      </x:c>
      <x:c r="G18" s="6" t="n">
        <x:v>-21100</x:v>
      </x:c>
      <x:c r="H18" s="6" t="n">
        <x:v>104500</x:v>
      </x:c>
    </x:row>
    <x:row r="19" ht="25" customHeight="1">
      <x:c r="A19" s="2" t="str">
        <x:v>2026-10-08_Day</x:v>
      </x:c>
      <x:c r="B19" s="2" t="str">
        <x:v>下落</x:v>
      </x:c>
      <x:c r="C19" s="6" t="n">
        <x:v>6500</x:v>
      </x:c>
      <x:c r="D19" s="6" t="n">
        <x:v>111800</x:v>
      </x:c>
      <x:c r="E19" s="6" t="n">
        <x:f>C19-D19</x:f>
        <x:v>-105300</x:v>
      </x:c>
      <x:c r="F19" s="6" t="n">
        <x:f>F18+E19</x:f>
        <x:v>-795600</x:v>
      </x:c>
      <x:c r="G19" s="6" t="n">
        <x:v>-124600</x:v>
      </x:c>
      <x:c r="H19" s="6" t="n">
        <x:v>126700</x:v>
      </x:c>
    </x:row>
    <x:row r="20" ht="25" customHeight="1">
      <x:c r="A20" s="2" t="str">
        <x:v>2026-10-09_Day</x:v>
      </x:c>
      <x:c r="B20" s="2" t="str">
        <x:v>上昇</x:v>
      </x:c>
      <x:c r="C20" s="6" t="n">
        <x:v>0</x:v>
      </x:c>
      <x:c r="D20" s="6" t="n">
        <x:v>198800</x:v>
      </x:c>
      <x:c r="E20" s="6" t="n">
        <x:f>C20-D20</x:f>
        <x:v>-198800</x:v>
      </x:c>
      <x:c r="F20" s="6" t="n">
        <x:f>F19+E20</x:f>
        <x:v>-994400</x:v>
      </x:c>
      <x:c r="G20" s="6" t="n">
        <x:v>-198800</x:v>
      </x:c>
      <x:c r="H20" s="6" t="n">
        <x:v>229900</x:v>
      </x:c>
    </x:row>
    <x:row r="21" ht="25" customHeight="1">
      <x:c r="A21" s="2" t="str">
        <x:v>2026-10-12_Day</x:v>
      </x:c>
      <x:c r="B21" s="2" t="str">
        <x:v>下落</x:v>
      </x:c>
      <x:c r="C21" s="6" t="n">
        <x:v>3400</x:v>
      </x:c>
      <x:c r="D21" s="6" t="n">
        <x:v>24000</x:v>
      </x:c>
      <x:c r="E21" s="6" t="n">
        <x:f>C21-D21</x:f>
        <x:v>-20600</x:v>
      </x:c>
      <x:c r="F21" s="6" t="n">
        <x:f>F20+E21</x:f>
        <x:v>-1015000</x:v>
      </x:c>
      <x:c r="G21" s="6" t="n">
        <x:v>-26000</x:v>
      </x:c>
      <x:c r="H21" s="6" t="n">
        <x:v>30000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29000</x:v>
      </x:c>
      <x:c r="D22" s="6" t="n">
        <x:v>326800</x:v>
      </x:c>
      <x:c r="E22" s="6" t="n">
        <x:f>C22-D22</x:f>
        <x:v>-297800</x:v>
      </x:c>
      <x:c r="F22" s="6" t="n">
        <x:f>F21+E22</x:f>
        <x:v>-1312800</x:v>
      </x:c>
      <x:c r="G22" s="6" t="n">
        <x:v>-297800</x:v>
      </x:c>
      <x:c r="H22" s="6" t="n">
        <x:v>320000</x:v>
      </x:c>
    </x:row>
    <x:row r="23" ht="25" customHeight="1">
      <x:c r="A23" s="2" t="str">
        <x:v>2026-10-14_Day</x:v>
      </x:c>
      <x:c r="B23" s="2" t="str">
        <x:v>上昇</x:v>
      </x:c>
      <x:c r="C23" s="6" t="n">
        <x:v>164700</x:v>
      </x:c>
      <x:c r="D23" s="6" t="n">
        <x:v>85500</x:v>
      </x:c>
      <x:c r="E23" s="6" t="n">
        <x:f>C23-D23</x:f>
        <x:v>79200</x:v>
      </x:c>
      <x:c r="F23" s="6" t="n">
        <x:f>F22+E23</x:f>
        <x:v>-1233600</x:v>
      </x:c>
      <x:c r="G23" s="6" t="n">
        <x:v>-86200</x:v>
      </x:c>
      <x:c r="H23" s="6" t="n">
        <x:v>86200</x:v>
      </x:c>
    </x:row>
    <x:row r="24" ht="25" customHeight="1">
      <x:c r="A24" s="2" t="str">
        <x:v>2026-10-15_Day</x:v>
      </x:c>
      <x:c r="B24" s="2" t="str">
        <x:v>下落</x:v>
      </x:c>
      <x:c r="C24" s="6" t="n">
        <x:v>5400</x:v>
      </x:c>
      <x:c r="D24" s="6" t="n">
        <x:v>74100</x:v>
      </x:c>
      <x:c r="E24" s="6" t="n">
        <x:f>C24-D24</x:f>
        <x:v>-68700</x:v>
      </x:c>
      <x:c r="F24" s="6" t="n">
        <x:f>F23+E24</x:f>
        <x:v>-1302300</x:v>
      </x:c>
      <x:c r="G24" s="6" t="n">
        <x:v>-73200</x:v>
      </x:c>
      <x:c r="H24" s="6" t="n">
        <x:v>97100</x:v>
      </x:c>
    </x:row>
    <x:row r="25" ht="25" customHeight="1">
      <x:c r="A25" s="2" t="str">
        <x:v>2026-10-16_Day</x:v>
      </x:c>
      <x:c r="B25" s="2" t="str">
        <x:v>上昇</x:v>
      </x:c>
      <x:c r="C25" s="6" t="n">
        <x:v>198300</x:v>
      </x:c>
      <x:c r="D25" s="6" t="n">
        <x:v>250200</x:v>
      </x:c>
      <x:c r="E25" s="6" t="n">
        <x:f>C25-D25</x:f>
        <x:v>-51900</x:v>
      </x:c>
      <x:c r="F25" s="6" t="n">
        <x:f>F24+E25</x:f>
        <x:v>-1354200</x:v>
      </x:c>
      <x:c r="G25" s="6" t="n">
        <x:v>-146900</x:v>
      </x:c>
      <x:c r="H25" s="6" t="n">
        <x:v>164300</x:v>
      </x:c>
    </x:row>
    <x:row r="26" ht="25" customHeight="1">
      <x:c r="A26" s="2" t="str">
        <x:v>2026-10-19_Day</x:v>
      </x:c>
      <x:c r="B26" s="2" t="str">
        <x:v>上昇</x:v>
      </x:c>
      <x:c r="C26" s="6" t="n">
        <x:v>121600</x:v>
      </x:c>
      <x:c r="D26" s="6" t="n">
        <x:v>40700</x:v>
      </x:c>
      <x:c r="E26" s="6" t="n">
        <x:f>C26-D26</x:f>
        <x:v>80900</x:v>
      </x:c>
      <x:c r="F26" s="6" t="n">
        <x:f>F25+E26</x:f>
        <x:v>-1273300</x:v>
      </x:c>
      <x:c r="G26" s="6" t="n">
        <x:v>-20800</x:v>
      </x:c>
      <x:c r="H26" s="6" t="n">
        <x:v>152600</x:v>
      </x:c>
    </x:row>
    <x:row r="27" ht="25" customHeight="1">
      <x:c r="A27" s="2" t="str">
        <x:v>2026-10-20_Day</x:v>
      </x:c>
      <x:c r="B27" s="2" t="str">
        <x:v>下落</x:v>
      </x:c>
      <x:c r="C27" s="6" t="n">
        <x:v>9100</x:v>
      </x:c>
      <x:c r="D27" s="6" t="n">
        <x:v>295300</x:v>
      </x:c>
      <x:c r="E27" s="6" t="n">
        <x:f>C27-D27</x:f>
        <x:v>-286200</x:v>
      </x:c>
      <x:c r="F27" s="6" t="n">
        <x:f>F26+E27</x:f>
        <x:v>-1559500</x:v>
      </x:c>
      <x:c r="G27" s="6" t="n">
        <x:v>-286200</x:v>
      </x:c>
      <x:c r="H27" s="6" t="n">
        <x:v>305600</x:v>
      </x:c>
    </x:row>
    <x:row r="28" ht="25" customHeight="1">
      <x:c r="A28" s="2" t="str">
        <x:v>2026-10-21_Day</x:v>
      </x:c>
      <x:c r="B28" s="2" t="str">
        <x:v>下落</x:v>
      </x:c>
      <x:c r="C28" s="6" t="n">
        <x:v>14000</x:v>
      </x:c>
      <x:c r="D28" s="6" t="n">
        <x:v>307900</x:v>
      </x:c>
      <x:c r="E28" s="6" t="n">
        <x:f>C28-D28</x:f>
        <x:v>-293900</x:v>
      </x:c>
      <x:c r="F28" s="6" t="n">
        <x:f>F27+E28</x:f>
        <x:v>-1853400</x:v>
      </x:c>
      <x:c r="G28" s="6" t="n">
        <x:v>-314400</x:v>
      </x:c>
      <x:c r="H28" s="6" t="n">
        <x:v>314400</x:v>
      </x:c>
    </x:row>
    <x:row r="29" ht="25" customHeight="1">
      <x:c r="A29" s="2" t="str">
        <x:v>2026-10-22_Day</x:v>
      </x:c>
      <x:c r="B29" s="2" t="str">
        <x:v>下落</x:v>
      </x:c>
      <x:c r="C29" s="6" t="n">
        <x:v>70700</x:v>
      </x:c>
      <x:c r="D29" s="6" t="n">
        <x:v>24000</x:v>
      </x:c>
      <x:c r="E29" s="6" t="n">
        <x:f>C29-D29</x:f>
        <x:v>46700</x:v>
      </x:c>
      <x:c r="F29" s="6" t="n">
        <x:f>F28+E29</x:f>
        <x:v>-1806700</x:v>
      </x:c>
      <x:c r="G29" s="6" t="n">
        <x:v>-3000</x:v>
      </x:c>
      <x:c r="H29" s="6" t="n">
        <x:v>75500</x:v>
      </x:c>
    </x:row>
    <x:row r="30" ht="25" customHeight="1">
      <x:c r="A30" s="2" t="str">
        <x:v>2026-10-23_Day</x:v>
      </x:c>
      <x:c r="B30" s="2" t="str">
        <x:v>上昇</x:v>
      </x:c>
      <x:c r="C30" s="6" t="n">
        <x:v>64500</x:v>
      </x:c>
      <x:c r="D30" s="6" t="n">
        <x:v>243400</x:v>
      </x:c>
      <x:c r="E30" s="6" t="n">
        <x:f>C30-D30</x:f>
        <x:v>-178900</x:v>
      </x:c>
      <x:c r="F30" s="6" t="n">
        <x:f>F29+E30</x:f>
        <x:v>-1985600</x:v>
      </x:c>
      <x:c r="G30" s="6" t="n">
        <x:v>-213900</x:v>
      </x:c>
      <x:c r="H30" s="6" t="n">
        <x:v>245400</x:v>
      </x:c>
    </x:row>
    <x:row r="31" ht="25" customHeight="1">
      <x:c r="A31" s="2" t="str">
        <x:v>2026-10-26_Day</x:v>
      </x:c>
      <x:c r="B31" s="2" t="str">
        <x:v>下落</x:v>
      </x:c>
      <x:c r="C31" s="6" t="n">
        <x:v>14900</x:v>
      </x:c>
      <x:c r="D31" s="6" t="n">
        <x:v>90500</x:v>
      </x:c>
      <x:c r="E31" s="6" t="n">
        <x:f>C31-D31</x:f>
        <x:v>-75600</x:v>
      </x:c>
      <x:c r="F31" s="6" t="n">
        <x:f>F30+E31</x:f>
        <x:v>-2061200</x:v>
      </x:c>
      <x:c r="G31" s="6" t="n">
        <x:v>-75600</x:v>
      </x:c>
      <x:c r="H31" s="6" t="n">
        <x:v>123400</x:v>
      </x:c>
    </x:row>
    <x:row r="32" ht="25" customHeight="1">
      <x:c r="A32" s="13" t="str">
        <x:v>累計／場内最悪値</x:v>
      </x:c>
      <x:c r="B32" s="13"/>
      <x:c r="C32" s="14" t="n">
        <x:f>SUM(C6:C31)</x:f>
        <x:v>1177400</x:v>
      </x:c>
      <x:c r="D32" s="14" t="n">
        <x:f>SUM(D6:D31)</x:f>
        <x:v>3238600</x:v>
      </x:c>
      <x:c r="E32" s="14" t="n">
        <x:f>C32-D32</x:f>
        <x:v>-2061200</x:v>
      </x:c>
      <x:c r="F32" s="14" t="n">
        <x:f>F31</x:f>
        <x:v>-2061200</x:v>
      </x:c>
      <x:c r="G32" s="14" t="n">
        <x:f>MIN(G6:G31)</x:f>
        <x:v>-314400</x:v>
      </x:c>
      <x:c r="H32" s="14" t="n">
        <x:f>MAX(H6:H31)</x:f>
        <x:v>320000</x:v>
      </x:c>
    </x:row>
  </x:sheetData>
  <x:conditionalFormatting sqref="E6:F31">
    <x:cfRule type="cellIs" dxfId="7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1437529cce40b2"/>
  </x:tableParts>
</x:worksheet>
</file>

<file path=xl/worksheets/sheet7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日経 K02　日中損益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全Source初回10micro固定・追加比例・新出口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日経micro片側100枚・手数料0。途中最悪＝確定＋含みの最小、最大下落＝当場ピークからの落差。</x:v>
      </x:c>
      <x:c r="B4" s="2"/>
      <x:c r="C4" s="2"/>
      <x:c r="D4" s="2"/>
      <x:c r="E4" s="2"/>
      <x:c r="F4" s="2"/>
      <x:c r="G4" s="2"/>
      <x:c r="H4" s="2"/>
    </x:row>
    <x:row r="5" ht="43" customHeight="1">
      <x:c r="A5" s="10" t="str">
        <x:v>セッション</x:v>
      </x:c>
      <x:c r="B5" s="10" t="str">
        <x:v>場の方向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途中最悪収支（円）</x:v>
      </x:c>
      <x:c r="H5" s="10" t="str">
        <x:v>最大下落額（円）</x:v>
      </x:c>
    </x:row>
    <x:row r="6" ht="25" customHeight="1">
      <x:c r="A6" s="2" t="str">
        <x:v>2026-09-21_Day</x:v>
      </x:c>
      <x:c r="B6" s="2" t="str">
        <x:v>上昇</x:v>
      </x:c>
      <x:c r="C6" s="6" t="n">
        <x:v>5000</x:v>
      </x:c>
      <x:c r="D6" s="6" t="n">
        <x:v>8000</x:v>
      </x:c>
      <x:c r="E6" s="6" t="n">
        <x:f>C6-D6</x:f>
        <x:v>-3000</x:v>
      </x:c>
      <x:c r="F6" s="6" t="n">
        <x:f>E6</x:f>
        <x:v>-3000</x:v>
      </x:c>
      <x:c r="G6" s="6" t="n">
        <x:v>-10000</x:v>
      </x:c>
      <x:c r="H6" s="6" t="n">
        <x:v>11000</x:v>
      </x:c>
    </x:row>
    <x:row r="7" ht="25" customHeight="1">
      <x:c r="A7" s="2" t="str">
        <x:v>2026-09-22_Day</x:v>
      </x:c>
      <x:c r="B7" s="2" t="str">
        <x:v>下落</x:v>
      </x:c>
      <x:c r="C7" s="6" t="n">
        <x:v>0</x:v>
      </x:c>
      <x:c r="D7" s="6" t="n">
        <x:v>14000</x:v>
      </x:c>
      <x:c r="E7" s="6" t="n">
        <x:f>C7-D7</x:f>
        <x:v>-14000</x:v>
      </x:c>
      <x:c r="F7" s="6" t="n">
        <x:f>F6+E7</x:f>
        <x:v>-17000</x:v>
      </x:c>
      <x:c r="G7" s="6" t="n">
        <x:v>-14000</x:v>
      </x:c>
      <x:c r="H7" s="6" t="n">
        <x:v>16000</x:v>
      </x:c>
    </x:row>
    <x:row r="8" ht="25" customHeight="1">
      <x:c r="A8" s="2" t="str">
        <x:v>2026-09-23_Day</x:v>
      </x:c>
      <x:c r="B8" s="2" t="str">
        <x:v>下落</x:v>
      </x:c>
      <x:c r="C8" s="6" t="n">
        <x:v>0</x:v>
      </x:c>
      <x:c r="D8" s="6" t="n">
        <x:v>0</x:v>
      </x:c>
      <x:c r="E8" s="6" t="n">
        <x:f>C8-D8</x:f>
        <x:v>0</x:v>
      </x:c>
      <x:c r="F8" s="6" t="n">
        <x:f>F7+E8</x:f>
        <x:v>-17000</x:v>
      </x:c>
      <x:c r="G8" s="6" t="n">
        <x:v>-2000</x:v>
      </x:c>
      <x:c r="H8" s="6" t="n">
        <x:v>4000</x:v>
      </x:c>
    </x:row>
    <x:row r="9" ht="25" customHeight="1">
      <x:c r="A9" s="2" t="str">
        <x:v>2026-09-24_Day</x:v>
      </x:c>
      <x:c r="B9" s="2" t="str">
        <x:v>下落</x:v>
      </x:c>
      <x:c r="C9" s="6" t="n">
        <x:v>15200</x:v>
      </x:c>
      <x:c r="D9" s="6" t="n">
        <x:v>8000</x:v>
      </x:c>
      <x:c r="E9" s="6" t="n">
        <x:f>C9-D9</x:f>
        <x:v>7200</x:v>
      </x:c>
      <x:c r="F9" s="6" t="n">
        <x:f>F8+E9</x:f>
        <x:v>-9800</x:v>
      </x:c>
      <x:c r="G9" s="6" t="n">
        <x:v>-14000</x:v>
      </x:c>
      <x:c r="H9" s="6" t="n">
        <x:v>18000</x:v>
      </x:c>
    </x:row>
    <x:row r="10" ht="25" customHeight="1">
      <x:c r="A10" s="2" t="str">
        <x:v>2026-09-25_Day</x:v>
      </x:c>
      <x:c r="B10" s="2" t="str">
        <x:v>上昇</x:v>
      </x:c>
      <x:c r="C10" s="6" t="n">
        <x:v>27000</x:v>
      </x:c>
      <x:c r="D10" s="6" t="n">
        <x:v>16000</x:v>
      </x:c>
      <x:c r="E10" s="6" t="n">
        <x:f>C10-D10</x:f>
        <x:v>11000</x:v>
      </x:c>
      <x:c r="F10" s="6" t="n">
        <x:f>F9+E10</x:f>
        <x:v>1200</x:v>
      </x:c>
      <x:c r="G10" s="6" t="n">
        <x:v>-2000</x:v>
      </x:c>
      <x:c r="H10" s="6" t="n">
        <x:v>21000</x:v>
      </x:c>
    </x:row>
    <x:row r="11" ht="25" customHeight="1">
      <x:c r="A11" s="2" t="str">
        <x:v>2026-09-28_Day</x:v>
      </x:c>
      <x:c r="B11" s="2" t="str">
        <x:v>下落</x:v>
      </x:c>
      <x:c r="C11" s="6" t="n">
        <x:v>5000</x:v>
      </x:c>
      <x:c r="D11" s="6" t="n">
        <x:v>40000</x:v>
      </x:c>
      <x:c r="E11" s="6" t="n">
        <x:f>C11-D11</x:f>
        <x:v>-35000</x:v>
      </x:c>
      <x:c r="F11" s="6" t="n">
        <x:f>F10+E11</x:f>
        <x:v>-33800</x:v>
      </x:c>
      <x:c r="G11" s="6" t="n">
        <x:v>-39000</x:v>
      </x:c>
      <x:c r="H11" s="6" t="n">
        <x:v>42000</x:v>
      </x:c>
    </x:row>
    <x:row r="12" ht="25" customHeight="1">
      <x:c r="A12" s="2" t="str">
        <x:v>2026-09-29_Day</x:v>
      </x:c>
      <x:c r="B12" s="2" t="str">
        <x:v>下落</x:v>
      </x:c>
      <x:c r="C12" s="6" t="n">
        <x:v>8000</x:v>
      </x:c>
      <x:c r="D12" s="6" t="n">
        <x:v>18000</x:v>
      </x:c>
      <x:c r="E12" s="6" t="n">
        <x:f>C12-D12</x:f>
        <x:v>-10000</x:v>
      </x:c>
      <x:c r="F12" s="6" t="n">
        <x:f>F11+E12</x:f>
        <x:v>-43800</x:v>
      </x:c>
      <x:c r="G12" s="6" t="n">
        <x:v>-13500</x:v>
      </x:c>
      <x:c r="H12" s="6" t="n">
        <x:v>18500</x:v>
      </x:c>
    </x:row>
    <x:row r="13" ht="25" customHeight="1">
      <x:c r="A13" s="2" t="str">
        <x:v>2026-09-30_Day</x:v>
      </x:c>
      <x:c r="B13" s="2" t="str">
        <x:v>上昇</x:v>
      </x:c>
      <x:c r="C13" s="6" t="n">
        <x:v>3500</x:v>
      </x:c>
      <x:c r="D13" s="6" t="n">
        <x:v>16000</x:v>
      </x:c>
      <x:c r="E13" s="6" t="n">
        <x:f>C13-D13</x:f>
        <x:v>-12500</x:v>
      </x:c>
      <x:c r="F13" s="6" t="n">
        <x:f>F12+E13</x:f>
        <x:v>-56300</x:v>
      </x:c>
      <x:c r="G13" s="6" t="n">
        <x:v>-16500</x:v>
      </x:c>
      <x:c r="H13" s="6" t="n">
        <x:v>23000</x:v>
      </x:c>
    </x:row>
    <x:row r="14" ht="25" customHeight="1">
      <x:c r="A14" s="2" t="str">
        <x:v>2026-10-01_Day</x:v>
      </x:c>
      <x:c r="B14" s="2" t="str">
        <x:v>上昇</x:v>
      </x:c>
      <x:c r="C14" s="6" t="n">
        <x:v>17000</x:v>
      </x:c>
      <x:c r="D14" s="6" t="n">
        <x:v>23000</x:v>
      </x:c>
      <x:c r="E14" s="6" t="n">
        <x:f>C14-D14</x:f>
        <x:v>-6000</x:v>
      </x:c>
      <x:c r="F14" s="6" t="n">
        <x:f>F13+E14</x:f>
        <x:v>-62300</x:v>
      </x:c>
      <x:c r="G14" s="6" t="n">
        <x:v>-9000</x:v>
      </x:c>
      <x:c r="H14" s="6" t="n">
        <x:v>20000</x:v>
      </x:c>
    </x:row>
    <x:row r="15" ht="25" customHeight="1">
      <x:c r="A15" s="2" t="str">
        <x:v>2026-10-02_Day</x:v>
      </x:c>
      <x:c r="B15" s="2" t="str">
        <x:v>上昇</x:v>
      </x:c>
      <x:c r="C15" s="6" t="n">
        <x:v>15500</x:v>
      </x:c>
      <x:c r="D15" s="6" t="n">
        <x:v>3000</x:v>
      </x:c>
      <x:c r="E15" s="6" t="n">
        <x:f>C15-D15</x:f>
        <x:v>12500</x:v>
      </x:c>
      <x:c r="F15" s="6" t="n">
        <x:f>F14+E15</x:f>
        <x:v>-49800</x:v>
      </x:c>
      <x:c r="G15" s="6" t="n">
        <x:v>-7000</x:v>
      </x:c>
      <x:c r="H15" s="6" t="n">
        <x:v>11000</x:v>
      </x:c>
    </x:row>
    <x:row r="16" ht="25" customHeight="1">
      <x:c r="A16" s="2" t="str">
        <x:v>2026-10-05_Day</x:v>
      </x:c>
      <x:c r="B16" s="2" t="str">
        <x:v>上昇</x:v>
      </x:c>
      <x:c r="C16" s="6" t="n">
        <x:v>21000</x:v>
      </x:c>
      <x:c r="D16" s="6" t="n">
        <x:v>21500</x:v>
      </x:c>
      <x:c r="E16" s="6" t="n">
        <x:f>C16-D16</x:f>
        <x:v>-500</x:v>
      </x:c>
      <x:c r="F16" s="6" t="n">
        <x:f>F15+E16</x:f>
        <x:v>-50300</x:v>
      </x:c>
      <x:c r="G16" s="6" t="n">
        <x:v>-11000</x:v>
      </x:c>
      <x:c r="H16" s="6" t="n">
        <x:v>23500</x:v>
      </x:c>
    </x:row>
    <x:row r="17" ht="25" customHeight="1">
      <x:c r="A17" s="2" t="str">
        <x:v>2026-10-06_Day</x:v>
      </x:c>
      <x:c r="B17" s="2" t="str">
        <x:v>上昇</x:v>
      </x:c>
      <x:c r="C17" s="6" t="n">
        <x:v>20500</x:v>
      </x:c>
      <x:c r="D17" s="6" t="n">
        <x:v>16000</x:v>
      </x:c>
      <x:c r="E17" s="6" t="n">
        <x:f>C17-D17</x:f>
        <x:v>4500</x:v>
      </x:c>
      <x:c r="F17" s="6" t="n">
        <x:f>F16+E17</x:f>
        <x:v>-45800</x:v>
      </x:c>
      <x:c r="G17" s="6" t="n">
        <x:v>-5000</x:v>
      </x:c>
      <x:c r="H17" s="6" t="n">
        <x:v>20000</x:v>
      </x:c>
    </x:row>
    <x:row r="18" ht="25" customHeight="1">
      <x:c r="A18" s="2" t="str">
        <x:v>2026-10-07_Day</x:v>
      </x:c>
      <x:c r="B18" s="2" t="str">
        <x:v>下落</x:v>
      </x:c>
      <x:c r="C18" s="6" t="n">
        <x:v>23000</x:v>
      </x:c>
      <x:c r="D18" s="6" t="n">
        <x:v>13000</x:v>
      </x:c>
      <x:c r="E18" s="6" t="n">
        <x:f>C18-D18</x:f>
        <x:v>10000</x:v>
      </x:c>
      <x:c r="F18" s="6" t="n">
        <x:f>F17+E18</x:f>
        <x:v>-35800</x:v>
      </x:c>
      <x:c r="G18" s="6" t="n">
        <x:v>-7500</x:v>
      </x:c>
      <x:c r="H18" s="6" t="n">
        <x:v>19000</x:v>
      </x:c>
    </x:row>
    <x:row r="19" ht="25" customHeight="1">
      <x:c r="A19" s="2" t="str">
        <x:v>2026-10-08_Day</x:v>
      </x:c>
      <x:c r="B19" s="2" t="str">
        <x:v>下落</x:v>
      </x:c>
      <x:c r="C19" s="6" t="n">
        <x:v>8000</x:v>
      </x:c>
      <x:c r="D19" s="6" t="n">
        <x:v>20000</x:v>
      </x:c>
      <x:c r="E19" s="6" t="n">
        <x:f>C19-D19</x:f>
        <x:v>-12000</x:v>
      </x:c>
      <x:c r="F19" s="6" t="n">
        <x:f>F18+E19</x:f>
        <x:v>-47800</x:v>
      </x:c>
      <x:c r="G19" s="6" t="n">
        <x:v>-18000</x:v>
      </x:c>
      <x:c r="H19" s="6" t="n">
        <x:v>19000</x:v>
      </x:c>
    </x:row>
    <x:row r="20" ht="25" customHeight="1">
      <x:c r="A20" s="2" t="str">
        <x:v>2026-10-09_Day</x:v>
      </x:c>
      <x:c r="B20" s="2" t="str">
        <x:v>上昇</x:v>
      </x:c>
      <x:c r="C20" s="6" t="n">
        <x:v>15500</x:v>
      </x:c>
      <x:c r="D20" s="6" t="n">
        <x:v>24000</x:v>
      </x:c>
      <x:c r="E20" s="6" t="n">
        <x:f>C20-D20</x:f>
        <x:v>-8500</x:v>
      </x:c>
      <x:c r="F20" s="6" t="n">
        <x:f>F19+E20</x:f>
        <x:v>-56300</x:v>
      </x:c>
      <x:c r="G20" s="6" t="n">
        <x:v>-13500</x:v>
      </x:c>
      <x:c r="H20" s="6" t="n">
        <x:v>25000</x:v>
      </x:c>
    </x:row>
    <x:row r="21" ht="25" customHeight="1">
      <x:c r="A21" s="2" t="str">
        <x:v>2026-10-12_Day</x:v>
      </x:c>
      <x:c r="B21" s="2" t="str">
        <x:v>下落</x:v>
      </x:c>
      <x:c r="C21" s="6" t="n">
        <x:v>9000</x:v>
      </x:c>
      <x:c r="D21" s="6" t="n">
        <x:v>5000</x:v>
      </x:c>
      <x:c r="E21" s="6" t="n">
        <x:f>C21-D21</x:f>
        <x:v>4000</x:v>
      </x:c>
      <x:c r="F21" s="6" t="n">
        <x:f>F20+E21</x:f>
        <x:v>-52300</x:v>
      </x:c>
      <x:c r="G21" s="6" t="n">
        <x:v>-7000</x:v>
      </x:c>
      <x:c r="H21" s="6" t="n">
        <x:v>11000</x:v>
      </x:c>
    </x:row>
    <x:row r="22" ht="25" customHeight="1">
      <x:c r="A22" s="2" t="str">
        <x:v>2026-10-13_Day</x:v>
      </x:c>
      <x:c r="B22" s="2" t="str">
        <x:v>下落</x:v>
      </x:c>
      <x:c r="C22" s="6" t="n">
        <x:v>20000</x:v>
      </x:c>
      <x:c r="D22" s="6" t="n">
        <x:v>51500</x:v>
      </x:c>
      <x:c r="E22" s="6" t="n">
        <x:f>C22-D22</x:f>
        <x:v>-31500</x:v>
      </x:c>
      <x:c r="F22" s="6" t="n">
        <x:f>F21+E22</x:f>
        <x:v>-83800</x:v>
      </x:c>
      <x:c r="G22" s="6" t="n">
        <x:v>-31500</x:v>
      </x:c>
      <x:c r="H22" s="6" t="n">
        <x:v>34500</x:v>
      </x:c>
    </x:row>
    <x:row r="23" ht="25" customHeight="1">
      <x:c r="A23" s="2" t="str">
        <x:v>2026-10-14_Day</x:v>
      </x:c>
      <x:c r="B23" s="2" t="str">
        <x:v>上昇</x:v>
      </x:c>
      <x:c r="C23" s="6" t="n">
        <x:v>10000</x:v>
      </x:c>
      <x:c r="D23" s="6" t="n">
        <x:v>8000</x:v>
      </x:c>
      <x:c r="E23" s="6" t="n">
        <x:f>C23-D23</x:f>
        <x:v>2000</x:v>
      </x:c>
      <x:c r="F23" s="6" t="n">
        <x:f>F22+E23</x:f>
        <x:v>-81800</x:v>
      </x:c>
      <x:c r="G23" s="6" t="n">
        <x:v>-9000</x:v>
      </x:c>
      <x:c r="H23" s="6" t="n">
        <x:v>9000</x:v>
      </x:c>
    </x:row>
    <x:row r="24" ht="25" customHeight="1">
      <x:c r="A24" s="2" t="str">
        <x:v>2026-10-15_Day</x:v>
      </x:c>
      <x:c r="B24" s="2" t="str">
        <x:v>下落</x:v>
      </x:c>
      <x:c r="C24" s="6" t="n">
        <x:v>3000</x:v>
      </x:c>
      <x:c r="D24" s="6" t="n">
        <x:v>23000</x:v>
      </x:c>
      <x:c r="E24" s="6" t="n">
        <x:f>C24-D24</x:f>
        <x:v>-20000</x:v>
      </x:c>
      <x:c r="F24" s="6" t="n">
        <x:f>F23+E24</x:f>
        <x:v>-101800</x:v>
      </x:c>
      <x:c r="G24" s="6" t="n">
        <x:v>-20000</x:v>
      </x:c>
      <x:c r="H24" s="6" t="n">
        <x:v>20000</x:v>
      </x:c>
    </x:row>
    <x:row r="25" ht="25" customHeight="1">
      <x:c r="A25" s="2" t="str">
        <x:v>2026-10-16_Day</x:v>
      </x:c>
      <x:c r="B25" s="2" t="str">
        <x:v>上昇</x:v>
      </x:c>
      <x:c r="C25" s="6" t="n">
        <x:v>41300</x:v>
      </x:c>
      <x:c r="D25" s="6" t="n">
        <x:v>41000</x:v>
      </x:c>
      <x:c r="E25" s="6" t="n">
        <x:f>C25-D25</x:f>
        <x:v>300</x:v>
      </x:c>
      <x:c r="F25" s="6" t="n">
        <x:f>F24+E25</x:f>
        <x:v>-101500</x:v>
      </x:c>
      <x:c r="G25" s="6" t="n">
        <x:v>-25000</x:v>
      </x:c>
      <x:c r="H25" s="6" t="n">
        <x:v>28000</x:v>
      </x:c>
    </x:row>
    <x:row r="26" ht="25" customHeight="1">
      <x:c r="A26" s="2" t="str">
        <x:v>2026-10-19_Day</x:v>
      </x:c>
      <x:c r="B26" s="2" t="str">
        <x:v>上昇</x:v>
      </x:c>
      <x:c r="C26" s="6" t="n">
        <x:v>20500</x:v>
      </x:c>
      <x:c r="D26" s="6" t="n">
        <x:v>0</x:v>
      </x:c>
      <x:c r="E26" s="6" t="n">
        <x:f>C26-D26</x:f>
        <x:v>20500</x:v>
      </x:c>
      <x:c r="F26" s="6" t="n">
        <x:f>F25+E26</x:f>
        <x:v>-81000</x:v>
      </x:c>
      <x:c r="G26" s="6" t="n">
        <x:v>-4000</x:v>
      </x:c>
      <x:c r="H26" s="6" t="n">
        <x:v>12000</x:v>
      </x:c>
    </x:row>
    <x:row r="27" ht="25" customHeight="1">
      <x:c r="A27" s="2" t="str">
        <x:v>2026-10-20_Day</x:v>
      </x:c>
      <x:c r="B27" s="2" t="str">
        <x:v>下落</x:v>
      </x:c>
      <x:c r="C27" s="6" t="n">
        <x:v>9000</x:v>
      </x:c>
      <x:c r="D27" s="6" t="n">
        <x:v>24000</x:v>
      </x:c>
      <x:c r="E27" s="6" t="n">
        <x:f>C27-D27</x:f>
        <x:v>-15000</x:v>
      </x:c>
      <x:c r="F27" s="6" t="n">
        <x:f>F26+E27</x:f>
        <x:v>-96000</x:v>
      </x:c>
      <x:c r="G27" s="6" t="n">
        <x:v>-15000</x:v>
      </x:c>
      <x:c r="H27" s="6" t="n">
        <x:v>21000</x:v>
      </x:c>
    </x:row>
    <x:row r="28" ht="25" customHeight="1">
      <x:c r="A28" s="2" t="str">
        <x:v>2026-10-21_Day</x:v>
      </x:c>
      <x:c r="B28" s="2" t="str">
        <x:v>下落</x:v>
      </x:c>
      <x:c r="C28" s="6" t="n">
        <x:v>8000</x:v>
      </x:c>
      <x:c r="D28" s="6" t="n">
        <x:v>45000</x:v>
      </x:c>
      <x:c r="E28" s="6" t="n">
        <x:f>C28-D28</x:f>
        <x:v>-37000</x:v>
      </x:c>
      <x:c r="F28" s="6" t="n">
        <x:f>F27+E28</x:f>
        <x:v>-133000</x:v>
      </x:c>
      <x:c r="G28" s="6" t="n">
        <x:v>-46000</x:v>
      </x:c>
      <x:c r="H28" s="6" t="n">
        <x:v>46000</x:v>
      </x:c>
    </x:row>
    <x:row r="29" ht="25" customHeight="1">
      <x:c r="A29" s="2" t="str">
        <x:v>2026-10-22_Day</x:v>
      </x:c>
      <x:c r="B29" s="2" t="str">
        <x:v>下落</x:v>
      </x:c>
      <x:c r="C29" s="6" t="n">
        <x:v>14000</x:v>
      </x:c>
      <x:c r="D29" s="6" t="n">
        <x:v>0</x:v>
      </x:c>
      <x:c r="E29" s="6" t="n">
        <x:f>C29-D29</x:f>
        <x:v>14000</x:v>
      </x:c>
      <x:c r="F29" s="6" t="n">
        <x:f>F28+E29</x:f>
        <x:v>-119000</x:v>
      </x:c>
      <x:c r="G29" s="6" t="n">
        <x:v>-3000</x:v>
      </x:c>
      <x:c r="H29" s="6" t="n">
        <x:v>6500</x:v>
      </x:c>
    </x:row>
    <x:row r="30" ht="25" customHeight="1">
      <x:c r="A30" s="2" t="str">
        <x:v>2026-10-23_Day</x:v>
      </x:c>
      <x:c r="B30" s="2" t="str">
        <x:v>上昇</x:v>
      </x:c>
      <x:c r="C30" s="6" t="n">
        <x:v>26000</x:v>
      </x:c>
      <x:c r="D30" s="6" t="n">
        <x:v>33500</x:v>
      </x:c>
      <x:c r="E30" s="6" t="n">
        <x:f>C30-D30</x:f>
        <x:v>-7500</x:v>
      </x:c>
      <x:c r="F30" s="6" t="n">
        <x:f>F29+E30</x:f>
        <x:v>-126500</x:v>
      </x:c>
      <x:c r="G30" s="6" t="n">
        <x:v>-12500</x:v>
      </x:c>
      <x:c r="H30" s="6" t="n">
        <x:v>28000</x:v>
      </x:c>
    </x:row>
    <x:row r="31" ht="25" customHeight="1">
      <x:c r="A31" s="2" t="str">
        <x:v>2026-10-26_Day</x:v>
      </x:c>
      <x:c r="B31" s="2" t="str">
        <x:v>下落</x:v>
      </x:c>
      <x:c r="C31" s="6" t="n">
        <x:v>1000</x:v>
      </x:c>
      <x:c r="D31" s="6" t="n">
        <x:v>24000</x:v>
      </x:c>
      <x:c r="E31" s="6" t="n">
        <x:f>C31-D31</x:f>
        <x:v>-23000</x:v>
      </x:c>
      <x:c r="F31" s="6" t="n">
        <x:f>F30+E31</x:f>
        <x:v>-149500</x:v>
      </x:c>
      <x:c r="G31" s="6" t="n">
        <x:v>-23000</x:v>
      </x:c>
      <x:c r="H31" s="6" t="n">
        <x:v>26000</x:v>
      </x:c>
    </x:row>
    <x:row r="32" ht="25" customHeight="1">
      <x:c r="A32" s="13" t="str">
        <x:v>累計／場内最悪値</x:v>
      </x:c>
      <x:c r="B32" s="13"/>
      <x:c r="C32" s="14" t="n">
        <x:f>SUM(C6:C31)</x:f>
        <x:v>346000</x:v>
      </x:c>
      <x:c r="D32" s="14" t="n">
        <x:f>SUM(D6:D31)</x:f>
        <x:v>495500</x:v>
      </x:c>
      <x:c r="E32" s="14" t="n">
        <x:f>C32-D32</x:f>
        <x:v>-149500</x:v>
      </x:c>
      <x:c r="F32" s="14" t="n">
        <x:f>F31</x:f>
        <x:v>-149500</x:v>
      </x:c>
      <x:c r="G32" s="14" t="n">
        <x:f>MIN(G6:G31)</x:f>
        <x:v>-46000</x:v>
      </x:c>
      <x:c r="H32" s="14" t="n">
        <x:f>MAX(H6:H31)</x:f>
        <x:v>46000</x:v>
      </x:c>
    </x:row>
  </x:sheetData>
  <x:conditionalFormatting sqref="E6:F31">
    <x:cfRule type="cellIs" dxfId="7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3d5330762b4c15"/>
  </x:tableParts>
</x:worksheet>
</file>

<file path=xl/worksheets/sheet7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実際に使った数量の比較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26完了デイ。micro枚数、平均は正式セッション時間で加重。初回は採用親の実約定。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gross＝買＋売、net＝差引の絶対値。Qも別親の買売が同時に残ることがある。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3" customHeight="1">
      <x:c r="A5" s="10" t="str">
        <x:v>手法</x:v>
      </x:c>
      <x:c r="B5" s="10" t="str">
        <x:v>平均gross枚数</x:v>
      </x:c>
      <x:c r="C5" s="10" t="str">
        <x:v>平均net枚数</x:v>
      </x:c>
      <x:c r="D5" s="10" t="str">
        <x:v>最大gross枚数</x:v>
      </x:c>
      <x:c r="E5" s="10" t="str">
        <x:v>最大net枚数</x:v>
      </x:c>
      <x:c r="F5" s="10" t="str">
        <x:v>初回平均枚数</x:v>
      </x:c>
      <x:c r="G5" s="10" t="str">
        <x:v>初回中央値</x:v>
      </x:c>
      <x:c r="H5" s="10" t="str">
        <x:v>初回最少枚数</x:v>
      </x:c>
      <x:c r="I5" s="10" t="str">
        <x:v>初回最多枚数</x:v>
      </x:c>
      <x:c r="J5" s="10" t="str">
        <x:v>初回親数</x:v>
      </x:c>
      <x:c r="K5" s="10" t="str">
        <x:v>無取引場数</x:v>
      </x:c>
      <x:c r="L5" s="10" t="str">
        <x:v>実保有時間率</x:v>
      </x:c>
    </x:row>
    <x:row r="6" ht="25" customHeight="1">
      <x:c r="A6" s="2" t="str">
        <x:v>C00</x:v>
      </x:c>
      <x:c r="B6" s="22" t="n">
        <x:v>16.82657203907204</x:v>
      </x:c>
      <x:c r="C6" s="17" t="n">
        <x:v>15.135821123321124</x:v>
      </x:c>
      <x:c r="D6" s="6" t="n">
        <x:v>90</x:v>
      </x:c>
      <x:c r="E6" s="6" t="n">
        <x:v>80</x:v>
      </x:c>
      <x:c r="F6" s="17" t="n">
        <x:v>31.612903225806452</x:v>
      </x:c>
      <x:c r="G6" s="17" t="n">
        <x:v>20</x:v>
      </x:c>
      <x:c r="H6" s="6" t="n">
        <x:v>20</x:v>
      </x:c>
      <x:c r="I6" s="6" t="n">
        <x:v>50</x:v>
      </x:c>
      <x:c r="J6" s="6" t="n">
        <x:v>155</x:v>
      </x:c>
      <x:c r="K6" s="6" t="n">
        <x:v>0</x:v>
      </x:c>
      <x:c r="L6" s="23" t="n">
        <x:v>0.5333959096459097</x:v>
      </x:c>
    </x:row>
    <x:row r="7" ht="25" customHeight="1">
      <x:c r="A7" s="2" t="str">
        <x:v>K01</x:v>
      </x:c>
      <x:c r="B7" s="22" t="n">
        <x:v>5.279833638583638</x:v>
      </x:c>
      <x:c r="C7" s="17" t="n">
        <x:v>4.541539987789988</x:v>
      </x:c>
      <x:c r="D7" s="6" t="n">
        <x:v>30</x:v>
      </x:c>
      <x:c r="E7" s="6" t="n">
        <x:v>25</x:v>
      </x:c>
      <x:c r="F7" s="17" t="n">
        <x:v>10</x:v>
      </x:c>
      <x:c r="G7" s="17" t="n">
        <x:v>10</x:v>
      </x:c>
      <x:c r="H7" s="6" t="n">
        <x:v>10</x:v>
      </x:c>
      <x:c r="I7" s="6" t="n">
        <x:v>10</x:v>
      </x:c>
      <x:c r="J7" s="6" t="n">
        <x:v>155</x:v>
      </x:c>
      <x:c r="K7" s="6" t="n">
        <x:v>0</x:v>
      </x:c>
      <x:c r="L7" s="23" t="n">
        <x:v>0.5333959096459097</x:v>
      </x:c>
    </x:row>
    <x:row r="8" ht="25" customHeight="1">
      <x:c r="A8" s="2" t="str">
        <x:v>J02</x:v>
      </x:c>
      <x:c r="B8" s="22" t="n">
        <x:v>14.075241147741147</x:v>
      </x:c>
      <x:c r="C8" s="17" t="n">
        <x:v>13.167640415140415</x:v>
      </x:c>
      <x:c r="D8" s="6" t="n">
        <x:v>126</x:v>
      </x:c>
      <x:c r="E8" s="6" t="n">
        <x:v>100</x:v>
      </x:c>
      <x:c r="F8" s="17" t="n">
        <x:v>22.309677419354838</x:v>
      </x:c>
      <x:c r="G8" s="17" t="n">
        <x:v>13</x:v>
      </x:c>
      <x:c r="H8" s="6" t="n">
        <x:v>10</x:v>
      </x:c>
      <x:c r="I8" s="6" t="n">
        <x:v>81</x:v>
      </x:c>
      <x:c r="J8" s="6" t="n">
        <x:v>155</x:v>
      </x:c>
      <x:c r="K8" s="6" t="n">
        <x:v>0</x:v>
      </x:c>
      <x:c r="L8" s="23" t="n">
        <x:v>0.5333959096459097</x:v>
      </x:c>
    </x:row>
    <x:row r="9" ht="25" customHeight="1">
      <x:c r="A9" s="2" t="str">
        <x:v>J03</x:v>
      </x:c>
      <x:c r="B9" s="22" t="n">
        <x:v>18.158692002442002</x:v>
      </x:c>
      <x:c r="C9" s="17" t="n">
        <x:v>16.523105921855922</x:v>
      </x:c>
      <x:c r="D9" s="6" t="n">
        <x:v>134</x:v>
      </x:c>
      <x:c r="E9" s="6" t="n">
        <x:v>100</x:v>
      </x:c>
      <x:c r="F9" s="17" t="n">
        <x:v>30.81290322580645</x:v>
      </x:c>
      <x:c r="G9" s="17" t="n">
        <x:v>23</x:v>
      </x:c>
      <x:c r="H9" s="6" t="n">
        <x:v>18</x:v>
      </x:c>
      <x:c r="I9" s="6" t="n">
        <x:v>83</x:v>
      </x:c>
      <x:c r="J9" s="6" t="n">
        <x:v>155</x:v>
      </x:c>
      <x:c r="K9" s="6" t="n">
        <x:v>0</x:v>
      </x:c>
      <x:c r="L9" s="23" t="n">
        <x:v>0.5333959096459097</x:v>
      </x:c>
    </x:row>
    <x:row r="10" ht="25" customHeight="1">
      <x:c r="A10" s="2" t="str">
        <x:v>J15</x:v>
      </x:c>
      <x:c r="B10" s="22" t="n">
        <x:v>9.123113553113553</x:v>
      </x:c>
      <x:c r="C10" s="17" t="n">
        <x:v>8.344691697191697</x:v>
      </x:c>
      <x:c r="D10" s="6" t="n">
        <x:v>89</x:v>
      </x:c>
      <x:c r="E10" s="6" t="n">
        <x:v>71</x:v>
      </x:c>
      <x:c r="F10" s="17" t="n">
        <x:v>15.07741935483871</x:v>
      </x:c>
      <x:c r="G10" s="17" t="n">
        <x:v>10</x:v>
      </x:c>
      <x:c r="H10" s="6" t="n">
        <x:v>10</x:v>
      </x:c>
      <x:c r="I10" s="6" t="n">
        <x:v>66</x:v>
      </x:c>
      <x:c r="J10" s="6" t="n">
        <x:v>155</x:v>
      </x:c>
      <x:c r="K10" s="6" t="n">
        <x:v>0</x:v>
      </x:c>
      <x:c r="L10" s="23" t="n">
        <x:v>0.5333959096459097</x:v>
      </x:c>
    </x:row>
    <x:row r="11" ht="25" customHeight="1">
      <x:c r="A11" s="2" t="str">
        <x:v>O01</x:v>
      </x:c>
      <x:c r="B11" s="22" t="n">
        <x:v>30.494481074481072</x:v>
      </x:c>
      <x:c r="C11" s="17" t="n">
        <x:v>26.823550061050064</x:v>
      </x:c>
      <x:c r="D11" s="6" t="n">
        <x:v>179</x:v>
      </x:c>
      <x:c r="E11" s="6" t="n">
        <x:v>100</x:v>
      </x:c>
      <x:c r="F11" s="17" t="n">
        <x:v>21.412903225806453</x:v>
      </x:c>
      <x:c r="G11" s="17" t="n">
        <x:v>13</x:v>
      </x:c>
      <x:c r="H11" s="6" t="n">
        <x:v>5</x:v>
      </x:c>
      <x:c r="I11" s="6" t="n">
        <x:v>81</x:v>
      </x:c>
      <x:c r="J11" s="6" t="n">
        <x:v>155</x:v>
      </x:c>
      <x:c r="K11" s="6" t="n">
        <x:v>0</x:v>
      </x:c>
      <x:c r="L11" s="23" t="n">
        <x:v>0.5333959096459097</x:v>
      </x:c>
    </x:row>
    <x:row r="12" ht="25" customHeight="1">
      <x:c r="A12" s="2" t="str">
        <x:v>O02</x:v>
      </x:c>
      <x:c r="B12" s="22" t="n">
        <x:v>30.32818070818071</x:v>
      </x:c>
      <x:c r="C12" s="17" t="n">
        <x:v>26.661746031746034</x:v>
      </x:c>
      <x:c r="D12" s="6" t="n">
        <x:v>179</x:v>
      </x:c>
      <x:c r="E12" s="6" t="n">
        <x:v>100</x:v>
      </x:c>
      <x:c r="F12" s="17" t="n">
        <x:v>21.412903225806453</x:v>
      </x:c>
      <x:c r="G12" s="17" t="n">
        <x:v>13</x:v>
      </x:c>
      <x:c r="H12" s="6" t="n">
        <x:v>5</x:v>
      </x:c>
      <x:c r="I12" s="6" t="n">
        <x:v>81</x:v>
      </x:c>
      <x:c r="J12" s="6" t="n">
        <x:v>155</x:v>
      </x:c>
      <x:c r="K12" s="6" t="n">
        <x:v>0</x:v>
      </x:c>
      <x:c r="L12" s="23" t="n">
        <x:v>0.5333791208791209</x:v>
      </x:c>
    </x:row>
    <x:row r="13" ht="25" customHeight="1">
      <x:c r="A13" s="2" t="str">
        <x:v>O03</x:v>
      </x:c>
      <x:c r="B13" s="22" t="n">
        <x:v>30.328460012210012</x:v>
      </x:c>
      <x:c r="C13" s="17" t="n">
        <x:v>26.661878815628818</x:v>
      </x:c>
      <x:c r="D13" s="6" t="n">
        <x:v>179</x:v>
      </x:c>
      <x:c r="E13" s="6" t="n">
        <x:v>100</x:v>
      </x:c>
      <x:c r="F13" s="17" t="n">
        <x:v>21.412903225806453</x:v>
      </x:c>
      <x:c r="G13" s="17" t="n">
        <x:v>13</x:v>
      </x:c>
      <x:c r="H13" s="6" t="n">
        <x:v>5</x:v>
      </x:c>
      <x:c r="I13" s="6" t="n">
        <x:v>81</x:v>
      </x:c>
      <x:c r="J13" s="6" t="n">
        <x:v>155</x:v>
      </x:c>
      <x:c r="K13" s="6" t="n">
        <x:v>0</x:v>
      </x:c>
      <x:c r="L13" s="23" t="n">
        <x:v>0.5333791208791209</x:v>
      </x:c>
    </x:row>
    <x:row r="14" ht="25" customHeight="1">
      <x:c r="A14" s="2" t="str">
        <x:v>O04</x:v>
      </x:c>
      <x:c r="B14" s="22" t="n">
        <x:v>30.135108363858365</x:v>
      </x:c>
      <x:c r="C14" s="17" t="n">
        <x:v>26.562608363858367</x:v>
      </x:c>
      <x:c r="D14" s="6" t="n">
        <x:v>173</x:v>
      </x:c>
      <x:c r="E14" s="6" t="n">
        <x:v>100</x:v>
      </x:c>
      <x:c r="F14" s="17" t="n">
        <x:v>21.529032258064515</x:v>
      </x:c>
      <x:c r="G14" s="17" t="n">
        <x:v>13</x:v>
      </x:c>
      <x:c r="H14" s="6" t="n">
        <x:v>5</x:v>
      </x:c>
      <x:c r="I14" s="6" t="n">
        <x:v>81</x:v>
      </x:c>
      <x:c r="J14" s="6" t="n">
        <x:v>155</x:v>
      </x:c>
      <x:c r="K14" s="6" t="n">
        <x:v>0</x:v>
      </x:c>
      <x:c r="L14" s="23" t="n">
        <x:v>0.5333470695970696</x:v>
      </x:c>
    </x:row>
    <x:row r="15" ht="25" customHeight="1">
      <x:c r="A15" s="2" t="str">
        <x:v>O05</x:v>
      </x:c>
      <x:c r="B15" s="22" t="n">
        <x:v>29.94014346764347</x:v>
      </x:c>
      <x:c r="C15" s="17" t="n">
        <x:v>26.441129426129425</x:v>
      </x:c>
      <x:c r="D15" s="6" t="n">
        <x:v>166</x:v>
      </x:c>
      <x:c r="E15" s="6" t="n">
        <x:v>100</x:v>
      </x:c>
      <x:c r="F15" s="17" t="n">
        <x:v>21.509677419354837</x:v>
      </x:c>
      <x:c r="G15" s="17" t="n">
        <x:v>13</x:v>
      </x:c>
      <x:c r="H15" s="6" t="n">
        <x:v>5</x:v>
      </x:c>
      <x:c r="I15" s="6" t="n">
        <x:v>81</x:v>
      </x:c>
      <x:c r="J15" s="6" t="n">
        <x:v>155</x:v>
      </x:c>
      <x:c r="K15" s="6" t="n">
        <x:v>0</x:v>
      </x:c>
      <x:c r="L15" s="23" t="n">
        <x:v>0.5333623321123321</x:v>
      </x:c>
    </x:row>
    <x:row r="16" ht="25" customHeight="1">
      <x:c r="A16" s="2" t="str">
        <x:v>O06</x:v>
      </x:c>
      <x:c r="B16" s="22" t="n">
        <x:v>30.616868131868134</x:v>
      </x:c>
      <x:c r="C16" s="17" t="n">
        <x:v>26.878394383394383</x:v>
      </x:c>
      <x:c r="D16" s="6" t="n">
        <x:v>172</x:v>
      </x:c>
      <x:c r="E16" s="6" t="n">
        <x:v>100</x:v>
      </x:c>
      <x:c r="F16" s="17" t="n">
        <x:v>21.329032258064515</x:v>
      </x:c>
      <x:c r="G16" s="17" t="n">
        <x:v>13</x:v>
      </x:c>
      <x:c r="H16" s="6" t="n">
        <x:v>5</x:v>
      </x:c>
      <x:c r="I16" s="6" t="n">
        <x:v>81</x:v>
      </x:c>
      <x:c r="J16" s="6" t="n">
        <x:v>155</x:v>
      </x:c>
      <x:c r="K16" s="6" t="n">
        <x:v>0</x:v>
      </x:c>
      <x:c r="L16" s="23" t="n">
        <x:v>0.5333501221001221</x:v>
      </x:c>
    </x:row>
    <x:row r="17" ht="25" customHeight="1">
      <x:c r="A17" s="2" t="str">
        <x:v>O07</x:v>
      </x:c>
      <x:c r="B17" s="22" t="n">
        <x:v>30.483002136752138</x:v>
      </x:c>
      <x:c r="C17" s="17" t="n">
        <x:v>26.87212606837607</x:v>
      </x:c>
      <x:c r="D17" s="6" t="n">
        <x:v>166</x:v>
      </x:c>
      <x:c r="E17" s="6" t="n">
        <x:v>100</x:v>
      </x:c>
      <x:c r="F17" s="17" t="n">
        <x:v>21.374193548387098</x:v>
      </x:c>
      <x:c r="G17" s="17" t="n">
        <x:v>13</x:v>
      </x:c>
      <x:c r="H17" s="6" t="n">
        <x:v>5</x:v>
      </x:c>
      <x:c r="I17" s="6" t="n">
        <x:v>81</x:v>
      </x:c>
      <x:c r="J17" s="6" t="n">
        <x:v>155</x:v>
      </x:c>
      <x:c r="K17" s="6" t="n">
        <x:v>0</x:v>
      </x:c>
      <x:c r="L17" s="23" t="n">
        <x:v>0.5333623321123321</x:v>
      </x:c>
    </x:row>
    <x:row r="18" ht="25" customHeight="1">
      <x:c r="A18" s="2" t="str">
        <x:v>O08</x:v>
      </x:c>
      <x:c r="B18" s="22" t="n">
        <x:v>30.32927655677656</x:v>
      </x:c>
      <x:c r="C18" s="17" t="n">
        <x:v>26.441129426129425</x:v>
      </x:c>
      <x:c r="D18" s="6" t="n">
        <x:v>200</x:v>
      </x:c>
      <x:c r="E18" s="6" t="n">
        <x:v>100</x:v>
      </x:c>
      <x:c r="F18" s="17" t="n">
        <x:v>21.509677419354837</x:v>
      </x:c>
      <x:c r="G18" s="17" t="n">
        <x:v>13</x:v>
      </x:c>
      <x:c r="H18" s="6" t="n">
        <x:v>5</x:v>
      </x:c>
      <x:c r="I18" s="6" t="n">
        <x:v>81</x:v>
      </x:c>
      <x:c r="J18" s="6" t="n">
        <x:v>155</x:v>
      </x:c>
      <x:c r="K18" s="6" t="n">
        <x:v>0</x:v>
      </x:c>
      <x:c r="L18" s="23" t="n">
        <x:v>0.5333959096459097</x:v>
      </x:c>
    </x:row>
    <x:row r="19" ht="25" customHeight="1">
      <x:c r="A19" s="2" t="str">
        <x:v>O09</x:v>
      </x:c>
      <x:c r="B19" s="22" t="n">
        <x:v>19.133363858363857</x:v>
      </x:c>
      <x:c r="C19" s="17" t="n">
        <x:v>16.76699023199023</x:v>
      </x:c>
      <x:c r="D19" s="6" t="n">
        <x:v>157</x:v>
      </x:c>
      <x:c r="E19" s="6" t="n">
        <x:v>100</x:v>
      </x:c>
      <x:c r="F19" s="17" t="n">
        <x:v>20.45945945945946</x:v>
      </x:c>
      <x:c r="G19" s="17" t="n">
        <x:v>12</x:v>
      </x:c>
      <x:c r="H19" s="6" t="n">
        <x:v>1</x:v>
      </x:c>
      <x:c r="I19" s="6" t="n">
        <x:v>81</x:v>
      </x:c>
      <x:c r="J19" s="6" t="n">
        <x:v>111</x:v>
      </x:c>
      <x:c r="K19" s="6" t="n">
        <x:v>0</x:v>
      </x:c>
      <x:c r="L19" s="23" t="n">
        <x:v>0.36898046398046397</x:v>
      </x:c>
    </x:row>
    <x:row r="20" ht="25" customHeight="1">
      <x:c r="A20" s="2" t="str">
        <x:v>O10</x:v>
      </x:c>
      <x:c r="B20" s="22" t="n">
        <x:v>18.29441391941392</x:v>
      </x:c>
      <x:c r="C20" s="17" t="n">
        <x:v>15.91729242979243</x:v>
      </x:c>
      <x:c r="D20" s="6" t="n">
        <x:v>165</x:v>
      </x:c>
      <x:c r="E20" s="6" t="n">
        <x:v>100</x:v>
      </x:c>
      <x:c r="F20" s="17" t="n">
        <x:v>21.774193548387096</x:v>
      </x:c>
      <x:c r="G20" s="17" t="n">
        <x:v>13</x:v>
      </x:c>
      <x:c r="H20" s="6" t="n">
        <x:v>10</x:v>
      </x:c>
      <x:c r="I20" s="6" t="n">
        <x:v>81</x:v>
      </x:c>
      <x:c r="J20" s="6" t="n">
        <x:v>155</x:v>
      </x:c>
      <x:c r="K20" s="6" t="n">
        <x:v>0</x:v>
      </x:c>
      <x:c r="L20" s="23" t="n">
        <x:v>0.3662896825396825</x:v>
      </x:c>
    </x:row>
    <x:row r="21" ht="25" customHeight="1">
      <x:c r="A21" s="2" t="str">
        <x:v>O11</x:v>
      </x:c>
      <x:c r="B21" s="22" t="n">
        <x:v>18.4209768009768</x:v>
      </x:c>
      <x:c r="C21" s="17" t="n">
        <x:v>15.978809523809524</x:v>
      </x:c>
      <x:c r="D21" s="6" t="n">
        <x:v>166</x:v>
      </x:c>
      <x:c r="E21" s="6" t="n">
        <x:v>100</x:v>
      </x:c>
      <x:c r="F21" s="17" t="n">
        <x:v>21.767741935483873</x:v>
      </x:c>
      <x:c r="G21" s="17" t="n">
        <x:v>13</x:v>
      </x:c>
      <x:c r="H21" s="6" t="n">
        <x:v>10</x:v>
      </x:c>
      <x:c r="I21" s="6" t="n">
        <x:v>81</x:v>
      </x:c>
      <x:c r="J21" s="6" t="n">
        <x:v>155</x:v>
      </x:c>
      <x:c r="K21" s="6" t="n">
        <x:v>0</x:v>
      </x:c>
      <x:c r="L21" s="23" t="n">
        <x:v>0.36627289377289374</x:v>
      </x:c>
    </x:row>
    <x:row r="22" ht="25" customHeight="1">
      <x:c r="A22" s="2" t="str">
        <x:v>J01</x:v>
      </x:c>
      <x:c r="B22" s="22" t="n">
        <x:v>11.970117521367522</x:v>
      </x:c>
      <x:c r="C22" s="17" t="n">
        <x:v>11.429812271062271</x:v>
      </x:c>
      <x:c r="D22" s="6" t="n">
        <x:v>120</x:v>
      </x:c>
      <x:c r="E22" s="6" t="n">
        <x:v>100</x:v>
      </x:c>
      <x:c r="F22" s="17" t="n">
        <x:v>18.032258064516128</x:v>
      </x:c>
      <x:c r="G22" s="17" t="n">
        <x:v>9</x:v>
      </x:c>
      <x:c r="H22" s="6" t="n">
        <x:v>5</x:v>
      </x:c>
      <x:c r="I22" s="6" t="n">
        <x:v>79</x:v>
      </x:c>
      <x:c r="J22" s="6" t="n">
        <x:v>155</x:v>
      </x:c>
      <x:c r="K22" s="6" t="n">
        <x:v>0</x:v>
      </x:c>
      <x:c r="L22" s="23" t="n">
        <x:v>0.5333959096459097</x:v>
      </x:c>
    </x:row>
    <x:row r="23" ht="25" customHeight="1">
      <x:c r="A23" s="2" t="str">
        <x:v>V_B00</x:v>
      </x:c>
      <x:c r="B23" s="22" t="n">
        <x:v>7.6551892551892555</x:v>
      </x:c>
      <x:c r="C23" s="17" t="n">
        <x:v>7.522161172161172</x:v>
      </x:c>
      <x:c r="D23" s="6" t="n">
        <x:v>70</x:v>
      </x:c>
      <x:c r="E23" s="6" t="n">
        <x:v>60</x:v>
      </x:c>
      <x:c r="F23" s="17" t="n">
        <x:v>30.18867924528302</x:v>
      </x:c>
      <x:c r="G23" s="17" t="n">
        <x:v>20</x:v>
      </x:c>
      <x:c r="H23" s="6" t="n">
        <x:v>20</x:v>
      </x:c>
      <x:c r="I23" s="6" t="n">
        <x:v>50</x:v>
      </x:c>
      <x:c r="J23" s="6" t="n">
        <x:v>53</x:v>
      </x:c>
      <x:c r="K23" s="6" t="n">
        <x:v>5</x:v>
      </x:c>
      <x:c r="L23" s="23" t="n">
        <x:v>0.2531364468864469</x:v>
      </x:c>
    </x:row>
    <x:row r="24" ht="25" customHeight="1">
      <x:c r="A24" s="2" t="str">
        <x:v>V_B01</x:v>
      </x:c>
      <x:c r="B24" s="22" t="n">
        <x:v>9.43382783882784</x:v>
      </x:c>
      <x:c r="C24" s="17" t="n">
        <x:v>9.292554945054945</x:v>
      </x:c>
      <x:c r="D24" s="6" t="n">
        <x:v>116</x:v>
      </x:c>
      <x:c r="E24" s="6" t="n">
        <x:v>100</x:v>
      </x:c>
      <x:c r="F24" s="17" t="n">
        <x:v>35.24528301886792</x:v>
      </x:c>
      <x:c r="G24" s="17" t="n">
        <x:v>30</x:v>
      </x:c>
      <x:c r="H24" s="6" t="n">
        <x:v>8</x:v>
      </x:c>
      <x:c r="I24" s="6" t="n">
        <x:v>78</x:v>
      </x:c>
      <x:c r="J24" s="6" t="n">
        <x:v>53</x:v>
      </x:c>
      <x:c r="K24" s="6" t="n">
        <x:v>5</x:v>
      </x:c>
      <x:c r="L24" s="23" t="n">
        <x:v>0.2531364468864469</x:v>
      </x:c>
    </x:row>
    <x:row r="25" ht="25" customHeight="1">
      <x:c r="A25" s="2" t="str">
        <x:v>C01</x:v>
      </x:c>
      <x:c r="B25" s="22" t="n">
        <x:v>2.270054945054945</x:v>
      </x:c>
      <x:c r="C25" s="17" t="n">
        <x:v>2.240018315018315</x:v>
      </x:c>
      <x:c r="D25" s="6" t="n">
        <x:v>70</x:v>
      </x:c>
      <x:c r="E25" s="6" t="n">
        <x:v>70</x:v>
      </x:c>
      <x:c r="F25" s="17" t="n">
        <x:v>31.612903225806452</x:v>
      </x:c>
      <x:c r="G25" s="17" t="n">
        <x:v>20</x:v>
      </x:c>
      <x:c r="H25" s="6" t="n">
        <x:v>20</x:v>
      </x:c>
      <x:c r="I25" s="6" t="n">
        <x:v>50</x:v>
      </x:c>
      <x:c r="J25" s="6" t="n">
        <x:v>155</x:v>
      </x:c>
      <x:c r="K25" s="6" t="n">
        <x:v>0</x:v>
      </x:c>
      <x:c r="L25" s="23" t="n">
        <x:v>0.07097374847374847</x:v>
      </x:c>
    </x:row>
    <x:row r="26" ht="25" customHeight="1">
      <x:c r="A26" s="2" t="str">
        <x:v>C02</x:v>
      </x:c>
      <x:c r="B26" s="22" t="n">
        <x:v>0.008608058608058609</x:v>
      </x:c>
      <x:c r="C26" s="17" t="n">
        <x:v>0.008608058608058609</x:v>
      </x:c>
      <x:c r="D26" s="6" t="n">
        <x:v>20</x:v>
      </x:c>
      <x:c r="E26" s="6" t="n">
        <x:v>20</x:v>
      </x:c>
      <x:c r="F26" s="17" t="n">
        <x:v>20</x:v>
      </x:c>
      <x:c r="G26" s="17" t="n">
        <x:v>20</x:v>
      </x:c>
      <x:c r="H26" s="6" t="n">
        <x:v>20</x:v>
      </x:c>
      <x:c r="I26" s="6" t="n">
        <x:v>20</x:v>
      </x:c>
      <x:c r="J26" s="6" t="n">
        <x:v>4</x:v>
      </x:c>
      <x:c r="K26" s="6" t="n">
        <x:v>22</x:v>
      </x:c>
      <x:c r="L26" s="23" t="n">
        <x:v>0.0005097680097680098</x:v>
      </x:c>
    </x:row>
    <x:row r="27" ht="25" customHeight="1">
      <x:c r="A27" s="2" t="str">
        <x:v>B00</x:v>
      </x:c>
      <x:c r="B27" s="22" t="n">
        <x:v>0.701892551892552</x:v>
      </x:c>
      <x:c r="C27" s="17" t="n">
        <x:v>0.701892551892552</x:v>
      </x:c>
      <x:c r="D27" s="6" t="n">
        <x:v>30</x:v>
      </x:c>
      <x:c r="E27" s="6" t="n">
        <x:v>30</x:v>
      </x:c>
      <x:c r="F27" s="17" t="n">
        <x:v>20</x:v>
      </x:c>
      <x:c r="G27" s="17" t="n">
        <x:v>20</x:v>
      </x:c>
      <x:c r="H27" s="6" t="n">
        <x:v>20</x:v>
      </x:c>
      <x:c r="I27" s="6" t="n">
        <x:v>20</x:v>
      </x:c>
      <x:c r="J27" s="6" t="n">
        <x:v>4</x:v>
      </x:c>
      <x:c r="K27" s="6" t="n">
        <x:v>22</x:v>
      </x:c>
      <x:c r="L27" s="23" t="n">
        <x:v>0.036326312576312574</x:v>
      </x:c>
    </x:row>
    <x:row r="28" ht="25" customHeight="1">
      <x:c r="A28" s="2" t="str">
        <x:v>B01</x:v>
      </x:c>
      <x:c r="B28" s="22" t="n">
        <x:v>1.7541330891330893</x:v>
      </x:c>
      <x:c r="C28" s="17" t="n">
        <x:v>1.7541330891330893</x:v>
      </x:c>
      <x:c r="D28" s="6" t="n">
        <x:v>71</x:v>
      </x:c>
      <x:c r="E28" s="6" t="n">
        <x:v>71</x:v>
      </x:c>
      <x:c r="F28" s="17" t="n">
        <x:v>41.5</x:v>
      </x:c>
      <x:c r="G28" s="17" t="n">
        <x:v>41</x:v>
      </x:c>
      <x:c r="H28" s="6" t="n">
        <x:v>13</x:v>
      </x:c>
      <x:c r="I28" s="6" t="n">
        <x:v>71</x:v>
      </x:c>
      <x:c r="J28" s="6" t="n">
        <x:v>4</x:v>
      </x:c>
      <x:c r="K28" s="6" t="n">
        <x:v>22</x:v>
      </x:c>
      <x:c r="L28" s="23" t="n">
        <x:v>0.036326312576312574</x:v>
      </x:c>
    </x:row>
    <x:row r="29" ht="25" customHeight="1">
      <x:c r="A29" s="2" t="str">
        <x:v>Q00</x:v>
      </x:c>
      <x:c r="B29" s="22" t="n">
        <x:v>0.0144993894993895</x:v>
      </x:c>
      <x:c r="C29" s="17" t="n">
        <x:v>0.0144993894993895</x:v>
      </x:c>
      <x:c r="D29" s="6" t="n">
        <x:v>70</x:v>
      </x:c>
      <x:c r="E29" s="6" t="n">
        <x:v>70</x:v>
      </x:c>
      <x:c r="F29" s="17" t="n">
        <x:v>40</x:v>
      </x:c>
      <x:c r="G29" s="17" t="n">
        <x:v>40</x:v>
      </x:c>
      <x:c r="H29" s="6" t="n">
        <x:v>10</x:v>
      </x:c>
      <x:c r="I29" s="6" t="n">
        <x:v>70</x:v>
      </x:c>
      <x:c r="J29" s="6" t="n">
        <x:v>4</x:v>
      </x:c>
      <x:c r="K29" s="6" t="n">
        <x:v>22</x:v>
      </x:c>
      <x:c r="L29" s="23" t="n">
        <x:v>0.0005097680097680098</x:v>
      </x:c>
    </x:row>
    <x:row r="30" ht="25" customHeight="1">
      <x:c r="A30" s="2" t="str">
        <x:v>Q01</x:v>
      </x:c>
      <x:c r="B30" s="22" t="n">
        <x:v>0.016098901098901098</x:v>
      </x:c>
      <x:c r="C30" s="17" t="n">
        <x:v>0.016098901098901098</x:v>
      </x:c>
      <x:c r="D30" s="6" t="n">
        <x:v>71</x:v>
      </x:c>
      <x:c r="E30" s="6" t="n">
        <x:v>71</x:v>
      </x:c>
      <x:c r="F30" s="17" t="n">
        <x:v>41.5</x:v>
      </x:c>
      <x:c r="G30" s="17" t="n">
        <x:v>41</x:v>
      </x:c>
      <x:c r="H30" s="6" t="n">
        <x:v>13</x:v>
      </x:c>
      <x:c r="I30" s="6" t="n">
        <x:v>71</x:v>
      </x:c>
      <x:c r="J30" s="6" t="n">
        <x:v>4</x:v>
      </x:c>
      <x:c r="K30" s="6" t="n">
        <x:v>22</x:v>
      </x:c>
      <x:c r="L30" s="23" t="n">
        <x:v>0.0005097680097680098</x:v>
      </x:c>
    </x:row>
    <x:row r="31" ht="25" customHeight="1">
      <x:c r="A31" s="2" t="str">
        <x:v>Q02</x:v>
      </x:c>
      <x:c r="B31" s="22" t="n">
        <x:v>0.008012820512820512</x:v>
      </x:c>
      <x:c r="C31" s="17" t="n">
        <x:v>0.008012820512820512</x:v>
      </x:c>
      <x:c r="D31" s="6" t="n">
        <x:v>50</x:v>
      </x:c>
      <x:c r="E31" s="6" t="n">
        <x:v>50</x:v>
      </x:c>
      <x:c r="F31" s="17" t="n">
        <x:v>21.75</x:v>
      </x:c>
      <x:c r="G31" s="17" t="n">
        <x:v>18</x:v>
      </x:c>
      <x:c r="H31" s="6" t="n">
        <x:v>1</x:v>
      </x:c>
      <x:c r="I31" s="6" t="n">
        <x:v>50</x:v>
      </x:c>
      <x:c r="J31" s="6" t="n">
        <x:v>4</x:v>
      </x:c>
      <x:c r="K31" s="6" t="n">
        <x:v>22</x:v>
      </x:c>
      <x:c r="L31" s="23" t="n">
        <x:v>0.0005097680097680098</x:v>
      </x:c>
    </x:row>
    <x:row r="32" ht="25" customHeight="1">
      <x:c r="A32" s="2" t="str">
        <x:v>Q03</x:v>
      </x:c>
      <x:c r="B32" s="22" t="n">
        <x:v>0.02562271062271062</x:v>
      </x:c>
      <x:c r="C32" s="17" t="n">
        <x:v>0.02562271062271062</x:v>
      </x:c>
      <x:c r="D32" s="6" t="n">
        <x:v>90</x:v>
      </x:c>
      <x:c r="E32" s="6" t="n">
        <x:v>90</x:v>
      </x:c>
      <x:c r="F32" s="17" t="n">
        <x:v>41.5</x:v>
      </x:c>
      <x:c r="G32" s="17" t="n">
        <x:v>41</x:v>
      </x:c>
      <x:c r="H32" s="6" t="n">
        <x:v>13</x:v>
      </x:c>
      <x:c r="I32" s="6" t="n">
        <x:v>71</x:v>
      </x:c>
      <x:c r="J32" s="6" t="n">
        <x:v>4</x:v>
      </x:c>
      <x:c r="K32" s="6" t="n">
        <x:v>22</x:v>
      </x:c>
      <x:c r="L32" s="23" t="n">
        <x:v>0.0006852869352869354</x:v>
      </x:c>
    </x:row>
    <x:row r="33" ht="25" customHeight="1">
      <x:c r="A33" s="2" t="str">
        <x:v>Q04</x:v>
      </x:c>
      <x:c r="B33" s="22" t="n">
        <x:v>0.022864774114774115</x:v>
      </x:c>
      <x:c r="C33" s="17" t="n">
        <x:v>0.022864774114774115</x:v>
      </x:c>
      <x:c r="D33" s="6" t="n">
        <x:v>81</x:v>
      </x:c>
      <x:c r="E33" s="6" t="n">
        <x:v>81</x:v>
      </x:c>
      <x:c r="F33" s="17" t="n">
        <x:v>21.75</x:v>
      </x:c>
      <x:c r="G33" s="17" t="n">
        <x:v>18</x:v>
      </x:c>
      <x:c r="H33" s="6" t="n">
        <x:v>1</x:v>
      </x:c>
      <x:c r="I33" s="6" t="n">
        <x:v>50</x:v>
      </x:c>
      <x:c r="J33" s="6" t="n">
        <x:v>4</x:v>
      </x:c>
      <x:c r="K33" s="6" t="n">
        <x:v>22</x:v>
      </x:c>
      <x:c r="L33" s="23" t="n">
        <x:v>0.0006852869352869354</x:v>
      </x:c>
    </x:row>
    <x:row r="34" ht="25" customHeight="1">
      <x:c r="A34" s="2" t="str">
        <x:v>Q05</x:v>
      </x:c>
      <x:c r="B34" s="22" t="n">
        <x:v>0.024558913308913306</x:v>
      </x:c>
      <x:c r="C34" s="17" t="n">
        <x:v>0.024558913308913306</x:v>
      </x:c>
      <x:c r="D34" s="6" t="n">
        <x:v>90</x:v>
      </x:c>
      <x:c r="E34" s="6" t="n">
        <x:v>90</x:v>
      </x:c>
      <x:c r="F34" s="17" t="n">
        <x:v>41.5</x:v>
      </x:c>
      <x:c r="G34" s="17" t="n">
        <x:v>41</x:v>
      </x:c>
      <x:c r="H34" s="6" t="n">
        <x:v>13</x:v>
      </x:c>
      <x:c r="I34" s="6" t="n">
        <x:v>71</x:v>
      </x:c>
      <x:c r="J34" s="6" t="n">
        <x:v>4</x:v>
      </x:c>
      <x:c r="K34" s="6" t="n">
        <x:v>22</x:v>
      </x:c>
      <x:c r="L34" s="23" t="n">
        <x:v>0.0006852869352869354</x:v>
      </x:c>
    </x:row>
    <x:row r="35" ht="25" customHeight="1">
      <x:c r="A35" s="2" t="str">
        <x:v>Q06</x:v>
      </x:c>
      <x:c r="B35" s="22" t="n">
        <x:v>0.023305860805860803</x:v>
      </x:c>
      <x:c r="C35" s="17" t="n">
        <x:v>0.023305860805860803</x:v>
      </x:c>
      <x:c r="D35" s="6" t="n">
        <x:v>81</x:v>
      </x:c>
      <x:c r="E35" s="6" t="n">
        <x:v>81</x:v>
      </x:c>
      <x:c r="F35" s="17" t="n">
        <x:v>21.75</x:v>
      </x:c>
      <x:c r="G35" s="17" t="n">
        <x:v>18</x:v>
      </x:c>
      <x:c r="H35" s="6" t="n">
        <x:v>1</x:v>
      </x:c>
      <x:c r="I35" s="6" t="n">
        <x:v>50</x:v>
      </x:c>
      <x:c r="J35" s="6" t="n">
        <x:v>4</x:v>
      </x:c>
      <x:c r="K35" s="6" t="n">
        <x:v>22</x:v>
      </x:c>
      <x:c r="L35" s="23" t="n">
        <x:v>0.0006852869352869354</x:v>
      </x:c>
    </x:row>
    <x:row r="36" ht="25" customHeight="1">
      <x:c r="A36" s="2" t="str">
        <x:v>Q07</x:v>
      </x:c>
      <x:c r="B36" s="22" t="n">
        <x:v>0.026440781440781443</x:v>
      </x:c>
      <x:c r="C36" s="17" t="n">
        <x:v>0.026440781440781443</x:v>
      </x:c>
      <x:c r="D36" s="6" t="n">
        <x:v>92</x:v>
      </x:c>
      <x:c r="E36" s="6" t="n">
        <x:v>92</x:v>
      </x:c>
      <x:c r="F36" s="17" t="n">
        <x:v>41.5</x:v>
      </x:c>
      <x:c r="G36" s="17" t="n">
        <x:v>41</x:v>
      </x:c>
      <x:c r="H36" s="6" t="n">
        <x:v>13</x:v>
      </x:c>
      <x:c r="I36" s="6" t="n">
        <x:v>71</x:v>
      </x:c>
      <x:c r="J36" s="6" t="n">
        <x:v>4</x:v>
      </x:c>
      <x:c r="K36" s="6" t="n">
        <x:v>22</x:v>
      </x:c>
      <x:c r="L36" s="23" t="n">
        <x:v>0.0006852869352869354</x:v>
      </x:c>
    </x:row>
    <x:row r="37" ht="25" customHeight="1">
      <x:c r="A37" s="2" t="str">
        <x:v>Q08</x:v>
      </x:c>
      <x:c r="B37" s="22" t="n">
        <x:v>0.024558913308913306</x:v>
      </x:c>
      <x:c r="C37" s="17" t="n">
        <x:v>0.024558913308913306</x:v>
      </x:c>
      <x:c r="D37" s="6" t="n">
        <x:v>90</x:v>
      </x:c>
      <x:c r="E37" s="6" t="n">
        <x:v>90</x:v>
      </x:c>
      <x:c r="F37" s="17" t="n">
        <x:v>41.5</x:v>
      </x:c>
      <x:c r="G37" s="17" t="n">
        <x:v>41</x:v>
      </x:c>
      <x:c r="H37" s="6" t="n">
        <x:v>13</x:v>
      </x:c>
      <x:c r="I37" s="6" t="n">
        <x:v>71</x:v>
      </x:c>
      <x:c r="J37" s="6" t="n">
        <x:v>4</x:v>
      </x:c>
      <x:c r="K37" s="6" t="n">
        <x:v>22</x:v>
      </x:c>
      <x:c r="L37" s="23" t="n">
        <x:v>0.0006852869352869354</x:v>
      </x:c>
    </x:row>
    <x:row r="38" ht="25" customHeight="1">
      <x:c r="A38" s="2" t="str">
        <x:v>Q09</x:v>
      </x:c>
      <x:c r="B38" s="22" t="n">
        <x:v>0.024558913308913306</x:v>
      </x:c>
      <x:c r="C38" s="17" t="n">
        <x:v>0.024558913308913306</x:v>
      </x:c>
      <x:c r="D38" s="6" t="n">
        <x:v>90</x:v>
      </x:c>
      <x:c r="E38" s="6" t="n">
        <x:v>90</x:v>
      </x:c>
      <x:c r="F38" s="17" t="n">
        <x:v>41.5</x:v>
      </x:c>
      <x:c r="G38" s="17" t="n">
        <x:v>41</x:v>
      </x:c>
      <x:c r="H38" s="6" t="n">
        <x:v>13</x:v>
      </x:c>
      <x:c r="I38" s="6" t="n">
        <x:v>71</x:v>
      </x:c>
      <x:c r="J38" s="6" t="n">
        <x:v>4</x:v>
      </x:c>
      <x:c r="K38" s="6" t="n">
        <x:v>22</x:v>
      </x:c>
      <x:c r="L38" s="23" t="n">
        <x:v>0.0006852869352869354</x:v>
      </x:c>
    </x:row>
    <x:row r="39" ht="25" customHeight="1">
      <x:c r="A39" s="2" t="str">
        <x:v>Q10</x:v>
      </x:c>
      <x:c r="B39" s="22" t="n">
        <x:v>0.024558913308913306</x:v>
      </x:c>
      <x:c r="C39" s="17" t="n">
        <x:v>0.024558913308913306</x:v>
      </x:c>
      <x:c r="D39" s="6" t="n">
        <x:v>90</x:v>
      </x:c>
      <x:c r="E39" s="6" t="n">
        <x:v>90</x:v>
      </x:c>
      <x:c r="F39" s="17" t="n">
        <x:v>41.5</x:v>
      </x:c>
      <x:c r="G39" s="17" t="n">
        <x:v>41</x:v>
      </x:c>
      <x:c r="H39" s="6" t="n">
        <x:v>13</x:v>
      </x:c>
      <x:c r="I39" s="6" t="n">
        <x:v>71</x:v>
      </x:c>
      <x:c r="J39" s="6" t="n">
        <x:v>4</x:v>
      </x:c>
      <x:c r="K39" s="6" t="n">
        <x:v>22</x:v>
      </x:c>
      <x:c r="L39" s="23" t="n">
        <x:v>0.0006852869352869354</x:v>
      </x:c>
    </x:row>
    <x:row r="40" ht="25" customHeight="1">
      <x:c r="A40" s="2" t="str">
        <x:v>Q11</x:v>
      </x:c>
      <x:c r="B40" s="22" t="n">
        <x:v>0.023305860805860803</x:v>
      </x:c>
      <x:c r="C40" s="17" t="n">
        <x:v>0.023305860805860803</x:v>
      </x:c>
      <x:c r="D40" s="6" t="n">
        <x:v>81</x:v>
      </x:c>
      <x:c r="E40" s="6" t="n">
        <x:v>81</x:v>
      </x:c>
      <x:c r="F40" s="17" t="n">
        <x:v>21.75</x:v>
      </x:c>
      <x:c r="G40" s="17" t="n">
        <x:v>18</x:v>
      </x:c>
      <x:c r="H40" s="6" t="n">
        <x:v>1</x:v>
      </x:c>
      <x:c r="I40" s="6" t="n">
        <x:v>50</x:v>
      </x:c>
      <x:c r="J40" s="6" t="n">
        <x:v>4</x:v>
      </x:c>
      <x:c r="K40" s="6" t="n">
        <x:v>22</x:v>
      </x:c>
      <x:c r="L40" s="23" t="n">
        <x:v>0.0006852869352869354</x:v>
      </x:c>
    </x:row>
    <x:row r="41" ht="25" customHeight="1">
      <x:c r="A41" s="2" t="str">
        <x:v>Q12</x:v>
      </x:c>
      <x:c r="B41" s="22" t="n">
        <x:v>0.014241452991452993</x:v>
      </x:c>
      <x:c r="C41" s="17" t="n">
        <x:v>0.014241452991452993</x:v>
      </x:c>
      <x:c r="D41" s="6" t="n">
        <x:v>91</x:v>
      </x:c>
      <x:c r="E41" s="6" t="n">
        <x:v>91</x:v>
      </x:c>
      <x:c r="F41" s="17" t="n">
        <x:v>41.5</x:v>
      </x:c>
      <x:c r="G41" s="17" t="n">
        <x:v>41</x:v>
      </x:c>
      <x:c r="H41" s="6" t="n">
        <x:v>13</x:v>
      </x:c>
      <x:c r="I41" s="6" t="n">
        <x:v>71</x:v>
      </x:c>
      <x:c r="J41" s="6" t="n">
        <x:v>4</x:v>
      </x:c>
      <x:c r="K41" s="6" t="n">
        <x:v>22</x:v>
      </x:c>
      <x:c r="L41" s="23" t="n">
        <x:v>0.0004227716727716728</x:v>
      </x:c>
    </x:row>
    <x:row r="42" ht="25" customHeight="1">
      <x:c r="A42" s="2" t="str">
        <x:v>Q13</x:v>
      </x:c>
      <x:c r="B42" s="22" t="n">
        <x:v>0.019265873015873014</x:v>
      </x:c>
      <x:c r="C42" s="17" t="n">
        <x:v>0.019265873015873014</x:v>
      </x:c>
      <x:c r="D42" s="6" t="n">
        <x:v>90</x:v>
      </x:c>
      <x:c r="E42" s="6" t="n">
        <x:v>90</x:v>
      </x:c>
      <x:c r="F42" s="17" t="n">
        <x:v>41.5</x:v>
      </x:c>
      <x:c r="G42" s="17" t="n">
        <x:v>41</x:v>
      </x:c>
      <x:c r="H42" s="6" t="n">
        <x:v>13</x:v>
      </x:c>
      <x:c r="I42" s="6" t="n">
        <x:v>71</x:v>
      </x:c>
      <x:c r="J42" s="6" t="n">
        <x:v>4</x:v>
      </x:c>
      <x:c r="K42" s="6" t="n">
        <x:v>22</x:v>
      </x:c>
      <x:c r="L42" s="23" t="n">
        <x:v>0.0004838217338217338</x:v>
      </x:c>
    </x:row>
    <x:row r="43" ht="25" customHeight="1">
      <x:c r="A43" s="2" t="str">
        <x:v>H05</x:v>
      </x:c>
      <x:c r="B43" s="22" t="n">
        <x:v>0.02822191697191697</x:v>
      </x:c>
      <x:c r="C43" s="17" t="n">
        <x:v>0.024558913308913306</x:v>
      </x:c>
      <x:c r="D43" s="6" t="n">
        <x:v>135</x:v>
      </x:c>
      <x:c r="E43" s="6" t="n">
        <x:v>90</x:v>
      </x:c>
      <x:c r="F43" s="17" t="n">
        <x:v>41.5</x:v>
      </x:c>
      <x:c r="G43" s="17" t="n">
        <x:v>41</x:v>
      </x:c>
      <x:c r="H43" s="6" t="n">
        <x:v>13</x:v>
      </x:c>
      <x:c r="I43" s="6" t="n">
        <x:v>71</x:v>
      </x:c>
      <x:c r="J43" s="6" t="n">
        <x:v>4</x:v>
      </x:c>
      <x:c r="K43" s="6" t="n">
        <x:v>22</x:v>
      </x:c>
      <x:c r="L43" s="23" t="n">
        <x:v>0.0006852869352869354</x:v>
      </x:c>
    </x:row>
    <x:row r="44" ht="25" customHeight="1">
      <x:c r="A44" s="2" t="str">
        <x:v>H08</x:v>
      </x:c>
      <x:c r="B44" s="22" t="n">
        <x:v>0.02822191697191697</x:v>
      </x:c>
      <x:c r="C44" s="17" t="n">
        <x:v>0.024558913308913306</x:v>
      </x:c>
      <x:c r="D44" s="6" t="n">
        <x:v>135</x:v>
      </x:c>
      <x:c r="E44" s="6" t="n">
        <x:v>90</x:v>
      </x:c>
      <x:c r="F44" s="17" t="n">
        <x:v>41.5</x:v>
      </x:c>
      <x:c r="G44" s="17" t="n">
        <x:v>41</x:v>
      </x:c>
      <x:c r="H44" s="6" t="n">
        <x:v>13</x:v>
      </x:c>
      <x:c r="I44" s="6" t="n">
        <x:v>71</x:v>
      </x:c>
      <x:c r="J44" s="6" t="n">
        <x:v>4</x:v>
      </x:c>
      <x:c r="K44" s="6" t="n">
        <x:v>22</x:v>
      </x:c>
      <x:c r="L44" s="23" t="n">
        <x:v>0.0006852869352869354</x:v>
      </x:c>
    </x:row>
    <x:row r="45" ht="25" customHeight="1">
      <x:c r="A45" s="2" t="str">
        <x:v>D05</x:v>
      </x:c>
      <x:c r="B45" s="22" t="n">
        <x:v>0.024558913308913306</x:v>
      </x:c>
      <x:c r="C45" s="17" t="n">
        <x:v>0.024558913308913306</x:v>
      </x:c>
      <x:c r="D45" s="6" t="n">
        <x:v>90</x:v>
      </x:c>
      <x:c r="E45" s="6" t="n">
        <x:v>90</x:v>
      </x:c>
      <x:c r="F45" s="17" t="n">
        <x:v>41.5</x:v>
      </x:c>
      <x:c r="G45" s="17" t="n">
        <x:v>41</x:v>
      </x:c>
      <x:c r="H45" s="6" t="n">
        <x:v>13</x:v>
      </x:c>
      <x:c r="I45" s="6" t="n">
        <x:v>71</x:v>
      </x:c>
      <x:c r="J45" s="6" t="n">
        <x:v>4</x:v>
      </x:c>
      <x:c r="K45" s="6" t="n">
        <x:v>22</x:v>
      </x:c>
      <x:c r="L45" s="23" t="n">
        <x:v>0.0006852869352869354</x:v>
      </x:c>
    </x:row>
    <x:row r="46" ht="25" customHeight="1">
      <x:c r="A46" s="2" t="str">
        <x:v>D08</x:v>
      </x:c>
      <x:c r="B46" s="22" t="n">
        <x:v>0.024558913308913306</x:v>
      </x:c>
      <x:c r="C46" s="17" t="n">
        <x:v>0.024558913308913306</x:v>
      </x:c>
      <x:c r="D46" s="6" t="n">
        <x:v>90</x:v>
      </x:c>
      <x:c r="E46" s="6" t="n">
        <x:v>90</x:v>
      </x:c>
      <x:c r="F46" s="17" t="n">
        <x:v>41.5</x:v>
      </x:c>
      <x:c r="G46" s="17" t="n">
        <x:v>41</x:v>
      </x:c>
      <x:c r="H46" s="6" t="n">
        <x:v>13</x:v>
      </x:c>
      <x:c r="I46" s="6" t="n">
        <x:v>71</x:v>
      </x:c>
      <x:c r="J46" s="6" t="n">
        <x:v>4</x:v>
      </x:c>
      <x:c r="K46" s="6" t="n">
        <x:v>22</x:v>
      </x:c>
      <x:c r="L46" s="23" t="n">
        <x:v>0.0006852869352869354</x:v>
      </x:c>
    </x:row>
    <x:row r="47" ht="25" customHeight="1">
      <x:c r="A47" s="2" t="str">
        <x:v>V_C01</x:v>
      </x:c>
      <x:c r="B47" s="22" t="n">
        <x:v>2.2463369963369964</x:v>
      </x:c>
      <x:c r="C47" s="17" t="n">
        <x:v>2.2163003663003664</x:v>
      </x:c>
      <x:c r="D47" s="6" t="n">
        <x:v>70</x:v>
      </x:c>
      <x:c r="E47" s="6" t="n">
        <x:v>70</x:v>
      </x:c>
      <x:c r="F47" s="17" t="n">
        <x:v>31.612903225806452</x:v>
      </x:c>
      <x:c r="G47" s="17" t="n">
        <x:v>20</x:v>
      </x:c>
      <x:c r="H47" s="6" t="n">
        <x:v>20</x:v>
      </x:c>
      <x:c r="I47" s="6" t="n">
        <x:v>50</x:v>
      </x:c>
      <x:c r="J47" s="6" t="n">
        <x:v>155</x:v>
      </x:c>
      <x:c r="K47" s="6" t="n">
        <x:v>0</x:v>
      </x:c>
      <x:c r="L47" s="23" t="n">
        <x:v>0.07037240537240537</x:v>
      </x:c>
    </x:row>
    <x:row r="48" ht="25" customHeight="1">
      <x:c r="A48" s="2" t="str">
        <x:v>V_C02</x:v>
      </x:c>
      <x:c r="B48" s="22" t="n">
        <x:v>0.4767094017094017</x:v>
      </x:c>
      <x:c r="C48" s="17" t="n">
        <x:v>0.4729242979242979</x:v>
      </x:c>
      <x:c r="D48" s="6" t="n">
        <x:v>70</x:v>
      </x:c>
      <x:c r="E48" s="6" t="n">
        <x:v>50</x:v>
      </x:c>
      <x:c r="F48" s="17" t="n">
        <x:v>30.18867924528302</x:v>
      </x:c>
      <x:c r="G48" s="17" t="n">
        <x:v>20</x:v>
      </x:c>
      <x:c r="H48" s="6" t="n">
        <x:v>20</x:v>
      </x:c>
      <x:c r="I48" s="6" t="n">
        <x:v>50</x:v>
      </x:c>
      <x:c r="J48" s="6" t="n">
        <x:v>53</x:v>
      </x:c>
      <x:c r="K48" s="6" t="n">
        <x:v>5</x:v>
      </x:c>
      <x:c r="L48" s="23" t="n">
        <x:v>0.017226800976800977</x:v>
      </x:c>
    </x:row>
    <x:row r="49" ht="25" customHeight="1">
      <x:c r="A49" s="2" t="str">
        <x:v>V_Q00</x:v>
      </x:c>
      <x:c r="B49" s="22" t="n">
        <x:v>0.4141330891330891</x:v>
      </x:c>
      <x:c r="C49" s="17" t="n">
        <x:v>0.41034798534798533</x:v>
      </x:c>
      <x:c r="D49" s="6" t="n">
        <x:v>90</x:v>
      </x:c>
      <x:c r="E49" s="6" t="n">
        <x:v>90</x:v>
      </x:c>
      <x:c r="F49" s="17" t="n">
        <x:v>31.73076923076923</x:v>
      </x:c>
      <x:c r="G49" s="17" t="n">
        <x:v>30</x:v>
      </x:c>
      <x:c r="H49" s="6" t="n">
        <x:v>10</x:v>
      </x:c>
      <x:c r="I49" s="6" t="n">
        <x:v>70</x:v>
      </x:c>
      <x:c r="J49" s="6" t="n">
        <x:v>52</x:v>
      </x:c>
      <x:c r="K49" s="6" t="n">
        <x:v>5</x:v>
      </x:c>
      <x:c r="L49" s="23" t="n">
        <x:v>0.014362026862026863</x:v>
      </x:c>
    </x:row>
    <x:row r="50" ht="25" customHeight="1">
      <x:c r="A50" s="2" t="str">
        <x:v>V_Q01</x:v>
      </x:c>
      <x:c r="B50" s="22" t="n">
        <x:v>0.5035439560439561</x:v>
      </x:c>
      <x:c r="C50" s="17" t="n">
        <x:v>0.4991910866910867</x:v>
      </x:c>
      <x:c r="D50" s="6" t="n">
        <x:v>100</x:v>
      </x:c>
      <x:c r="E50" s="6" t="n">
        <x:v>100</x:v>
      </x:c>
      <x:c r="F50" s="17" t="n">
        <x:v>35.24528301886792</x:v>
      </x:c>
      <x:c r="G50" s="17" t="n">
        <x:v>30</x:v>
      </x:c>
      <x:c r="H50" s="6" t="n">
        <x:v>8</x:v>
      </x:c>
      <x:c r="I50" s="6" t="n">
        <x:v>78</x:v>
      </x:c>
      <x:c r="J50" s="6" t="n">
        <x:v>53</x:v>
      </x:c>
      <x:c r="K50" s="6" t="n">
        <x:v>5</x:v>
      </x:c>
      <x:c r="L50" s="23" t="n">
        <x:v>0.017226800976800977</x:v>
      </x:c>
    </x:row>
    <x:row r="51" ht="25" customHeight="1">
      <x:c r="A51" s="2" t="str">
        <x:v>V_Q02</x:v>
      </x:c>
      <x:c r="B51" s="22" t="n">
        <x:v>0.2092567155067155</x:v>
      </x:c>
      <x:c r="C51" s="17" t="n">
        <x:v>0.20831043956043957</x:v>
      </x:c>
      <x:c r="D51" s="6" t="n">
        <x:v>62</x:v>
      </x:c>
      <x:c r="E51" s="6" t="n">
        <x:v>62</x:v>
      </x:c>
      <x:c r="F51" s="17" t="n">
        <x:v>16.346153846153847</x:v>
      </x:c>
      <x:c r="G51" s="17" t="n">
        <x:v>9</x:v>
      </x:c>
      <x:c r="H51" s="6" t="n">
        <x:v>1</x:v>
      </x:c>
      <x:c r="I51" s="6" t="n">
        <x:v>62</x:v>
      </x:c>
      <x:c r="J51" s="6" t="n">
        <x:v>52</x:v>
      </x:c>
      <x:c r="K51" s="6" t="n">
        <x:v>5</x:v>
      </x:c>
      <x:c r="L51" s="23" t="n">
        <x:v>0.016785714285714286</x:v>
      </x:c>
    </x:row>
    <x:row r="52" ht="25" customHeight="1">
      <x:c r="A52" s="2" t="str">
        <x:v>V_Q03</x:v>
      </x:c>
      <x:c r="B52" s="22" t="n">
        <x:v>1.059604700854701</x:v>
      </x:c>
      <x:c r="C52" s="17" t="n">
        <x:v>1.0552518315018315</x:v>
      </x:c>
      <x:c r="D52" s="6" t="n">
        <x:v>100</x:v>
      </x:c>
      <x:c r="E52" s="6" t="n">
        <x:v>100</x:v>
      </x:c>
      <x:c r="F52" s="17" t="n">
        <x:v>34.75471698113208</x:v>
      </x:c>
      <x:c r="G52" s="17" t="n">
        <x:v>29</x:v>
      </x:c>
      <x:c r="H52" s="6" t="n">
        <x:v>8</x:v>
      </x:c>
      <x:c r="I52" s="6" t="n">
        <x:v>78</x:v>
      </x:c>
      <x:c r="J52" s="6" t="n">
        <x:v>53</x:v>
      </x:c>
      <x:c r="K52" s="6" t="n">
        <x:v>5</x:v>
      </x:c>
      <x:c r="L52" s="23" t="n">
        <x:v>0.02657967032967033</x:v>
      </x:c>
    </x:row>
    <x:row r="53" ht="25" customHeight="1">
      <x:c r="A53" s="2" t="str">
        <x:v>V_Q04</x:v>
      </x:c>
      <x:c r="B53" s="22" t="n">
        <x:v>0.605764652014652</x:v>
      </x:c>
      <x:c r="C53" s="17" t="n">
        <x:v>0.6048183760683761</x:v>
      </x:c>
      <x:c r="D53" s="6" t="n">
        <x:v>100</x:v>
      </x:c>
      <x:c r="E53" s="6" t="n">
        <x:v>100</x:v>
      </x:c>
      <x:c r="F53" s="17" t="n">
        <x:v>16.346153846153847</x:v>
      </x:c>
      <x:c r="G53" s="17" t="n">
        <x:v>9</x:v>
      </x:c>
      <x:c r="H53" s="6" t="n">
        <x:v>1</x:v>
      </x:c>
      <x:c r="I53" s="6" t="n">
        <x:v>62</x:v>
      </x:c>
      <x:c r="J53" s="6" t="n">
        <x:v>52</x:v>
      </x:c>
      <x:c r="K53" s="6" t="n">
        <x:v>5</x:v>
      </x:c>
      <x:c r="L53" s="23" t="n">
        <x:v>0.02624236874236874</x:v>
      </x:c>
    </x:row>
    <x:row r="54" ht="25" customHeight="1">
      <x:c r="A54" s="2" t="str">
        <x:v>V_Q05</x:v>
      </x:c>
      <x:c r="B54" s="22" t="n">
        <x:v>1.0430937118437118</x:v>
      </x:c>
      <x:c r="C54" s="17" t="n">
        <x:v>1.036207264957265</x:v>
      </x:c>
      <x:c r="D54" s="6" t="n">
        <x:v>113</x:v>
      </x:c>
      <x:c r="E54" s="6" t="n">
        <x:v>100</x:v>
      </x:c>
      <x:c r="F54" s="17" t="n">
        <x:v>34.75471698113208</x:v>
      </x:c>
      <x:c r="G54" s="17" t="n">
        <x:v>29</x:v>
      </x:c>
      <x:c r="H54" s="6" t="n">
        <x:v>8</x:v>
      </x:c>
      <x:c r="I54" s="6" t="n">
        <x:v>78</x:v>
      </x:c>
      <x:c r="J54" s="6" t="n">
        <x:v>53</x:v>
      </x:c>
      <x:c r="K54" s="6" t="n">
        <x:v>5</x:v>
      </x:c>
      <x:c r="L54" s="23" t="n">
        <x:v>0.02658882783882784</x:v>
      </x:c>
    </x:row>
    <x:row r="55" ht="25" customHeight="1">
      <x:c r="A55" s="2" t="str">
        <x:v>V_Q06</x:v>
      </x:c>
      <x:c r="B55" s="22" t="n">
        <x:v>0.5950732600732601</x:v>
      </x:c>
      <x:c r="C55" s="17" t="n">
        <x:v>0.5940842490842491</x:v>
      </x:c>
      <x:c r="D55" s="6" t="n">
        <x:v>100</x:v>
      </x:c>
      <x:c r="E55" s="6" t="n">
        <x:v>100</x:v>
      </x:c>
      <x:c r="F55" s="17" t="n">
        <x:v>16.346153846153847</x:v>
      </x:c>
      <x:c r="G55" s="17" t="n">
        <x:v>9</x:v>
      </x:c>
      <x:c r="H55" s="6" t="n">
        <x:v>1</x:v>
      </x:c>
      <x:c r="I55" s="6" t="n">
        <x:v>62</x:v>
      </x:c>
      <x:c r="J55" s="6" t="n">
        <x:v>52</x:v>
      </x:c>
      <x:c r="K55" s="6" t="n">
        <x:v>5</x:v>
      </x:c>
      <x:c r="L55" s="23" t="n">
        <x:v>0.026236263736263737</x:v>
      </x:c>
    </x:row>
    <x:row r="56" ht="25" customHeight="1">
      <x:c r="A56" s="2" t="str">
        <x:v>V_Q07</x:v>
      </x:c>
      <x:c r="B56" s="22" t="n">
        <x:v>1.1850045787545787</x:v>
      </x:c>
      <x:c r="C56" s="17" t="n">
        <x:v>1.177403846153846</x:v>
      </x:c>
      <x:c r="D56" s="6" t="n">
        <x:v>113</x:v>
      </x:c>
      <x:c r="E56" s="6" t="n">
        <x:v>100</x:v>
      </x:c>
      <x:c r="F56" s="17" t="n">
        <x:v>34.58490566037736</x:v>
      </x:c>
      <x:c r="G56" s="17" t="n">
        <x:v>30</x:v>
      </x:c>
      <x:c r="H56" s="6" t="n">
        <x:v>8</x:v>
      </x:c>
      <x:c r="I56" s="6" t="n">
        <x:v>78</x:v>
      </x:c>
      <x:c r="J56" s="6" t="n">
        <x:v>53</x:v>
      </x:c>
      <x:c r="K56" s="6" t="n">
        <x:v>5</x:v>
      </x:c>
      <x:c r="L56" s="23" t="n">
        <x:v>0.029568070818070818</x:v>
      </x:c>
    </x:row>
    <x:row r="57" ht="25" customHeight="1">
      <x:c r="A57" s="2" t="str">
        <x:v>V_Q08</x:v>
      </x:c>
      <x:c r="B57" s="22" t="n">
        <x:v>1.0203052503052503</x:v>
      </x:c>
      <x:c r="C57" s="17" t="n">
        <x:v>1.0133333333333334</x:v>
      </x:c>
      <x:c r="D57" s="6" t="n">
        <x:v>113</x:v>
      </x:c>
      <x:c r="E57" s="6" t="n">
        <x:v>100</x:v>
      </x:c>
      <x:c r="F57" s="17" t="n">
        <x:v>34.509433962264154</x:v>
      </x:c>
      <x:c r="G57" s="17" t="n">
        <x:v>29</x:v>
      </x:c>
      <x:c r="H57" s="6" t="n">
        <x:v>8</x:v>
      </x:c>
      <x:c r="I57" s="6" t="n">
        <x:v>78</x:v>
      </x:c>
      <x:c r="J57" s="6" t="n">
        <x:v>53</x:v>
      </x:c>
      <x:c r="K57" s="6" t="n">
        <x:v>5</x:v>
      </x:c>
      <x:c r="L57" s="23" t="n">
        <x:v>0.02492979242979243</x:v>
      </x:c>
    </x:row>
    <x:row r="58" ht="25" customHeight="1">
      <x:c r="A58" s="2" t="str">
        <x:v>V_Q09</x:v>
      </x:c>
      <x:c r="B58" s="22" t="n">
        <x:v>1.0838583638583639</x:v>
      </x:c>
      <x:c r="C58" s="17" t="n">
        <x:v>1.076971916971917</x:v>
      </x:c>
      <x:c r="D58" s="6" t="n">
        <x:v>113</x:v>
      </x:c>
      <x:c r="E58" s="6" t="n">
        <x:v>100</x:v>
      </x:c>
      <x:c r="F58" s="17" t="n">
        <x:v>34.75471698113208</x:v>
      </x:c>
      <x:c r="G58" s="17" t="n">
        <x:v>29</x:v>
      </x:c>
      <x:c r="H58" s="6" t="n">
        <x:v>8</x:v>
      </x:c>
      <x:c r="I58" s="6" t="n">
        <x:v>78</x:v>
      </x:c>
      <x:c r="J58" s="6" t="n">
        <x:v>53</x:v>
      </x:c>
      <x:c r="K58" s="6" t="n">
        <x:v>5</x:v>
      </x:c>
      <x:c r="L58" s="23" t="n">
        <x:v>0.028192918192918193</x:v>
      </x:c>
    </x:row>
    <x:row r="59" ht="25" customHeight="1">
      <x:c r="A59" s="2" t="str">
        <x:v>V_Q10</x:v>
      </x:c>
      <x:c r="B59" s="22" t="n">
        <x:v>1.0528861416361417</x:v>
      </x:c>
      <x:c r="C59" s="17" t="n">
        <x:v>1.0459142246642246</x:v>
      </x:c>
      <x:c r="D59" s="6" t="n">
        <x:v>113</x:v>
      </x:c>
      <x:c r="E59" s="6" t="n">
        <x:v>100</x:v>
      </x:c>
      <x:c r="F59" s="17" t="n">
        <x:v>34.75471698113208</x:v>
      </x:c>
      <x:c r="G59" s="17" t="n">
        <x:v>29</x:v>
      </x:c>
      <x:c r="H59" s="6" t="n">
        <x:v>8</x:v>
      </x:c>
      <x:c r="I59" s="6" t="n">
        <x:v>78</x:v>
      </x:c>
      <x:c r="J59" s="6" t="n">
        <x:v>53</x:v>
      </x:c>
      <x:c r="K59" s="6" t="n">
        <x:v>5</x:v>
      </x:c>
      <x:c r="L59" s="23" t="n">
        <x:v>0.025239621489621493</x:v>
      </x:c>
    </x:row>
    <x:row r="60" ht="25" customHeight="1">
      <x:c r="A60" s="2" t="str">
        <x:v>V_Q11</x:v>
      </x:c>
      <x:c r="B60" s="22" t="n">
        <x:v>0.616019536019536</x:v>
      </x:c>
      <x:c r="C60" s="17" t="n">
        <x:v>0.614945054945055</x:v>
      </x:c>
      <x:c r="D60" s="6" t="n">
        <x:v>100</x:v>
      </x:c>
      <x:c r="E60" s="6" t="n">
        <x:v>100</x:v>
      </x:c>
      <x:c r="F60" s="17" t="n">
        <x:v>16.346153846153847</x:v>
      </x:c>
      <x:c r="G60" s="17" t="n">
        <x:v>9</x:v>
      </x:c>
      <x:c r="H60" s="6" t="n">
        <x:v>1</x:v>
      </x:c>
      <x:c r="I60" s="6" t="n">
        <x:v>62</x:v>
      </x:c>
      <x:c r="J60" s="6" t="n">
        <x:v>52</x:v>
      </x:c>
      <x:c r="K60" s="6" t="n">
        <x:v>5</x:v>
      </x:c>
      <x:c r="L60" s="23" t="n">
        <x:v>0.02501984126984127</x:v>
      </x:c>
    </x:row>
    <x:row r="61" ht="25" customHeight="1">
      <x:c r="A61" s="2" t="str">
        <x:v>V_Q12</x:v>
      </x:c>
      <x:c r="B61" s="22" t="n">
        <x:v>0.8651694139194139</x:v>
      </x:c>
      <x:c r="C61" s="17" t="n">
        <x:v>0.8597909035409035</x:v>
      </x:c>
      <x:c r="D61" s="6" t="n">
        <x:v>100</x:v>
      </x:c>
      <x:c r="E61" s="6" t="n">
        <x:v>100</x:v>
      </x:c>
      <x:c r="F61" s="17" t="n">
        <x:v>35.24528301886792</x:v>
      </x:c>
      <x:c r="G61" s="17" t="n">
        <x:v>30</x:v>
      </x:c>
      <x:c r="H61" s="6" t="n">
        <x:v>8</x:v>
      </x:c>
      <x:c r="I61" s="6" t="n">
        <x:v>78</x:v>
      </x:c>
      <x:c r="J61" s="6" t="n">
        <x:v>53</x:v>
      </x:c>
      <x:c r="K61" s="6" t="n">
        <x:v>5</x:v>
      </x:c>
      <x:c r="L61" s="23" t="n">
        <x:v>0.022571733821733823</x:v>
      </x:c>
    </x:row>
    <x:row r="62" ht="25" customHeight="1">
      <x:c r="A62" s="2" t="str">
        <x:v>V_Q13</x:v>
      </x:c>
      <x:c r="B62" s="22" t="n">
        <x:v>1.2818543956043957</x:v>
      </x:c>
      <x:c r="C62" s="17" t="n">
        <x:v>1.277031440781441</x:v>
      </x:c>
      <x:c r="D62" s="6" t="n">
        <x:v>100</x:v>
      </x:c>
      <x:c r="E62" s="6" t="n">
        <x:v>100</x:v>
      </x:c>
      <x:c r="F62" s="17" t="n">
        <x:v>34.45283018867924</x:v>
      </x:c>
      <x:c r="G62" s="17" t="n">
        <x:v>29</x:v>
      </x:c>
      <x:c r="H62" s="6" t="n">
        <x:v>8</x:v>
      </x:c>
      <x:c r="I62" s="6" t="n">
        <x:v>78</x:v>
      </x:c>
      <x:c r="J62" s="6" t="n">
        <x:v>53</x:v>
      </x:c>
      <x:c r="K62" s="6" t="n">
        <x:v>5</x:v>
      </x:c>
      <x:c r="L62" s="23" t="n">
        <x:v>0.031585775335775335</x:v>
      </x:c>
    </x:row>
    <x:row r="63" ht="25" customHeight="1">
      <x:c r="A63" s="2" t="str">
        <x:v>V_H05</x:v>
      </x:c>
      <x:c r="B63" s="22" t="n">
        <x:v>1.0848733211233212</x:v>
      </x:c>
      <x:c r="C63" s="17" t="n">
        <x:v>1.036207264957265</x:v>
      </x:c>
      <x:c r="D63" s="6" t="n">
        <x:v>194</x:v>
      </x:c>
      <x:c r="E63" s="6" t="n">
        <x:v>100</x:v>
      </x:c>
      <x:c r="F63" s="17" t="n">
        <x:v>34.75471698113208</x:v>
      </x:c>
      <x:c r="G63" s="17" t="n">
        <x:v>29</x:v>
      </x:c>
      <x:c r="H63" s="6" t="n">
        <x:v>8</x:v>
      </x:c>
      <x:c r="I63" s="6" t="n">
        <x:v>78</x:v>
      </x:c>
      <x:c r="J63" s="6" t="n">
        <x:v>53</x:v>
      </x:c>
      <x:c r="K63" s="6" t="n">
        <x:v>5</x:v>
      </x:c>
      <x:c r="L63" s="23" t="n">
        <x:v>0.026590354090354092</x:v>
      </x:c>
    </x:row>
    <x:row r="64" ht="25" customHeight="1">
      <x:c r="A64" s="2" t="str">
        <x:v>V_H08</x:v>
      </x:c>
      <x:c r="B64" s="22" t="n">
        <x:v>1.0696520146520148</x:v>
      </x:c>
      <x:c r="C64" s="17" t="n">
        <x:v>1.0133333333333334</x:v>
      </x:c>
      <x:c r="D64" s="6" t="n">
        <x:v>194</x:v>
      </x:c>
      <x:c r="E64" s="6" t="n">
        <x:v>100</x:v>
      </x:c>
      <x:c r="F64" s="17" t="n">
        <x:v>34.509433962264154</x:v>
      </x:c>
      <x:c r="G64" s="17" t="n">
        <x:v>29</x:v>
      </x:c>
      <x:c r="H64" s="6" t="n">
        <x:v>8</x:v>
      </x:c>
      <x:c r="I64" s="6" t="n">
        <x:v>78</x:v>
      </x:c>
      <x:c r="J64" s="6" t="n">
        <x:v>53</x:v>
      </x:c>
      <x:c r="K64" s="6" t="n">
        <x:v>5</x:v>
      </x:c>
      <x:c r="L64" s="23" t="n">
        <x:v>0.02492979242979243</x:v>
      </x:c>
    </x:row>
    <x:row r="65" ht="25" customHeight="1">
      <x:c r="A65" s="2" t="str">
        <x:v>V_D05</x:v>
      </x:c>
      <x:c r="B65" s="22" t="n">
        <x:v>0.997293956043956</x:v>
      </x:c>
      <x:c r="C65" s="17" t="n">
        <x:v>0.9904075091575091</x:v>
      </x:c>
      <x:c r="D65" s="6" t="n">
        <x:v>113</x:v>
      </x:c>
      <x:c r="E65" s="6" t="n">
        <x:v>100</x:v>
      </x:c>
      <x:c r="F65" s="17" t="n">
        <x:v>33.0377358490566</x:v>
      </x:c>
      <x:c r="G65" s="17" t="n">
        <x:v>27</x:v>
      </x:c>
      <x:c r="H65" s="6" t="n">
        <x:v>5</x:v>
      </x:c>
      <x:c r="I65" s="6" t="n">
        <x:v>78</x:v>
      </x:c>
      <x:c r="J65" s="6" t="n">
        <x:v>53</x:v>
      </x:c>
      <x:c r="K65" s="6" t="n">
        <x:v>5</x:v>
      </x:c>
      <x:c r="L65" s="23" t="n">
        <x:v>0.02658882783882784</x:v>
      </x:c>
    </x:row>
    <x:row r="66" ht="25" customHeight="1">
      <x:c r="A66" s="2" t="str">
        <x:v>V_D08</x:v>
      </x:c>
      <x:c r="B66" s="22" t="n">
        <x:v>0.9548855311355311</x:v>
      </x:c>
      <x:c r="C66" s="17" t="n">
        <x:v>0.9479136141636142</x:v>
      </x:c>
      <x:c r="D66" s="6" t="n">
        <x:v>113</x:v>
      </x:c>
      <x:c r="E66" s="6" t="n">
        <x:v>100</x:v>
      </x:c>
      <x:c r="F66" s="17" t="n">
        <x:v>32.075471698113205</x:v>
      </x:c>
      <x:c r="G66" s="17" t="n">
        <x:v>27</x:v>
      </x:c>
      <x:c r="H66" s="6" t="n">
        <x:v>3</x:v>
      </x:c>
      <x:c r="I66" s="6" t="n">
        <x:v>78</x:v>
      </x:c>
      <x:c r="J66" s="6" t="n">
        <x:v>53</x:v>
      </x:c>
      <x:c r="K66" s="6" t="n">
        <x:v>5</x:v>
      </x:c>
      <x:c r="L66" s="23" t="n">
        <x:v>0.024897741147741147</x:v>
      </x:c>
    </x:row>
    <x:row r="67" ht="25" customHeight="1">
      <x:c r="A67" s="2" t="str">
        <x:v>J04</x:v>
      </x:c>
      <x:c r="B67" s="22" t="n">
        <x:v>0.9226526251526251</x:v>
      </x:c>
      <x:c r="C67" s="17" t="n">
        <x:v>0.9109798534798534</x:v>
      </x:c>
      <x:c r="D67" s="6" t="n">
        <x:v>100</x:v>
      </x:c>
      <x:c r="E67" s="6" t="n">
        <x:v>100</x:v>
      </x:c>
      <x:c r="F67" s="17" t="n">
        <x:v>18.032258064516128</x:v>
      </x:c>
      <x:c r="G67" s="17" t="n">
        <x:v>9</x:v>
      </x:c>
      <x:c r="H67" s="6" t="n">
        <x:v>5</x:v>
      </x:c>
      <x:c r="I67" s="6" t="n">
        <x:v>79</x:v>
      </x:c>
      <x:c r="J67" s="6" t="n">
        <x:v>155</x:v>
      </x:c>
      <x:c r="K67" s="6" t="n">
        <x:v>0</x:v>
      </x:c>
      <x:c r="L67" s="23" t="n">
        <x:v>0.07037240537240537</x:v>
      </x:c>
    </x:row>
    <x:row r="68" ht="25" customHeight="1">
      <x:c r="A68" s="2" t="str">
        <x:v>J05</x:v>
      </x:c>
      <x:c r="B68" s="22" t="n">
        <x:v>1.234667277167277</x:v>
      </x:c>
      <x:c r="C68" s="17" t="n">
        <x:v>1.215674603174603</x:v>
      </x:c>
      <x:c r="D68" s="6" t="n">
        <x:v>100</x:v>
      </x:c>
      <x:c r="E68" s="6" t="n">
        <x:v>100</x:v>
      </x:c>
      <x:c r="F68" s="17" t="n">
        <x:v>22.309677419354838</x:v>
      </x:c>
      <x:c r="G68" s="17" t="n">
        <x:v>13</x:v>
      </x:c>
      <x:c r="H68" s="6" t="n">
        <x:v>10</x:v>
      </x:c>
      <x:c r="I68" s="6" t="n">
        <x:v>81</x:v>
      </x:c>
      <x:c r="J68" s="6" t="n">
        <x:v>155</x:v>
      </x:c>
      <x:c r="K68" s="6" t="n">
        <x:v>0</x:v>
      </x:c>
      <x:c r="L68" s="23" t="n">
        <x:v>0.07037240537240537</x:v>
      </x:c>
    </x:row>
    <x:row r="69" ht="25" customHeight="1">
      <x:c r="A69" s="2" t="str">
        <x:v>J06</x:v>
      </x:c>
      <x:c r="B69" s="22" t="n">
        <x:v>1.8551556776556775</x:v>
      </x:c>
      <x:c r="C69" s="17" t="n">
        <x:v>1.8217124542124543</x:v>
      </x:c>
      <x:c r="D69" s="6" t="n">
        <x:v>100</x:v>
      </x:c>
      <x:c r="E69" s="6" t="n">
        <x:v>100</x:v>
      </x:c>
      <x:c r="F69" s="17" t="n">
        <x:v>30.825806451612902</x:v>
      </x:c>
      <x:c r="G69" s="17" t="n">
        <x:v>23</x:v>
      </x:c>
      <x:c r="H69" s="6" t="n">
        <x:v>20</x:v>
      </x:c>
      <x:c r="I69" s="6" t="n">
        <x:v>83</x:v>
      </x:c>
      <x:c r="J69" s="6" t="n">
        <x:v>155</x:v>
      </x:c>
      <x:c r="K69" s="6" t="n">
        <x:v>0</x:v>
      </x:c>
      <x:c r="L69" s="23" t="n">
        <x:v>0.07037240537240537</x:v>
      </x:c>
    </x:row>
    <x:row r="70" ht="25" customHeight="1">
      <x:c r="A70" s="2" t="str">
        <x:v>J07</x:v>
      </x:c>
      <x:c r="B70" s="22" t="n">
        <x:v>2.968646214896215</x:v>
      </x:c>
      <x:c r="C70" s="17" t="n">
        <x:v>2.9280784493284497</x:v>
      </x:c>
      <x:c r="D70" s="6" t="n">
        <x:v>100</x:v>
      </x:c>
      <x:c r="E70" s="6" t="n">
        <x:v>100</x:v>
      </x:c>
      <x:c r="F70" s="17" t="n">
        <x:v>21.948387096774194</x:v>
      </x:c>
      <x:c r="G70" s="17" t="n">
        <x:v>13</x:v>
      </x:c>
      <x:c r="H70" s="6" t="n">
        <x:v>10</x:v>
      </x:c>
      <x:c r="I70" s="6" t="n">
        <x:v>81</x:v>
      </x:c>
      <x:c r="J70" s="6" t="n">
        <x:v>155</x:v>
      </x:c>
      <x:c r="K70" s="6" t="n">
        <x:v>0</x:v>
      </x:c>
      <x:c r="L70" s="23" t="n">
        <x:v>0.10272435897435897</x:v>
      </x:c>
    </x:row>
    <x:row r="71" ht="25" customHeight="1">
      <x:c r="A71" s="2" t="str">
        <x:v>J08</x:v>
      </x:c>
      <x:c r="B71" s="22" t="n">
        <x:v>2.940540293040293</x:v>
      </x:c>
      <x:c r="C71" s="17" t="n">
        <x:v>2.89769536019536</x:v>
      </x:c>
      <x:c r="D71" s="6" t="n">
        <x:v>100</x:v>
      </x:c>
      <x:c r="E71" s="6" t="n">
        <x:v>100</x:v>
      </x:c>
      <x:c r="F71" s="17" t="n">
        <x:v>21.948387096774194</x:v>
      </x:c>
      <x:c r="G71" s="17" t="n">
        <x:v>13</x:v>
      </x:c>
      <x:c r="H71" s="6" t="n">
        <x:v>10</x:v>
      </x:c>
      <x:c r="I71" s="6" t="n">
        <x:v>81</x:v>
      </x:c>
      <x:c r="J71" s="6" t="n">
        <x:v>155</x:v>
      </x:c>
      <x:c r="K71" s="6" t="n">
        <x:v>0</x:v>
      </x:c>
      <x:c r="L71" s="23" t="n">
        <x:v>0.1026923076923077</x:v>
      </x:c>
    </x:row>
    <x:row r="72" ht="25" customHeight="1">
      <x:c r="A72" s="2" t="str">
        <x:v>J09</x:v>
      </x:c>
      <x:c r="B72" s="22" t="n">
        <x:v>3.2112652625152625</x:v>
      </x:c>
      <x:c r="C72" s="17" t="n">
        <x:v>3.1407310744810744</x:v>
      </x:c>
      <x:c r="D72" s="6" t="n">
        <x:v>101</x:v>
      </x:c>
      <x:c r="E72" s="6" t="n">
        <x:v>100</x:v>
      </x:c>
      <x:c r="F72" s="17" t="n">
        <x:v>21.89677419354839</x:v>
      </x:c>
      <x:c r="G72" s="17" t="n">
        <x:v>13</x:v>
      </x:c>
      <x:c r="H72" s="6" t="n">
        <x:v>10</x:v>
      </x:c>
      <x:c r="I72" s="6" t="n">
        <x:v>81</x:v>
      </x:c>
      <x:c r="J72" s="6" t="n">
        <x:v>155</x:v>
      </x:c>
      <x:c r="K72" s="6" t="n">
        <x:v>0</x:v>
      </x:c>
      <x:c r="L72" s="23" t="n">
        <x:v>0.10212301587301588</x:v>
      </x:c>
    </x:row>
    <x:row r="73" ht="25" customHeight="1">
      <x:c r="A73" s="2" t="str">
        <x:v>J10</x:v>
      </x:c>
      <x:c r="B73" s="22" t="n">
        <x:v>3.007844932844933</x:v>
      </x:c>
      <x:c r="C73" s="17" t="n">
        <x:v>2.955970695970696</x:v>
      </x:c>
      <x:c r="D73" s="6" t="n">
        <x:v>101</x:v>
      </x:c>
      <x:c r="E73" s="6" t="n">
        <x:v>100</x:v>
      </x:c>
      <x:c r="F73" s="17" t="n">
        <x:v>21.81290322580645</x:v>
      </x:c>
      <x:c r="G73" s="17" t="n">
        <x:v>13</x:v>
      </x:c>
      <x:c r="H73" s="6" t="n">
        <x:v>10</x:v>
      </x:c>
      <x:c r="I73" s="6" t="n">
        <x:v>81</x:v>
      </x:c>
      <x:c r="J73" s="6" t="n">
        <x:v>155</x:v>
      </x:c>
      <x:c r="K73" s="6" t="n">
        <x:v>0</x:v>
      </x:c>
      <x:c r="L73" s="23" t="n">
        <x:v>0.09966269841269841</x:v>
      </x:c>
    </x:row>
    <x:row r="74" ht="25" customHeight="1">
      <x:c r="A74" s="2" t="str">
        <x:v>J11</x:v>
      </x:c>
      <x:c r="B74" s="22" t="n">
        <x:v>3.0121306471306473</x:v>
      </x:c>
      <x:c r="C74" s="17" t="n">
        <x:v>2.968598901098901</x:v>
      </x:c>
      <x:c r="D74" s="6" t="n">
        <x:v>100</x:v>
      </x:c>
      <x:c r="E74" s="6" t="n">
        <x:v>100</x:v>
      </x:c>
      <x:c r="F74" s="17" t="n">
        <x:v>21.948387096774194</x:v>
      </x:c>
      <x:c r="G74" s="17" t="n">
        <x:v>13</x:v>
      </x:c>
      <x:c r="H74" s="6" t="n">
        <x:v>10</x:v>
      </x:c>
      <x:c r="I74" s="6" t="n">
        <x:v>81</x:v>
      </x:c>
      <x:c r="J74" s="6" t="n">
        <x:v>155</x:v>
      </x:c>
      <x:c r="K74" s="6" t="n">
        <x:v>0</x:v>
      </x:c>
      <x:c r="L74" s="23" t="n">
        <x:v>0.1014041514041514</x:v>
      </x:c>
    </x:row>
    <x:row r="75" ht="25" customHeight="1">
      <x:c r="A75" s="2" t="str">
        <x:v>J12</x:v>
      </x:c>
      <x:c r="B75" s="22" t="n">
        <x:v>3.083754578754579</x:v>
      </x:c>
      <x:c r="C75" s="17" t="n">
        <x:v>2.955970695970696</x:v>
      </x:c>
      <x:c r="D75" s="6" t="n">
        <x:v>200</x:v>
      </x:c>
      <x:c r="E75" s="6" t="n">
        <x:v>100</x:v>
      </x:c>
      <x:c r="F75" s="17" t="n">
        <x:v>21.81290322580645</x:v>
      </x:c>
      <x:c r="G75" s="17" t="n">
        <x:v>13</x:v>
      </x:c>
      <x:c r="H75" s="6" t="n">
        <x:v>10</x:v>
      </x:c>
      <x:c r="I75" s="6" t="n">
        <x:v>81</x:v>
      </x:c>
      <x:c r="J75" s="6" t="n">
        <x:v>155</x:v>
      </x:c>
      <x:c r="K75" s="6" t="n">
        <x:v>0</x:v>
      </x:c>
      <x:c r="L75" s="23" t="n">
        <x:v>0.09969627594627593</x:v>
      </x:c>
    </x:row>
    <x:row r="76" ht="25" customHeight="1">
      <x:c r="A76" s="2" t="str">
        <x:v>J13</x:v>
      </x:c>
      <x:c r="B76" s="22" t="n">
        <x:v>2.478284493284493</x:v>
      </x:c>
      <x:c r="C76" s="17" t="n">
        <x:v>2.4270299145299146</x:v>
      </x:c>
      <x:c r="D76" s="6" t="n">
        <x:v>100</x:v>
      </x:c>
      <x:c r="E76" s="6" t="n">
        <x:v>100</x:v>
      </x:c>
      <x:c r="F76" s="17" t="n">
        <x:v>19.306122448979593</x:v>
      </x:c>
      <x:c r="G76" s="17" t="n">
        <x:v>11</x:v>
      </x:c>
      <x:c r="H76" s="6" t="n">
        <x:v>1</x:v>
      </x:c>
      <x:c r="I76" s="6" t="n">
        <x:v>81</x:v>
      </x:c>
      <x:c r="J76" s="6" t="n">
        <x:v>147</x:v>
      </x:c>
      <x:c r="K76" s="6" t="n">
        <x:v>0</x:v>
      </x:c>
      <x:c r="L76" s="23" t="n">
        <x:v>0.09552503052503052</x:v>
      </x:c>
    </x:row>
    <x:row r="77" ht="25" customHeight="1">
      <x:c r="A77" s="2" t="str">
        <x:v>J14</x:v>
      </x:c>
      <x:c r="B77" s="22" t="n">
        <x:v>3.171965811965812</x:v>
      </x:c>
      <x:c r="C77" s="17" t="n">
        <x:v>3.118015873015873</x:v>
      </x:c>
      <x:c r="D77" s="6" t="n">
        <x:v>113</x:v>
      </x:c>
      <x:c r="E77" s="6" t="n">
        <x:v>100</x:v>
      </x:c>
      <x:c r="F77" s="17" t="n">
        <x:v>21.916129032258066</x:v>
      </x:c>
      <x:c r="G77" s="17" t="n">
        <x:v>13</x:v>
      </x:c>
      <x:c r="H77" s="6" t="n">
        <x:v>10</x:v>
      </x:c>
      <x:c r="I77" s="6" t="n">
        <x:v>81</x:v>
      </x:c>
      <x:c r="J77" s="6" t="n">
        <x:v>155</x:v>
      </x:c>
      <x:c r="K77" s="6" t="n">
        <x:v>0</x:v>
      </x:c>
      <x:c r="L77" s="23" t="n">
        <x:v>0.101498778998779</x:v>
      </x:c>
    </x:row>
    <x:row r="78" ht="25" customHeight="1">
      <x:c r="A78" s="2" t="str">
        <x:v>K02</x:v>
      </x:c>
      <x:c r="B78" s="22" t="n">
        <x:v>0.6860073260073261</x:v>
      </x:c>
      <x:c r="C78" s="17" t="n">
        <x:v>0.670989010989011</x:v>
      </x:c>
      <x:c r="D78" s="6" t="n">
        <x:v>20</x:v>
      </x:c>
      <x:c r="E78" s="6" t="n">
        <x:v>20</x:v>
      </x:c>
      <x:c r="F78" s="17" t="n">
        <x:v>10</x:v>
      </x:c>
      <x:c r="G78" s="17" t="n">
        <x:v>10</x:v>
      </x:c>
      <x:c r="H78" s="6" t="n">
        <x:v>10</x:v>
      </x:c>
      <x:c r="I78" s="6" t="n">
        <x:v>10</x:v>
      </x:c>
      <x:c r="J78" s="6" t="n">
        <x:v>155</x:v>
      </x:c>
      <x:c r="K78" s="6" t="n">
        <x:v>0</x:v>
      </x:c>
      <x:c r="L78" s="23" t="n">
        <x:v>0.07037240537240537</x:v>
      </x:c>
    </x:row>
  </x:sheetData>
  <x:pageMargins left="0.7" right="0.7" top="0.75" bottom="0.75" header="0.3" footer="0.3"/>
  <x:tableParts count="1">
    <x:tablePart xmlns:r="http://schemas.openxmlformats.org/officeDocument/2006/relationships" r:id="Ra70fb233c1484063"/>
  </x:tableParts>
</x:worksheet>
</file>

<file path=xl/worksheets/sheet7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10月27日デイの途中損益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15:20未満の固定資料。完了26デイの合計には含めない。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利益－損失＋継続親実現＝確定収支。確定＋含み＝時価収支。実アプリの約定とは別の模型。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0" t="str">
        <x:v>手法</x:v>
      </x:c>
      <x:c r="B5" s="10" t="str">
        <x:v>完結親利益（円）</x:v>
      </x:c>
      <x:c r="C5" s="10" t="str">
        <x:v>完結親損失（円）</x:v>
      </x:c>
      <x:c r="D5" s="10" t="str">
        <x:v>継続親実現（円）</x:v>
      </x:c>
      <x:c r="E5" s="10" t="str">
        <x:v>確定収支（円）</x:v>
      </x:c>
      <x:c r="F5" s="10" t="str">
        <x:v>含み損益（円）</x:v>
      </x:c>
      <x:c r="G5" s="10" t="str">
        <x:v>時価収支（円）</x:v>
      </x:c>
      <x:c r="H5" s="10" t="str">
        <x:v>未返済枚数</x:v>
      </x:c>
      <x:c r="I5" s="10" t="str">
        <x:v>新規回数</x:v>
      </x:c>
      <x:c r="J5" s="10" t="str">
        <x:v>途中最悪収支（円）</x:v>
      </x:c>
      <x:c r="K5" s="10" t="str">
        <x:v>最大下落額（円）</x:v>
      </x:c>
    </x:row>
    <x:row r="6" ht="25" customHeight="1">
      <x:c r="A6" s="2" t="str">
        <x:v>C00</x:v>
      </x:c>
      <x:c r="B6" s="6" t="n">
        <x:v>121000</x:v>
      </x:c>
      <x:c r="C6" s="6" t="n">
        <x:v>236000</x:v>
      </x:c>
      <x:c r="D6" s="6" t="n">
        <x:v>0</x:v>
      </x:c>
      <x:c r="E6" s="6" t="n">
        <x:f>B6-C6+D6</x:f>
        <x:v>-115000</x:v>
      </x:c>
      <x:c r="F6" s="6" t="n">
        <x:v>0</x:v>
      </x:c>
      <x:c r="G6" s="6" t="n">
        <x:f>E6+F6</x:f>
        <x:v>-115000</x:v>
      </x:c>
      <x:c r="H6" s="6" t="n">
        <x:v>0</x:v>
      </x:c>
      <x:c r="I6" s="6" t="n">
        <x:v>15</x:v>
      </x:c>
      <x:c r="J6" s="6" t="n">
        <x:v>-133000</x:v>
      </x:c>
      <x:c r="K6" s="6" t="n">
        <x:v>193000</x:v>
      </x:c>
    </x:row>
    <x:row r="7" ht="25" customHeight="1">
      <x:c r="A7" s="2" t="str">
        <x:v>K01</x:v>
      </x:c>
      <x:c r="B7" s="6" t="n">
        <x:v>47900</x:v>
      </x:c>
      <x:c r="C7" s="6" t="n">
        <x:v>71500</x:v>
      </x:c>
      <x:c r="D7" s="6" t="n">
        <x:v>0</x:v>
      </x:c>
      <x:c r="E7" s="6" t="n">
        <x:f>B7-C7+D7</x:f>
        <x:v>-23600</x:v>
      </x:c>
      <x:c r="F7" s="6" t="n">
        <x:v>0</x:v>
      </x:c>
      <x:c r="G7" s="6" t="n">
        <x:f>E7+F7</x:f>
        <x:v>-23600</x:v>
      </x:c>
      <x:c r="H7" s="6" t="n">
        <x:v>0</x:v>
      </x:c>
      <x:c r="I7" s="6" t="n">
        <x:v>15</x:v>
      </x:c>
      <x:c r="J7" s="6" t="n">
        <x:v>-35000</x:v>
      </x:c>
      <x:c r="K7" s="6" t="n">
        <x:v>57500</x:v>
      </x:c>
    </x:row>
    <x:row r="8" ht="25" customHeight="1">
      <x:c r="A8" s="2" t="str">
        <x:v>J02</x:v>
      </x:c>
      <x:c r="B8" s="6" t="n">
        <x:v>91300</x:v>
      </x:c>
      <x:c r="C8" s="6" t="n">
        <x:v>179700</x:v>
      </x:c>
      <x:c r="D8" s="6" t="n">
        <x:v>0</x:v>
      </x:c>
      <x:c r="E8" s="6" t="n">
        <x:f>B8-C8+D8</x:f>
        <x:v>-88400</x:v>
      </x:c>
      <x:c r="F8" s="6" t="n">
        <x:v>0</x:v>
      </x:c>
      <x:c r="G8" s="6" t="n">
        <x:f>E8+F8</x:f>
        <x:v>-88400</x:v>
      </x:c>
      <x:c r="H8" s="6" t="n">
        <x:v>0</x:v>
      </x:c>
      <x:c r="I8" s="6" t="n">
        <x:v>15</x:v>
      </x:c>
      <x:c r="J8" s="6" t="n">
        <x:v>-106100</x:v>
      </x:c>
      <x:c r="K8" s="6" t="n">
        <x:v>143600</x:v>
      </x:c>
    </x:row>
    <x:row r="9" ht="25" customHeight="1">
      <x:c r="A9" s="2" t="str">
        <x:v>J03</x:v>
      </x:c>
      <x:c r="B9" s="6" t="n">
        <x:v>134800</x:v>
      </x:c>
      <x:c r="C9" s="6" t="n">
        <x:v>240800</x:v>
      </x:c>
      <x:c r="D9" s="6" t="n">
        <x:v>0</x:v>
      </x:c>
      <x:c r="E9" s="6" t="n">
        <x:f>B9-C9+D9</x:f>
        <x:v>-106000</x:v>
      </x:c>
      <x:c r="F9" s="6" t="n">
        <x:v>0</x:v>
      </x:c>
      <x:c r="G9" s="6" t="n">
        <x:f>E9+F9</x:f>
        <x:v>-106000</x:v>
      </x:c>
      <x:c r="H9" s="6" t="n">
        <x:v>0</x:v>
      </x:c>
      <x:c r="I9" s="6" t="n">
        <x:v>15</x:v>
      </x:c>
      <x:c r="J9" s="6" t="n">
        <x:v>-116200</x:v>
      </x:c>
      <x:c r="K9" s="6" t="n">
        <x:v>174700</x:v>
      </x:c>
    </x:row>
    <x:row r="10" ht="25" customHeight="1">
      <x:c r="A10" s="2" t="str">
        <x:v>J15</x:v>
      </x:c>
      <x:c r="B10" s="6" t="n">
        <x:v>61300</x:v>
      </x:c>
      <x:c r="C10" s="6" t="n">
        <x:v>124300</x:v>
      </x:c>
      <x:c r="D10" s="6" t="n">
        <x:v>0</x:v>
      </x:c>
      <x:c r="E10" s="6" t="n">
        <x:f>B10-C10+D10</x:f>
        <x:v>-63000</x:v>
      </x:c>
      <x:c r="F10" s="6" t="n">
        <x:v>0</x:v>
      </x:c>
      <x:c r="G10" s="6" t="n">
        <x:f>E10+F10</x:f>
        <x:v>-63000</x:v>
      </x:c>
      <x:c r="H10" s="6" t="n">
        <x:v>0</x:v>
      </x:c>
      <x:c r="I10" s="6" t="n">
        <x:v>15</x:v>
      </x:c>
      <x:c r="J10" s="6" t="n">
        <x:v>-69200</x:v>
      </x:c>
      <x:c r="K10" s="6" t="n">
        <x:v>100100</x:v>
      </x:c>
    </x:row>
    <x:row r="11" ht="25" customHeight="1">
      <x:c r="A11" s="2" t="str">
        <x:v>O01</x:v>
      </x:c>
      <x:c r="B11" s="6" t="n">
        <x:v>171500</x:v>
      </x:c>
      <x:c r="C11" s="6" t="n">
        <x:v>360100</x:v>
      </x:c>
      <x:c r="D11" s="6" t="n">
        <x:v>0</x:v>
      </x:c>
      <x:c r="E11" s="6" t="n">
        <x:f>B11-C11+D11</x:f>
        <x:v>-188600</x:v>
      </x:c>
      <x:c r="F11" s="6" t="n">
        <x:v>0</x:v>
      </x:c>
      <x:c r="G11" s="6" t="n">
        <x:f>E11+F11</x:f>
        <x:v>-188600</x:v>
      </x:c>
      <x:c r="H11" s="6" t="n">
        <x:v>0</x:v>
      </x:c>
      <x:c r="I11" s="6" t="n">
        <x:v>27</x:v>
      </x:c>
      <x:c r="J11" s="6" t="n">
        <x:v>-254500</x:v>
      </x:c>
      <x:c r="K11" s="6" t="n">
        <x:v>344600</x:v>
      </x:c>
    </x:row>
    <x:row r="12" ht="25" customHeight="1">
      <x:c r="A12" s="2" t="str">
        <x:v>O02</x:v>
      </x:c>
      <x:c r="B12" s="6" t="n">
        <x:v>103100</x:v>
      </x:c>
      <x:c r="C12" s="6" t="n">
        <x:v>347700</x:v>
      </x:c>
      <x:c r="D12" s="6" t="n">
        <x:v>0</x:v>
      </x:c>
      <x:c r="E12" s="6" t="n">
        <x:f>B12-C12+D12</x:f>
        <x:v>-244600</x:v>
      </x:c>
      <x:c r="F12" s="6" t="n">
        <x:v>0</x:v>
      </x:c>
      <x:c r="G12" s="6" t="n">
        <x:f>E12+F12</x:f>
        <x:v>-244600</x:v>
      </x:c>
      <x:c r="H12" s="6" t="n">
        <x:v>0</x:v>
      </x:c>
      <x:c r="I12" s="6" t="n">
        <x:v>58</x:v>
      </x:c>
      <x:c r="J12" s="6" t="n">
        <x:v>-282500</x:v>
      </x:c>
      <x:c r="K12" s="6" t="n">
        <x:v>359100</x:v>
      </x:c>
    </x:row>
    <x:row r="13" ht="25" customHeight="1">
      <x:c r="A13" s="2" t="str">
        <x:v>O03</x:v>
      </x:c>
      <x:c r="B13" s="6" t="n">
        <x:v>103100</x:v>
      </x:c>
      <x:c r="C13" s="6" t="n">
        <x:v>347700</x:v>
      </x:c>
      <x:c r="D13" s="6" t="n">
        <x:v>0</x:v>
      </x:c>
      <x:c r="E13" s="6" t="n">
        <x:f>B13-C13+D13</x:f>
        <x:v>-244600</x:v>
      </x:c>
      <x:c r="F13" s="6" t="n">
        <x:v>0</x:v>
      </x:c>
      <x:c r="G13" s="6" t="n">
        <x:f>E13+F13</x:f>
        <x:v>-244600</x:v>
      </x:c>
      <x:c r="H13" s="6" t="n">
        <x:v>0</x:v>
      </x:c>
      <x:c r="I13" s="6" t="n">
        <x:v>58</x:v>
      </x:c>
      <x:c r="J13" s="6" t="n">
        <x:v>-282500</x:v>
      </x:c>
      <x:c r="K13" s="6" t="n">
        <x:v>359100</x:v>
      </x:c>
    </x:row>
    <x:row r="14" ht="25" customHeight="1">
      <x:c r="A14" s="2" t="str">
        <x:v>O04</x:v>
      </x:c>
      <x:c r="B14" s="6" t="n">
        <x:v>75900</x:v>
      </x:c>
      <x:c r="C14" s="6" t="n">
        <x:v>366500</x:v>
      </x:c>
      <x:c r="D14" s="6" t="n">
        <x:v>0</x:v>
      </x:c>
      <x:c r="E14" s="6" t="n">
        <x:f>B14-C14+D14</x:f>
        <x:v>-290600</x:v>
      </x:c>
      <x:c r="F14" s="6" t="n">
        <x:v>0</x:v>
      </x:c>
      <x:c r="G14" s="6" t="n">
        <x:f>E14+F14</x:f>
        <x:v>-290600</x:v>
      </x:c>
      <x:c r="H14" s="6" t="n">
        <x:v>0</x:v>
      </x:c>
      <x:c r="I14" s="6" t="n">
        <x:v>68</x:v>
      </x:c>
      <x:c r="J14" s="6" t="n">
        <x:v>-302200</x:v>
      </x:c>
      <x:c r="K14" s="6" t="n">
        <x:v>383200</x:v>
      </x:c>
    </x:row>
    <x:row r="15" ht="25" customHeight="1">
      <x:c r="A15" s="2" t="str">
        <x:v>O05</x:v>
      </x:c>
      <x:c r="B15" s="6" t="n">
        <x:v>100400</x:v>
      </x:c>
      <x:c r="C15" s="6" t="n">
        <x:v>352800</x:v>
      </x:c>
      <x:c r="D15" s="6" t="n">
        <x:v>0</x:v>
      </x:c>
      <x:c r="E15" s="6" t="n">
        <x:f>B15-C15+D15</x:f>
        <x:v>-252400</x:v>
      </x:c>
      <x:c r="F15" s="6" t="n">
        <x:v>0</x:v>
      </x:c>
      <x:c r="G15" s="6" t="n">
        <x:f>E15+F15</x:f>
        <x:v>-252400</x:v>
      </x:c>
      <x:c r="H15" s="6" t="n">
        <x:v>0</x:v>
      </x:c>
      <x:c r="I15" s="6" t="n">
        <x:v>61</x:v>
      </x:c>
      <x:c r="J15" s="6" t="n">
        <x:v>-283100</x:v>
      </x:c>
      <x:c r="K15" s="6" t="n">
        <x:v>371300</x:v>
      </x:c>
    </x:row>
    <x:row r="16" ht="25" customHeight="1">
      <x:c r="A16" s="2" t="str">
        <x:v>O06</x:v>
      </x:c>
      <x:c r="B16" s="6" t="n">
        <x:v>103100</x:v>
      </x:c>
      <x:c r="C16" s="6" t="n">
        <x:v>360400</x:v>
      </x:c>
      <x:c r="D16" s="6" t="n">
        <x:v>0</x:v>
      </x:c>
      <x:c r="E16" s="6" t="n">
        <x:f>B16-C16+D16</x:f>
        <x:v>-257300</x:v>
      </x:c>
      <x:c r="F16" s="6" t="n">
        <x:v>0</x:v>
      </x:c>
      <x:c r="G16" s="6" t="n">
        <x:f>E16+F16</x:f>
        <x:v>-257300</x:v>
      </x:c>
      <x:c r="H16" s="6" t="n">
        <x:v>0</x:v>
      </x:c>
      <x:c r="I16" s="6" t="n">
        <x:v>59</x:v>
      </x:c>
      <x:c r="J16" s="6" t="n">
        <x:v>-295200</x:v>
      </x:c>
      <x:c r="K16" s="6" t="n">
        <x:v>371800</x:v>
      </x:c>
    </x:row>
    <x:row r="17" ht="25" customHeight="1">
      <x:c r="A17" s="2" t="str">
        <x:v>O07</x:v>
      </x:c>
      <x:c r="B17" s="6" t="n">
        <x:v>100400</x:v>
      </x:c>
      <x:c r="C17" s="6" t="n">
        <x:v>346800</x:v>
      </x:c>
      <x:c r="D17" s="6" t="n">
        <x:v>0</x:v>
      </x:c>
      <x:c r="E17" s="6" t="n">
        <x:f>B17-C17+D17</x:f>
        <x:v>-246400</x:v>
      </x:c>
      <x:c r="F17" s="6" t="n">
        <x:v>0</x:v>
      </x:c>
      <x:c r="G17" s="6" t="n">
        <x:f>E17+F17</x:f>
        <x:v>-246400</x:v>
      </x:c>
      <x:c r="H17" s="6" t="n">
        <x:v>0</x:v>
      </x:c>
      <x:c r="I17" s="6" t="n">
        <x:v>61</x:v>
      </x:c>
      <x:c r="J17" s="6" t="n">
        <x:v>-277100</x:v>
      </x:c>
      <x:c r="K17" s="6" t="n">
        <x:v>365300</x:v>
      </x:c>
    </x:row>
    <x:row r="18" ht="25" customHeight="1">
      <x:c r="A18" s="2" t="str">
        <x:v>O08</x:v>
      </x:c>
      <x:c r="B18" s="6" t="n">
        <x:v>100400</x:v>
      </x:c>
      <x:c r="C18" s="6" t="n">
        <x:v>352800</x:v>
      </x:c>
      <x:c r="D18" s="6" t="n">
        <x:v>0</x:v>
      </x:c>
      <x:c r="E18" s="6" t="n">
        <x:f>B18-C18+D18</x:f>
        <x:v>-252400</x:v>
      </x:c>
      <x:c r="F18" s="6" t="n">
        <x:v>0</x:v>
      </x:c>
      <x:c r="G18" s="6" t="n">
        <x:f>E18+F18</x:f>
        <x:v>-252400</x:v>
      </x:c>
      <x:c r="H18" s="6" t="n">
        <x:v>0</x:v>
      </x:c>
      <x:c r="I18" s="6" t="n">
        <x:v>48</x:v>
      </x:c>
      <x:c r="J18" s="6" t="n">
        <x:v>-283100</x:v>
      </x:c>
      <x:c r="K18" s="6" t="n">
        <x:v>371300</x:v>
      </x:c>
    </x:row>
    <x:row r="19" ht="25" customHeight="1">
      <x:c r="A19" s="2" t="str">
        <x:v>O09</x:v>
      </x:c>
      <x:c r="B19" s="6" t="n">
        <x:v>144500</x:v>
      </x:c>
      <x:c r="C19" s="6" t="n">
        <x:v>307500</x:v>
      </x:c>
      <x:c r="D19" s="6" t="n">
        <x:v>0</x:v>
      </x:c>
      <x:c r="E19" s="6" t="n">
        <x:f>B19-C19+D19</x:f>
        <x:v>-163000</x:v>
      </x:c>
      <x:c r="F19" s="6" t="n">
        <x:v>0</x:v>
      </x:c>
      <x:c r="G19" s="6" t="n">
        <x:f>E19+F19</x:f>
        <x:v>-163000</x:v>
      </x:c>
      <x:c r="H19" s="6" t="n">
        <x:v>0</x:v>
      </x:c>
      <x:c r="I19" s="6" t="n">
        <x:v>41</x:v>
      </x:c>
      <x:c r="J19" s="6" t="n">
        <x:v>-163000</x:v>
      </x:c>
      <x:c r="K19" s="6" t="n">
        <x:v>251200</x:v>
      </x:c>
    </x:row>
    <x:row r="20" ht="25" customHeight="1">
      <x:c r="A20" s="2" t="str">
        <x:v>O10</x:v>
      </x:c>
      <x:c r="B20" s="6" t="n">
        <x:v>131100</x:v>
      </x:c>
      <x:c r="C20" s="6" t="n">
        <x:v>347700</x:v>
      </x:c>
      <x:c r="D20" s="6" t="n">
        <x:v>0</x:v>
      </x:c>
      <x:c r="E20" s="6" t="n">
        <x:f>B20-C20+D20</x:f>
        <x:v>-216600</x:v>
      </x:c>
      <x:c r="F20" s="6" t="n">
        <x:v>0</x:v>
      </x:c>
      <x:c r="G20" s="6" t="n">
        <x:f>E20+F20</x:f>
        <x:v>-216600</x:v>
      </x:c>
      <x:c r="H20" s="6" t="n">
        <x:v>0</x:v>
      </x:c>
      <x:c r="I20" s="6" t="n">
        <x:v>58</x:v>
      </x:c>
      <x:c r="J20" s="6" t="n">
        <x:v>-282500</x:v>
      </x:c>
      <x:c r="K20" s="6" t="n">
        <x:v>359100</x:v>
      </x:c>
    </x:row>
    <x:row r="21" ht="25" customHeight="1">
      <x:c r="A21" s="2" t="str">
        <x:v>O11</x:v>
      </x:c>
      <x:c r="B21" s="6" t="n">
        <x:v>128400</x:v>
      </x:c>
      <x:c r="C21" s="6" t="n">
        <x:v>352800</x:v>
      </x:c>
      <x:c r="D21" s="6" t="n">
        <x:v>0</x:v>
      </x:c>
      <x:c r="E21" s="6" t="n">
        <x:f>B21-C21+D21</x:f>
        <x:v>-224400</x:v>
      </x:c>
      <x:c r="F21" s="6" t="n">
        <x:v>0</x:v>
      </x:c>
      <x:c r="G21" s="6" t="n">
        <x:f>E21+F21</x:f>
        <x:v>-224400</x:v>
      </x:c>
      <x:c r="H21" s="6" t="n">
        <x:v>0</x:v>
      </x:c>
      <x:c r="I21" s="6" t="n">
        <x:v>61</x:v>
      </x:c>
      <x:c r="J21" s="6" t="n">
        <x:v>-283100</x:v>
      </x:c>
      <x:c r="K21" s="6" t="n">
        <x:v>371300</x:v>
      </x:c>
    </x:row>
    <x:row r="22" ht="25" customHeight="1">
      <x:c r="A22" s="2" t="str">
        <x:v>J01</x:v>
      </x:c>
      <x:c r="B22" s="6" t="n">
        <x:v>68700</x:v>
      </x:c>
      <x:c r="C22" s="6" t="n">
        <x:v>148800</x:v>
      </x:c>
      <x:c r="D22" s="6" t="n">
        <x:v>0</x:v>
      </x:c>
      <x:c r="E22" s="6" t="n">
        <x:f>B22-C22+D22</x:f>
        <x:v>-80100</x:v>
      </x:c>
      <x:c r="F22" s="6" t="n">
        <x:v>0</x:v>
      </x:c>
      <x:c r="G22" s="6" t="n">
        <x:f>E22+F22</x:f>
        <x:v>-80100</x:v>
      </x:c>
      <x:c r="H22" s="6" t="n">
        <x:v>0</x:v>
      </x:c>
      <x:c r="I22" s="6" t="n">
        <x:v>15</x:v>
      </x:c>
      <x:c r="J22" s="6" t="n">
        <x:v>-106800</x:v>
      </x:c>
      <x:c r="K22" s="6" t="n">
        <x:v>134000</x:v>
      </x:c>
    </x:row>
    <x:row r="23" ht="25" customHeight="1">
      <x:c r="A23" s="2" t="str">
        <x:v>V_B00</x:v>
      </x:c>
      <x:c r="B23" s="6" t="n">
        <x:v>30000</x:v>
      </x:c>
      <x:c r="C23" s="6" t="n">
        <x:v>54000</x:v>
      </x:c>
      <x:c r="D23" s="6" t="n">
        <x:v>0</x:v>
      </x:c>
      <x:c r="E23" s="6" t="n">
        <x:f>B23-C23+D23</x:f>
        <x:v>-24000</x:v>
      </x:c>
      <x:c r="F23" s="6" t="n">
        <x:v>0</x:v>
      </x:c>
      <x:c r="G23" s="6" t="n">
        <x:f>E23+F23</x:f>
        <x:v>-24000</x:v>
      </x:c>
      <x:c r="H23" s="6" t="n">
        <x:v>0</x:v>
      </x:c>
      <x:c r="I23" s="6" t="n">
        <x:v>4</x:v>
      </x:c>
      <x:c r="J23" s="6" t="n">
        <x:v>-42000</x:v>
      </x:c>
      <x:c r="K23" s="6" t="n">
        <x:v>61000</x:v>
      </x:c>
    </x:row>
    <x:row r="24" ht="25" customHeight="1">
      <x:c r="A24" s="2" t="str">
        <x:v>V_B01</x:v>
      </x:c>
      <x:c r="B24" s="6" t="n">
        <x:v>48000</x:v>
      </x:c>
      <x:c r="C24" s="6" t="n">
        <x:v>110400</x:v>
      </x:c>
      <x:c r="D24" s="6" t="n">
        <x:v>0</x:v>
      </x:c>
      <x:c r="E24" s="6" t="n">
        <x:f>B24-C24+D24</x:f>
        <x:v>-62400</x:v>
      </x:c>
      <x:c r="F24" s="6" t="n">
        <x:v>0</x:v>
      </x:c>
      <x:c r="G24" s="6" t="n">
        <x:f>E24+F24</x:f>
        <x:v>-62400</x:v>
      </x:c>
      <x:c r="H24" s="6" t="n">
        <x:v>0</x:v>
      </x:c>
      <x:c r="I24" s="6" t="n">
        <x:v>4</x:v>
      </x:c>
      <x:c r="J24" s="6" t="n">
        <x:v>-108000</x:v>
      </x:c>
      <x:c r="K24" s="6" t="n">
        <x:v>124800</x:v>
      </x:c>
    </x:row>
    <x:row r="25" ht="25" customHeight="1">
      <x:c r="A25" s="2" t="str">
        <x:v>C01</x:v>
      </x:c>
      <x:c r="B25" s="6" t="n">
        <x:v>79000</x:v>
      </x:c>
      <x:c r="C25" s="6" t="n">
        <x:v>113000</x:v>
      </x:c>
      <x:c r="D25" s="6" t="n">
        <x:v>0</x:v>
      </x:c>
      <x:c r="E25" s="6" t="n">
        <x:f>B25-C25+D25</x:f>
        <x:v>-34000</x:v>
      </x:c>
      <x:c r="F25" s="6" t="n">
        <x:v>0</x:v>
      </x:c>
      <x:c r="G25" s="6" t="n">
        <x:f>E25+F25</x:f>
        <x:v>-34000</x:v>
      </x:c>
      <x:c r="H25" s="6" t="n">
        <x:v>0</x:v>
      </x:c>
      <x:c r="I25" s="6" t="n">
        <x:v>15</x:v>
      </x:c>
      <x:c r="J25" s="6" t="n">
        <x:v>-44000</x:v>
      </x:c>
      <x:c r="K25" s="6" t="n">
        <x:v>94000</x:v>
      </x:c>
    </x:row>
    <x:row r="26" ht="25" customHeight="1">
      <x:c r="A26" s="2" t="str">
        <x:v>C02</x:v>
      </x:c>
      <x:c r="B26" s="6" t="n">
        <x:v>0</x:v>
      </x:c>
      <x:c r="C26" s="6" t="n">
        <x:v>0</x:v>
      </x:c>
      <x:c r="D26" s="6" t="n">
        <x:v>0</x:v>
      </x:c>
      <x:c r="E26" s="6" t="n">
        <x:f>B26-C26+D26</x:f>
        <x:v>0</x:v>
      </x:c>
      <x:c r="F26" s="6" t="n">
        <x:v>0</x:v>
      </x:c>
      <x:c r="G26" s="6" t="n">
        <x:f>E26+F26</x:f>
        <x:v>0</x:v>
      </x:c>
      <x:c r="H26" s="6" t="n">
        <x:v>0</x:v>
      </x:c>
      <x:c r="I26" s="6" t="n">
        <x:v>0</x:v>
      </x:c>
      <x:c r="J26" s="6" t="n">
        <x:v>0</x:v>
      </x:c>
      <x:c r="K26" s="6" t="n">
        <x:v>0</x:v>
      </x:c>
    </x:row>
    <x:row r="27" ht="25" customHeight="1">
      <x:c r="A27" s="2" t="str">
        <x:v>B00</x:v>
      </x:c>
      <x:c r="B27" s="6" t="n">
        <x:v>0</x:v>
      </x:c>
      <x:c r="C27" s="6" t="n">
        <x:v>0</x:v>
      </x:c>
      <x:c r="D27" s="6" t="n">
        <x:v>0</x:v>
      </x:c>
      <x:c r="E27" s="6" t="n">
        <x:f>B27-C27+D27</x:f>
        <x:v>0</x:v>
      </x:c>
      <x:c r="F27" s="6" t="n">
        <x:v>0</x:v>
      </x:c>
      <x:c r="G27" s="6" t="n">
        <x:f>E27+F27</x:f>
        <x:v>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</x:row>
    <x:row r="28" ht="25" customHeight="1">
      <x:c r="A28" s="2" t="str">
        <x:v>B01</x:v>
      </x:c>
      <x:c r="B28" s="6" t="n">
        <x:v>0</x:v>
      </x:c>
      <x:c r="C28" s="6" t="n">
        <x:v>0</x:v>
      </x:c>
      <x:c r="D28" s="6" t="n">
        <x:v>0</x:v>
      </x:c>
      <x:c r="E28" s="6" t="n">
        <x:f>B28-C28+D28</x:f>
        <x:v>0</x:v>
      </x:c>
      <x:c r="F28" s="6" t="n">
        <x:v>0</x:v>
      </x:c>
      <x:c r="G28" s="6" t="n">
        <x:f>E28+F28</x:f>
        <x:v>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</x:row>
    <x:row r="29" ht="25" customHeight="1">
      <x:c r="A29" s="2" t="str">
        <x:v>Q00</x:v>
      </x:c>
      <x:c r="B29" s="6" t="n">
        <x:v>0</x:v>
      </x:c>
      <x:c r="C29" s="6" t="n">
        <x:v>0</x:v>
      </x:c>
      <x:c r="D29" s="6" t="n">
        <x:v>0</x:v>
      </x:c>
      <x:c r="E29" s="6" t="n">
        <x:f>B29-C29+D29</x:f>
        <x:v>0</x:v>
      </x:c>
      <x:c r="F29" s="6" t="n">
        <x:v>0</x:v>
      </x:c>
      <x:c r="G29" s="6" t="n">
        <x:f>E29+F29</x:f>
        <x:v>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</x:row>
    <x:row r="30" ht="25" customHeight="1">
      <x:c r="A30" s="2" t="str">
        <x:v>Q01</x:v>
      </x:c>
      <x:c r="B30" s="6" t="n">
        <x:v>0</x:v>
      </x:c>
      <x:c r="C30" s="6" t="n">
        <x:v>0</x:v>
      </x:c>
      <x:c r="D30" s="6" t="n">
        <x:v>0</x:v>
      </x:c>
      <x:c r="E30" s="6" t="n">
        <x:f>B30-C30+D30</x:f>
        <x:v>0</x:v>
      </x:c>
      <x:c r="F30" s="6" t="n">
        <x:v>0</x:v>
      </x:c>
      <x:c r="G30" s="6" t="n">
        <x:f>E30+F30</x:f>
        <x:v>0</x:v>
      </x:c>
      <x:c r="H30" s="6" t="n">
        <x:v>0</x:v>
      </x:c>
      <x:c r="I30" s="6" t="n">
        <x:v>0</x:v>
      </x:c>
      <x:c r="J30" s="6" t="n">
        <x:v>0</x:v>
      </x:c>
      <x:c r="K30" s="6" t="n">
        <x:v>0</x:v>
      </x:c>
    </x:row>
    <x:row r="31" ht="25" customHeight="1">
      <x:c r="A31" s="2" t="str">
        <x:v>Q02</x:v>
      </x:c>
      <x:c r="B31" s="6" t="n">
        <x:v>0</x:v>
      </x:c>
      <x:c r="C31" s="6" t="n">
        <x:v>0</x:v>
      </x:c>
      <x:c r="D31" s="6" t="n">
        <x:v>0</x:v>
      </x:c>
      <x:c r="E31" s="6" t="n">
        <x:f>B31-C31+D31</x:f>
        <x:v>0</x:v>
      </x:c>
      <x:c r="F31" s="6" t="n">
        <x:v>0</x:v>
      </x:c>
      <x:c r="G31" s="6" t="n">
        <x:f>E31+F31</x:f>
        <x:v>0</x:v>
      </x:c>
      <x:c r="H31" s="6" t="n">
        <x:v>0</x:v>
      </x:c>
      <x:c r="I31" s="6" t="n">
        <x:v>0</x:v>
      </x:c>
      <x:c r="J31" s="6" t="n">
        <x:v>0</x:v>
      </x:c>
      <x:c r="K31" s="6" t="n">
        <x:v>0</x:v>
      </x:c>
    </x:row>
    <x:row r="32" ht="25" customHeight="1">
      <x:c r="A32" s="2" t="str">
        <x:v>Q03</x:v>
      </x:c>
      <x:c r="B32" s="6" t="n">
        <x:v>0</x:v>
      </x:c>
      <x:c r="C32" s="6" t="n">
        <x:v>0</x:v>
      </x:c>
      <x:c r="D32" s="6" t="n">
        <x:v>0</x:v>
      </x:c>
      <x:c r="E32" s="6" t="n">
        <x:f>B32-C32+D32</x:f>
        <x:v>0</x:v>
      </x:c>
      <x:c r="F32" s="6" t="n">
        <x:v>0</x:v>
      </x:c>
      <x:c r="G32" s="6" t="n">
        <x:f>E32+F32</x:f>
        <x:v>0</x:v>
      </x:c>
      <x:c r="H32" s="6" t="n">
        <x:v>0</x:v>
      </x:c>
      <x:c r="I32" s="6" t="n">
        <x:v>0</x:v>
      </x:c>
      <x:c r="J32" s="6" t="n">
        <x:v>0</x:v>
      </x:c>
      <x:c r="K32" s="6" t="n">
        <x:v>0</x:v>
      </x:c>
    </x:row>
    <x:row r="33" ht="25" customHeight="1">
      <x:c r="A33" s="2" t="str">
        <x:v>Q04</x:v>
      </x:c>
      <x:c r="B33" s="6" t="n">
        <x:v>0</x:v>
      </x:c>
      <x:c r="C33" s="6" t="n">
        <x:v>0</x:v>
      </x:c>
      <x:c r="D33" s="6" t="n">
        <x:v>0</x:v>
      </x:c>
      <x:c r="E33" s="6" t="n">
        <x:f>B33-C33+D33</x:f>
        <x:v>0</x:v>
      </x:c>
      <x:c r="F33" s="6" t="n">
        <x:v>0</x:v>
      </x:c>
      <x:c r="G33" s="6" t="n">
        <x:f>E33+F33</x:f>
        <x:v>0</x:v>
      </x:c>
      <x:c r="H33" s="6" t="n">
        <x:v>0</x:v>
      </x:c>
      <x:c r="I33" s="6" t="n">
        <x:v>0</x:v>
      </x:c>
      <x:c r="J33" s="6" t="n">
        <x:v>0</x:v>
      </x:c>
      <x:c r="K33" s="6" t="n">
        <x:v>0</x:v>
      </x:c>
    </x:row>
    <x:row r="34" ht="25" customHeight="1">
      <x:c r="A34" s="2" t="str">
        <x:v>Q05</x:v>
      </x:c>
      <x:c r="B34" s="6" t="n">
        <x:v>0</x:v>
      </x:c>
      <x:c r="C34" s="6" t="n">
        <x:v>0</x:v>
      </x:c>
      <x:c r="D34" s="6" t="n">
        <x:v>0</x:v>
      </x:c>
      <x:c r="E34" s="6" t="n">
        <x:f>B34-C34+D34</x:f>
        <x:v>0</x:v>
      </x:c>
      <x:c r="F34" s="6" t="n">
        <x:v>0</x:v>
      </x:c>
      <x:c r="G34" s="6" t="n">
        <x:f>E34+F34</x:f>
        <x:v>0</x:v>
      </x:c>
      <x:c r="H34" s="6" t="n">
        <x:v>0</x:v>
      </x:c>
      <x:c r="I34" s="6" t="n">
        <x:v>0</x:v>
      </x:c>
      <x:c r="J34" s="6" t="n">
        <x:v>0</x:v>
      </x:c>
      <x:c r="K34" s="6" t="n">
        <x:v>0</x:v>
      </x:c>
    </x:row>
    <x:row r="35" ht="25" customHeight="1">
      <x:c r="A35" s="2" t="str">
        <x:v>Q06</x:v>
      </x:c>
      <x:c r="B35" s="6" t="n">
        <x:v>0</x:v>
      </x:c>
      <x:c r="C35" s="6" t="n">
        <x:v>0</x:v>
      </x:c>
      <x:c r="D35" s="6" t="n">
        <x:v>0</x:v>
      </x:c>
      <x:c r="E35" s="6" t="n">
        <x:f>B35-C35+D35</x:f>
        <x:v>0</x:v>
      </x:c>
      <x:c r="F35" s="6" t="n">
        <x:v>0</x:v>
      </x:c>
      <x:c r="G35" s="6" t="n">
        <x:f>E35+F35</x:f>
        <x:v>0</x:v>
      </x:c>
      <x:c r="H35" s="6" t="n">
        <x:v>0</x:v>
      </x:c>
      <x:c r="I35" s="6" t="n">
        <x:v>0</x:v>
      </x:c>
      <x:c r="J35" s="6" t="n">
        <x:v>0</x:v>
      </x:c>
      <x:c r="K35" s="6" t="n">
        <x:v>0</x:v>
      </x:c>
    </x:row>
    <x:row r="36" ht="25" customHeight="1">
      <x:c r="A36" s="2" t="str">
        <x:v>Q07</x:v>
      </x:c>
      <x:c r="B36" s="6" t="n">
        <x:v>0</x:v>
      </x:c>
      <x:c r="C36" s="6" t="n">
        <x:v>0</x:v>
      </x:c>
      <x:c r="D36" s="6" t="n">
        <x:v>0</x:v>
      </x:c>
      <x:c r="E36" s="6" t="n">
        <x:f>B36-C36+D36</x:f>
        <x:v>0</x:v>
      </x:c>
      <x:c r="F36" s="6" t="n">
        <x:v>0</x:v>
      </x:c>
      <x:c r="G36" s="6" t="n">
        <x:f>E36+F36</x:f>
        <x:v>0</x:v>
      </x:c>
      <x:c r="H36" s="6" t="n">
        <x:v>0</x:v>
      </x:c>
      <x:c r="I36" s="6" t="n">
        <x:v>0</x:v>
      </x:c>
      <x:c r="J36" s="6" t="n">
        <x:v>0</x:v>
      </x:c>
      <x:c r="K36" s="6" t="n">
        <x:v>0</x:v>
      </x:c>
    </x:row>
    <x:row r="37" ht="25" customHeight="1">
      <x:c r="A37" s="2" t="str">
        <x:v>Q08</x:v>
      </x:c>
      <x:c r="B37" s="6" t="n">
        <x:v>0</x:v>
      </x:c>
      <x:c r="C37" s="6" t="n">
        <x:v>0</x:v>
      </x:c>
      <x:c r="D37" s="6" t="n">
        <x:v>0</x:v>
      </x:c>
      <x:c r="E37" s="6" t="n">
        <x:f>B37-C37+D37</x:f>
        <x:v>0</x:v>
      </x:c>
      <x:c r="F37" s="6" t="n">
        <x:v>0</x:v>
      </x:c>
      <x:c r="G37" s="6" t="n">
        <x:f>E37+F37</x:f>
        <x:v>0</x:v>
      </x:c>
      <x:c r="H37" s="6" t="n">
        <x:v>0</x:v>
      </x:c>
      <x:c r="I37" s="6" t="n">
        <x:v>0</x:v>
      </x:c>
      <x:c r="J37" s="6" t="n">
        <x:v>0</x:v>
      </x:c>
      <x:c r="K37" s="6" t="n">
        <x:v>0</x:v>
      </x:c>
    </x:row>
    <x:row r="38" ht="25" customHeight="1">
      <x:c r="A38" s="2" t="str">
        <x:v>Q09</x:v>
      </x:c>
      <x:c r="B38" s="6" t="n">
        <x:v>0</x:v>
      </x:c>
      <x:c r="C38" s="6" t="n">
        <x:v>0</x:v>
      </x:c>
      <x:c r="D38" s="6" t="n">
        <x:v>0</x:v>
      </x:c>
      <x:c r="E38" s="6" t="n">
        <x:f>B38-C38+D38</x:f>
        <x:v>0</x:v>
      </x:c>
      <x:c r="F38" s="6" t="n">
        <x:v>0</x:v>
      </x:c>
      <x:c r="G38" s="6" t="n">
        <x:f>E38+F38</x:f>
        <x:v>0</x:v>
      </x:c>
      <x:c r="H38" s="6" t="n">
        <x:v>0</x:v>
      </x:c>
      <x:c r="I38" s="6" t="n">
        <x:v>0</x:v>
      </x:c>
      <x:c r="J38" s="6" t="n">
        <x:v>0</x:v>
      </x:c>
      <x:c r="K38" s="6" t="n">
        <x:v>0</x:v>
      </x:c>
    </x:row>
    <x:row r="39" ht="25" customHeight="1">
      <x:c r="A39" s="2" t="str">
        <x:v>Q10</x:v>
      </x:c>
      <x:c r="B39" s="6" t="n">
        <x:v>0</x:v>
      </x:c>
      <x:c r="C39" s="6" t="n">
        <x:v>0</x:v>
      </x:c>
      <x:c r="D39" s="6" t="n">
        <x:v>0</x:v>
      </x:c>
      <x:c r="E39" s="6" t="n">
        <x:f>B39-C39+D39</x:f>
        <x:v>0</x:v>
      </x:c>
      <x:c r="F39" s="6" t="n">
        <x:v>0</x:v>
      </x:c>
      <x:c r="G39" s="6" t="n">
        <x:f>E39+F39</x:f>
        <x:v>0</x:v>
      </x:c>
      <x:c r="H39" s="6" t="n">
        <x:v>0</x:v>
      </x:c>
      <x:c r="I39" s="6" t="n">
        <x:v>0</x:v>
      </x:c>
      <x:c r="J39" s="6" t="n">
        <x:v>0</x:v>
      </x:c>
      <x:c r="K39" s="6" t="n">
        <x:v>0</x:v>
      </x:c>
    </x:row>
    <x:row r="40" ht="25" customHeight="1">
      <x:c r="A40" s="2" t="str">
        <x:v>Q11</x:v>
      </x:c>
      <x:c r="B40" s="6" t="n">
        <x:v>0</x:v>
      </x:c>
      <x:c r="C40" s="6" t="n">
        <x:v>0</x:v>
      </x:c>
      <x:c r="D40" s="6" t="n">
        <x:v>0</x:v>
      </x:c>
      <x:c r="E40" s="6" t="n">
        <x:f>B40-C40+D40</x:f>
        <x:v>0</x:v>
      </x:c>
      <x:c r="F40" s="6" t="n">
        <x:v>0</x:v>
      </x:c>
      <x:c r="G40" s="6" t="n">
        <x:f>E40+F40</x:f>
        <x:v>0</x:v>
      </x:c>
      <x:c r="H40" s="6" t="n">
        <x:v>0</x:v>
      </x:c>
      <x:c r="I40" s="6" t="n">
        <x:v>0</x:v>
      </x:c>
      <x:c r="J40" s="6" t="n">
        <x:v>0</x:v>
      </x:c>
      <x:c r="K40" s="6" t="n">
        <x:v>0</x:v>
      </x:c>
    </x:row>
    <x:row r="41" ht="25" customHeight="1">
      <x:c r="A41" s="2" t="str">
        <x:v>Q12</x:v>
      </x:c>
      <x:c r="B41" s="6" t="n">
        <x:v>0</x:v>
      </x:c>
      <x:c r="C41" s="6" t="n">
        <x:v>0</x:v>
      </x:c>
      <x:c r="D41" s="6" t="n">
        <x:v>0</x:v>
      </x:c>
      <x:c r="E41" s="6" t="n">
        <x:f>B41-C41+D41</x:f>
        <x:v>0</x:v>
      </x:c>
      <x:c r="F41" s="6" t="n">
        <x:v>0</x:v>
      </x:c>
      <x:c r="G41" s="6" t="n">
        <x:f>E41+F41</x:f>
        <x:v>0</x:v>
      </x:c>
      <x:c r="H41" s="6" t="n">
        <x:v>0</x:v>
      </x:c>
      <x:c r="I41" s="6" t="n">
        <x:v>0</x:v>
      </x:c>
      <x:c r="J41" s="6" t="n">
        <x:v>0</x:v>
      </x:c>
      <x:c r="K41" s="6" t="n">
        <x:v>0</x:v>
      </x:c>
    </x:row>
    <x:row r="42" ht="25" customHeight="1">
      <x:c r="A42" s="2" t="str">
        <x:v>Q13</x:v>
      </x:c>
      <x:c r="B42" s="6" t="n">
        <x:v>0</x:v>
      </x:c>
      <x:c r="C42" s="6" t="n">
        <x:v>0</x:v>
      </x:c>
      <x:c r="D42" s="6" t="n">
        <x:v>0</x:v>
      </x:c>
      <x:c r="E42" s="6" t="n">
        <x:f>B42-C42+D42</x:f>
        <x:v>0</x:v>
      </x:c>
      <x:c r="F42" s="6" t="n">
        <x:v>0</x:v>
      </x:c>
      <x:c r="G42" s="6" t="n">
        <x:f>E42+F42</x:f>
        <x:v>0</x:v>
      </x:c>
      <x:c r="H42" s="6" t="n">
        <x:v>0</x:v>
      </x:c>
      <x:c r="I42" s="6" t="n">
        <x:v>0</x:v>
      </x:c>
      <x:c r="J42" s="6" t="n">
        <x:v>0</x:v>
      </x:c>
      <x:c r="K42" s="6" t="n">
        <x:v>0</x:v>
      </x:c>
    </x:row>
    <x:row r="43" ht="25" customHeight="1">
      <x:c r="A43" s="2" t="str">
        <x:v>H05</x:v>
      </x:c>
      <x:c r="B43" s="6" t="n">
        <x:v>0</x:v>
      </x:c>
      <x:c r="C43" s="6" t="n">
        <x:v>0</x:v>
      </x:c>
      <x:c r="D43" s="6" t="n">
        <x:v>0</x:v>
      </x:c>
      <x:c r="E43" s="6" t="n">
        <x:f>B43-C43+D43</x:f>
        <x:v>0</x:v>
      </x:c>
      <x:c r="F43" s="6" t="n">
        <x:v>0</x:v>
      </x:c>
      <x:c r="G43" s="6" t="n">
        <x:f>E43+F43</x:f>
        <x:v>0</x:v>
      </x:c>
      <x:c r="H43" s="6" t="n">
        <x:v>0</x:v>
      </x:c>
      <x:c r="I43" s="6" t="n">
        <x:v>0</x:v>
      </x:c>
      <x:c r="J43" s="6" t="n">
        <x:v>0</x:v>
      </x:c>
      <x:c r="K43" s="6" t="n">
        <x:v>0</x:v>
      </x:c>
    </x:row>
    <x:row r="44" ht="25" customHeight="1">
      <x:c r="A44" s="2" t="str">
        <x:v>H08</x:v>
      </x:c>
      <x:c r="B44" s="6" t="n">
        <x:v>0</x:v>
      </x:c>
      <x:c r="C44" s="6" t="n">
        <x:v>0</x:v>
      </x:c>
      <x:c r="D44" s="6" t="n">
        <x:v>0</x:v>
      </x:c>
      <x:c r="E44" s="6" t="n">
        <x:f>B44-C44+D44</x:f>
        <x:v>0</x:v>
      </x:c>
      <x:c r="F44" s="6" t="n">
        <x:v>0</x:v>
      </x:c>
      <x:c r="G44" s="6" t="n">
        <x:f>E44+F44</x:f>
        <x:v>0</x:v>
      </x:c>
      <x:c r="H44" s="6" t="n">
        <x:v>0</x:v>
      </x:c>
      <x:c r="I44" s="6" t="n">
        <x:v>0</x:v>
      </x:c>
      <x:c r="J44" s="6" t="n">
        <x:v>0</x:v>
      </x:c>
      <x:c r="K44" s="6" t="n">
        <x:v>0</x:v>
      </x:c>
    </x:row>
    <x:row r="45" ht="25" customHeight="1">
      <x:c r="A45" s="2" t="str">
        <x:v>D05</x:v>
      </x:c>
      <x:c r="B45" s="6" t="n">
        <x:v>0</x:v>
      </x:c>
      <x:c r="C45" s="6" t="n">
        <x:v>0</x:v>
      </x:c>
      <x:c r="D45" s="6" t="n">
        <x:v>0</x:v>
      </x:c>
      <x:c r="E45" s="6" t="n">
        <x:f>B45-C45+D45</x:f>
        <x:v>0</x:v>
      </x:c>
      <x:c r="F45" s="6" t="n">
        <x:v>0</x:v>
      </x:c>
      <x:c r="G45" s="6" t="n">
        <x:f>E45+F45</x:f>
        <x:v>0</x:v>
      </x:c>
      <x:c r="H45" s="6" t="n">
        <x:v>0</x:v>
      </x:c>
      <x:c r="I45" s="6" t="n">
        <x:v>0</x:v>
      </x:c>
      <x:c r="J45" s="6" t="n">
        <x:v>0</x:v>
      </x:c>
      <x:c r="K45" s="6" t="n">
        <x:v>0</x:v>
      </x:c>
    </x:row>
    <x:row r="46" ht="25" customHeight="1">
      <x:c r="A46" s="2" t="str">
        <x:v>D08</x:v>
      </x:c>
      <x:c r="B46" s="6" t="n">
        <x:v>0</x:v>
      </x:c>
      <x:c r="C46" s="6" t="n">
        <x:v>0</x:v>
      </x:c>
      <x:c r="D46" s="6" t="n">
        <x:v>0</x:v>
      </x:c>
      <x:c r="E46" s="6" t="n">
        <x:f>B46-C46+D46</x:f>
        <x:v>0</x:v>
      </x:c>
      <x:c r="F46" s="6" t="n">
        <x:v>0</x:v>
      </x:c>
      <x:c r="G46" s="6" t="n">
        <x:f>E46+F46</x:f>
        <x:v>0</x:v>
      </x:c>
      <x:c r="H46" s="6" t="n">
        <x:v>0</x:v>
      </x:c>
      <x:c r="I46" s="6" t="n">
        <x:v>0</x:v>
      </x:c>
      <x:c r="J46" s="6" t="n">
        <x:v>0</x:v>
      </x:c>
      <x:c r="K46" s="6" t="n">
        <x:v>0</x:v>
      </x:c>
    </x:row>
    <x:row r="47" ht="25" customHeight="1">
      <x:c r="A47" s="2" t="str">
        <x:v>V_C01</x:v>
      </x:c>
      <x:c r="B47" s="6" t="n">
        <x:v>79000</x:v>
      </x:c>
      <x:c r="C47" s="6" t="n">
        <x:v>113000</x:v>
      </x:c>
      <x:c r="D47" s="6" t="n">
        <x:v>0</x:v>
      </x:c>
      <x:c r="E47" s="6" t="n">
        <x:f>B47-C47+D47</x:f>
        <x:v>-34000</x:v>
      </x:c>
      <x:c r="F47" s="6" t="n">
        <x:v>0</x:v>
      </x:c>
      <x:c r="G47" s="6" t="n">
        <x:f>E47+F47</x:f>
        <x:v>-34000</x:v>
      </x:c>
      <x:c r="H47" s="6" t="n">
        <x:v>0</x:v>
      </x:c>
      <x:c r="I47" s="6" t="n">
        <x:v>15</x:v>
      </x:c>
      <x:c r="J47" s="6" t="n">
        <x:v>-34000</x:v>
      </x:c>
      <x:c r="K47" s="6" t="n">
        <x:v>84000</x:v>
      </x:c>
    </x:row>
    <x:row r="48" ht="25" customHeight="1">
      <x:c r="A48" s="2" t="str">
        <x:v>V_C02</x:v>
      </x:c>
      <x:c r="B48" s="6" t="n">
        <x:v>18000</x:v>
      </x:c>
      <x:c r="C48" s="6" t="n">
        <x:v>36000</x:v>
      </x:c>
      <x:c r="D48" s="6" t="n">
        <x:v>0</x:v>
      </x:c>
      <x:c r="E48" s="6" t="n">
        <x:f>B48-C48+D48</x:f>
        <x:v>-18000</x:v>
      </x:c>
      <x:c r="F48" s="6" t="n">
        <x:v>0</x:v>
      </x:c>
      <x:c r="G48" s="6" t="n">
        <x:f>E48+F48</x:f>
        <x:v>-18000</x:v>
      </x:c>
      <x:c r="H48" s="6" t="n">
        <x:v>0</x:v>
      </x:c>
      <x:c r="I48" s="6" t="n">
        <x:v>4</x:v>
      </x:c>
      <x:c r="J48" s="6" t="n">
        <x:v>-24000</x:v>
      </x:c>
      <x:c r="K48" s="6" t="n">
        <x:v>35000</x:v>
      </x:c>
    </x:row>
    <x:row r="49" ht="25" customHeight="1">
      <x:c r="A49" s="2" t="str">
        <x:v>V_Q00</x:v>
      </x:c>
      <x:c r="B49" s="6" t="n">
        <x:v>20000</x:v>
      </x:c>
      <x:c r="C49" s="6" t="n">
        <x:v>52000</x:v>
      </x:c>
      <x:c r="D49" s="6" t="n">
        <x:v>0</x:v>
      </x:c>
      <x:c r="E49" s="6" t="n">
        <x:f>B49-C49+D49</x:f>
        <x:v>-32000</x:v>
      </x:c>
      <x:c r="F49" s="6" t="n">
        <x:v>0</x:v>
      </x:c>
      <x:c r="G49" s="6" t="n">
        <x:f>E49+F49</x:f>
        <x:v>-32000</x:v>
      </x:c>
      <x:c r="H49" s="6" t="n">
        <x:v>0</x:v>
      </x:c>
      <x:c r="I49" s="6" t="n">
        <x:v>4</x:v>
      </x:c>
      <x:c r="J49" s="6" t="n">
        <x:v>-52000</x:v>
      </x:c>
      <x:c r="K49" s="6" t="n">
        <x:v>67000</x:v>
      </x:c>
    </x:row>
    <x:row r="50" ht="25" customHeight="1">
      <x:c r="A50" s="2" t="str">
        <x:v>V_Q01</x:v>
      </x:c>
      <x:c r="B50" s="6" t="n">
        <x:v>28800</x:v>
      </x:c>
      <x:c r="C50" s="6" t="n">
        <x:v>60000</x:v>
      </x:c>
      <x:c r="D50" s="6" t="n">
        <x:v>0</x:v>
      </x:c>
      <x:c r="E50" s="6" t="n">
        <x:f>B50-C50+D50</x:f>
        <x:v>-31200</x:v>
      </x:c>
      <x:c r="F50" s="6" t="n">
        <x:v>0</x:v>
      </x:c>
      <x:c r="G50" s="6" t="n">
        <x:f>E50+F50</x:f>
        <x:v>-31200</x:v>
      </x:c>
      <x:c r="H50" s="6" t="n">
        <x:v>0</x:v>
      </x:c>
      <x:c r="I50" s="6" t="n">
        <x:v>4</x:v>
      </x:c>
      <x:c r="J50" s="6" t="n">
        <x:v>-57600</x:v>
      </x:c>
      <x:c r="K50" s="6" t="n">
        <x:v>74400</x:v>
      </x:c>
    </x:row>
    <x:row r="51" ht="25" customHeight="1">
      <x:c r="A51" s="2" t="str">
        <x:v>V_Q02</x:v>
      </x:c>
      <x:c r="B51" s="6" t="n">
        <x:v>9000</x:v>
      </x:c>
      <x:c r="C51" s="6" t="n">
        <x:v>30800</x:v>
      </x:c>
      <x:c r="D51" s="6" t="n">
        <x:v>0</x:v>
      </x:c>
      <x:c r="E51" s="6" t="n">
        <x:f>B51-C51+D51</x:f>
        <x:v>-21800</x:v>
      </x:c>
      <x:c r="F51" s="6" t="n">
        <x:v>0</x:v>
      </x:c>
      <x:c r="G51" s="6" t="n">
        <x:f>E51+F51</x:f>
        <x:v>-21800</x:v>
      </x:c>
      <x:c r="H51" s="6" t="n">
        <x:v>0</x:v>
      </x:c>
      <x:c r="I51" s="6" t="n">
        <x:v>4</x:v>
      </x:c>
      <x:c r="J51" s="6" t="n">
        <x:v>-28800</x:v>
      </x:c>
      <x:c r="K51" s="6" t="n">
        <x:v>38100</x:v>
      </x:c>
    </x:row>
    <x:row r="52" ht="25" customHeight="1">
      <x:c r="A52" s="2" t="str">
        <x:v>V_Q03</x:v>
      </x:c>
      <x:c r="B52" s="6" t="n">
        <x:v>82700</x:v>
      </x:c>
      <x:c r="C52" s="6" t="n">
        <x:v>60000</x:v>
      </x:c>
      <x:c r="D52" s="6" t="n">
        <x:v>0</x:v>
      </x:c>
      <x:c r="E52" s="6" t="n">
        <x:f>B52-C52+D52</x:f>
        <x:v>22700</x:v>
      </x:c>
      <x:c r="F52" s="6" t="n">
        <x:v>0</x:v>
      </x:c>
      <x:c r="G52" s="6" t="n">
        <x:f>E52+F52</x:f>
        <x:v>22700</x:v>
      </x:c>
      <x:c r="H52" s="6" t="n">
        <x:v>0</x:v>
      </x:c>
      <x:c r="I52" s="6" t="n">
        <x:v>9</x:v>
      </x:c>
      <x:c r="J52" s="6" t="n">
        <x:v>-57600</x:v>
      </x:c>
      <x:c r="K52" s="6" t="n">
        <x:v>74400</x:v>
      </x:c>
    </x:row>
    <x:row r="53" ht="25" customHeight="1">
      <x:c r="A53" s="2" t="str">
        <x:v>V_Q04</x:v>
      </x:c>
      <x:c r="B53" s="6" t="n">
        <x:v>51700</x:v>
      </x:c>
      <x:c r="C53" s="6" t="n">
        <x:v>30800</x:v>
      </x:c>
      <x:c r="D53" s="6" t="n">
        <x:v>0</x:v>
      </x:c>
      <x:c r="E53" s="6" t="n">
        <x:f>B53-C53+D53</x:f>
        <x:v>20900</x:v>
      </x:c>
      <x:c r="F53" s="6" t="n">
        <x:v>0</x:v>
      </x:c>
      <x:c r="G53" s="6" t="n">
        <x:f>E53+F53</x:f>
        <x:v>20900</x:v>
      </x:c>
      <x:c r="H53" s="6" t="n">
        <x:v>0</x:v>
      </x:c>
      <x:c r="I53" s="6" t="n">
        <x:v>9</x:v>
      </x:c>
      <x:c r="J53" s="6" t="n">
        <x:v>-30400</x:v>
      </x:c>
      <x:c r="K53" s="6" t="n">
        <x:v>50800</x:v>
      </x:c>
    </x:row>
    <x:row r="54" ht="25" customHeight="1">
      <x:c r="A54" s="2" t="str">
        <x:v>V_Q05</x:v>
      </x:c>
      <x:c r="B54" s="6" t="n">
        <x:v>82700</x:v>
      </x:c>
      <x:c r="C54" s="6" t="n">
        <x:v>47600</x:v>
      </x:c>
      <x:c r="D54" s="6" t="n">
        <x:v>0</x:v>
      </x:c>
      <x:c r="E54" s="6" t="n">
        <x:f>B54-C54+D54</x:f>
        <x:v>35100</x:v>
      </x:c>
      <x:c r="F54" s="6" t="n">
        <x:v>0</x:v>
      </x:c>
      <x:c r="G54" s="6" t="n">
        <x:f>E54+F54</x:f>
        <x:v>35100</x:v>
      </x:c>
      <x:c r="H54" s="6" t="n">
        <x:v>0</x:v>
      </x:c>
      <x:c r="I54" s="6" t="n">
        <x:v>12</x:v>
      </x:c>
      <x:c r="J54" s="6" t="n">
        <x:v>-44600</x:v>
      </x:c>
      <x:c r="K54" s="6" t="n">
        <x:v>61400</x:v>
      </x:c>
    </x:row>
    <x:row r="55" ht="25" customHeight="1">
      <x:c r="A55" s="2" t="str">
        <x:v>V_Q06</x:v>
      </x:c>
      <x:c r="B55" s="6" t="n">
        <x:v>51700</x:v>
      </x:c>
      <x:c r="C55" s="6" t="n">
        <x:v>18400</x:v>
      </x:c>
      <x:c r="D55" s="6" t="n">
        <x:v>0</x:v>
      </x:c>
      <x:c r="E55" s="6" t="n">
        <x:f>B55-C55+D55</x:f>
        <x:v>33300</x:v>
      </x:c>
      <x:c r="F55" s="6" t="n">
        <x:v>0</x:v>
      </x:c>
      <x:c r="G55" s="6" t="n">
        <x:f>E55+F55</x:f>
        <x:v>33300</x:v>
      </x:c>
      <x:c r="H55" s="6" t="n">
        <x:v>0</x:v>
      </x:c>
      <x:c r="I55" s="6" t="n">
        <x:v>12</x:v>
      </x:c>
      <x:c r="J55" s="6" t="n">
        <x:v>-27800</x:v>
      </x:c>
      <x:c r="K55" s="6" t="n">
        <x:v>51400</x:v>
      </x:c>
    </x:row>
    <x:row r="56" ht="25" customHeight="1">
      <x:c r="A56" s="2" t="str">
        <x:v>V_Q07</x:v>
      </x:c>
      <x:c r="B56" s="6" t="n">
        <x:v>32600</x:v>
      </x:c>
      <x:c r="C56" s="6" t="n">
        <x:v>83400</x:v>
      </x:c>
      <x:c r="D56" s="6" t="n">
        <x:v>0</x:v>
      </x:c>
      <x:c r="E56" s="6" t="n">
        <x:f>B56-C56+D56</x:f>
        <x:v>-50800</x:v>
      </x:c>
      <x:c r="F56" s="6" t="n">
        <x:v>0</x:v>
      </x:c>
      <x:c r="G56" s="6" t="n">
        <x:f>E56+F56</x:f>
        <x:v>-50800</x:v>
      </x:c>
      <x:c r="H56" s="6" t="n">
        <x:v>0</x:v>
      </x:c>
      <x:c r="I56" s="6" t="n">
        <x:v>17</x:v>
      </x:c>
      <x:c r="J56" s="6" t="n">
        <x:v>-72400</x:v>
      </x:c>
      <x:c r="K56" s="6" t="n">
        <x:v>111200</x:v>
      </x:c>
    </x:row>
    <x:row r="57" ht="25" customHeight="1">
      <x:c r="A57" s="2" t="str">
        <x:v>V_Q08</x:v>
      </x:c>
      <x:c r="B57" s="6" t="n">
        <x:v>80200</x:v>
      </x:c>
      <x:c r="C57" s="6" t="n">
        <x:v>55600</x:v>
      </x:c>
      <x:c r="D57" s="6" t="n">
        <x:v>0</x:v>
      </x:c>
      <x:c r="E57" s="6" t="n">
        <x:f>B57-C57+D57</x:f>
        <x:v>24600</x:v>
      </x:c>
      <x:c r="F57" s="6" t="n">
        <x:v>0</x:v>
      </x:c>
      <x:c r="G57" s="6" t="n">
        <x:f>E57+F57</x:f>
        <x:v>24600</x:v>
      </x:c>
      <x:c r="H57" s="6" t="n">
        <x:v>0</x:v>
      </x:c>
      <x:c r="I57" s="6" t="n">
        <x:v>13</x:v>
      </x:c>
      <x:c r="J57" s="6" t="n">
        <x:v>-44600</x:v>
      </x:c>
      <x:c r="K57" s="6" t="n">
        <x:v>67800</x:v>
      </x:c>
    </x:row>
    <x:row r="58" ht="25" customHeight="1">
      <x:c r="A58" s="2" t="str">
        <x:v>V_Q09</x:v>
      </x:c>
      <x:c r="B58" s="6" t="n">
        <x:v>82700</x:v>
      </x:c>
      <x:c r="C58" s="6" t="n">
        <x:v>47600</x:v>
      </x:c>
      <x:c r="D58" s="6" t="n">
        <x:v>0</x:v>
      </x:c>
      <x:c r="E58" s="6" t="n">
        <x:f>B58-C58+D58</x:f>
        <x:v>35100</x:v>
      </x:c>
      <x:c r="F58" s="6" t="n">
        <x:v>0</x:v>
      </x:c>
      <x:c r="G58" s="6" t="n">
        <x:f>E58+F58</x:f>
        <x:v>35100</x:v>
      </x:c>
      <x:c r="H58" s="6" t="n">
        <x:v>0</x:v>
      </x:c>
      <x:c r="I58" s="6" t="n">
        <x:v>12</x:v>
      </x:c>
      <x:c r="J58" s="6" t="n">
        <x:v>-44600</x:v>
      </x:c>
      <x:c r="K58" s="6" t="n">
        <x:v>61400</x:v>
      </x:c>
    </x:row>
    <x:row r="59" ht="25" customHeight="1">
      <x:c r="A59" s="2" t="str">
        <x:v>V_Q10</x:v>
      </x:c>
      <x:c r="B59" s="6" t="n">
        <x:v>80200</x:v>
      </x:c>
      <x:c r="C59" s="6" t="n">
        <x:v>55600</x:v>
      </x:c>
      <x:c r="D59" s="6" t="n">
        <x:v>0</x:v>
      </x:c>
      <x:c r="E59" s="6" t="n">
        <x:f>B59-C59+D59</x:f>
        <x:v>24600</x:v>
      </x:c>
      <x:c r="F59" s="6" t="n">
        <x:v>0</x:v>
      </x:c>
      <x:c r="G59" s="6" t="n">
        <x:f>E59+F59</x:f>
        <x:v>24600</x:v>
      </x:c>
      <x:c r="H59" s="6" t="n">
        <x:v>0</x:v>
      </x:c>
      <x:c r="I59" s="6" t="n">
        <x:v>13</x:v>
      </x:c>
      <x:c r="J59" s="6" t="n">
        <x:v>-44600</x:v>
      </x:c>
      <x:c r="K59" s="6" t="n">
        <x:v>67800</x:v>
      </x:c>
    </x:row>
    <x:row r="60" ht="25" customHeight="1">
      <x:c r="A60" s="2" t="str">
        <x:v>V_Q11</x:v>
      </x:c>
      <x:c r="B60" s="6" t="n">
        <x:v>48400</x:v>
      </x:c>
      <x:c r="C60" s="6" t="n">
        <x:v>24800</x:v>
      </x:c>
      <x:c r="D60" s="6" t="n">
        <x:v>0</x:v>
      </x:c>
      <x:c r="E60" s="6" t="n">
        <x:f>B60-C60+D60</x:f>
        <x:v>23600</x:v>
      </x:c>
      <x:c r="F60" s="6" t="n">
        <x:v>0</x:v>
      </x:c>
      <x:c r="G60" s="6" t="n">
        <x:f>E60+F60</x:f>
        <x:v>23600</x:v>
      </x:c>
      <x:c r="H60" s="6" t="n">
        <x:v>0</x:v>
      </x:c>
      <x:c r="I60" s="6" t="n">
        <x:v>13</x:v>
      </x:c>
      <x:c r="J60" s="6" t="n">
        <x:v>-27800</x:v>
      </x:c>
      <x:c r="K60" s="6" t="n">
        <x:v>57800</x:v>
      </x:c>
    </x:row>
    <x:row r="61" ht="25" customHeight="1">
      <x:c r="A61" s="2" t="str">
        <x:v>V_Q12</x:v>
      </x:c>
      <x:c r="B61" s="6" t="n">
        <x:v>10700</x:v>
      </x:c>
      <x:c r="C61" s="6" t="n">
        <x:v>47600</x:v>
      </x:c>
      <x:c r="D61" s="6" t="n">
        <x:v>0</x:v>
      </x:c>
      <x:c r="E61" s="6" t="n">
        <x:f>B61-C61+D61</x:f>
        <x:v>-36900</x:v>
      </x:c>
      <x:c r="F61" s="6" t="n">
        <x:v>0</x:v>
      </x:c>
      <x:c r="G61" s="6" t="n">
        <x:f>E61+F61</x:f>
        <x:v>-36900</x:v>
      </x:c>
      <x:c r="H61" s="6" t="n">
        <x:v>0</x:v>
      </x:c>
      <x:c r="I61" s="6" t="n">
        <x:v>9</x:v>
      </x:c>
      <x:c r="J61" s="6" t="n">
        <x:v>-44600</x:v>
      </x:c>
      <x:c r="K61" s="6" t="n">
        <x:v>109300</x:v>
      </x:c>
    </x:row>
    <x:row r="62" ht="25" customHeight="1">
      <x:c r="A62" s="2" t="str">
        <x:v>V_Q13</x:v>
      </x:c>
      <x:c r="B62" s="6" t="n">
        <x:v>82500</x:v>
      </x:c>
      <x:c r="C62" s="6" t="n">
        <x:v>69000</x:v>
      </x:c>
      <x:c r="D62" s="6" t="n">
        <x:v>0</x:v>
      </x:c>
      <x:c r="E62" s="6" t="n">
        <x:f>B62-C62+D62</x:f>
        <x:v>13500</x:v>
      </x:c>
      <x:c r="F62" s="6" t="n">
        <x:v>0</x:v>
      </x:c>
      <x:c r="G62" s="6" t="n">
        <x:f>E62+F62</x:f>
        <x:v>13500</x:v>
      </x:c>
      <x:c r="H62" s="6" t="n">
        <x:v>0</x:v>
      </x:c>
      <x:c r="I62" s="6" t="n">
        <x:v>15</x:v>
      </x:c>
      <x:c r="J62" s="6" t="n">
        <x:v>-58000</x:v>
      </x:c>
      <x:c r="K62" s="6" t="n">
        <x:v>75100</x:v>
      </x:c>
    </x:row>
    <x:row r="63" ht="25" customHeight="1">
      <x:c r="A63" s="2" t="str">
        <x:v>V_H05</x:v>
      </x:c>
      <x:c r="B63" s="6" t="n">
        <x:v>82700</x:v>
      </x:c>
      <x:c r="C63" s="6" t="n">
        <x:v>47600</x:v>
      </x:c>
      <x:c r="D63" s="6" t="n">
        <x:v>0</x:v>
      </x:c>
      <x:c r="E63" s="6" t="n">
        <x:f>B63-C63+D63</x:f>
        <x:v>35100</x:v>
      </x:c>
      <x:c r="F63" s="6" t="n">
        <x:v>0</x:v>
      </x:c>
      <x:c r="G63" s="6" t="n">
        <x:f>E63+F63</x:f>
        <x:v>35100</x:v>
      </x:c>
      <x:c r="H63" s="6" t="n">
        <x:v>0</x:v>
      </x:c>
      <x:c r="I63" s="6" t="n">
        <x:v>11</x:v>
      </x:c>
      <x:c r="J63" s="6" t="n">
        <x:v>-44600</x:v>
      </x:c>
      <x:c r="K63" s="6" t="n">
        <x:v>61400</x:v>
      </x:c>
    </x:row>
    <x:row r="64" ht="25" customHeight="1">
      <x:c r="A64" s="2" t="str">
        <x:v>V_H08</x:v>
      </x:c>
      <x:c r="B64" s="6" t="n">
        <x:v>80200</x:v>
      </x:c>
      <x:c r="C64" s="6" t="n">
        <x:v>55600</x:v>
      </x:c>
      <x:c r="D64" s="6" t="n">
        <x:v>0</x:v>
      </x:c>
      <x:c r="E64" s="6" t="n">
        <x:f>B64-C64+D64</x:f>
        <x:v>24600</x:v>
      </x:c>
      <x:c r="F64" s="6" t="n">
        <x:v>0</x:v>
      </x:c>
      <x:c r="G64" s="6" t="n">
        <x:f>E64+F64</x:f>
        <x:v>24600</x:v>
      </x:c>
      <x:c r="H64" s="6" t="n">
        <x:v>0</x:v>
      </x:c>
      <x:c r="I64" s="6" t="n">
        <x:v>12</x:v>
      </x:c>
      <x:c r="J64" s="6" t="n">
        <x:v>-44600</x:v>
      </x:c>
      <x:c r="K64" s="6" t="n">
        <x:v>67800</x:v>
      </x:c>
    </x:row>
    <x:row r="65" ht="25" customHeight="1">
      <x:c r="A65" s="2" t="str">
        <x:v>V_D05</x:v>
      </x:c>
      <x:c r="B65" s="6" t="n">
        <x:v>82700</x:v>
      </x:c>
      <x:c r="C65" s="6" t="n">
        <x:v>47600</x:v>
      </x:c>
      <x:c r="D65" s="6" t="n">
        <x:v>0</x:v>
      </x:c>
      <x:c r="E65" s="6" t="n">
        <x:f>B65-C65+D65</x:f>
        <x:v>35100</x:v>
      </x:c>
      <x:c r="F65" s="6" t="n">
        <x:v>0</x:v>
      </x:c>
      <x:c r="G65" s="6" t="n">
        <x:f>E65+F65</x:f>
        <x:v>35100</x:v>
      </x:c>
      <x:c r="H65" s="6" t="n">
        <x:v>0</x:v>
      </x:c>
      <x:c r="I65" s="6" t="n">
        <x:v>12</x:v>
      </x:c>
      <x:c r="J65" s="6" t="n">
        <x:v>-44600</x:v>
      </x:c>
      <x:c r="K65" s="6" t="n">
        <x:v>61400</x:v>
      </x:c>
    </x:row>
    <x:row r="66" ht="25" customHeight="1">
      <x:c r="A66" s="2" t="str">
        <x:v>V_D08</x:v>
      </x:c>
      <x:c r="B66" s="6" t="n">
        <x:v>80200</x:v>
      </x:c>
      <x:c r="C66" s="6" t="n">
        <x:v>55600</x:v>
      </x:c>
      <x:c r="D66" s="6" t="n">
        <x:v>0</x:v>
      </x:c>
      <x:c r="E66" s="6" t="n">
        <x:f>B66-C66+D66</x:f>
        <x:v>24600</x:v>
      </x:c>
      <x:c r="F66" s="6" t="n">
        <x:v>0</x:v>
      </x:c>
      <x:c r="G66" s="6" t="n">
        <x:f>E66+F66</x:f>
        <x:v>24600</x:v>
      </x:c>
      <x:c r="H66" s="6" t="n">
        <x:v>0</x:v>
      </x:c>
      <x:c r="I66" s="6" t="n">
        <x:v>13</x:v>
      </x:c>
      <x:c r="J66" s="6" t="n">
        <x:v>-44600</x:v>
      </x:c>
      <x:c r="K66" s="6" t="n">
        <x:v>67800</x:v>
      </x:c>
    </x:row>
    <x:row r="67" ht="25" customHeight="1">
      <x:c r="A67" s="2" t="str">
        <x:v>J04</x:v>
      </x:c>
      <x:c r="B67" s="6" t="n">
        <x:v>41400</x:v>
      </x:c>
      <x:c r="C67" s="6" t="n">
        <x:v>75500</x:v>
      </x:c>
      <x:c r="D67" s="6" t="n">
        <x:v>0</x:v>
      </x:c>
      <x:c r="E67" s="6" t="n">
        <x:f>B67-C67+D67</x:f>
        <x:v>-34100</x:v>
      </x:c>
      <x:c r="F67" s="6" t="n">
        <x:v>0</x:v>
      </x:c>
      <x:c r="G67" s="6" t="n">
        <x:f>E67+F67</x:f>
        <x:v>-34100</x:v>
      </x:c>
      <x:c r="H67" s="6" t="n">
        <x:v>0</x:v>
      </x:c>
      <x:c r="I67" s="6" t="n">
        <x:v>15</x:v>
      </x:c>
      <x:c r="J67" s="6" t="n">
        <x:v>-54600</x:v>
      </x:c>
      <x:c r="K67" s="6" t="n">
        <x:v>79800</x:v>
      </x:c>
    </x:row>
    <x:row r="68" ht="25" customHeight="1">
      <x:c r="A68" s="2" t="str">
        <x:v>J05</x:v>
      </x:c>
      <x:c r="B68" s="6" t="n">
        <x:v>55900</x:v>
      </x:c>
      <x:c r="C68" s="6" t="n">
        <x:v>86700</x:v>
      </x:c>
      <x:c r="D68" s="6" t="n">
        <x:v>0</x:v>
      </x:c>
      <x:c r="E68" s="6" t="n">
        <x:f>B68-C68+D68</x:f>
        <x:v>-30800</x:v>
      </x:c>
      <x:c r="F68" s="6" t="n">
        <x:v>0</x:v>
      </x:c>
      <x:c r="G68" s="6" t="n">
        <x:f>E68+F68</x:f>
        <x:v>-30800</x:v>
      </x:c>
      <x:c r="H68" s="6" t="n">
        <x:v>0</x:v>
      </x:c>
      <x:c r="I68" s="6" t="n">
        <x:v>15</x:v>
      </x:c>
      <x:c r="J68" s="6" t="n">
        <x:v>-52100</x:v>
      </x:c>
      <x:c r="K68" s="6" t="n">
        <x:v>85600</x:v>
      </x:c>
    </x:row>
    <x:row r="69" ht="25" customHeight="1">
      <x:c r="A69" s="2" t="str">
        <x:v>J06</x:v>
      </x:c>
      <x:c r="B69" s="6" t="n">
        <x:v>84400</x:v>
      </x:c>
      <x:c r="C69" s="6" t="n">
        <x:v>108800</x:v>
      </x:c>
      <x:c r="D69" s="6" t="n">
        <x:v>0</x:v>
      </x:c>
      <x:c r="E69" s="6" t="n">
        <x:f>B69-C69+D69</x:f>
        <x:v>-24400</x:v>
      </x:c>
      <x:c r="F69" s="6" t="n">
        <x:v>0</x:v>
      </x:c>
      <x:c r="G69" s="6" t="n">
        <x:f>E69+F69</x:f>
        <x:v>-24400</x:v>
      </x:c>
      <x:c r="H69" s="6" t="n">
        <x:v>0</x:v>
      </x:c>
      <x:c r="I69" s="6" t="n">
        <x:v>15</x:v>
      </x:c>
      <x:c r="J69" s="6" t="n">
        <x:v>-47400</x:v>
      </x:c>
      <x:c r="K69" s="6" t="n">
        <x:v>97900</x:v>
      </x:c>
    </x:row>
    <x:row r="70" ht="25" customHeight="1">
      <x:c r="A70" s="2" t="str">
        <x:v>J07</x:v>
      </x:c>
      <x:c r="B70" s="6" t="n">
        <x:v>118300</x:v>
      </x:c>
      <x:c r="C70" s="6" t="n">
        <x:v>259600</x:v>
      </x:c>
      <x:c r="D70" s="6" t="n">
        <x:v>0</x:v>
      </x:c>
      <x:c r="E70" s="6" t="n">
        <x:f>B70-C70+D70</x:f>
        <x:v>-141300</x:v>
      </x:c>
      <x:c r="F70" s="6" t="n">
        <x:v>0</x:v>
      </x:c>
      <x:c r="G70" s="6" t="n">
        <x:f>E70+F70</x:f>
        <x:v>-141300</x:v>
      </x:c>
      <x:c r="H70" s="6" t="n">
        <x:v>0</x:v>
      </x:c>
      <x:c r="I70" s="6" t="n">
        <x:v>35</x:v>
      </x:c>
      <x:c r="J70" s="6" t="n">
        <x:v>-141300</x:v>
      </x:c>
      <x:c r="K70" s="6" t="n">
        <x:v>241000</x:v>
      </x:c>
    </x:row>
    <x:row r="71" ht="25" customHeight="1">
      <x:c r="A71" s="2" t="str">
        <x:v>J08</x:v>
      </x:c>
      <x:c r="B71" s="6" t="n">
        <x:v>118300</x:v>
      </x:c>
      <x:c r="C71" s="6" t="n">
        <x:v>260200</x:v>
      </x:c>
      <x:c r="D71" s="6" t="n">
        <x:v>0</x:v>
      </x:c>
      <x:c r="E71" s="6" t="n">
        <x:f>B71-C71+D71</x:f>
        <x:v>-141900</x:v>
      </x:c>
      <x:c r="F71" s="6" t="n">
        <x:v>0</x:v>
      </x:c>
      <x:c r="G71" s="6" t="n">
        <x:f>E71+F71</x:f>
        <x:v>-141900</x:v>
      </x:c>
      <x:c r="H71" s="6" t="n">
        <x:v>0</x:v>
      </x:c>
      <x:c r="I71" s="6" t="n">
        <x:v>41</x:v>
      </x:c>
      <x:c r="J71" s="6" t="n">
        <x:v>-141900</x:v>
      </x:c>
      <x:c r="K71" s="6" t="n">
        <x:v>254600</x:v>
      </x:c>
    </x:row>
    <x:row r="72" ht="25" customHeight="1">
      <x:c r="A72" s="2" t="str">
        <x:v>J09</x:v>
      </x:c>
      <x:c r="B72" s="6" t="n">
        <x:v>89600</x:v>
      </x:c>
      <x:c r="C72" s="6" t="n">
        <x:v>270700</x:v>
      </x:c>
      <x:c r="D72" s="6" t="n">
        <x:v>0</x:v>
      </x:c>
      <x:c r="E72" s="6" t="n">
        <x:f>B72-C72+D72</x:f>
        <x:v>-181100</x:v>
      </x:c>
      <x:c r="F72" s="6" t="n">
        <x:v>0</x:v>
      </x:c>
      <x:c r="G72" s="6" t="n">
        <x:f>E72+F72</x:f>
        <x:v>-181100</x:v>
      </x:c>
      <x:c r="H72" s="6" t="n">
        <x:v>0</x:v>
      </x:c>
      <x:c r="I72" s="6" t="n">
        <x:v>49</x:v>
      </x:c>
      <x:c r="J72" s="6" t="n">
        <x:v>-181100</x:v>
      </x:c>
      <x:c r="K72" s="6" t="n">
        <x:v>281800</x:v>
      </x:c>
    </x:row>
    <x:row r="73" ht="25" customHeight="1">
      <x:c r="A73" s="2" t="str">
        <x:v>J10</x:v>
      </x:c>
      <x:c r="B73" s="6" t="n">
        <x:v>117200</x:v>
      </x:c>
      <x:c r="C73" s="6" t="n">
        <x:v>245000</x:v>
      </x:c>
      <x:c r="D73" s="6" t="n">
        <x:v>0</x:v>
      </x:c>
      <x:c r="E73" s="6" t="n">
        <x:f>B73-C73+D73</x:f>
        <x:v>-127800</x:v>
      </x:c>
      <x:c r="F73" s="6" t="n">
        <x:v>0</x:v>
      </x:c>
      <x:c r="G73" s="6" t="n">
        <x:f>E73+F73</x:f>
        <x:v>-127800</x:v>
      </x:c>
      <x:c r="H73" s="6" t="n">
        <x:v>0</x:v>
      </x:c>
      <x:c r="I73" s="6" t="n">
        <x:v>46</x:v>
      </x:c>
      <x:c r="J73" s="6" t="n">
        <x:v>-127800</x:v>
      </x:c>
      <x:c r="K73" s="6" t="n">
        <x:v>252800</x:v>
      </x:c>
    </x:row>
    <x:row r="74" ht="25" customHeight="1">
      <x:c r="A74" s="2" t="str">
        <x:v>J11</x:v>
      </x:c>
      <x:c r="B74" s="6" t="n">
        <x:v>118300</x:v>
      </x:c>
      <x:c r="C74" s="6" t="n">
        <x:v>237800</x:v>
      </x:c>
      <x:c r="D74" s="6" t="n">
        <x:v>0</x:v>
      </x:c>
      <x:c r="E74" s="6" t="n">
        <x:f>B74-C74+D74</x:f>
        <x:v>-119500</x:v>
      </x:c>
      <x:c r="F74" s="6" t="n">
        <x:v>0</x:v>
      </x:c>
      <x:c r="G74" s="6" t="n">
        <x:f>E74+F74</x:f>
        <x:v>-119500</x:v>
      </x:c>
      <x:c r="H74" s="6" t="n">
        <x:v>0</x:v>
      </x:c>
      <x:c r="I74" s="6" t="n">
        <x:v>44</x:v>
      </x:c>
      <x:c r="J74" s="6" t="n">
        <x:v>-119500</x:v>
      </x:c>
      <x:c r="K74" s="6" t="n">
        <x:v>245600</x:v>
      </x:c>
    </x:row>
    <x:row r="75" ht="25" customHeight="1">
      <x:c r="A75" s="2" t="str">
        <x:v>J12</x:v>
      </x:c>
      <x:c r="B75" s="6" t="n">
        <x:v>117200</x:v>
      </x:c>
      <x:c r="C75" s="6" t="n">
        <x:v>245000</x:v>
      </x:c>
      <x:c r="D75" s="6" t="n">
        <x:v>0</x:v>
      </x:c>
      <x:c r="E75" s="6" t="n">
        <x:f>B75-C75+D75</x:f>
        <x:v>-127800</x:v>
      </x:c>
      <x:c r="F75" s="6" t="n">
        <x:v>0</x:v>
      </x:c>
      <x:c r="G75" s="6" t="n">
        <x:f>E75+F75</x:f>
        <x:v>-127800</x:v>
      </x:c>
      <x:c r="H75" s="6" t="n">
        <x:v>0</x:v>
      </x:c>
      <x:c r="I75" s="6" t="n">
        <x:v>44</x:v>
      </x:c>
      <x:c r="J75" s="6" t="n">
        <x:v>-127800</x:v>
      </x:c>
      <x:c r="K75" s="6" t="n">
        <x:v>252800</x:v>
      </x:c>
    </x:row>
    <x:row r="76" ht="25" customHeight="1">
      <x:c r="A76" s="2" t="str">
        <x:v>J13</x:v>
      </x:c>
      <x:c r="B76" s="6" t="n">
        <x:v>117200</x:v>
      </x:c>
      <x:c r="C76" s="6" t="n">
        <x:v>242000</x:v>
      </x:c>
      <x:c r="D76" s="6" t="n">
        <x:v>0</x:v>
      </x:c>
      <x:c r="E76" s="6" t="n">
        <x:f>B76-C76+D76</x:f>
        <x:v>-124800</x:v>
      </x:c>
      <x:c r="F76" s="6" t="n">
        <x:v>0</x:v>
      </x:c>
      <x:c r="G76" s="6" t="n">
        <x:f>E76+F76</x:f>
        <x:v>-124800</x:v>
      </x:c>
      <x:c r="H76" s="6" t="n">
        <x:v>0</x:v>
      </x:c>
      <x:c r="I76" s="6" t="n">
        <x:v>45</x:v>
      </x:c>
      <x:c r="J76" s="6" t="n">
        <x:v>-124800</x:v>
      </x:c>
      <x:c r="K76" s="6" t="n">
        <x:v>249800</x:v>
      </x:c>
    </x:row>
    <x:row r="77" ht="25" customHeight="1">
      <x:c r="A77" s="2" t="str">
        <x:v>J14</x:v>
      </x:c>
      <x:c r="B77" s="6" t="n">
        <x:v>117200</x:v>
      </x:c>
      <x:c r="C77" s="6" t="n">
        <x:v>232600</x:v>
      </x:c>
      <x:c r="D77" s="6" t="n">
        <x:v>0</x:v>
      </x:c>
      <x:c r="E77" s="6" t="n">
        <x:f>B77-C77+D77</x:f>
        <x:v>-115400</x:v>
      </x:c>
      <x:c r="F77" s="6" t="n">
        <x:v>0</x:v>
      </x:c>
      <x:c r="G77" s="6" t="n">
        <x:f>E77+F77</x:f>
        <x:v>-115400</x:v>
      </x:c>
      <x:c r="H77" s="6" t="n">
        <x:v>0</x:v>
      </x:c>
      <x:c r="I77" s="6" t="n">
        <x:v>46</x:v>
      </x:c>
      <x:c r="J77" s="6" t="n">
        <x:v>-115400</x:v>
      </x:c>
      <x:c r="K77" s="6" t="n">
        <x:v>240400</x:v>
      </x:c>
    </x:row>
    <x:row r="78" ht="25" customHeight="1">
      <x:c r="A78" s="2" t="str">
        <x:v>K02</x:v>
      </x:c>
      <x:c r="B78" s="6" t="n">
        <x:v>30500</x:v>
      </x:c>
      <x:c r="C78" s="6" t="n">
        <x:v>28000</x:v>
      </x:c>
      <x:c r="D78" s="6" t="n">
        <x:v>0</x:v>
      </x:c>
      <x:c r="E78" s="6" t="n">
        <x:f>B78-C78+D78</x:f>
        <x:v>2500</x:v>
      </x:c>
      <x:c r="F78" s="6" t="n">
        <x:v>0</x:v>
      </x:c>
      <x:c r="G78" s="6" t="n">
        <x:f>E78+F78</x:f>
        <x:v>2500</x:v>
      </x:c>
      <x:c r="H78" s="6" t="n">
        <x:v>0</x:v>
      </x:c>
      <x:c r="I78" s="6" t="n">
        <x:v>15</x:v>
      </x:c>
      <x:c r="J78" s="6" t="n">
        <x:v>-3000</x:v>
      </x:c>
      <x:c r="K78" s="6" t="n">
        <x:v>20000</x:v>
      </x:c>
    </x:row>
  </x:sheetData>
  <x:conditionalFormatting sqref="E6:G78">
    <x:cfRule type="cellIs" dxfId="7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1ca953f1464d96"/>
  </x:tableParts>
</x:worksheet>
</file>